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28a719c71767940/001. PLN/998. NKO/"/>
    </mc:Choice>
  </mc:AlternateContent>
  <xr:revisionPtr revIDLastSave="1927" documentId="8_{663FF9C3-06A9-4452-83FF-2366E21643C8}" xr6:coauthVersionLast="47" xr6:coauthVersionMax="47" xr10:uidLastSave="{AC2CA8EF-8B88-420D-B01A-EEC746C501FF}"/>
  <bookViews>
    <workbookView xWindow="-105" yWindow="0" windowWidth="14610" windowHeight="15585" firstSheet="15" activeTab="16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<sst xmlns="http://schemas.openxmlformats.org/spreadsheetml/2006/main" count="4796" uniqueCount="478">
  <si>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</si>
  <si>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</si>
  <si>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</si>
  <si>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</si>
  <si>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</si>
  <si>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</si>
  <si>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</si>
  <si>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</si>
  <si>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</si>
  <si>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</si>
  <si>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</si>
  <si>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</si>
  <si>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</si>
  <si>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</si>
  <si>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</si>
  <si>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</si>
  <si>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</si>
  <si>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</si>
  <si>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</si>
  <si>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</si>
  <si>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</si>
  <si>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</si>
  <si>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</si>
  <si>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</si>
  <si>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</si>
  <si>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</si>
  <si>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</si>
  <si>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</si>
  <si>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</si>
  <si>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</si>
  <si>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</si>
  <si>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</si>
  <si>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</si>
  <si>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</si>
  <si>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</si>
  <si>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</si>
  <si>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</si>
  <si>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</si>
  <si>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</si>
  <si>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</si>
  <si>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</si>
  <si>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</si>
  <si>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</si>
  <si>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</si>
  <si>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</si>
  <si>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</si>
  <si>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</si>
  <si>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</si>
  <si>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</si>
  <si>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</si>
  <si>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</si>
  <si>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</si>
  <si>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</si>
  <si>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</si>
  <si>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</si>
  <si>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</si>
  <si>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</si>
  <si>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</si>
  <si>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</si>
  <si>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</si>
  <si>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</si>
  <si>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</si>
  <si>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</si>
  <si>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</si>
  <si>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</si>
  <si>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</si>
  <si>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</si>
  <si>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</si>
  <si>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</si>
  <si>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</si>
  <si>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</si>
  <si>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</si>
  <si>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</si>
  <si>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</si>
  <si>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</si>
  <si>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</si>
  <si>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</si>
  <si>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</si>
  <si>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</si>
  <si>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</si>
  <si>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</si>
  <si>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</si>
  <si>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</si>
  <si>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</si>
  <si>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</si>
  <si>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</si>
  <si>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</si>
  <si>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</si>
  <si>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</si>
  <si>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</si>
  <si>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</si>
  <si>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</si>
  <si>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</si>
  <si>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</si>
  <si>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</si>
  <si>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</si>
  <si>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</si>
  <si>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</si>
  <si>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</si>
  <si>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</si>
  <si>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</si>
  <si>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</si>
  <si>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</si>
  <si>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</si>
  <si>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</si>
  <si>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</si>
  <si>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</si>
  <si>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</si>
  <si>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</si>
  <si>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</si>
  <si>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</si>
  <si>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</si>
  <si>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</si>
  <si>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</si>
  <si>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</si>
  <si>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</si>
  <si>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</si>
  <si>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</si>
  <si>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</si>
  <si>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</si>
  <si>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</si>
  <si>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</si>
  <si>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</si>
  <si>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</si>
  <si>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</si>
  <si>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</si>
  <si>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</si>
  <si>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</si>
  <si>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</si>
  <si>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</si>
  <si>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</si>
  <si>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</si>
  <si>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</si>
  <si>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</si>
  <si>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</si>
  <si>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</si>
  <si>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</si>
  <si>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</si>
  <si>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</si>
  <si>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</si>
  <si>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</si>
  <si>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</si>
  <si>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</si>
  <si>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</si>
  <si>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</si>
  <si>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</si>
  <si>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</si>
  <si>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</si>
  <si>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</si>
  <si>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</si>
  <si>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</si>
  <si>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</si>
  <si>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</si>
  <si>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</si>
  <si>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</si>
  <si>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</si>
  <si>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</si>
  <si>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</si>
  <si>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</si>
  <si>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</si>
  <si>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</si>
  <si>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</si>
  <si>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</si>
  <si>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</si>
  <si>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</si>
  <si>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</si>
  <si>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</si>
  <si>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</si>
  <si>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</si>
  <si>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</si>
  <si>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</si>
  <si>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</si>
  <si>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</si>
  <si>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</si>
  <si>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</si>
  <si>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</si>
  <si>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</si>
  <si>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</si>
  <si>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</si>
  <si>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</si>
  <si>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</si>
  <si>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</si>
  <si>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</si>
  <si>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</si>
  <si>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</si>
  <si>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</si>
  <si>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</si>
  <si>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</si>
  <si>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</si>
  <si>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</si>
  <si>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</si>
  <si>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</si>
  <si>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</si>
  <si>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</si>
  <si>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</si>
  <si>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</si>
  <si>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</si>
  <si>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</si>
  <si>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</si>
  <si>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</si>
  <si>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</si>
  <si>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</si>
  <si>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</si>
  <si>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</si>
  <si>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</si>
  <si>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</si>
  <si>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</si>
  <si>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</si>
  <si>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</si>
  <si>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</si>
  <si>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</si>
  <si>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</si>
  <si>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</si>
  <si>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</si>
  <si>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</si>
  <si>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</si>
  <si>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</si>
  <si>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</si>
  <si>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</si>
  <si>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</si>
  <si>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</si>
  <si>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</si>
  <si>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</si>
  <si>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</si>
  <si>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</si>
  <si>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</si>
  <si>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</si>
  <si>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</si>
  <si>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</si>
  <si>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</si>
  <si>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</si>
  <si>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</si>
  <si>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</si>
  <si>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</si>
  <si>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</si>
  <si>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</si>
  <si>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</si>
  <si>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</si>
  <si>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</si>
  <si>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</si>
  <si>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</si>
  <si>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</si>
  <si>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</si>
  <si>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</si>
  <si>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</si>
  <si>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</si>
  <si>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</si>
  <si>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</si>
  <si>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</si>
  <si>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</si>
  <si>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</si>
  <si>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</si>
  <si>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</si>
  <si>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</si>
  <si>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</si>
  <si>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</si>
  <si>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TOLITOLI,  8 OKTOBER 2025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</si>
  <si>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</si>
  <si>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</si>
  <si>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</si>
  <si>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</si>
  <si>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</si>
  <si>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</si>
  <si>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</si>
  <si>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</si>
  <si>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</si>
  <si>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</si>
  <si>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</si>
  <si>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</si>
  <si>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</si>
  <si>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</si>
  <si>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</si>
  <si>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</si>
  <si>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</si>
  <si>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</si>
  <si>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</si>
  <si>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</si>
  <si>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</si>
  <si>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</si>
  <si>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</si>
  <si>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</si>
  <si>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</si>
  <si>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</si>
  <si>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</si>
  <si>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</si>
  <si>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</si>
  <si>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</si>
  <si>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</si>
  <si>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</si>
  <si>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</si>
  <si>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</si>
  <si>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</si>
  <si>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</si>
  <si>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</si>
  <si>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</si>
  <si>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</si>
  <si>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</si>
  <si>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</si>
  <si>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</si>
  <si>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</si>
  <si>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</si>
  <si>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</si>
  <si>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</si>
  <si>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</si>
  <si>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</si>
  <si>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</si>
  <si>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</si>
  <si>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</si>
  <si>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</si>
  <si>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</si>
  <si>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</si>
  <si>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</si>
  <si>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</si>
  <si>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</si>
  <si>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</si>
  <si>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</si>
  <si>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</si>
  <si>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</si>
  <si>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</si>
  <si>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</si>
  <si>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</si>
  <si>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</si>
  <si>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</si>
  <si>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</si>
  <si>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</si>
  <si>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</si>
  <si>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</si>
  <si>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</si>
  <si>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</si>
  <si>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</si>
  <si>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</si>
  <si>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</si>
  <si>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</si>
  <si>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</si>
  <si>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</si>
  <si>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</si>
  <si>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</si>
  <si>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</si>
  <si>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</si>
  <si>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</si>
  <si>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</si>
  <si>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</si>
  <si>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</si>
  <si>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</si>
  <si>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</si>
  <si>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</si>
  <si>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</si>
  <si>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</si>
  <si>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</si>
  <si>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</si>
  <si>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</si>
  <si>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</si>
  <si>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</si>
  <si>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</si>
  <si>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</si>
  <si>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</si>
  <si>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</si>
  <si>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</si>
  <si>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</si>
  <si>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</si>
  <si>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</si>
  <si>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</si>
  <si>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</si>
  <si>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</si>
  <si>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</si>
  <si>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</si>
  <si>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</si>
  <si>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</si>
  <si>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</si>
  <si>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</si>
  <si>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</si>
  <si>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</si>
  <si>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</si>
  <si>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</si>
  <si>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</si>
  <si>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</si>
  <si>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</si>
  <si>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LEOK</t>
  </si>
  <si>
    <t>UNIT LAYANAN PELANGGAN BANGKIR</t>
  </si>
  <si>
    <t xml:space="preserve"> REALISASI BULANAN TAHUN 2024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</si>
  <si>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</si>
  <si>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</si>
  <si>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</si>
  <si>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</si>
  <si>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</si>
  <si>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</si>
  <si>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</si>
  <si>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</si>
  <si>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</si>
  <si>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</si>
  <si>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</si>
  <si>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</si>
  <si>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</si>
  <si>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</si>
  <si>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</si>
  <si>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</si>
  <si>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</si>
  <si>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</si>
  <si>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</si>
  <si>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</si>
  <si>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</si>
  <si>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</si>
  <si>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</si>
  <si>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</si>
  <si>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</si>
  <si>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</si>
  <si>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</si>
  <si>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</si>
  <si>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</si>
  <si>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</si>
  <si>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</si>
  <si>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</si>
  <si>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</si>
  <si>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</si>
  <si>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</si>
  <si>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</si>
  <si>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</si>
  <si>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</si>
  <si>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</si>
  <si>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</si>
  <si>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</si>
  <si>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</si>
  <si>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</si>
  <si>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</si>
  <si>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</si>
  <si>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</si>
  <si>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</si>
  <si>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</si>
  <si>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</si>
  <si>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</si>
  <si>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</si>
  <si>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</si>
  <si>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</si>
  <si>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</si>
  <si>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</si>
  <si>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</si>
  <si>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</si>
  <si>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</si>
  <si>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</si>
  <si>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</si>
  <si>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</si>
  <si>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</si>
  <si>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</si>
  <si>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</si>
  <si>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</si>
  <si>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</si>
  <si>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</si>
  <si>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</si>
  <si>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</si>
  <si>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</si>
  <si>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</si>
  <si>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</si>
  <si>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UP3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</si>
  <si>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</si>
  <si>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</si>
  <si>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</si>
  <si>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</si>
  <si>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</si>
  <si>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</si>
  <si>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</si>
  <si>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</si>
  <si>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</si>
  <si>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</si>
  <si>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</si>
  <si>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</si>
  <si>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</si>
  <si>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</si>
  <si>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</si>
  <si>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Month</t>
  </si>
  <si>
    <t>INDICATOR</t>
  </si>
  <si>
    <t>PENCAPAIAN NKO 2025</t>
  </si>
  <si>
    <t>GAP KINERJA</t>
  </si>
  <si>
    <t>KHUSUS BAGIAN INI RUMUS HARUS DI INPUT SESUAI SETIAP INDIKATOR</t>
  </si>
  <si>
    <t>KC TOLIS</t>
  </si>
  <si>
    <t>BANGKIR</t>
  </si>
  <si>
    <t>LEOK</t>
  </si>
  <si>
    <t>MOUTONH</t>
  </si>
  <si>
    <t>KOTARAYA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</si>
</sst>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785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66" xfId="0" applyFont="1" applyBorder="1" applyAlignment="1">
      <alignment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3" applyNumberFormat="1" applyFont="1" applyFill="1" applyBorder="1" applyAlignment="1">
      <alignment horizontal="center" vertical="center" wrapText="1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0" fillId="0" borderId="0" xfId="0" applyFont="1" applyAlignment="1">
      <alignment horizontal="left"/>
    </xf>
    <xf numFmtId="0" fontId="185" fillId="0" borderId="0" xfId="0" applyFont="1" applyAlignment="1">
      <alignment horizontal="center" vertical="center"/>
    </xf>
    <xf numFmtId="0" fontId="187" fillId="0" borderId="0" xfId="0" applyFont="1" applyAlignment="1">
      <alignment horizontal="right" vertical="center"/>
    </xf>
    <xf numFmtId="0" fontId="14" fillId="0" borderId="0" xfId="0" applyFont="1" applyBorder="1" applyAlignment="1">
      <alignment horizontal="center" vertical="center"/>
    </xf>
    <xf numFmtId="0" fontId="0" fillId="0" borderId="0" xfId="0" applyBorder="1"/>
    <xf numFmtId="170" fontId="0" fillId="0" borderId="0" xfId="7181" applyFont="1" applyBorder="1"/>
    <xf numFmtId="0" fontId="180" fillId="55" borderId="0" xfId="0" applyFont="1" applyFill="1" applyAlignment="1">
      <alignment horizontal="left" vertical="center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A74D30B-1D6B-44EB-B08C-2341472DC49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A28C961-E29A-4465-BEEC-9E674B8CF71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E937655-3FA8-4054-9956-0C03FB9B858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D054480-091C-4F37-A655-AE5126C55A5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7029BD9-C04C-4FD9-94FB-83EA2B62178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D5BCAF7-792F-4E21-BAC3-A706FCAE4FE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F60EF3A-D574-4F6F-A1AF-7FAC33AAC94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857C6EA-1800-44A6-83F4-9272357FADB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EAD6863-25A0-4477-9721-17EC123A836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1CCAC68-A893-41A7-88E8-547F5FE2F3E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C546669-701F-4D69-950E-DC48404E4CC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1F5B9FB-5644-44A1-9B8A-53A60E39493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A4C2E3B-565A-45CE-853E-6AEC3657DCB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122B129-261B-4540-8F25-42C30DC7CCB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DFA56B1-CD4A-477B-9B61-D77457FFB87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8D15AFD-B52B-4720-823F-214774D945E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87A5F1F-81D2-4F8A-BD3C-27DCD17250E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B0F1954-104B-466F-8264-2F4314F92BB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2DDDFC8-78D9-4BD5-9FED-20127B202E8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A2F4FD6-B8B8-44CC-9B5B-5AE6842EF78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E1B63C5-C03A-4F70-B242-5AED2302F88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598F9F9-586E-4121-9461-D16D5E9D3DE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673805D-5BA9-4953-A5F4-33D78348065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614740C-C3F5-4DD7-9A3C-9E1DA59801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71905D9E-0601-4AE6-9C26-51B6CBA0948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15377280-8B78-43A2-92AE-7952D786D9B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99B3CBEE-385C-4154-A29A-D4C1E9CE30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6448FF7-5476-45A0-AACB-C06C59E19B6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9F21144-7C34-4A8B-B688-A021A87829E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6775FEB0-0D4B-4349-BC19-8ECE410983B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FE6BCF24-5835-44FD-9398-93EB8296E3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6E308ECA-F9D7-457D-85C2-12668D3D784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8D5E3942-ED74-41D5-9FE5-08C536537B1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4CF00113-5888-444C-8879-94F0D5E4B08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4050C60D-6D09-4E5E-AB59-F08ADD798DF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9FE3C50-839E-4651-A129-4FF24484A8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EF5E8131-3F94-4924-8E8B-51D5C497142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98DEFA0F-7DB5-4115-999D-6ED33DB60D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5" t="e">
        <f>"NILAI KINERJA UP3 TOLITOLI S.D "&amp;[0]!A&amp;" 2023"</f>
        <v>#REF!</v>
      </c>
      <c r="C2" s="655"/>
      <c r="D2" s="655"/>
      <c r="E2" s="655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7" t="e">
        <f>"NKO S.D "&amp;[0]!A</f>
        <v>#REF!</v>
      </c>
      <c r="E4" s="657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8">
        <f>VLOOKUP(B5,$G$5:$I$9,3,FALSE)</f>
        <v>105.5</v>
      </c>
      <c r="E5" s="659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8">
        <f>VLOOKUP(B6,$G$5:$I$9,3,FALSE)</f>
        <v>103.42</v>
      </c>
      <c r="E6" s="659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8">
        <f>VLOOKUP(B7,$G$5:$I$9,3,FALSE)</f>
        <v>99.85</v>
      </c>
      <c r="E7" s="659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8">
        <f>VLOOKUP(B8,$G$5:$I$9,3,FALSE)</f>
        <v>99.710000000000008</v>
      </c>
      <c r="E8" s="659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8">
        <f>VLOOKUP(B9,$G$5:$I$9,3,FALSE)</f>
        <v>98.94</v>
      </c>
      <c r="E9" s="659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6">
        <f>'UP3'!J70</f>
        <v>102.5</v>
      </c>
      <c r="E10" s="656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0" t="s">
        <v>47</v>
      </c>
      <c r="C36" s="660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4" t="s">
        <v>72</v>
      </c>
      <c r="C2" s="661" t="s">
        <v>73</v>
      </c>
      <c r="D2" s="662"/>
      <c r="E2" s="662"/>
      <c r="F2" s="662"/>
      <c r="G2" s="662"/>
      <c r="H2" s="662"/>
      <c r="I2" s="662"/>
      <c r="J2" s="662"/>
      <c r="K2" s="662"/>
      <c r="L2" s="662"/>
      <c r="M2" s="662"/>
      <c r="N2" s="663"/>
      <c r="P2" s="256"/>
    </row>
    <row r="3" spans="2:16">
      <c r="B3" s="665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0" t="s">
        <v>8</v>
      </c>
      <c r="B4" s="672" t="s">
        <v>9</v>
      </c>
      <c r="C4" s="673"/>
      <c r="D4" s="670" t="s">
        <v>93</v>
      </c>
      <c r="F4" s="666" t="s">
        <v>94</v>
      </c>
      <c r="G4" s="667"/>
      <c r="H4" s="667"/>
      <c r="I4" s="667"/>
      <c r="J4" s="668"/>
      <c r="L4" s="666" t="s">
        <v>95</v>
      </c>
      <c r="M4" s="667"/>
      <c r="N4" s="667"/>
      <c r="O4" s="667"/>
      <c r="P4" s="668"/>
      <c r="R4" s="666" t="s">
        <v>96</v>
      </c>
      <c r="S4" s="667"/>
      <c r="T4" s="667"/>
      <c r="U4" s="667"/>
      <c r="V4" s="668"/>
      <c r="X4" s="666" t="s">
        <v>97</v>
      </c>
      <c r="Y4" s="667"/>
      <c r="Z4" s="667"/>
      <c r="AA4" s="667"/>
      <c r="AB4" s="668"/>
      <c r="AD4" s="666" t="s">
        <v>98</v>
      </c>
      <c r="AE4" s="667"/>
      <c r="AF4" s="667"/>
      <c r="AG4" s="667"/>
      <c r="AH4" s="668"/>
    </row>
    <row r="5" spans="1:34" ht="19.149999999999999" customHeight="1">
      <c r="A5" s="671"/>
      <c r="B5" s="674"/>
      <c r="C5" s="675"/>
      <c r="D5" s="671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69"/>
      <c r="B45" s="669"/>
      <c r="C45" s="669"/>
      <c r="D45" s="669"/>
      <c r="E45" s="669"/>
      <c r="F45" s="669"/>
      <c r="G45" s="669"/>
      <c r="H45" s="669"/>
      <c r="I45" s="669"/>
      <c r="J45" s="669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4">
      <iconSet iconSet="3ArrowsGray" showValue="0">
        <cfvo type="percent" val="0"/>
        <cfvo type="num" val="2"/>
        <cfvo type="num" val="3"/>
      </iconSet>
    </cfRule>
    <cfRule type="iconSet" priority="2015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2">
      <iconSet iconSet="3ArrowsGray" showValue="0">
        <cfvo type="percent" val="0"/>
        <cfvo type="num" val="2"/>
        <cfvo type="num" val="3"/>
      </iconSet>
    </cfRule>
    <cfRule type="iconSet" priority="2013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49">
      <iconSet iconSet="3ArrowsGray" showValue="0">
        <cfvo type="percent" val="0"/>
        <cfvo type="num" val="2"/>
        <cfvo type="num" val="3"/>
      </iconSet>
    </cfRule>
    <cfRule type="iconSet" priority="650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05">
      <iconSet>
        <cfvo type="percent" val="0"/>
        <cfvo type="num" val="70"/>
        <cfvo type="num" val="90"/>
      </iconSet>
    </cfRule>
    <cfRule type="iconSet" priority="2006">
      <iconSet>
        <cfvo type="percent" val="0"/>
        <cfvo type="num" val="95"/>
        <cfvo type="num" val="100"/>
      </iconSet>
    </cfRule>
    <cfRule type="iconSet" priority="2007">
      <iconSet>
        <cfvo type="percent" val="0"/>
        <cfvo type="num" val="95"/>
        <cfvo type="num" val="100"/>
      </iconSet>
    </cfRule>
    <cfRule type="iconSet" priority="2008">
      <iconSet>
        <cfvo type="percent" val="0"/>
        <cfvo type="num" val="95"/>
        <cfvo type="num" val="100"/>
      </iconSet>
    </cfRule>
    <cfRule type="iconSet" priority="2009">
      <iconSet>
        <cfvo type="percent" val="0"/>
        <cfvo type="num" val="70"/>
        <cfvo type="num" val="90"/>
      </iconSet>
    </cfRule>
    <cfRule type="iconSet" priority="2010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</conditionalFormatting>
  <conditionalFormatting sqref="I9">
    <cfRule type="iconSet" priority="1850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2">
      <iconSet>
        <cfvo type="percent" val="0"/>
        <cfvo type="num" val="70"/>
        <cfvo type="num" val="90"/>
      </iconSet>
    </cfRule>
    <cfRule type="iconSet" priority="1853">
      <iconSet>
        <cfvo type="percent" val="0"/>
        <cfvo type="num" val="95"/>
        <cfvo type="num" val="100"/>
      </iconSet>
    </cfRule>
    <cfRule type="iconSet" priority="1854">
      <iconSet>
        <cfvo type="percent" val="0"/>
        <cfvo type="num" val="95"/>
        <cfvo type="num" val="100"/>
      </iconSet>
    </cfRule>
    <cfRule type="iconSet" priority="1855">
      <iconSet>
        <cfvo type="percent" val="0"/>
        <cfvo type="num" val="95"/>
        <cfvo type="num" val="100"/>
      </iconSet>
    </cfRule>
    <cfRule type="iconSet" priority="1856">
      <iconSet>
        <cfvo type="percent" val="0"/>
        <cfvo type="num" val="70"/>
        <cfvo type="num" val="90"/>
      </iconSet>
    </cfRule>
    <cfRule type="iconSet" priority="1857">
      <iconSet>
        <cfvo type="percent" val="0"/>
        <cfvo type="num" val="70"/>
        <cfvo type="num" val="9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1994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8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  <cfRule type="iconSet" priority="2001">
      <iconSet>
        <cfvo type="percent" val="0"/>
        <cfvo type="num" val="70"/>
        <cfvo type="num" val="90"/>
      </iconSet>
    </cfRule>
    <cfRule type="iconSet" priority="2002">
      <iconSet>
        <cfvo type="percent" val="0"/>
        <cfvo type="num" val="95"/>
        <cfvo type="num" val="100"/>
      </iconSet>
    </cfRule>
  </conditionalFormatting>
  <conditionalFormatting sqref="I12">
    <cfRule type="iconSet" priority="1985">
      <iconSet>
        <cfvo type="percent" val="0"/>
        <cfvo type="num" val="95"/>
        <cfvo type="num" val="100"/>
      </iconSet>
    </cfRule>
    <cfRule type="iconSet" priority="1986">
      <iconSet>
        <cfvo type="percent" val="0"/>
        <cfvo type="num" val="70"/>
        <cfvo type="num" val="90"/>
      </iconSet>
    </cfRule>
    <cfRule type="iconSet" priority="1987">
      <iconSet>
        <cfvo type="percent" val="0"/>
        <cfvo type="num" val="70"/>
        <cfvo type="num" val="90"/>
      </iconSet>
    </cfRule>
    <cfRule type="iconSet" priority="1988">
      <iconSet>
        <cfvo type="percent" val="0"/>
        <cfvo type="num" val="95"/>
        <cfvo type="num" val="100"/>
      </iconSet>
    </cfRule>
    <cfRule type="iconSet" priority="1989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  <cfRule type="iconSet" priority="1991">
      <iconSet>
        <cfvo type="percent" val="0"/>
        <cfvo type="num" val="70"/>
        <cfvo type="num" val="90"/>
      </iconSet>
    </cfRule>
    <cfRule type="iconSet" priority="1992">
      <iconSet>
        <cfvo type="percent" val="0"/>
        <cfvo type="num" val="70"/>
        <cfvo type="num" val="90"/>
      </iconSet>
    </cfRule>
    <cfRule type="iconSet" priority="1993">
      <iconSet>
        <cfvo type="percent" val="0"/>
        <cfvo type="num" val="95"/>
        <cfvo type="num" val="100"/>
      </iconSet>
    </cfRule>
  </conditionalFormatting>
  <conditionalFormatting sqref="I13">
    <cfRule type="iconSet" priority="1976">
      <iconSet>
        <cfvo type="percent" val="0"/>
        <cfvo type="num" val="95"/>
        <cfvo type="num" val="100"/>
      </iconSet>
    </cfRule>
    <cfRule type="iconSet" priority="1977">
      <iconSet>
        <cfvo type="percent" val="0"/>
        <cfvo type="num" val="70"/>
        <cfvo type="num" val="90"/>
      </iconSet>
    </cfRule>
    <cfRule type="iconSet" priority="1978">
      <iconSet>
        <cfvo type="percent" val="0"/>
        <cfvo type="num" val="70"/>
        <cfvo type="num" val="90"/>
      </iconSet>
    </cfRule>
    <cfRule type="iconSet" priority="1979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81">
      <iconSet>
        <cfvo type="percent" val="0"/>
        <cfvo type="num" val="95"/>
        <cfvo type="num" val="100"/>
      </iconSet>
    </cfRule>
    <cfRule type="iconSet" priority="1982">
      <iconSet>
        <cfvo type="percent" val="0"/>
        <cfvo type="num" val="70"/>
        <cfvo type="num" val="90"/>
      </iconSet>
    </cfRule>
    <cfRule type="iconSet" priority="1983">
      <iconSet>
        <cfvo type="percent" val="0"/>
        <cfvo type="num" val="70"/>
        <cfvo type="num" val="90"/>
      </iconSet>
    </cfRule>
    <cfRule type="iconSet" priority="1984">
      <iconSet>
        <cfvo type="percent" val="0"/>
        <cfvo type="num" val="95"/>
        <cfvo type="num" val="100"/>
      </iconSet>
    </cfRule>
  </conditionalFormatting>
  <conditionalFormatting sqref="I14">
    <cfRule type="iconSet" priority="1967">
      <iconSet>
        <cfvo type="percent" val="0"/>
        <cfvo type="num" val="95"/>
        <cfvo type="num" val="100"/>
      </iconSet>
    </cfRule>
    <cfRule type="iconSet" priority="1968">
      <iconSet>
        <cfvo type="percent" val="0"/>
        <cfvo type="num" val="70"/>
        <cfvo type="num" val="90"/>
      </iconSet>
    </cfRule>
    <cfRule type="iconSet" priority="1969">
      <iconSet>
        <cfvo type="percent" val="0"/>
        <cfvo type="num" val="70"/>
        <cfvo type="num" val="90"/>
      </iconSet>
    </cfRule>
    <cfRule type="iconSet" priority="1970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2">
      <iconSet>
        <cfvo type="percent" val="0"/>
        <cfvo type="num" val="95"/>
        <cfvo type="num" val="100"/>
      </iconSet>
    </cfRule>
    <cfRule type="iconSet" priority="1973">
      <iconSet>
        <cfvo type="percent" val="0"/>
        <cfvo type="num" val="70"/>
        <cfvo type="num" val="90"/>
      </iconSet>
    </cfRule>
    <cfRule type="iconSet" priority="1974">
      <iconSet>
        <cfvo type="percent" val="0"/>
        <cfvo type="num" val="70"/>
        <cfvo type="num" val="90"/>
      </iconSet>
    </cfRule>
    <cfRule type="iconSet" priority="1975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5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</conditionalFormatting>
  <conditionalFormatting sqref="I17"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56">
      <iconSet>
        <cfvo type="percent" val="0"/>
        <cfvo type="num" val="70"/>
        <cfvo type="num" val="90"/>
      </iconSet>
    </cfRule>
    <cfRule type="iconSet" priority="1957">
      <iconSet>
        <cfvo type="percent" val="0"/>
        <cfvo type="num" val="95"/>
        <cfvo type="num" val="10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79">
      <iconSet>
        <cfvo type="percent" val="0"/>
        <cfvo type="num" val="95"/>
        <cfvo type="num" val="100"/>
      </iconSet>
    </cfRule>
    <cfRule type="iconSet" priority="2080">
      <iconSet>
        <cfvo type="percent" val="0"/>
        <cfvo type="num" val="70"/>
        <cfvo type="num" val="90"/>
      </iconSet>
    </cfRule>
    <cfRule type="iconSet" priority="2081">
      <iconSet>
        <cfvo type="percent" val="0"/>
        <cfvo type="num" val="70"/>
        <cfvo type="num" val="90"/>
      </iconSet>
    </cfRule>
    <cfRule type="iconSet" priority="2082">
      <iconSet>
        <cfvo type="percent" val="0"/>
        <cfvo type="num" val="95"/>
        <cfvo type="num" val="100"/>
      </iconSet>
    </cfRule>
    <cfRule type="iconSet" priority="2083">
      <iconSet>
        <cfvo type="percent" val="0"/>
        <cfvo type="num" val="95"/>
        <cfvo type="num" val="100"/>
      </iconSet>
    </cfRule>
    <cfRule type="iconSet" priority="2084">
      <iconSet>
        <cfvo type="percent" val="0"/>
        <cfvo type="num" val="70"/>
        <cfvo type="num" val="90"/>
      </iconSet>
    </cfRule>
    <cfRule type="iconSet" priority="2085">
      <iconSet>
        <cfvo type="percent" val="0"/>
        <cfvo type="num" val="70"/>
        <cfvo type="num" val="90"/>
      </iconSet>
    </cfRule>
    <cfRule type="iconSet" priority="2086">
      <iconSet>
        <cfvo type="percent" val="0"/>
        <cfvo type="num" val="95"/>
        <cfvo type="num" val="100"/>
      </iconSet>
    </cfRule>
    <cfRule type="iconSet" priority="2087">
      <iconSet>
        <cfvo type="percent" val="0"/>
        <cfvo type="num" val="95"/>
        <cfvo type="num" val="100"/>
      </iconSet>
    </cfRule>
    <cfRule type="iconSet" priority="2088">
      <iconSet>
        <cfvo type="percent" val="0"/>
        <cfvo type="num" val="70"/>
        <cfvo type="num" val="90"/>
      </iconSet>
    </cfRule>
    <cfRule type="iconSet" priority="2089">
      <iconSet>
        <cfvo type="percent" val="0"/>
        <cfvo type="num" val="70"/>
        <cfvo type="num" val="90"/>
      </iconSet>
    </cfRule>
    <cfRule type="iconSet" priority="2090">
      <iconSet>
        <cfvo type="percent" val="0"/>
        <cfvo type="num" val="95"/>
        <cfvo type="num" val="100"/>
      </iconSet>
    </cfRule>
    <cfRule type="iconSet" priority="2091">
      <iconSet>
        <cfvo type="percent" val="0"/>
        <cfvo type="num" val="95"/>
        <cfvo type="num" val="100"/>
      </iconSet>
    </cfRule>
    <cfRule type="iconSet" priority="2092">
      <iconSet>
        <cfvo type="percent" val="0"/>
        <cfvo type="num" val="70"/>
        <cfvo type="num" val="90"/>
      </iconSet>
    </cfRule>
    <cfRule type="iconSet" priority="2093">
      <iconSet>
        <cfvo type="percent" val="0"/>
        <cfvo type="num" val="70"/>
        <cfvo type="num" val="90"/>
      </iconSet>
    </cfRule>
    <cfRule type="iconSet" priority="2094">
      <iconSet>
        <cfvo type="percent" val="0"/>
        <cfvo type="num" val="95"/>
        <cfvo type="num" val="100"/>
      </iconSet>
    </cfRule>
    <cfRule type="iconSet" priority="2095">
      <iconSet>
        <cfvo type="percent" val="0"/>
        <cfvo type="num" val="95"/>
        <cfvo type="num" val="100"/>
      </iconSet>
    </cfRule>
    <cfRule type="iconSet" priority="2096">
      <iconSet>
        <cfvo type="percent" val="0"/>
        <cfvo type="num" val="70"/>
        <cfvo type="num" val="90"/>
      </iconSet>
    </cfRule>
    <cfRule type="iconSet" priority="2097">
      <iconSet>
        <cfvo type="percent" val="0"/>
        <cfvo type="num" val="70"/>
        <cfvo type="num" val="90"/>
      </iconSet>
    </cfRule>
    <cfRule type="iconSet" priority="2098">
      <iconSet>
        <cfvo type="percent" val="0"/>
        <cfvo type="num" val="95"/>
        <cfvo type="num" val="100"/>
      </iconSet>
    </cfRule>
    <cfRule type="iconSet" priority="2099">
      <iconSet>
        <cfvo type="percent" val="0"/>
        <cfvo type="num" val="95"/>
        <cfvo type="num" val="100"/>
      </iconSet>
    </cfRule>
    <cfRule type="iconSet" priority="2100">
      <iconSet>
        <cfvo type="percent" val="0"/>
        <cfvo type="num" val="70"/>
        <cfvo type="num" val="90"/>
      </iconSet>
    </cfRule>
    <cfRule type="iconSet" priority="2101">
      <iconSet>
        <cfvo type="percent" val="0"/>
        <cfvo type="num" val="70"/>
        <cfvo type="num" val="90"/>
      </iconSet>
    </cfRule>
    <cfRule type="iconSet" priority="2102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104">
      <iconSet>
        <cfvo type="percent" val="0"/>
        <cfvo type="num" val="70"/>
        <cfvo type="num" val="90"/>
      </iconSet>
    </cfRule>
    <cfRule type="iconSet" priority="2105">
      <iconSet>
        <cfvo type="percent" val="0"/>
        <cfvo type="num" val="70"/>
        <cfvo type="num" val="90"/>
      </iconSet>
    </cfRule>
    <cfRule type="iconSet" priority="2106">
      <iconSet>
        <cfvo type="percent" val="0"/>
        <cfvo type="num" val="95"/>
        <cfvo type="num" val="100"/>
      </iconSet>
    </cfRule>
    <cfRule type="iconSet" priority="2107">
      <iconSet>
        <cfvo type="percent" val="0"/>
        <cfvo type="num" val="95"/>
        <cfvo type="num" val="100"/>
      </iconSet>
    </cfRule>
  </conditionalFormatting>
  <conditionalFormatting sqref="I20">
    <cfRule type="iconSet" priority="1931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7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9">
      <iconSet>
        <cfvo type="percent" val="0"/>
        <cfvo type="num" val="95"/>
        <cfvo type="num" val="100"/>
      </iconSet>
    </cfRule>
  </conditionalFormatting>
  <conditionalFormatting sqref="I21">
    <cfRule type="iconSet" priority="1922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5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</conditionalFormatting>
  <conditionalFormatting sqref="I22"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6">
      <iconSet>
        <cfvo type="percent" val="0"/>
        <cfvo type="num" val="95"/>
        <cfvo type="num" val="100"/>
      </iconSet>
    </cfRule>
    <cfRule type="iconSet" priority="1917">
      <iconSet>
        <cfvo type="percent" val="0"/>
        <cfvo type="num" val="95"/>
        <cfvo type="num" val="100"/>
      </iconSet>
    </cfRule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20">
      <iconSet>
        <cfvo type="percent" val="0"/>
        <cfvo type="num" val="70"/>
        <cfvo type="num" val="90"/>
      </iconSet>
    </cfRule>
    <cfRule type="iconSet" priority="1921">
      <iconSet>
        <cfvo type="percent" val="0"/>
        <cfvo type="num" val="95"/>
        <cfvo type="num" val="100"/>
      </iconSet>
    </cfRule>
  </conditionalFormatting>
  <conditionalFormatting sqref="I23"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7">
      <iconSet>
        <cfvo type="percent" val="0"/>
        <cfvo type="num" val="95"/>
        <cfvo type="num" val="100"/>
      </iconSet>
    </cfRule>
    <cfRule type="iconSet" priority="1908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</conditionalFormatting>
  <conditionalFormatting sqref="I24">
    <cfRule type="iconSet" priority="1895">
      <iconSet>
        <cfvo type="percent" val="0"/>
        <cfvo type="num" val="95"/>
        <cfvo type="num" val="100"/>
      </iconSet>
    </cfRule>
    <cfRule type="iconSet" priority="1896">
      <iconSet>
        <cfvo type="percent" val="0"/>
        <cfvo type="num" val="70"/>
        <cfvo type="num" val="90"/>
      </iconSet>
    </cfRule>
    <cfRule type="iconSet" priority="1897">
      <iconSet>
        <cfvo type="percent" val="0"/>
        <cfvo type="num" val="70"/>
        <cfvo type="num" val="90"/>
      </iconSet>
    </cfRule>
    <cfRule type="iconSet" priority="1898">
      <iconSet>
        <cfvo type="percent" val="0"/>
        <cfvo type="num" val="95"/>
        <cfvo type="num" val="100"/>
      </iconSet>
    </cfRule>
    <cfRule type="iconSet" priority="1899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903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86">
      <iconSet>
        <cfvo type="percent" val="0"/>
        <cfvo type="num" val="95"/>
        <cfvo type="num" val="100"/>
      </iconSet>
    </cfRule>
    <cfRule type="iconSet" priority="1887">
      <iconSet>
        <cfvo type="percent" val="0"/>
        <cfvo type="num" val="70"/>
        <cfvo type="num" val="90"/>
      </iconSet>
    </cfRule>
    <cfRule type="iconSet" priority="1888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1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93">
      <iconSet>
        <cfvo type="percent" val="0"/>
        <cfvo type="num" val="70"/>
        <cfvo type="num" val="90"/>
      </iconSet>
    </cfRule>
    <cfRule type="iconSet" priority="1894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7">
      <iconSet>
        <cfvo type="percent" val="0"/>
        <cfvo type="num" val="95"/>
        <cfvo type="num" val="100"/>
      </iconSet>
    </cfRule>
    <cfRule type="iconSet" priority="1878">
      <iconSet>
        <cfvo type="percent" val="0"/>
        <cfvo type="num" val="70"/>
        <cfvo type="num" val="90"/>
      </iconSet>
    </cfRule>
    <cfRule type="iconSet" priority="1879">
      <iconSet>
        <cfvo type="percent" val="0"/>
        <cfvo type="num" val="70"/>
        <cfvo type="num" val="90"/>
      </iconSet>
    </cfRule>
    <cfRule type="iconSet" priority="1880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2">
      <iconSet>
        <cfvo type="percent" val="0"/>
        <cfvo type="num" val="95"/>
        <cfvo type="num" val="100"/>
      </iconSet>
    </cfRule>
    <cfRule type="iconSet" priority="1883">
      <iconSet>
        <cfvo type="percent" val="0"/>
        <cfvo type="num" val="70"/>
        <cfvo type="num" val="90"/>
      </iconSet>
    </cfRule>
    <cfRule type="iconSet" priority="1884">
      <iconSet>
        <cfvo type="percent" val="0"/>
        <cfvo type="num" val="70"/>
        <cfvo type="num" val="90"/>
      </iconSet>
    </cfRule>
    <cfRule type="iconSet" priority="1885">
      <iconSet>
        <cfvo type="percent" val="0"/>
        <cfvo type="num" val="95"/>
        <cfvo type="num" val="10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</conditionalFormatting>
  <conditionalFormatting sqref="I37">
    <cfRule type="iconSet" priority="2137">
      <iconSet>
        <cfvo type="percent" val="0"/>
        <cfvo type="num" val="95"/>
        <cfvo type="num" val="100"/>
      </iconSet>
    </cfRule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</conditionalFormatting>
  <conditionalFormatting sqref="I37:I38"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08">
      <iconSet>
        <cfvo type="percent" val="0"/>
        <cfvo type="num" val="95"/>
        <cfvo type="num" val="100"/>
      </iconSet>
    </cfRule>
    <cfRule type="iconSet" priority="2109">
      <iconSet>
        <cfvo type="percent" val="0"/>
        <cfvo type="num" val="70"/>
        <cfvo type="num" val="90"/>
      </iconSet>
    </cfRule>
    <cfRule type="iconSet" priority="2110">
      <iconSet>
        <cfvo type="percent" val="0"/>
        <cfvo type="num" val="70"/>
        <cfvo type="num" val="90"/>
      </iconSet>
    </cfRule>
    <cfRule type="iconSet" priority="2111">
      <iconSet>
        <cfvo type="percent" val="0"/>
        <cfvo type="num" val="95"/>
        <cfvo type="num" val="100"/>
      </iconSet>
    </cfRule>
    <cfRule type="iconSet" priority="2113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15">
      <iconSet>
        <cfvo type="percent" val="0"/>
        <cfvo type="num" val="70"/>
        <cfvo type="num" val="90"/>
      </iconSet>
    </cfRule>
    <cfRule type="iconSet" priority="2116">
      <iconSet>
        <cfvo type="percent" val="0"/>
        <cfvo type="num" val="95"/>
        <cfvo type="num" val="100"/>
      </iconSet>
    </cfRule>
    <cfRule type="iconSet" priority="2117">
      <iconSet>
        <cfvo type="percent" val="0"/>
        <cfvo type="num" val="95"/>
        <cfvo type="num" val="100"/>
      </iconSet>
    </cfRule>
    <cfRule type="iconSet" priority="2118">
      <iconSet>
        <cfvo type="percent" val="0"/>
        <cfvo type="num" val="70"/>
        <cfvo type="num" val="90"/>
      </iconSet>
    </cfRule>
    <cfRule type="iconSet" priority="2119">
      <iconSet>
        <cfvo type="percent" val="0"/>
        <cfvo type="num" val="70"/>
        <cfvo type="num" val="90"/>
      </iconSet>
    </cfRule>
    <cfRule type="iconSet" priority="2120">
      <iconSet>
        <cfvo type="percent" val="0"/>
        <cfvo type="num" val="95"/>
        <cfvo type="num" val="100"/>
      </iconSet>
    </cfRule>
    <cfRule type="iconSet" priority="2121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23">
      <iconSet>
        <cfvo type="percent" val="0"/>
        <cfvo type="num" val="70"/>
        <cfvo type="num" val="90"/>
      </iconSet>
    </cfRule>
    <cfRule type="iconSet" priority="2124">
      <iconSet>
        <cfvo type="percent" val="0"/>
        <cfvo type="num" val="95"/>
        <cfvo type="num" val="100"/>
      </iconSet>
    </cfRule>
    <cfRule type="iconSet" priority="2133">
      <iconSet>
        <cfvo type="percent" val="0"/>
        <cfvo type="num" val="95"/>
        <cfvo type="num" val="100"/>
      </iconSet>
    </cfRule>
    <cfRule type="iconSet" priority="213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</conditionalFormatting>
  <conditionalFormatting sqref="I39">
    <cfRule type="iconSet" priority="2050">
      <iconSet>
        <cfvo type="percent" val="0"/>
        <cfvo type="num" val="95"/>
        <cfvo type="num" val="100"/>
      </iconSet>
    </cfRule>
    <cfRule type="iconSet" priority="2051">
      <iconSet>
        <cfvo type="percent" val="0"/>
        <cfvo type="num" val="70"/>
        <cfvo type="num" val="90"/>
      </iconSet>
    </cfRule>
    <cfRule type="iconSet" priority="2052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4">
      <iconSet>
        <cfvo type="percent" val="0"/>
        <cfvo type="num" val="95"/>
        <cfvo type="num" val="100"/>
      </iconSet>
    </cfRule>
    <cfRule type="iconSet" priority="2055">
      <iconSet>
        <cfvo type="percent" val="0"/>
        <cfvo type="num" val="70"/>
        <cfvo type="num" val="90"/>
      </iconSet>
    </cfRule>
    <cfRule type="iconSet" priority="2056">
      <iconSet>
        <cfvo type="percent" val="0"/>
        <cfvo type="num" val="70"/>
        <cfvo type="num" val="9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60">
      <iconSet>
        <cfvo type="percent" val="0"/>
        <cfvo type="num" val="70"/>
        <cfvo type="num" val="90"/>
      </iconSet>
    </cfRule>
    <cfRule type="iconSet" priority="2061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70">
      <iconSet>
        <cfvo type="percent" val="0"/>
        <cfvo type="num" val="95"/>
        <cfvo type="num" val="100"/>
      </iconSet>
    </cfRule>
    <cfRule type="iconSet" priority="2071">
      <iconSet>
        <cfvo type="percent" val="0"/>
        <cfvo type="num" val="70"/>
        <cfvo type="num" val="90"/>
      </iconSet>
    </cfRule>
    <cfRule type="iconSet" priority="2072">
      <iconSet>
        <cfvo type="percent" val="0"/>
        <cfvo type="num" val="70"/>
        <cfvo type="num" val="90"/>
      </iconSet>
    </cfRule>
    <cfRule type="iconSet" priority="2073">
      <iconSet>
        <cfvo type="percent" val="0"/>
        <cfvo type="num" val="95"/>
        <cfvo type="num" val="100"/>
      </iconSet>
    </cfRule>
    <cfRule type="iconSet" priority="2074">
      <iconSet>
        <cfvo type="percent" val="0"/>
        <cfvo type="num" val="95"/>
        <cfvo type="num" val="100"/>
      </iconSet>
    </cfRule>
    <cfRule type="iconSet" priority="2075">
      <iconSet>
        <cfvo type="percent" val="0"/>
        <cfvo type="num" val="70"/>
        <cfvo type="num" val="90"/>
      </iconSet>
    </cfRule>
    <cfRule type="iconSet" priority="2076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142">
      <iconSet>
        <cfvo type="percent" val="0"/>
        <cfvo type="num" val="95"/>
        <cfvo type="num" val="100"/>
      </iconSet>
    </cfRule>
  </conditionalFormatting>
  <conditionalFormatting sqref="I40"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</conditionalFormatting>
  <conditionalFormatting sqref="O9"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8">
      <iconSet>
        <cfvo type="percent" val="0"/>
        <cfvo type="num" val="95"/>
        <cfvo type="num" val="100"/>
      </iconSet>
    </cfRule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</conditionalFormatting>
  <conditionalFormatting sqref="O12">
    <cfRule type="iconSet" priority="1109">
      <iconSet>
        <cfvo type="percent" val="0"/>
        <cfvo type="num" val="95"/>
        <cfvo type="num" val="100"/>
      </iconSet>
    </cfRule>
    <cfRule type="iconSet" priority="1110">
      <iconSet>
        <cfvo type="percent" val="0"/>
        <cfvo type="num" val="70"/>
        <cfvo type="num" val="90"/>
      </iconSet>
    </cfRule>
    <cfRule type="iconSet" priority="1111">
      <iconSet>
        <cfvo type="percent" val="0"/>
        <cfvo type="num" val="70"/>
        <cfvo type="num" val="90"/>
      </iconSet>
    </cfRule>
    <cfRule type="iconSet" priority="1112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</conditionalFormatting>
  <conditionalFormatting sqref="O13">
    <cfRule type="iconSet" priority="1100">
      <iconSet>
        <cfvo type="percent" val="0"/>
        <cfvo type="num" val="95"/>
        <cfvo type="num" val="100"/>
      </iconSet>
    </cfRule>
    <cfRule type="iconSet" priority="1101">
      <iconSet>
        <cfvo type="percent" val="0"/>
        <cfvo type="num" val="70"/>
        <cfvo type="num" val="90"/>
      </iconSet>
    </cfRule>
    <cfRule type="iconSet" priority="1102">
      <iconSet>
        <cfvo type="percent" val="0"/>
        <cfvo type="num" val="70"/>
        <cfvo type="num" val="9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  <cfRule type="iconSet" priority="1105">
      <iconSet>
        <cfvo type="percent" val="0"/>
        <cfvo type="num" val="95"/>
        <cfvo type="num" val="100"/>
      </iconSet>
    </cfRule>
    <cfRule type="iconSet" priority="1106">
      <iconSet>
        <cfvo type="percent" val="0"/>
        <cfvo type="num" val="70"/>
        <cfvo type="num" val="90"/>
      </iconSet>
    </cfRule>
    <cfRule type="iconSet" priority="1107">
      <iconSet>
        <cfvo type="percent" val="0"/>
        <cfvo type="num" val="70"/>
        <cfvo type="num" val="90"/>
      </iconSet>
    </cfRule>
    <cfRule type="iconSet" priority="1108">
      <iconSet>
        <cfvo type="percent" val="0"/>
        <cfvo type="num" val="95"/>
        <cfvo type="num" val="100"/>
      </iconSet>
    </cfRule>
  </conditionalFormatting>
  <conditionalFormatting sqref="O14">
    <cfRule type="iconSet" priority="1091">
      <iconSet>
        <cfvo type="percent" val="0"/>
        <cfvo type="num" val="95"/>
        <cfvo type="num" val="100"/>
      </iconSet>
    </cfRule>
    <cfRule type="iconSet" priority="1092">
      <iconSet>
        <cfvo type="percent" val="0"/>
        <cfvo type="num" val="70"/>
        <cfvo type="num" val="90"/>
      </iconSet>
    </cfRule>
    <cfRule type="iconSet" priority="1093">
      <iconSet>
        <cfvo type="percent" val="0"/>
        <cfvo type="num" val="70"/>
        <cfvo type="num" val="90"/>
      </iconSet>
    </cfRule>
    <cfRule type="iconSet" priority="1094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6">
      <iconSet>
        <cfvo type="percent" val="0"/>
        <cfvo type="num" val="95"/>
        <cfvo type="num" val="100"/>
      </iconSet>
    </cfRule>
    <cfRule type="iconSet" priority="1097">
      <iconSet>
        <cfvo type="percent" val="0"/>
        <cfvo type="num" val="70"/>
        <cfvo type="num" val="90"/>
      </iconSet>
    </cfRule>
    <cfRule type="iconSet" priority="1098">
      <iconSet>
        <cfvo type="percent" val="0"/>
        <cfvo type="num" val="70"/>
        <cfvo type="num" val="90"/>
      </iconSet>
    </cfRule>
    <cfRule type="iconSet" priority="1099">
      <iconSet>
        <cfvo type="percent" val="0"/>
        <cfvo type="num" val="95"/>
        <cfvo type="num" val="100"/>
      </iconSet>
    </cfRule>
  </conditionalFormatting>
  <conditionalFormatting sqref="O16">
    <cfRule type="iconSet" priority="1082">
      <iconSet>
        <cfvo type="percent" val="0"/>
        <cfvo type="num" val="95"/>
        <cfvo type="num" val="100"/>
      </iconSet>
    </cfRule>
    <cfRule type="iconSet" priority="1083">
      <iconSet>
        <cfvo type="percent" val="0"/>
        <cfvo type="num" val="70"/>
        <cfvo type="num" val="90"/>
      </iconSet>
    </cfRule>
    <cfRule type="iconSet" priority="1084">
      <iconSet>
        <cfvo type="percent" val="0"/>
        <cfvo type="num" val="70"/>
        <cfvo type="num" val="90"/>
      </iconSet>
    </cfRule>
    <cfRule type="iconSet" priority="1085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7">
      <iconSet>
        <cfvo type="percent" val="0"/>
        <cfvo type="num" val="95"/>
        <cfvo type="num" val="100"/>
      </iconSet>
    </cfRule>
    <cfRule type="iconSet" priority="1088">
      <iconSet>
        <cfvo type="percent" val="0"/>
        <cfvo type="num" val="70"/>
        <cfvo type="num" val="90"/>
      </iconSet>
    </cfRule>
    <cfRule type="iconSet" priority="1089">
      <iconSet>
        <cfvo type="percent" val="0"/>
        <cfvo type="num" val="70"/>
        <cfvo type="num" val="90"/>
      </iconSet>
    </cfRule>
    <cfRule type="iconSet" priority="1090">
      <iconSet>
        <cfvo type="percent" val="0"/>
        <cfvo type="num" val="95"/>
        <cfvo type="num" val="100"/>
      </iconSet>
    </cfRule>
  </conditionalFormatting>
  <conditionalFormatting sqref="O17">
    <cfRule type="iconSet" priority="1073">
      <iconSet>
        <cfvo type="percent" val="0"/>
        <cfvo type="num" val="95"/>
        <cfvo type="num" val="100"/>
      </iconSet>
    </cfRule>
    <cfRule type="iconSet" priority="1074">
      <iconSet>
        <cfvo type="percent" val="0"/>
        <cfvo type="num" val="70"/>
        <cfvo type="num" val="90"/>
      </iconSet>
    </cfRule>
    <cfRule type="iconSet" priority="1075">
      <iconSet>
        <cfvo type="percent" val="0"/>
        <cfvo type="num" val="70"/>
        <cfvo type="num" val="90"/>
      </iconSet>
    </cfRule>
    <cfRule type="iconSet" priority="1076">
      <iconSet>
        <cfvo type="percent" val="0"/>
        <cfvo type="num" val="95"/>
        <cfvo type="num" val="100"/>
      </iconSet>
    </cfRule>
    <cfRule type="iconSet" priority="1077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  <cfRule type="iconSet" priority="1079">
      <iconSet>
        <cfvo type="percent" val="0"/>
        <cfvo type="num" val="70"/>
        <cfvo type="num" val="90"/>
      </iconSet>
    </cfRule>
    <cfRule type="iconSet" priority="1080">
      <iconSet>
        <cfvo type="percent" val="0"/>
        <cfvo type="num" val="70"/>
        <cfvo type="num" val="90"/>
      </iconSet>
    </cfRule>
    <cfRule type="iconSet" priority="1081">
      <iconSet>
        <cfvo type="percent" val="0"/>
        <cfvo type="num" val="95"/>
        <cfvo type="num" val="100"/>
      </iconSet>
    </cfRule>
  </conditionalFormatting>
  <conditionalFormatting sqref="O18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70">
      <iconSet>
        <cfvo type="percent" val="0"/>
        <cfvo type="num" val="70"/>
        <cfvo type="num" val="90"/>
      </iconSet>
    </cfRule>
    <cfRule type="iconSet" priority="1071">
      <iconSet>
        <cfvo type="percent" val="0"/>
        <cfvo type="num" val="70"/>
        <cfvo type="num" val="90"/>
      </iconSet>
    </cfRule>
    <cfRule type="iconSet" priority="1072">
      <iconSet>
        <cfvo type="percent" val="0"/>
        <cfvo type="num" val="95"/>
        <cfvo type="num" val="100"/>
      </iconSet>
    </cfRule>
  </conditionalFormatting>
  <conditionalFormatting sqref="O19"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1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</conditionalFormatting>
  <conditionalFormatting sqref="O20"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95"/>
        <cfvo type="num" val="10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43">
      <iconSet>
        <cfvo type="percent" val="0"/>
        <cfvo type="num" val="70"/>
        <cfvo type="num" val="90"/>
      </iconSet>
    </cfRule>
    <cfRule type="iconSet" priority="1044">
      <iconSet>
        <cfvo type="percent" val="0"/>
        <cfvo type="num" val="70"/>
        <cfvo type="num" val="90"/>
      </iconSet>
    </cfRule>
    <cfRule type="iconSet" priority="1045">
      <iconSet>
        <cfvo type="percent" val="0"/>
        <cfvo type="num" val="95"/>
        <cfvo type="num" val="100"/>
      </iconSet>
    </cfRule>
  </conditionalFormatting>
  <conditionalFormatting sqref="O23">
    <cfRule type="iconSet" priority="1028">
      <iconSet>
        <cfvo type="percent" val="0"/>
        <cfvo type="num" val="95"/>
        <cfvo type="num" val="100"/>
      </iconSet>
    </cfRule>
    <cfRule type="iconSet" priority="1029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31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3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70"/>
        <cfvo type="num" val="9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0">
      <iconSet>
        <cfvo type="percent" val="0"/>
        <cfvo type="num" val="70"/>
        <cfvo type="num" val="90"/>
      </iconSet>
    </cfRule>
    <cfRule type="iconSet" priority="1021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  <cfRule type="iconSet" priority="1024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6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0">
      <iconSet>
        <cfvo type="percent" val="0"/>
        <cfvo type="num" val="95"/>
        <cfvo type="num" val="100"/>
      </iconSet>
    </cfRule>
    <cfRule type="iconSet" priority="1011">
      <iconSet>
        <cfvo type="percent" val="0"/>
        <cfvo type="num" val="70"/>
        <cfvo type="num" val="90"/>
      </iconSet>
    </cfRule>
    <cfRule type="iconSet" priority="1012">
      <iconSet>
        <cfvo type="percent" val="0"/>
        <cfvo type="num" val="70"/>
        <cfvo type="num" val="90"/>
      </iconSet>
    </cfRule>
    <cfRule type="iconSet" priority="1013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1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8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</conditionalFormatting>
  <conditionalFormatting sqref="O31:O33">
    <cfRule type="iconSet" priority="992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6">
      <iconSet>
        <cfvo type="percent" val="0"/>
        <cfvo type="num" val="95"/>
        <cfvo type="num" val="100"/>
      </iconSet>
    </cfRule>
    <cfRule type="iconSet" priority="997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1000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70"/>
        <cfvo type="num" val="90"/>
      </iconSet>
    </cfRule>
    <cfRule type="iconSet" priority="986">
      <iconSet>
        <cfvo type="percent" val="0"/>
        <cfvo type="num" val="95"/>
        <cfvo type="num" val="10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9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7">
      <iconSet>
        <cfvo type="percent" val="0"/>
        <cfvo type="num" val="95"/>
        <cfvo type="num" val="100"/>
      </iconSet>
    </cfRule>
    <cfRule type="iconSet" priority="1258">
      <iconSet>
        <cfvo type="percent" val="0"/>
        <cfvo type="num" val="70"/>
        <cfvo type="num" val="90"/>
      </iconSet>
    </cfRule>
    <cfRule type="iconSet" priority="1259">
      <iconSet>
        <cfvo type="percent" val="0"/>
        <cfvo type="num" val="70"/>
        <cfvo type="num" val="90"/>
      </iconSet>
    </cfRule>
    <cfRule type="iconSet" priority="1260">
      <iconSet>
        <cfvo type="percent" val="0"/>
        <cfvo type="num" val="95"/>
        <cfvo type="num" val="100"/>
      </iconSet>
    </cfRule>
  </conditionalFormatting>
  <conditionalFormatting sqref="O37:O38">
    <cfRule type="iconSet" priority="1245">
      <iconSet>
        <cfvo type="percent" val="0"/>
        <cfvo type="num" val="95"/>
        <cfvo type="num" val="100"/>
      </iconSet>
    </cfRule>
    <cfRule type="iconSet" priority="1246">
      <iconSet>
        <cfvo type="percent" val="0"/>
        <cfvo type="num" val="70"/>
        <cfvo type="num" val="90"/>
      </iconSet>
    </cfRule>
    <cfRule type="iconSet" priority="1247">
      <iconSet>
        <cfvo type="percent" val="0"/>
        <cfvo type="num" val="70"/>
        <cfvo type="num" val="90"/>
      </iconSet>
    </cfRule>
    <cfRule type="iconSet" priority="1248">
      <iconSet>
        <cfvo type="percent" val="0"/>
        <cfvo type="num" val="95"/>
        <cfvo type="num" val="100"/>
      </iconSet>
    </cfRule>
    <cfRule type="iconSet" priority="1249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51">
      <iconSet>
        <cfvo type="percent" val="0"/>
        <cfvo type="num" val="70"/>
        <cfvo type="num" val="90"/>
      </iconSet>
    </cfRule>
    <cfRule type="iconSet" priority="1252">
      <iconSet>
        <cfvo type="percent" val="0"/>
        <cfvo type="num" val="95"/>
        <cfvo type="num" val="10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228">
      <iconSet>
        <cfvo type="percent" val="0"/>
        <cfvo type="num" val="95"/>
        <cfvo type="num" val="100"/>
      </iconSet>
    </cfRule>
    <cfRule type="iconSet" priority="1229">
      <iconSet>
        <cfvo type="percent" val="0"/>
        <cfvo type="num" val="70"/>
        <cfvo type="num" val="90"/>
      </iconSet>
    </cfRule>
    <cfRule type="iconSet" priority="1230">
      <iconSet>
        <cfvo type="percent" val="0"/>
        <cfvo type="num" val="70"/>
        <cfvo type="num" val="90"/>
      </iconSet>
    </cfRule>
    <cfRule type="iconSet" priority="1231">
      <iconSet>
        <cfvo type="percent" val="0"/>
        <cfvo type="num" val="95"/>
        <cfvo type="num" val="100"/>
      </iconSet>
    </cfRule>
    <cfRule type="iconSet" priority="1233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  <cfRule type="iconSet" priority="1237">
      <iconSet>
        <cfvo type="percent" val="0"/>
        <cfvo type="num" val="95"/>
        <cfvo type="num" val="100"/>
      </iconSet>
    </cfRule>
    <cfRule type="iconSet" priority="1238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40">
      <iconSet>
        <cfvo type="percent" val="0"/>
        <cfvo type="num" val="95"/>
        <cfvo type="num" val="100"/>
      </iconSet>
    </cfRule>
    <cfRule type="iconSet" priority="1241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43">
      <iconSet>
        <cfvo type="percent" val="0"/>
        <cfvo type="num" val="70"/>
        <cfvo type="num" val="90"/>
      </iconSet>
    </cfRule>
    <cfRule type="iconSet" priority="1244">
      <iconSet>
        <cfvo type="percent" val="0"/>
        <cfvo type="num" val="95"/>
        <cfvo type="num" val="100"/>
      </iconSet>
    </cfRule>
    <cfRule type="iconSet" priority="1253">
      <iconSet>
        <cfvo type="percent" val="0"/>
        <cfvo type="num" val="95"/>
        <cfvo type="num" val="100"/>
      </iconSet>
    </cfRule>
    <cfRule type="iconSet" priority="1254">
      <iconSet>
        <cfvo type="percent" val="0"/>
        <cfvo type="num" val="70"/>
        <cfvo type="num" val="90"/>
      </iconSet>
    </cfRule>
    <cfRule type="iconSet" priority="1255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</conditionalFormatting>
  <conditionalFormatting sqref="O39"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5">
      <iconSet>
        <cfvo type="percent" val="0"/>
        <cfvo type="num" val="95"/>
        <cfvo type="num" val="10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3">
      <iconSet>
        <cfvo type="percent" val="0"/>
        <cfvo type="num" val="95"/>
        <cfvo type="num" val="100"/>
      </iconSet>
    </cfRule>
    <cfRule type="iconSet" priority="1194">
      <iconSet>
        <cfvo type="percent" val="0"/>
        <cfvo type="num" val="95"/>
        <cfvo type="num" val="100"/>
      </iconSet>
    </cfRule>
    <cfRule type="iconSet" priority="1195">
      <iconSet>
        <cfvo type="percent" val="0"/>
        <cfvo type="num" val="70"/>
        <cfvo type="num" val="9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</conditionalFormatting>
  <conditionalFormatting sqref="O40"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7">
      <iconSet>
        <cfvo type="percent" val="0"/>
        <cfvo type="num" val="70"/>
        <cfvo type="num" val="90"/>
      </iconSet>
    </cfRule>
    <cfRule type="iconSet" priority="838">
      <iconSet>
        <cfvo type="percent" val="0"/>
        <cfvo type="num" val="95"/>
        <cfvo type="num" val="100"/>
      </iconSet>
    </cfRule>
    <cfRule type="iconSet" priority="839">
      <iconSet>
        <cfvo type="percent" val="0"/>
        <cfvo type="num" val="95"/>
        <cfvo type="num" val="100"/>
      </iconSet>
    </cfRule>
    <cfRule type="iconSet" priority="840">
      <iconSet>
        <cfvo type="percent" val="0"/>
        <cfvo type="num" val="95"/>
        <cfvo type="num" val="100"/>
      </iconSet>
    </cfRule>
    <cfRule type="iconSet" priority="841">
      <iconSet>
        <cfvo type="percent" val="0"/>
        <cfvo type="num" val="70"/>
        <cfvo type="num" val="90"/>
      </iconSet>
    </cfRule>
    <cfRule type="iconSet" priority="842">
      <iconSet>
        <cfvo type="percent" val="0"/>
        <cfvo type="num" val="70"/>
        <cfvo type="num" val="90"/>
      </iconSet>
    </cfRule>
    <cfRule type="iconSet" priority="843">
      <iconSet>
        <cfvo type="percent" val="0"/>
        <cfvo type="num" val="95"/>
        <cfvo type="num" val="100"/>
      </iconSet>
    </cfRule>
  </conditionalFormatting>
  <conditionalFormatting sqref="U9"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</conditionalFormatting>
  <conditionalFormatting sqref="U10">
    <cfRule type="iconSet" priority="826">
      <iconSet>
        <cfvo type="percent" val="0"/>
        <cfvo type="num" val="95"/>
        <cfvo type="num" val="100"/>
      </iconSet>
    </cfRule>
    <cfRule type="iconSet" priority="827">
      <iconSet>
        <cfvo type="percent" val="0"/>
        <cfvo type="num" val="70"/>
        <cfvo type="num" val="90"/>
      </iconSet>
    </cfRule>
    <cfRule type="iconSet" priority="828">
      <iconSet>
        <cfvo type="percent" val="0"/>
        <cfvo type="num" val="70"/>
        <cfvo type="num" val="90"/>
      </iconSet>
    </cfRule>
    <cfRule type="iconSet" priority="829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  <cfRule type="iconSet" priority="831">
      <iconSet>
        <cfvo type="percent" val="0"/>
        <cfvo type="num" val="95"/>
        <cfvo type="num" val="100"/>
      </iconSet>
    </cfRule>
    <cfRule type="iconSet" priority="832">
      <iconSet>
        <cfvo type="percent" val="0"/>
        <cfvo type="num" val="70"/>
        <cfvo type="num" val="9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95"/>
        <cfvo type="num" val="100"/>
      </iconSet>
    </cfRule>
  </conditionalFormatting>
  <conditionalFormatting sqref="U12"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24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</conditionalFormatting>
  <conditionalFormatting sqref="U13"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</conditionalFormatting>
  <conditionalFormatting sqref="U14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70"/>
        <cfvo type="num" val="90"/>
      </iconSet>
    </cfRule>
    <cfRule type="iconSet" priority="801">
      <iconSet>
        <cfvo type="percent" val="0"/>
        <cfvo type="num" val="70"/>
        <cfvo type="num" val="90"/>
      </iconSet>
    </cfRule>
    <cfRule type="iconSet" priority="802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4">
      <iconSet>
        <cfvo type="percent" val="0"/>
        <cfvo type="num" val="95"/>
        <cfvo type="num" val="100"/>
      </iconSet>
    </cfRule>
    <cfRule type="iconSet" priority="805">
      <iconSet>
        <cfvo type="percent" val="0"/>
        <cfvo type="num" val="70"/>
        <cfvo type="num" val="9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95"/>
        <cfvo type="num" val="100"/>
      </iconSet>
    </cfRule>
  </conditionalFormatting>
  <conditionalFormatting sqref="U16">
    <cfRule type="iconSet" priority="790">
      <iconSet>
        <cfvo type="percent" val="0"/>
        <cfvo type="num" val="95"/>
        <cfvo type="num" val="100"/>
      </iconSet>
    </cfRule>
    <cfRule type="iconSet" priority="791">
      <iconSet>
        <cfvo type="percent" val="0"/>
        <cfvo type="num" val="70"/>
        <cfvo type="num" val="90"/>
      </iconSet>
    </cfRule>
    <cfRule type="iconSet" priority="792">
      <iconSet>
        <cfvo type="percent" val="0"/>
        <cfvo type="num" val="70"/>
        <cfvo type="num" val="90"/>
      </iconSet>
    </cfRule>
    <cfRule type="iconSet" priority="793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5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95"/>
        <cfvo type="num" val="100"/>
      </iconSet>
    </cfRule>
  </conditionalFormatting>
  <conditionalFormatting sqref="U17">
    <cfRule type="iconSet" priority="781">
      <iconSet>
        <cfvo type="percent" val="0"/>
        <cfvo type="num" val="95"/>
        <cfvo type="num" val="100"/>
      </iconSet>
    </cfRule>
    <cfRule type="iconSet" priority="782">
      <iconSet>
        <cfvo type="percent" val="0"/>
        <cfvo type="num" val="70"/>
        <cfvo type="num" val="90"/>
      </iconSet>
    </cfRule>
    <cfRule type="iconSet" priority="783">
      <iconSet>
        <cfvo type="percent" val="0"/>
        <cfvo type="num" val="70"/>
        <cfvo type="num" val="90"/>
      </iconSet>
    </cfRule>
    <cfRule type="iconSet" priority="784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6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</conditionalFormatting>
  <conditionalFormatting sqref="U1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U19">
    <cfRule type="iconSet" priority="907">
      <iconSet>
        <cfvo type="percent" val="0"/>
        <cfvo type="num" val="95"/>
        <cfvo type="num" val="100"/>
      </iconSet>
    </cfRule>
    <cfRule type="iconSet" priority="908">
      <iconSet>
        <cfvo type="percent" val="0"/>
        <cfvo type="num" val="70"/>
        <cfvo type="num" val="90"/>
      </iconSet>
    </cfRule>
    <cfRule type="iconSet" priority="909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</conditionalFormatting>
  <conditionalFormatting sqref="U20">
    <cfRule type="iconSet" priority="763">
      <iconSet>
        <cfvo type="percent" val="0"/>
        <cfvo type="num" val="95"/>
        <cfvo type="num" val="100"/>
      </iconSet>
    </cfRule>
    <cfRule type="iconSet" priority="764">
      <iconSet>
        <cfvo type="percent" val="0"/>
        <cfvo type="num" val="70"/>
        <cfvo type="num" val="90"/>
      </iconSet>
    </cfRule>
    <cfRule type="iconSet" priority="765">
      <iconSet>
        <cfvo type="percent" val="0"/>
        <cfvo type="num" val="70"/>
        <cfvo type="num" val="90"/>
      </iconSet>
    </cfRule>
    <cfRule type="iconSet" priority="766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8">
      <iconSet>
        <cfvo type="percent" val="0"/>
        <cfvo type="num" val="95"/>
        <cfvo type="num" val="100"/>
      </iconSet>
    </cfRule>
    <cfRule type="iconSet" priority="769">
      <iconSet>
        <cfvo type="percent" val="0"/>
        <cfvo type="num" val="70"/>
        <cfvo type="num" val="90"/>
      </iconSet>
    </cfRule>
    <cfRule type="iconSet" priority="770">
      <iconSet>
        <cfvo type="percent" val="0"/>
        <cfvo type="num" val="70"/>
        <cfvo type="num" val="90"/>
      </iconSet>
    </cfRule>
    <cfRule type="iconSet" priority="771">
      <iconSet>
        <cfvo type="percent" val="0"/>
        <cfvo type="num" val="95"/>
        <cfvo type="num" val="100"/>
      </iconSet>
    </cfRule>
  </conditionalFormatting>
  <conditionalFormatting sqref="U21">
    <cfRule type="iconSet" priority="754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70"/>
        <cfvo type="num" val="90"/>
      </iconSet>
    </cfRule>
    <cfRule type="iconSet" priority="757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9">
      <iconSet>
        <cfvo type="percent" val="0"/>
        <cfvo type="num" val="95"/>
        <cfvo type="num" val="100"/>
      </iconSet>
    </cfRule>
    <cfRule type="iconSet" priority="760">
      <iconSet>
        <cfvo type="percent" val="0"/>
        <cfvo type="num" val="70"/>
        <cfvo type="num" val="90"/>
      </iconSet>
    </cfRule>
    <cfRule type="iconSet" priority="761">
      <iconSet>
        <cfvo type="percent" val="0"/>
        <cfvo type="num" val="70"/>
        <cfvo type="num" val="9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51">
      <iconSet>
        <cfvo type="percent" val="0"/>
        <cfvo type="num" val="70"/>
        <cfvo type="num" val="9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</conditionalFormatting>
  <conditionalFormatting sqref="U23">
    <cfRule type="iconSet" priority="736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95"/>
        <cfvo type="num" val="10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</conditionalFormatting>
  <conditionalFormatting sqref="U24"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26">
      <iconSet>
        <cfvo type="percent" val="0"/>
        <cfvo type="num" val="95"/>
        <cfvo type="num" val="10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2">
      <iconSet>
        <cfvo type="percent" val="0"/>
        <cfvo type="num" val="95"/>
        <cfvo type="num" val="10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</conditionalFormatting>
  <conditionalFormatting sqref="U31:U33">
    <cfRule type="iconSet" priority="700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</conditionalFormatting>
  <conditionalFormatting sqref="U37">
    <cfRule type="iconSet" priority="965">
      <iconSet>
        <cfvo type="percent" val="0"/>
        <cfvo type="num" val="95"/>
        <cfvo type="num" val="100"/>
      </iconSet>
    </cfRule>
    <cfRule type="iconSet" priority="966">
      <iconSet>
        <cfvo type="percent" val="0"/>
        <cfvo type="num" val="70"/>
        <cfvo type="num" val="9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53">
      <iconSet>
        <cfvo type="percent" val="0"/>
        <cfvo type="num" val="95"/>
        <cfvo type="num" val="100"/>
      </iconSet>
    </cfRule>
    <cfRule type="iconSet" priority="954">
      <iconSet>
        <cfvo type="percent" val="0"/>
        <cfvo type="num" val="70"/>
        <cfvo type="num" val="9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U39"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</conditionalFormatting>
  <conditionalFormatting sqref="U40">
    <cfRule type="iconSet" priority="587">
      <iconSet>
        <cfvo type="percent" val="0"/>
        <cfvo type="num" val="95"/>
        <cfvo type="num" val="100"/>
      </iconSet>
    </cfRule>
    <cfRule type="iconSet" priority="588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70"/>
        <cfvo type="num" val="9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95"/>
        <cfvo type="num" val="10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70"/>
        <cfvo type="num" val="90"/>
      </iconSet>
    </cfRule>
    <cfRule type="iconSet" priority="594">
      <iconSet>
        <cfvo type="percent" val="0"/>
        <cfvo type="num" val="95"/>
        <cfvo type="num" val="100"/>
      </iconSet>
    </cfRule>
    <cfRule type="iconSet" priority="595">
      <iconSet>
        <cfvo type="percent" val="0"/>
        <cfvo type="num" val="95"/>
        <cfvo type="num" val="100"/>
      </iconSet>
    </cfRule>
    <cfRule type="iconSet" priority="596">
      <iconSet>
        <cfvo type="percent" val="0"/>
        <cfvo type="num" val="70"/>
        <cfvo type="num" val="90"/>
      </iconSet>
    </cfRule>
    <cfRule type="iconSet" priority="597">
      <iconSet>
        <cfvo type="percent" val="0"/>
        <cfvo type="num" val="70"/>
        <cfvo type="num" val="90"/>
      </iconSet>
    </cfRule>
    <cfRule type="iconSet" priority="598">
      <iconSet>
        <cfvo type="percent" val="0"/>
        <cfvo type="num" val="95"/>
        <cfvo type="num" val="100"/>
      </iconSet>
    </cfRule>
    <cfRule type="iconSet" priority="599">
      <iconSet>
        <cfvo type="percent" val="0"/>
        <cfvo type="num" val="95"/>
        <cfvo type="num" val="100"/>
      </iconSet>
    </cfRule>
    <cfRule type="iconSet" priority="600">
      <iconSet>
        <cfvo type="percent" val="0"/>
        <cfvo type="num" val="70"/>
        <cfvo type="num" val="90"/>
      </iconSet>
    </cfRule>
    <cfRule type="iconSet" priority="601">
      <iconSet>
        <cfvo type="percent" val="0"/>
        <cfvo type="num" val="70"/>
        <cfvo type="num" val="90"/>
      </iconSet>
    </cfRule>
    <cfRule type="iconSet" priority="602">
      <iconSet>
        <cfvo type="percent" val="0"/>
        <cfvo type="num" val="95"/>
        <cfvo type="num" val="10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12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6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1">
      <iconSet>
        <cfvo type="percent" val="0"/>
        <cfvo type="num" val="95"/>
        <cfvo type="num" val="10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33">
      <iconSet>
        <cfvo type="percent" val="0"/>
        <cfvo type="num" val="95"/>
        <cfvo type="num" val="100"/>
      </iconSet>
    </cfRule>
  </conditionalFormatting>
  <conditionalFormatting sqref="AA10">
    <cfRule type="iconSet" priority="469">
      <iconSet>
        <cfvo type="percent" val="0"/>
        <cfvo type="num" val="95"/>
        <cfvo type="num" val="100"/>
      </iconSet>
    </cfRule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</conditionalFormatting>
  <conditionalFormatting sqref="AA12"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95"/>
        <cfvo type="num" val="100"/>
      </iconSet>
    </cfRule>
    <cfRule type="iconSet" priority="466">
      <iconSet>
        <cfvo type="percent" val="0"/>
        <cfvo type="num" val="70"/>
        <cfvo type="num" val="9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</conditionalFormatting>
  <conditionalFormatting sqref="AA14"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95"/>
        <cfvo type="num" val="100"/>
      </iconSet>
    </cfRule>
    <cfRule type="iconSet" priority="448">
      <iconSet>
        <cfvo type="percent" val="0"/>
        <cfvo type="num" val="70"/>
        <cfvo type="num" val="9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</conditionalFormatting>
  <conditionalFormatting sqref="AA16"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70"/>
        <cfvo type="num" val="90"/>
      </iconSet>
    </cfRule>
    <cfRule type="iconSet" priority="441">
      <iconSet>
        <cfvo type="percent" val="0"/>
        <cfvo type="num" val="95"/>
        <cfvo type="num" val="100"/>
      </iconSet>
    </cfRule>
  </conditionalFormatting>
  <conditionalFormatting sqref="AA17"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70"/>
        <cfvo type="num" val="9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A18">
    <cfRule type="iconSet" priority="415">
      <iconSet>
        <cfvo type="percent" val="0"/>
        <cfvo type="num" val="95"/>
        <cfvo type="num" val="100"/>
      </iconSet>
    </cfRule>
    <cfRule type="iconSet" priority="416">
      <iconSet>
        <cfvo type="percent" val="0"/>
        <cfvo type="num" val="70"/>
        <cfvo type="num" val="90"/>
      </iconSet>
    </cfRule>
    <cfRule type="iconSet" priority="417">
      <iconSet>
        <cfvo type="percent" val="0"/>
        <cfvo type="num" val="70"/>
        <cfvo type="num" val="90"/>
      </iconSet>
    </cfRule>
    <cfRule type="iconSet" priority="418">
      <iconSet>
        <cfvo type="percent" val="0"/>
        <cfvo type="num" val="95"/>
        <cfvo type="num" val="100"/>
      </iconSet>
    </cfRule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70"/>
        <cfvo type="num" val="90"/>
      </iconSet>
    </cfRule>
    <cfRule type="iconSet" priority="423">
      <iconSet>
        <cfvo type="percent" val="0"/>
        <cfvo type="num" val="95"/>
        <cfvo type="num" val="100"/>
      </iconSet>
    </cfRule>
  </conditionalFormatting>
  <conditionalFormatting sqref="AA19"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29">
      <iconSet>
        <cfvo type="percent" val="0"/>
        <cfvo type="num" val="95"/>
        <cfvo type="num" val="100"/>
      </iconSet>
    </cfRule>
    <cfRule type="iconSet" priority="530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2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4">
      <iconSet>
        <cfvo type="percent" val="0"/>
        <cfvo type="num" val="95"/>
        <cfvo type="num" val="100"/>
      </iconSet>
    </cfRule>
    <cfRule type="iconSet" priority="535">
      <iconSet>
        <cfvo type="percent" val="0"/>
        <cfvo type="num" val="70"/>
        <cfvo type="num" val="90"/>
      </iconSet>
    </cfRule>
    <cfRule type="iconSet" priority="536">
      <iconSet>
        <cfvo type="percent" val="0"/>
        <cfvo type="num" val="70"/>
        <cfvo type="num" val="90"/>
      </iconSet>
    </cfRule>
    <cfRule type="iconSet" priority="537">
      <iconSet>
        <cfvo type="percent" val="0"/>
        <cfvo type="num" val="95"/>
        <cfvo type="num" val="100"/>
      </iconSet>
    </cfRule>
    <cfRule type="iconSet" priority="538">
      <iconSet>
        <cfvo type="percent" val="0"/>
        <cfvo type="num" val="95"/>
        <cfvo type="num" val="100"/>
      </iconSet>
    </cfRule>
    <cfRule type="iconSet" priority="539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70"/>
        <cfvo type="num" val="90"/>
      </iconSet>
    </cfRule>
    <cfRule type="iconSet" priority="544">
      <iconSet>
        <cfvo type="percent" val="0"/>
        <cfvo type="num" val="70"/>
        <cfvo type="num" val="9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95"/>
        <cfvo type="num" val="10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70"/>
        <cfvo type="num" val="90"/>
      </iconSet>
    </cfRule>
    <cfRule type="iconSet" priority="549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</conditionalFormatting>
  <conditionalFormatting sqref="AA20"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11">
      <iconSet>
        <cfvo type="percent" val="0"/>
        <cfvo type="num" val="95"/>
        <cfvo type="num" val="100"/>
      </iconSet>
    </cfRule>
    <cfRule type="iconSet" priority="412">
      <iconSet>
        <cfvo type="percent" val="0"/>
        <cfvo type="num" val="70"/>
        <cfvo type="num" val="90"/>
      </iconSet>
    </cfRule>
    <cfRule type="iconSet" priority="413">
      <iconSet>
        <cfvo type="percent" val="0"/>
        <cfvo type="num" val="70"/>
        <cfvo type="num" val="90"/>
      </iconSet>
    </cfRule>
    <cfRule type="iconSet" priority="414">
      <iconSet>
        <cfvo type="percent" val="0"/>
        <cfvo type="num" val="95"/>
        <cfvo type="num" val="100"/>
      </iconSet>
    </cfRule>
  </conditionalFormatting>
  <conditionalFormatting sqref="AA21">
    <cfRule type="iconSet" priority="397">
      <iconSet>
        <cfvo type="percent" val="0"/>
        <cfvo type="num" val="95"/>
        <cfvo type="num" val="100"/>
      </iconSet>
    </cfRule>
    <cfRule type="iconSet" priority="398">
      <iconSet>
        <cfvo type="percent" val="0"/>
        <cfvo type="num" val="70"/>
        <cfvo type="num" val="90"/>
      </iconSet>
    </cfRule>
    <cfRule type="iconSet" priority="399">
      <iconSet>
        <cfvo type="percent" val="0"/>
        <cfvo type="num" val="70"/>
        <cfvo type="num" val="90"/>
      </iconSet>
    </cfRule>
    <cfRule type="iconSet" priority="400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</conditionalFormatting>
  <conditionalFormatting sqref="AA22">
    <cfRule type="iconSet" priority="388">
      <iconSet>
        <cfvo type="percent" val="0"/>
        <cfvo type="num" val="95"/>
        <cfvo type="num" val="100"/>
      </iconSet>
    </cfRule>
    <cfRule type="iconSet" priority="389">
      <iconSet>
        <cfvo type="percent" val="0"/>
        <cfvo type="num" val="70"/>
        <cfvo type="num" val="90"/>
      </iconSet>
    </cfRule>
    <cfRule type="iconSet" priority="390">
      <iconSet>
        <cfvo type="percent" val="0"/>
        <cfvo type="num" val="70"/>
        <cfvo type="num" val="90"/>
      </iconSet>
    </cfRule>
    <cfRule type="iconSet" priority="391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3">
      <iconSet>
        <cfvo type="percent" val="0"/>
        <cfvo type="num" val="95"/>
        <cfvo type="num" val="100"/>
      </iconSet>
    </cfRule>
    <cfRule type="iconSet" priority="394">
      <iconSet>
        <cfvo type="percent" val="0"/>
        <cfvo type="num" val="70"/>
        <cfvo type="num" val="9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4">
      <iconSet>
        <cfvo type="percent" val="0"/>
        <cfvo type="num" val="95"/>
        <cfvo type="num" val="100"/>
      </iconSet>
    </cfRule>
    <cfRule type="iconSet" priority="385">
      <iconSet>
        <cfvo type="percent" val="0"/>
        <cfvo type="num" val="70"/>
        <cfvo type="num" val="90"/>
      </iconSet>
    </cfRule>
    <cfRule type="iconSet" priority="386">
      <iconSet>
        <cfvo type="percent" val="0"/>
        <cfvo type="num" val="70"/>
        <cfvo type="num" val="90"/>
      </iconSet>
    </cfRule>
    <cfRule type="iconSet" priority="387">
      <iconSet>
        <cfvo type="percent" val="0"/>
        <cfvo type="num" val="95"/>
        <cfvo type="num" val="100"/>
      </iconSet>
    </cfRule>
  </conditionalFormatting>
  <conditionalFormatting sqref="AA24">
    <cfRule type="iconSet" priority="370">
      <iconSet>
        <cfvo type="percent" val="0"/>
        <cfvo type="num" val="95"/>
        <cfvo type="num" val="100"/>
      </iconSet>
    </cfRule>
    <cfRule type="iconSet" priority="371">
      <iconSet>
        <cfvo type="percent" val="0"/>
        <cfvo type="num" val="70"/>
        <cfvo type="num" val="90"/>
      </iconSet>
    </cfRule>
    <cfRule type="iconSet" priority="372">
      <iconSet>
        <cfvo type="percent" val="0"/>
        <cfvo type="num" val="70"/>
        <cfvo type="num" val="90"/>
      </iconSet>
    </cfRule>
    <cfRule type="iconSet" priority="373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6">
      <iconSet>
        <cfvo type="percent" val="0"/>
        <cfvo type="num" val="95"/>
        <cfvo type="num" val="100"/>
      </iconSet>
    </cfRule>
    <cfRule type="iconSet" priority="367">
      <iconSet>
        <cfvo type="percent" val="0"/>
        <cfvo type="num" val="70"/>
        <cfvo type="num" val="90"/>
      </iconSet>
    </cfRule>
    <cfRule type="iconSet" priority="368">
      <iconSet>
        <cfvo type="percent" val="0"/>
        <cfvo type="num" val="70"/>
        <cfvo type="num" val="90"/>
      </iconSet>
    </cfRule>
    <cfRule type="iconSet" priority="369">
      <iconSet>
        <cfvo type="percent" val="0"/>
        <cfvo type="num" val="95"/>
        <cfvo type="num" val="10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95"/>
        <cfvo type="num" val="10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70"/>
        <cfvo type="num" val="90"/>
      </iconSet>
    </cfRule>
    <cfRule type="iconSet" priority="360">
      <iconSet>
        <cfvo type="percent" val="0"/>
        <cfvo type="num" val="95"/>
        <cfvo type="num" val="100"/>
      </iconSet>
    </cfRule>
  </conditionalFormatting>
  <conditionalFormatting sqref="AA31:AA33"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95"/>
        <cfvo type="num" val="10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70"/>
        <cfvo type="num" val="90"/>
      </iconSet>
    </cfRule>
    <cfRule type="iconSet" priority="351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34">
      <iconSet>
        <cfvo type="percent" val="0"/>
        <cfvo type="num" val="95"/>
        <cfvo type="num" val="100"/>
      </iconSet>
    </cfRule>
    <cfRule type="iconSet" priority="335">
      <iconSet>
        <cfvo type="percent" val="0"/>
        <cfvo type="num" val="70"/>
        <cfvo type="num" val="90"/>
      </iconSet>
    </cfRule>
    <cfRule type="iconSet" priority="336">
      <iconSet>
        <cfvo type="percent" val="0"/>
        <cfvo type="num" val="70"/>
        <cfvo type="num" val="90"/>
      </iconSet>
    </cfRule>
    <cfRule type="iconSet" priority="337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70"/>
        <cfvo type="num" val="90"/>
      </iconSet>
    </cfRule>
    <cfRule type="iconSet" priority="342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</conditionalFormatting>
  <conditionalFormatting sqref="AA37:AA38">
    <cfRule type="iconSet" priority="568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1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3">
      <iconSet>
        <cfvo type="percent" val="0"/>
        <cfvo type="num" val="70"/>
        <cfvo type="num" val="90"/>
      </iconSet>
    </cfRule>
    <cfRule type="iconSet" priority="554">
      <iconSet>
        <cfvo type="percent" val="0"/>
        <cfvo type="num" val="95"/>
        <cfvo type="num" val="100"/>
      </iconSet>
    </cfRule>
    <cfRule type="iconSet" priority="556">
      <iconSet>
        <cfvo type="percent" val="0"/>
        <cfvo type="num" val="95"/>
        <cfvo type="num" val="100"/>
      </iconSet>
    </cfRule>
    <cfRule type="iconSet" priority="557">
      <iconSet>
        <cfvo type="percent" val="0"/>
        <cfvo type="num" val="70"/>
        <cfvo type="num" val="90"/>
      </iconSet>
    </cfRule>
    <cfRule type="iconSet" priority="558">
      <iconSet>
        <cfvo type="percent" val="0"/>
        <cfvo type="num" val="70"/>
        <cfvo type="num" val="90"/>
      </iconSet>
    </cfRule>
    <cfRule type="iconSet" priority="559">
      <iconSet>
        <cfvo type="percent" val="0"/>
        <cfvo type="num" val="95"/>
        <cfvo type="num" val="100"/>
      </iconSet>
    </cfRule>
    <cfRule type="iconSet" priority="560">
      <iconSet>
        <cfvo type="percent" val="0"/>
        <cfvo type="num" val="95"/>
        <cfvo type="num" val="100"/>
      </iconSet>
    </cfRule>
    <cfRule type="iconSet" priority="561">
      <iconSet>
        <cfvo type="percent" val="0"/>
        <cfvo type="num" val="70"/>
        <cfvo type="num" val="90"/>
      </iconSet>
    </cfRule>
    <cfRule type="iconSet" priority="562">
      <iconSet>
        <cfvo type="percent" val="0"/>
        <cfvo type="num" val="70"/>
        <cfvo type="num" val="90"/>
      </iconSet>
    </cfRule>
    <cfRule type="iconSet" priority="563">
      <iconSet>
        <cfvo type="percent" val="0"/>
        <cfvo type="num" val="95"/>
        <cfvo type="num" val="100"/>
      </iconSet>
    </cfRule>
    <cfRule type="iconSet" priority="564">
      <iconSet>
        <cfvo type="percent" val="0"/>
        <cfvo type="num" val="95"/>
        <cfvo type="num" val="100"/>
      </iconSet>
    </cfRule>
    <cfRule type="iconSet" priority="565">
      <iconSet>
        <cfvo type="percent" val="0"/>
        <cfvo type="num" val="70"/>
        <cfvo type="num" val="90"/>
      </iconSet>
    </cfRule>
    <cfRule type="iconSet" priority="566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</conditionalFormatting>
  <conditionalFormatting sqref="AA39"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95"/>
        <cfvo type="num" val="100"/>
      </iconSet>
    </cfRule>
    <cfRule type="iconSet" priority="498">
      <iconSet>
        <cfvo type="percent" val="0"/>
        <cfvo type="num" val="70"/>
        <cfvo type="num" val="9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95"/>
        <cfvo type="num" val="100"/>
      </iconSet>
    </cfRule>
    <cfRule type="iconSet" priority="506">
      <iconSet>
        <cfvo type="percent" val="0"/>
        <cfvo type="num" val="70"/>
        <cfvo type="num" val="9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95"/>
        <cfvo type="num" val="100"/>
      </iconSet>
    </cfRule>
    <cfRule type="iconSet" priority="510">
      <iconSet>
        <cfvo type="percent" val="0"/>
        <cfvo type="num" val="70"/>
        <cfvo type="num" val="9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85">
      <iconSet>
        <cfvo type="percent" val="0"/>
        <cfvo type="num" val="95"/>
        <cfvo type="num" val="100"/>
      </iconSet>
    </cfRule>
  </conditionalFormatting>
  <conditionalFormatting sqref="AA40"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70"/>
        <cfvo type="num" val="9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95"/>
        <cfvo type="num" val="100"/>
      </iconSet>
    </cfRule>
    <cfRule type="iconSet" priority="298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70"/>
        <cfvo type="num" val="9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95"/>
        <cfvo type="num" val="10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95"/>
        <cfvo type="num" val="10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</conditionalFormatting>
  <conditionalFormatting sqref="AG9"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</conditionalFormatting>
  <conditionalFormatting sqref="AG12"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</conditionalFormatting>
  <conditionalFormatting sqref="AG13"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</conditionalFormatting>
  <conditionalFormatting sqref="AG16"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70"/>
        <cfvo type="num" val="9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</conditionalFormatting>
  <conditionalFormatting sqref="AG17"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70"/>
        <cfvo type="num" val="9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70"/>
        <cfvo type="num" val="9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</conditionalFormatting>
  <conditionalFormatting sqref="AG19"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</conditionalFormatting>
  <conditionalFormatting sqref="AG20"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</conditionalFormatting>
  <conditionalFormatting sqref="AG21"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</conditionalFormatting>
  <conditionalFormatting sqref="AG22"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AG23"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70"/>
        <cfvo type="num" val="9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</conditionalFormatting>
  <conditionalFormatting sqref="AG24"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70"/>
        <cfvo type="num" val="9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</conditionalFormatting>
  <conditionalFormatting sqref="AG31:AG33"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AG37"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</conditionalFormatting>
  <conditionalFormatting sqref="AG39">
    <cfRule type="iconSet" priority="200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</conditionalFormatting>
  <conditionalFormatting sqref="AG40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70"/>
        <cfvo type="num" val="90"/>
      </iconSet>
    </cfRule>
    <cfRule type="iconSet" priority="23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6" t="s">
        <v>106</v>
      </c>
      <c r="C2" s="678" t="s">
        <v>107</v>
      </c>
      <c r="D2" s="678"/>
      <c r="E2" s="678"/>
      <c r="F2" s="678"/>
      <c r="G2" s="678"/>
      <c r="H2" s="678"/>
      <c r="I2" s="678"/>
      <c r="J2" s="678"/>
      <c r="K2" s="678"/>
      <c r="L2" s="678"/>
      <c r="M2" s="678"/>
      <c r="N2" s="678"/>
    </row>
    <row r="3" spans="2:14" ht="15.75" thickBot="1">
      <c r="B3" s="677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8" t="s">
        <v>72</v>
      </c>
      <c r="C7" s="689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8" t="s">
        <v>72</v>
      </c>
      <c r="R7" s="689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8" t="s">
        <v>72</v>
      </c>
      <c r="AG7" s="689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90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90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90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91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91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91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92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92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92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90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90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90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91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91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91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92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92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92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90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90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90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91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91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91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92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92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92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90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90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90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91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91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91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92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92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92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90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90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90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91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91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91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92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92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92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90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90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90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91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91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91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92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92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92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8" t="s">
        <v>72</v>
      </c>
      <c r="C29" s="689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8" t="s">
        <v>72</v>
      </c>
      <c r="R29" s="689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8" t="s">
        <v>72</v>
      </c>
      <c r="AG29" s="689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93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93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93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93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93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93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93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93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93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93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93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93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93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93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93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93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93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93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93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93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93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93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93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93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93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93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93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93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93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93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93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93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93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93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93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93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93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93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93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93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93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93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93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93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93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93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93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93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93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93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93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93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93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93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8" t="s">
        <v>72</v>
      </c>
      <c r="C51" s="689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8" t="s">
        <v>72</v>
      </c>
      <c r="R51" s="689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8" t="s">
        <v>72</v>
      </c>
      <c r="AG51" s="689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93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93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93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93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93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93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93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93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93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93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93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93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93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93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93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93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93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93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93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93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93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93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93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93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93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93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93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93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93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93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93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93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93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93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93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93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93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93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93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93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93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93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93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93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93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93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93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93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93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93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93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93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93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93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8" t="s">
        <v>72</v>
      </c>
      <c r="C73" s="689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8" t="s">
        <v>72</v>
      </c>
      <c r="R73" s="689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8" t="s">
        <v>72</v>
      </c>
      <c r="AG73" s="689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8" t="s">
        <v>72</v>
      </c>
      <c r="C85" s="689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8" t="s">
        <v>72</v>
      </c>
      <c r="R85" s="689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8" t="s">
        <v>72</v>
      </c>
      <c r="AG85" s="689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93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93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93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93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3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93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93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3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93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93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93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93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93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3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93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93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3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93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93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93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93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93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93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93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93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93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93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93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93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93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93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93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93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93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93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93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93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93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93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93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93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93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93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93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93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93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93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93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93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93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93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93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93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93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93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93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93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93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93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93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94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94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94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94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94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94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94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94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94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94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94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94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8" t="s">
        <v>72</v>
      </c>
      <c r="C113" s="689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81" t="s">
        <v>128</v>
      </c>
      <c r="C114" s="682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81" t="s">
        <v>87</v>
      </c>
      <c r="C116" s="682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81" t="s">
        <v>88</v>
      </c>
      <c r="C118" s="682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81" t="s">
        <v>121</v>
      </c>
      <c r="C120" s="682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81" t="s">
        <v>89</v>
      </c>
      <c r="C122" s="682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83" t="s">
        <v>90</v>
      </c>
      <c r="C124" s="684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83" t="s">
        <v>149</v>
      </c>
      <c r="C125" s="684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5" t="s">
        <v>72</v>
      </c>
      <c r="C129" s="685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5" t="s">
        <v>72</v>
      </c>
      <c r="R129" s="685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5" t="s">
        <v>72</v>
      </c>
      <c r="AG129" s="685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6" t="s">
        <v>128</v>
      </c>
      <c r="C130" s="687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6" t="s">
        <v>87</v>
      </c>
      <c r="C131" s="687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6" t="s">
        <v>88</v>
      </c>
      <c r="C132" s="687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6" t="s">
        <v>121</v>
      </c>
      <c r="C133" s="687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6" t="s">
        <v>89</v>
      </c>
      <c r="C134" s="687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79" t="s">
        <v>90</v>
      </c>
      <c r="C135" s="680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0" t="s">
        <v>8</v>
      </c>
      <c r="B4" s="672" t="s">
        <v>9</v>
      </c>
      <c r="C4" s="673"/>
      <c r="D4" s="670" t="s">
        <v>93</v>
      </c>
      <c r="E4" s="670" t="s">
        <v>99</v>
      </c>
      <c r="F4" s="670" t="s">
        <v>155</v>
      </c>
      <c r="G4" s="661" t="str">
        <f>VLOOKUP(M2,M7:N18,2,FALSE)</f>
        <v>S.D. JUNI</v>
      </c>
      <c r="H4" s="662"/>
      <c r="I4" s="662"/>
      <c r="J4" s="663"/>
    </row>
    <row r="5" spans="1:14" ht="19.149999999999999" customHeight="1">
      <c r="A5" s="671"/>
      <c r="B5" s="674"/>
      <c r="C5" s="675"/>
      <c r="D5" s="671"/>
      <c r="E5" s="671"/>
      <c r="F5" s="671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69" t="s">
        <v>176</v>
      </c>
      <c r="B46" s="669"/>
      <c r="C46" s="669"/>
      <c r="D46" s="669"/>
      <c r="E46" s="669"/>
      <c r="F46" s="669"/>
      <c r="G46" s="669"/>
      <c r="H46" s="669"/>
      <c r="I46" s="669"/>
      <c r="J46" s="669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5">
      <iconSet iconSet="3ArrowsGray" showValue="0">
        <cfvo type="percent" val="0"/>
        <cfvo type="num" val="2"/>
        <cfvo type="num" val="3"/>
      </iconSet>
    </cfRule>
    <cfRule type="iconSet" priority="166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10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12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13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14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16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17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18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19"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</conditionalFormatting>
  <conditionalFormatting sqref="I20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1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22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23:I24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2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88">
      <iconSet>
        <cfvo type="percent" val="0"/>
        <cfvo type="num" val="95"/>
        <cfvo type="num" val="10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95"/>
        <cfvo type="num" val="100"/>
      </iconSet>
    </cfRule>
  </conditionalFormatting>
  <conditionalFormatting sqref="I38:I39"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1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</conditionalFormatting>
  <conditionalFormatting sqref="I40:I41"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</conditionalFormatting>
  <conditionalFormatting sqref="I41"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70"/>
        <cfvo type="num" val="9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95"/>
        <cfvo type="num" val="10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8" t="s">
        <v>72</v>
      </c>
      <c r="C7" s="689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8" t="s">
        <v>72</v>
      </c>
      <c r="R7" s="689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8" t="s">
        <v>72</v>
      </c>
      <c r="AG7" s="689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696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90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90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697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91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91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698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92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92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696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90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90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697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91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91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698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92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92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696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90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90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697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91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91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698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92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92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696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90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90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697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91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91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698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92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92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695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93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93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695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93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93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695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93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93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93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93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93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93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93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93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5" t="s">
        <v>72</v>
      </c>
      <c r="C30" s="685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5" t="s">
        <v>72</v>
      </c>
      <c r="R30" s="685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5" t="s">
        <v>72</v>
      </c>
      <c r="AG30" s="685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94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94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94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94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94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94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94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94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94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94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94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94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94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94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94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94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94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94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94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94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94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94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94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94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94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94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94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94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94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94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94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94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94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94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94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94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94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94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94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94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94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94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94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94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94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94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94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94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94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94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94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94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94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94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5" t="s">
        <v>72</v>
      </c>
      <c r="C52" s="685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5" t="s">
        <v>72</v>
      </c>
      <c r="R52" s="685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5" t="s">
        <v>72</v>
      </c>
      <c r="AG52" s="685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94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94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94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94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94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94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94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94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94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94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94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94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94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94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94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94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94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94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94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94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94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94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94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94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94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94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94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94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94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94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94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94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94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94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94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94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94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94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94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94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94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94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94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94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94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94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94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94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94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94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94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94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94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94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5" t="s">
        <v>72</v>
      </c>
      <c r="C74" s="685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5" t="s">
        <v>72</v>
      </c>
      <c r="R74" s="685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5" t="s">
        <v>72</v>
      </c>
      <c r="AG74" s="685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94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94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94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94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94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94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94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94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94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94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94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94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94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94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94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94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94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94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94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94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94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94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94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94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94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94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94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94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94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94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94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94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94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94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94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94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94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4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94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94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4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94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94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94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94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94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4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94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94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4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94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94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94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94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5" t="s">
        <v>72</v>
      </c>
      <c r="C96" s="685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5" t="s">
        <v>72</v>
      </c>
      <c r="R96" s="685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5" t="s">
        <v>72</v>
      </c>
      <c r="AG96" s="685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5" t="s">
        <v>72</v>
      </c>
      <c r="C101" s="685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5" t="s">
        <v>72</v>
      </c>
      <c r="R101" s="685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5" t="s">
        <v>72</v>
      </c>
      <c r="AG101" s="685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8" t="s">
        <v>72</v>
      </c>
      <c r="C112" s="689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8" t="s">
        <v>72</v>
      </c>
      <c r="R112" s="689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8" t="s">
        <v>72</v>
      </c>
      <c r="AG112" s="689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94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93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93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94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93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93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94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93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93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94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93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93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94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93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93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94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93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93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94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93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93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94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93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93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94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93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93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94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93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93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94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93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93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94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93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93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8" t="s">
        <v>72</v>
      </c>
      <c r="C128" s="689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8" t="s">
        <v>72</v>
      </c>
      <c r="R128" s="689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8" t="s">
        <v>72</v>
      </c>
      <c r="AG128" s="689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94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93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93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94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93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93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94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93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93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94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93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93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94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93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93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94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93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93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94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93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93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94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93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93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94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93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93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94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93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93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94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93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93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94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93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93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5" t="s">
        <v>72</v>
      </c>
      <c r="C144" s="685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5" t="s">
        <v>72</v>
      </c>
      <c r="R144" s="685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5" t="s">
        <v>72</v>
      </c>
      <c r="AG144" s="685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5" t="s">
        <v>72</v>
      </c>
      <c r="C166" s="685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5" t="s">
        <v>72</v>
      </c>
      <c r="R166" s="685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5" t="s">
        <v>72</v>
      </c>
      <c r="AG166" s="685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8" t="s">
        <v>72</v>
      </c>
      <c r="C188" s="689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8" t="s">
        <v>72</v>
      </c>
      <c r="R188" s="689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8" t="s">
        <v>72</v>
      </c>
      <c r="AG188" s="689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8" t="s">
        <v>72</v>
      </c>
      <c r="C193" s="689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8" t="s">
        <v>72</v>
      </c>
      <c r="R193" s="689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8" t="s">
        <v>72</v>
      </c>
      <c r="AG193" s="689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699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699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699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0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0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0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0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0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0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0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0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0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0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0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0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1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1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1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699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699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699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0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0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0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0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0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0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0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0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0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0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0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0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1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1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1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699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699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699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0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0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0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0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0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0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0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0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0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0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0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0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1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1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1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699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699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699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0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0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0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0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0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0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0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0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0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0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0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0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1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1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1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699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699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699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0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0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0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0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0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0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0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0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0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0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0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0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1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1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1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699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699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699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0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0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0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0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0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0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0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0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0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0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0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0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1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1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1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5" t="s">
        <v>72</v>
      </c>
      <c r="C233" s="685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5" t="s">
        <v>72</v>
      </c>
      <c r="R233" s="685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5" t="s">
        <v>72</v>
      </c>
      <c r="AG233" s="685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5" t="s">
        <v>72</v>
      </c>
      <c r="C243" s="685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5" t="s">
        <v>72</v>
      </c>
      <c r="R243" s="685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5" t="s">
        <v>72</v>
      </c>
      <c r="AG243" s="685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94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94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94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94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94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94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94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94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94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94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94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94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94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94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94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94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94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94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94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94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94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94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94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94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94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94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94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94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94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94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94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94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94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94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94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94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94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94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94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94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94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94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94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94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94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8" t="s">
        <v>72</v>
      </c>
      <c r="C263" s="689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8" t="s">
        <v>72</v>
      </c>
      <c r="R263" s="689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8" t="s">
        <v>72</v>
      </c>
      <c r="AG263" s="689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93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93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93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93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93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93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93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93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93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93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93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93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93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93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93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93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93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93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93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93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93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93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93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93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93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93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93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93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93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93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93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93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93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93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93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93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93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93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93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93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93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93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93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93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93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93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93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93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93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93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93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93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93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93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8" t="s">
        <v>72</v>
      </c>
      <c r="C285" s="689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8" t="s">
        <v>72</v>
      </c>
      <c r="R285" s="689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8" t="s">
        <v>72</v>
      </c>
      <c r="AG285" s="689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93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93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93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93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93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93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93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93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93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90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93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93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91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93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93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92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93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93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90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93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93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91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93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93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92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93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93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90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93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93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91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93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93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92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93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93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90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93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93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91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93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93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92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93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93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90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93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93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91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93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93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92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93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93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8" t="s">
        <v>72</v>
      </c>
      <c r="C307" s="689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8" t="s">
        <v>72</v>
      </c>
      <c r="R307" s="689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8" t="s">
        <v>72</v>
      </c>
      <c r="AG307" s="689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702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90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90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703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91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91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704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92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92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702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702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702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703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703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703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704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704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704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702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702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702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703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703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703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704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704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704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702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702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702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703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703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703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704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704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704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702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702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702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703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703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703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704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704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704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7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10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10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8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11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11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09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12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12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8" t="s">
        <v>72</v>
      </c>
      <c r="C330" s="689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8" t="s">
        <v>72</v>
      </c>
      <c r="R330" s="689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8" t="s">
        <v>72</v>
      </c>
      <c r="AG330" s="689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8" t="s">
        <v>72</v>
      </c>
      <c r="C337" s="689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8" t="s">
        <v>72</v>
      </c>
      <c r="R337" s="689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8" t="s">
        <v>72</v>
      </c>
      <c r="AG337" s="689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93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93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93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93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93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93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93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93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93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93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93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93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8" t="s">
        <v>72</v>
      </c>
      <c r="C345" s="689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8" t="s">
        <v>72</v>
      </c>
      <c r="R345" s="689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8" t="s">
        <v>72</v>
      </c>
      <c r="AG345" s="689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705" t="s">
        <v>90</v>
      </c>
      <c r="C346" s="706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8" t="s">
        <v>72</v>
      </c>
      <c r="C350" s="689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8" t="s">
        <v>72</v>
      </c>
      <c r="R350" s="689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8" t="s">
        <v>72</v>
      </c>
      <c r="AG350" s="689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93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93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93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93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93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93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93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93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93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8" t="s">
        <v>72</v>
      </c>
      <c r="C358" s="689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8" t="s">
        <v>72</v>
      </c>
      <c r="R358" s="689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8" t="s">
        <v>72</v>
      </c>
      <c r="AG358" s="689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705" t="s">
        <v>90</v>
      </c>
      <c r="C359" s="706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8" t="s">
        <v>72</v>
      </c>
      <c r="C363" s="689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8" t="s">
        <v>72</v>
      </c>
      <c r="R363" s="689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8" t="s">
        <v>72</v>
      </c>
      <c r="AG363" s="689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0" t="s">
        <v>8</v>
      </c>
      <c r="B4" s="672" t="s">
        <v>9</v>
      </c>
      <c r="C4" s="673"/>
      <c r="D4" s="670" t="s">
        <v>93</v>
      </c>
      <c r="E4" s="670" t="s">
        <v>99</v>
      </c>
      <c r="F4" s="670" t="s">
        <v>253</v>
      </c>
      <c r="G4" s="661" t="str">
        <f>VLOOKUP(M2,M7:N18,2,FALSE)</f>
        <v>S.D. SEPTEMBER</v>
      </c>
      <c r="H4" s="662"/>
      <c r="I4" s="662"/>
      <c r="J4" s="663"/>
    </row>
    <row r="5" spans="1:20" ht="26.45" customHeight="1">
      <c r="A5" s="671"/>
      <c r="B5" s="674"/>
      <c r="C5" s="675"/>
      <c r="D5" s="671"/>
      <c r="E5" s="671"/>
      <c r="F5" s="671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I9">
    <cfRule type="iconSet" priority="540">
      <iconSet>
        <cfvo type="percent" val="0"/>
        <cfvo type="num" val="95"/>
        <cfvo type="num" val="100"/>
      </iconSet>
    </cfRule>
    <cfRule type="iconSet" priority="541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06">
      <iconSet>
        <cfvo type="percent" val="0"/>
        <cfvo type="num" val="95"/>
        <cfvo type="num" val="10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10">
      <iconSet>
        <cfvo type="percent" val="0"/>
        <cfvo type="num" val="95"/>
        <cfvo type="num" val="10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</conditionalFormatting>
  <conditionalFormatting sqref="I25:I40"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  <cfRule type="iconSet" priority="48225">
      <iconSet>
        <cfvo type="percent" val="0"/>
        <cfvo type="num" val="95"/>
        <cfvo type="num" val="100"/>
      </iconSet>
    </cfRule>
  </conditionalFormatting>
  <conditionalFormatting sqref="I41:I42"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</conditionalFormatting>
  <conditionalFormatting sqref="I43:I45"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</conditionalFormatting>
  <conditionalFormatting sqref="I46:I50"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</conditionalFormatting>
  <conditionalFormatting sqref="I51:I54"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</conditionalFormatting>
  <conditionalFormatting sqref="I55:I57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I58:I62"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</conditionalFormatting>
  <conditionalFormatting sqref="I63:I65"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0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44">
      <iconSet>
        <cfvo type="percent" val="0"/>
        <cfvo type="num" val="70"/>
        <cfvo type="num" val="90"/>
      </iconSet>
    </cfRule>
    <cfRule type="iconSet" priority="1145">
      <iconSet>
        <cfvo type="percent" val="0"/>
        <cfvo type="num" val="95"/>
        <cfvo type="num" val="100"/>
      </iconSet>
    </cfRule>
    <cfRule type="iconSet" priority="1146">
      <iconSet>
        <cfvo type="percent" val="0"/>
        <cfvo type="num" val="95"/>
        <cfvo type="num" val="100"/>
      </iconSet>
    </cfRule>
    <cfRule type="iconSet" priority="1147">
      <iconSet>
        <cfvo type="percent" val="0"/>
        <cfvo type="num" val="70"/>
        <cfvo type="num" val="90"/>
      </iconSet>
    </cfRule>
    <cfRule type="iconSet" priority="1148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0" t="s">
        <v>8</v>
      </c>
      <c r="B4" s="672" t="s">
        <v>9</v>
      </c>
      <c r="C4" s="673"/>
      <c r="D4" s="670" t="s">
        <v>93</v>
      </c>
      <c r="E4" s="670" t="s">
        <v>99</v>
      </c>
      <c r="F4" s="670" t="s">
        <v>257</v>
      </c>
      <c r="G4" s="661" t="str">
        <f>VLOOKUP(M2,M7:N18,2,FALSE)</f>
        <v>S.D. AGUSTUS</v>
      </c>
      <c r="H4" s="662"/>
      <c r="I4" s="662"/>
      <c r="J4" s="663"/>
    </row>
    <row r="5" spans="1:20" ht="19.149999999999999" customHeight="1">
      <c r="A5" s="671"/>
      <c r="B5" s="674"/>
      <c r="C5" s="675"/>
      <c r="D5" s="671"/>
      <c r="E5" s="671"/>
      <c r="F5" s="671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69" t="s">
        <v>258</v>
      </c>
      <c r="B53" s="669"/>
      <c r="C53" s="669"/>
      <c r="D53" s="669"/>
      <c r="E53" s="669"/>
      <c r="F53" s="669"/>
      <c r="G53" s="669"/>
      <c r="H53" s="669"/>
      <c r="I53" s="669"/>
      <c r="J53" s="669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2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</conditionalFormatting>
  <conditionalFormatting sqref="I9">
    <cfRule type="iconSet" priority="226">
      <iconSet>
        <cfvo type="percent" val="0"/>
        <cfvo type="num" val="95"/>
        <cfvo type="num" val="10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95"/>
        <cfvo type="num" val="100"/>
      </iconSet>
    </cfRule>
  </conditionalFormatting>
  <conditionalFormatting sqref="I10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70"/>
        <cfvo type="num" val="90"/>
      </iconSet>
    </cfRule>
    <cfRule type="iconSet" priority="225">
      <iconSet>
        <cfvo type="percent" val="0"/>
        <cfvo type="num" val="95"/>
        <cfvo type="num" val="100"/>
      </iconSet>
    </cfRule>
  </conditionalFormatting>
  <conditionalFormatting sqref="I11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I12">
    <cfRule type="iconSet" priority="199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</conditionalFormatting>
  <conditionalFormatting sqref="I13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I14"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5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</conditionalFormatting>
  <conditionalFormatting sqref="I15"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</conditionalFormatting>
  <conditionalFormatting sqref="I17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18:I20"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95"/>
        <cfvo type="num" val="10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22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23:I26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27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28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9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33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34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35:I36"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</conditionalFormatting>
  <conditionalFormatting sqref="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</conditionalFormatting>
  <conditionalFormatting sqref="I39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40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41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42"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70"/>
        <cfvo type="num" val="9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I43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45"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259</v>
      </c>
      <c r="U2" s="7" t="s">
        <v>259</v>
      </c>
      <c r="AO2" s="22"/>
    </row>
    <row r="3" spans="1:56" ht="15.75">
      <c r="D3" s="8" t="s">
        <v>260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261</v>
      </c>
      <c r="E4" s="459"/>
      <c r="O4" s="8" t="s">
        <v>262</v>
      </c>
      <c r="P4" s="459"/>
      <c r="V4" s="264"/>
      <c r="Y4" s="7"/>
      <c r="Z4" s="8" t="s">
        <v>263</v>
      </c>
      <c r="AA4" s="459"/>
      <c r="AB4" s="7"/>
      <c r="AC4" s="7"/>
      <c r="AD4" s="7"/>
      <c r="AJ4" s="7"/>
      <c r="AK4" s="8" t="s">
        <v>264</v>
      </c>
      <c r="AL4" s="459"/>
      <c r="AM4" s="7"/>
      <c r="AN4" s="7"/>
      <c r="AO4" s="7"/>
      <c r="AQ4" s="474"/>
      <c r="AU4" s="7"/>
      <c r="AV4" s="8" t="s">
        <v>265</v>
      </c>
      <c r="AW4" s="459"/>
      <c r="AX4" s="7"/>
      <c r="AY4" s="7"/>
      <c r="AZ4" s="7"/>
    </row>
    <row r="5" spans="1:56" ht="26.45" customHeight="1">
      <c r="A5" s="9" t="s">
        <v>266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5" t="s">
        <v>8</v>
      </c>
      <c r="D6" s="713" t="s">
        <v>267</v>
      </c>
      <c r="E6" s="460"/>
      <c r="F6" s="717" t="s">
        <v>93</v>
      </c>
      <c r="G6" s="715" t="s">
        <v>99</v>
      </c>
      <c r="H6" s="715" t="s">
        <v>268</v>
      </c>
      <c r="I6" s="719" t="str">
        <f>VLOOKUP($A$1,$K$74:$L$85,2,FALSE)</f>
        <v>S.D. AGUSTUS</v>
      </c>
      <c r="J6" s="719"/>
      <c r="K6" s="719"/>
      <c r="L6" s="719"/>
      <c r="N6" s="715" t="s">
        <v>8</v>
      </c>
      <c r="O6" s="713" t="s">
        <v>267</v>
      </c>
      <c r="P6" s="460"/>
      <c r="Q6" s="717" t="s">
        <v>93</v>
      </c>
      <c r="R6" s="715" t="s">
        <v>99</v>
      </c>
      <c r="S6" s="715" t="s">
        <v>268</v>
      </c>
      <c r="T6" s="719" t="str">
        <f>VLOOKUP($A$1,$K$74:$L$85,2,FALSE)</f>
        <v>S.D. AGUSTUS</v>
      </c>
      <c r="U6" s="719"/>
      <c r="V6" s="719"/>
      <c r="W6" s="719"/>
      <c r="Y6" s="715" t="s">
        <v>8</v>
      </c>
      <c r="Z6" s="713" t="s">
        <v>267</v>
      </c>
      <c r="AA6" s="460"/>
      <c r="AB6" s="717" t="s">
        <v>93</v>
      </c>
      <c r="AC6" s="715" t="s">
        <v>99</v>
      </c>
      <c r="AD6" s="715" t="s">
        <v>268</v>
      </c>
      <c r="AE6" s="719" t="str">
        <f>VLOOKUP($A$1,$K$74:$L$85,2,FALSE)</f>
        <v>S.D. AGUSTUS</v>
      </c>
      <c r="AF6" s="719"/>
      <c r="AG6" s="719"/>
      <c r="AH6" s="719"/>
      <c r="AJ6" s="715" t="s">
        <v>8</v>
      </c>
      <c r="AK6" s="713" t="s">
        <v>267</v>
      </c>
      <c r="AL6" s="460"/>
      <c r="AM6" s="717" t="s">
        <v>93</v>
      </c>
      <c r="AN6" s="715" t="s">
        <v>99</v>
      </c>
      <c r="AO6" s="715" t="s">
        <v>268</v>
      </c>
      <c r="AP6" s="719" t="str">
        <f>VLOOKUP($A$1,$K$74:$L$85,2,FALSE)</f>
        <v>S.D. AGUSTUS</v>
      </c>
      <c r="AQ6" s="719"/>
      <c r="AR6" s="719"/>
      <c r="AS6" s="719"/>
      <c r="AU6" s="715" t="s">
        <v>8</v>
      </c>
      <c r="AV6" s="713" t="s">
        <v>267</v>
      </c>
      <c r="AW6" s="460"/>
      <c r="AX6" s="717" t="s">
        <v>93</v>
      </c>
      <c r="AY6" s="715" t="s">
        <v>99</v>
      </c>
      <c r="AZ6" s="715" t="s">
        <v>268</v>
      </c>
      <c r="BA6" s="719" t="str">
        <f>VLOOKUP($A$1,$K$74:$L$85,2,FALSE)</f>
        <v>S.D. AGUSTUS</v>
      </c>
      <c r="BB6" s="719"/>
      <c r="BC6" s="719"/>
      <c r="BD6" s="719"/>
    </row>
    <row r="7" spans="1:56" s="11" customFormat="1">
      <c r="B7" s="185"/>
      <c r="C7" s="716"/>
      <c r="D7" s="714"/>
      <c r="E7" s="461"/>
      <c r="F7" s="718"/>
      <c r="G7" s="716"/>
      <c r="H7" s="716"/>
      <c r="I7" s="602" t="s">
        <v>100</v>
      </c>
      <c r="J7" s="602" t="s">
        <v>254</v>
      </c>
      <c r="K7" s="602" t="s">
        <v>102</v>
      </c>
      <c r="L7" s="602" t="s">
        <v>103</v>
      </c>
      <c r="N7" s="716"/>
      <c r="O7" s="714"/>
      <c r="P7" s="461"/>
      <c r="Q7" s="718"/>
      <c r="R7" s="716"/>
      <c r="S7" s="716"/>
      <c r="T7" s="602" t="s">
        <v>100</v>
      </c>
      <c r="U7" s="602" t="s">
        <v>254</v>
      </c>
      <c r="V7" s="602" t="s">
        <v>102</v>
      </c>
      <c r="W7" s="602" t="s">
        <v>103</v>
      </c>
      <c r="Y7" s="716"/>
      <c r="Z7" s="714"/>
      <c r="AA7" s="461"/>
      <c r="AB7" s="718"/>
      <c r="AC7" s="716"/>
      <c r="AD7" s="716"/>
      <c r="AE7" s="602" t="s">
        <v>100</v>
      </c>
      <c r="AF7" s="602" t="s">
        <v>254</v>
      </c>
      <c r="AG7" s="602" t="s">
        <v>102</v>
      </c>
      <c r="AH7" s="602" t="s">
        <v>103</v>
      </c>
      <c r="AJ7" s="716"/>
      <c r="AK7" s="714"/>
      <c r="AL7" s="461"/>
      <c r="AM7" s="718"/>
      <c r="AN7" s="716"/>
      <c r="AO7" s="716"/>
      <c r="AP7" s="602" t="s">
        <v>100</v>
      </c>
      <c r="AQ7" s="602" t="s">
        <v>254</v>
      </c>
      <c r="AR7" s="602" t="s">
        <v>102</v>
      </c>
      <c r="AS7" s="602" t="s">
        <v>103</v>
      </c>
      <c r="AU7" s="716"/>
      <c r="AV7" s="714"/>
      <c r="AW7" s="461"/>
      <c r="AX7" s="718"/>
      <c r="AY7" s="716"/>
      <c r="AZ7" s="716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269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269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270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270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270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270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270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69"/>
      <c r="O60" s="669"/>
      <c r="P60" s="669"/>
      <c r="Q60" s="669"/>
      <c r="R60" s="669"/>
      <c r="S60" s="669"/>
      <c r="T60" s="669"/>
      <c r="U60" s="669"/>
      <c r="V60" s="669"/>
      <c r="W60" s="669"/>
      <c r="X60" s="15"/>
      <c r="Y60" s="669"/>
      <c r="Z60" s="669"/>
      <c r="AA60" s="669"/>
      <c r="AB60" s="669"/>
      <c r="AC60" s="669"/>
      <c r="AD60" s="669"/>
      <c r="AE60" s="669"/>
      <c r="AF60" s="669"/>
      <c r="AG60" s="669"/>
      <c r="AH60" s="669"/>
      <c r="AJ60" s="669"/>
      <c r="AK60" s="669"/>
      <c r="AL60" s="669"/>
      <c r="AM60" s="669"/>
      <c r="AN60" s="669"/>
      <c r="AO60" s="669"/>
      <c r="AP60" s="669"/>
      <c r="AQ60" s="669"/>
      <c r="AR60" s="669"/>
      <c r="AS60" s="669"/>
      <c r="AU60" s="669"/>
      <c r="AV60" s="669"/>
      <c r="AW60" s="669"/>
      <c r="AX60" s="669"/>
      <c r="AY60" s="669"/>
      <c r="AZ60" s="669"/>
      <c r="BA60" s="669"/>
      <c r="BB60" s="669"/>
      <c r="BC60" s="669"/>
      <c r="BD60" s="669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256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2">
      <iconSet>
        <cfvo type="percent" val="0"/>
        <cfvo type="num" val="95"/>
        <cfvo type="num" val="100"/>
      </iconSet>
    </cfRule>
    <cfRule type="iconSet" priority="7013">
      <iconSet>
        <cfvo type="percent" val="0"/>
        <cfvo type="num" val="70"/>
        <cfvo type="num" val="90"/>
      </iconSet>
    </cfRule>
    <cfRule type="iconSet" priority="7014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19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</conditionalFormatting>
  <conditionalFormatting sqref="K11">
    <cfRule type="iconSet" priority="2592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7">
      <iconSet>
        <cfvo type="percent" val="0"/>
        <cfvo type="num" val="95"/>
        <cfvo type="num" val="100"/>
      </iconSet>
    </cfRule>
    <cfRule type="iconSet" priority="2598">
      <iconSet>
        <cfvo type="percent" val="0"/>
        <cfvo type="num" val="70"/>
        <cfvo type="num" val="9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</conditionalFormatting>
  <conditionalFormatting sqref="K12:K18">
    <cfRule type="iconSet" priority="48230">
      <iconSet>
        <cfvo type="percent" val="0"/>
        <cfvo type="num" val="95"/>
        <cfvo type="num" val="10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5">
      <iconSet>
        <cfvo type="percent" val="0"/>
        <cfvo type="num" val="95"/>
        <cfvo type="num" val="100"/>
      </iconSet>
    </cfRule>
    <cfRule type="iconSet" priority="48236">
      <iconSet>
        <cfvo type="percent" val="0"/>
        <cfvo type="num" val="70"/>
        <cfvo type="num" val="9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8">
      <iconSet>
        <cfvo type="percent" val="0"/>
        <cfvo type="num" val="95"/>
        <cfvo type="num" val="100"/>
      </iconSet>
    </cfRule>
  </conditionalFormatting>
  <conditionalFormatting sqref="K20">
    <cfRule type="iconSet" priority="6967">
      <iconSet>
        <cfvo type="percent" val="0"/>
        <cfvo type="num" val="95"/>
        <cfvo type="num" val="100"/>
      </iconSet>
    </cfRule>
    <cfRule type="iconSet" priority="6968">
      <iconSet>
        <cfvo type="percent" val="0"/>
        <cfvo type="num" val="70"/>
        <cfvo type="num" val="90"/>
      </iconSet>
    </cfRule>
    <cfRule type="iconSet" priority="6969">
      <iconSet>
        <cfvo type="percent" val="0"/>
        <cfvo type="num" val="70"/>
        <cfvo type="num" val="90"/>
      </iconSet>
    </cfRule>
    <cfRule type="iconSet" priority="6970">
      <iconSet>
        <cfvo type="percent" val="0"/>
        <cfvo type="num" val="95"/>
        <cfvo type="num" val="100"/>
      </iconSet>
    </cfRule>
    <cfRule type="iconSet" priority="6971">
      <iconSet>
        <cfvo type="percent" val="0"/>
        <cfvo type="num" val="95"/>
        <cfvo type="num" val="100"/>
      </iconSet>
    </cfRule>
    <cfRule type="iconSet" priority="6972">
      <iconSet>
        <cfvo type="percent" val="0"/>
        <cfvo type="num" val="95"/>
        <cfvo type="num" val="100"/>
      </iconSet>
    </cfRule>
    <cfRule type="iconSet" priority="6973">
      <iconSet>
        <cfvo type="percent" val="0"/>
        <cfvo type="num" val="70"/>
        <cfvo type="num" val="90"/>
      </iconSet>
    </cfRule>
    <cfRule type="iconSet" priority="6974">
      <iconSet>
        <cfvo type="percent" val="0"/>
        <cfvo type="num" val="70"/>
        <cfvo type="num" val="90"/>
      </iconSet>
    </cfRule>
    <cfRule type="iconSet" priority="6975">
      <iconSet>
        <cfvo type="percent" val="0"/>
        <cfvo type="num" val="95"/>
        <cfvo type="num" val="100"/>
      </iconSet>
    </cfRule>
  </conditionalFormatting>
  <conditionalFormatting sqref="K21:K23"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9">
      <iconSet>
        <cfvo type="percent" val="0"/>
        <cfvo type="num" val="95"/>
        <cfvo type="num" val="100"/>
      </iconSet>
    </cfRule>
  </conditionalFormatting>
  <conditionalFormatting sqref="K24:K28">
    <cfRule type="iconSet" priority="1052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8">
      <iconSet>
        <cfvo type="percent" val="0"/>
        <cfvo type="num" val="70"/>
        <cfvo type="num" val="90"/>
      </iconSet>
    </cfRule>
    <cfRule type="iconSet" priority="1059">
      <iconSet>
        <cfvo type="percent" val="0"/>
        <cfvo type="num" val="70"/>
        <cfvo type="num" val="90"/>
      </iconSet>
    </cfRule>
    <cfRule type="iconSet" priority="1060">
      <iconSet>
        <cfvo type="percent" val="0"/>
        <cfvo type="num" val="95"/>
        <cfvo type="num" val="100"/>
      </iconSet>
    </cfRule>
  </conditionalFormatting>
  <conditionalFormatting sqref="K29:K45">
    <cfRule type="iconSet" priority="47908">
      <iconSet>
        <cfvo type="percent" val="0"/>
        <cfvo type="num" val="95"/>
        <cfvo type="num" val="100"/>
      </iconSet>
    </cfRule>
    <cfRule type="iconSet" priority="47909">
      <iconSet>
        <cfvo type="percent" val="0"/>
        <cfvo type="num" val="70"/>
        <cfvo type="num" val="90"/>
      </iconSet>
    </cfRule>
    <cfRule type="iconSet" priority="47910">
      <iconSet>
        <cfvo type="percent" val="0"/>
        <cfvo type="num" val="70"/>
        <cfvo type="num" val="9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8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</conditionalFormatting>
  <conditionalFormatting sqref="K48:K50"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7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9">
      <iconSet>
        <cfvo type="percent" val="0"/>
        <cfvo type="num" val="95"/>
        <cfvo type="num" val="100"/>
      </iconSet>
    </cfRule>
  </conditionalFormatting>
  <conditionalFormatting sqref="K51:K54">
    <cfRule type="iconSet" priority="48085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90">
      <iconSet>
        <cfvo type="percent" val="0"/>
        <cfvo type="num" val="95"/>
        <cfvo type="num" val="100"/>
      </iconSet>
    </cfRule>
    <cfRule type="iconSet" priority="48091">
      <iconSet>
        <cfvo type="percent" val="0"/>
        <cfvo type="num" val="70"/>
        <cfvo type="num" val="9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3">
      <iconSet>
        <cfvo type="percent" val="0"/>
        <cfvo type="num" val="95"/>
        <cfvo type="num" val="100"/>
      </iconSet>
    </cfRule>
  </conditionalFormatting>
  <conditionalFormatting sqref="K55"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95"/>
        <cfvo type="num" val="100"/>
      </iconSet>
    </cfRule>
    <cfRule type="iconSet" priority="1040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  <cfRule type="iconSet" priority="1042">
      <iconSet>
        <cfvo type="percent" val="0"/>
        <cfvo type="num" val="95"/>
        <cfvo type="num" val="100"/>
      </iconSet>
    </cfRule>
  </conditionalFormatting>
  <conditionalFormatting sqref="K56">
    <cfRule type="iconSet" priority="8970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3">
      <iconSet>
        <cfvo type="percent" val="0"/>
        <cfvo type="num" val="70"/>
        <cfvo type="num" val="90"/>
      </iconSet>
    </cfRule>
    <cfRule type="iconSet" priority="8974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54">
      <iconSet>
        <cfvo type="percent" val="0"/>
        <cfvo type="num" val="70"/>
        <cfvo type="num" val="9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9">
      <iconSet>
        <cfvo type="percent" val="0"/>
        <cfvo type="num" val="70"/>
        <cfvo type="num" val="9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3">
      <iconSet>
        <cfvo type="percent" val="0"/>
        <cfvo type="num" val="70"/>
        <cfvo type="num" val="90"/>
      </iconSet>
    </cfRule>
    <cfRule type="iconSet" priority="14984">
      <iconSet>
        <cfvo type="percent" val="0"/>
        <cfvo type="num" val="95"/>
        <cfvo type="num" val="100"/>
      </iconSet>
    </cfRule>
    <cfRule type="iconSet" priority="15807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895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70"/>
        <cfvo type="num" val="9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900">
      <iconSet>
        <cfvo type="percent" val="0"/>
        <cfvo type="num" val="95"/>
        <cfvo type="num" val="100"/>
      </iconSet>
    </cfRule>
    <cfRule type="iconSet" priority="901">
      <iconSet>
        <cfvo type="percent" val="0"/>
        <cfvo type="num" val="70"/>
        <cfvo type="num" val="90"/>
      </iconSet>
    </cfRule>
    <cfRule type="iconSet" priority="902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95"/>
        <cfvo type="num" val="100"/>
      </iconSet>
    </cfRule>
  </conditionalFormatting>
  <conditionalFormatting sqref="V11">
    <cfRule type="iconSet" priority="859">
      <iconSet>
        <cfvo type="percent" val="0"/>
        <cfvo type="num" val="95"/>
        <cfvo type="num" val="100"/>
      </iconSet>
    </cfRule>
    <cfRule type="iconSet" priority="860">
      <iconSet>
        <cfvo type="percent" val="0"/>
        <cfvo type="num" val="70"/>
        <cfvo type="num" val="90"/>
      </iconSet>
    </cfRule>
    <cfRule type="iconSet" priority="861">
      <iconSet>
        <cfvo type="percent" val="0"/>
        <cfvo type="num" val="70"/>
        <cfvo type="num" val="90"/>
      </iconSet>
    </cfRule>
    <cfRule type="iconSet" priority="862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4">
      <iconSet>
        <cfvo type="percent" val="0"/>
        <cfvo type="num" val="95"/>
        <cfvo type="num" val="100"/>
      </iconSet>
    </cfRule>
    <cfRule type="iconSet" priority="865">
      <iconSet>
        <cfvo type="percent" val="0"/>
        <cfvo type="num" val="70"/>
        <cfvo type="num" val="90"/>
      </iconSet>
    </cfRule>
    <cfRule type="iconSet" priority="866">
      <iconSet>
        <cfvo type="percent" val="0"/>
        <cfvo type="num" val="70"/>
        <cfvo type="num" val="90"/>
      </iconSet>
    </cfRule>
    <cfRule type="iconSet" priority="867">
      <iconSet>
        <cfvo type="percent" val="0"/>
        <cfvo type="num" val="95"/>
        <cfvo type="num" val="100"/>
      </iconSet>
    </cfRule>
  </conditionalFormatting>
  <conditionalFormatting sqref="V12:V17"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9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95"/>
        <cfvo type="num" val="10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9">
      <iconSet>
        <cfvo type="percent" val="0"/>
        <cfvo type="num" val="95"/>
        <cfvo type="num" val="100"/>
      </iconSet>
    </cfRule>
    <cfRule type="iconSet" priority="820">
      <iconSet>
        <cfvo type="percent" val="0"/>
        <cfvo type="num" val="70"/>
        <cfvo type="num" val="90"/>
      </iconSet>
    </cfRule>
    <cfRule type="iconSet" priority="821">
      <iconSet>
        <cfvo type="percent" val="0"/>
        <cfvo type="num" val="70"/>
        <cfvo type="num" val="90"/>
      </iconSet>
    </cfRule>
    <cfRule type="iconSet" priority="822">
      <iconSet>
        <cfvo type="percent" val="0"/>
        <cfvo type="num" val="95"/>
        <cfvo type="num" val="100"/>
      </iconSet>
    </cfRule>
  </conditionalFormatting>
  <conditionalFormatting sqref="V24:V25">
    <cfRule type="iconSet" priority="805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2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V26"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70"/>
        <cfvo type="num" val="9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95"/>
        <cfvo type="num" val="100"/>
      </iconSet>
    </cfRule>
  </conditionalFormatting>
  <conditionalFormatting sqref="V27:V45">
    <cfRule type="iconSet" priority="47933">
      <iconSet>
        <cfvo type="percent" val="0"/>
        <cfvo type="num" val="95"/>
        <cfvo type="num" val="100"/>
      </iconSet>
    </cfRule>
    <cfRule type="iconSet" priority="47934">
      <iconSet>
        <cfvo type="percent" val="0"/>
        <cfvo type="num" val="70"/>
        <cfvo type="num" val="9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</conditionalFormatting>
  <conditionalFormatting sqref="V46:V47">
    <cfRule type="iconSet" priority="877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70"/>
        <cfvo type="num" val="9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25">
      <iconSet>
        <cfvo type="percent" val="0"/>
        <cfvo type="num" val="70"/>
        <cfvo type="num" val="9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9">
      <iconSet>
        <cfvo type="percent" val="0"/>
        <cfvo type="num" val="70"/>
        <cfvo type="num" val="90"/>
      </iconSet>
    </cfRule>
    <cfRule type="iconSet" priority="48030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</conditionalFormatting>
  <conditionalFormatting sqref="V49:V54">
    <cfRule type="iconSet" priority="48109">
      <iconSet>
        <cfvo type="percent" val="0"/>
        <cfvo type="num" val="95"/>
        <cfvo type="num" val="100"/>
      </iconSet>
    </cfRule>
    <cfRule type="iconSet" priority="48110">
      <iconSet>
        <cfvo type="percent" val="0"/>
        <cfvo type="num" val="70"/>
        <cfvo type="num" val="9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3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5">
      <iconSet>
        <cfvo type="percent" val="0"/>
        <cfvo type="num" val="70"/>
        <cfvo type="num" val="9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7">
      <iconSet>
        <cfvo type="percent" val="0"/>
        <cfvo type="num" val="95"/>
        <cfvo type="num" val="100"/>
      </iconSet>
    </cfRule>
  </conditionalFormatting>
  <conditionalFormatting sqref="V55">
    <cfRule type="iconSet" priority="796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40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62">
      <iconSet>
        <cfvo type="percent" val="0"/>
        <cfvo type="num" val="95"/>
        <cfvo type="num" val="10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71">
      <iconSet>
        <cfvo type="percent" val="0"/>
        <cfvo type="num" val="70"/>
        <cfvo type="num" val="90"/>
      </iconSet>
    </cfRule>
    <cfRule type="iconSet" priority="972">
      <iconSet>
        <cfvo type="percent" val="0"/>
        <cfvo type="num" val="70"/>
        <cfvo type="num" val="90"/>
      </iconSet>
    </cfRule>
    <cfRule type="iconSet" priority="973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3">
      <iconSet>
        <cfvo type="percent" val="0"/>
        <cfvo type="num" val="70"/>
        <cfvo type="num" val="9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70"/>
        <cfvo type="num" val="9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</conditionalFormatting>
  <conditionalFormatting sqref="AG11"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0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</conditionalFormatting>
  <conditionalFormatting sqref="AG18"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AG26">
    <cfRule type="iconSet" priority="681">
      <iconSet>
        <cfvo type="percent" val="0"/>
        <cfvo type="num" val="95"/>
        <cfvo type="num" val="10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56">
      <iconSet>
        <cfvo type="percent" val="0"/>
        <cfvo type="num" val="95"/>
        <cfvo type="num" val="10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60">
      <iconSet>
        <cfvo type="percent" val="0"/>
        <cfvo type="num" val="95"/>
        <cfvo type="num" val="10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4">
      <iconSet>
        <cfvo type="percent" val="0"/>
        <cfvo type="num" val="95"/>
        <cfvo type="num" val="100"/>
      </iconSet>
    </cfRule>
  </conditionalFormatting>
  <conditionalFormatting sqref="AG46:AG47">
    <cfRule type="iconSet" priority="648">
      <iconSet>
        <cfvo type="percent" val="0"/>
        <cfvo type="num" val="95"/>
        <cfvo type="num" val="100"/>
      </iconSet>
    </cfRule>
    <cfRule type="iconSet" priority="649">
      <iconSet>
        <cfvo type="percent" val="0"/>
        <cfvo type="num" val="70"/>
        <cfvo type="num" val="90"/>
      </iconSet>
    </cfRule>
    <cfRule type="iconSet" priority="650">
      <iconSet>
        <cfvo type="percent" val="0"/>
        <cfvo type="num" val="70"/>
        <cfvo type="num" val="9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4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6">
      <iconSet>
        <cfvo type="percent" val="0"/>
        <cfvo type="num" val="95"/>
        <cfvo type="num" val="10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</conditionalFormatting>
  <conditionalFormatting sqref="AG55">
    <cfRule type="iconSet" priority="567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70"/>
        <cfvo type="num" val="9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90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701">
      <iconSet>
        <cfvo type="percent" val="0"/>
        <cfvo type="num" val="95"/>
        <cfvo type="num" val="10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70"/>
        <cfvo type="num" val="9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</conditionalFormatting>
  <conditionalFormatting sqref="AR12:AR17">
    <cfRule type="iconSet" priority="48298">
      <iconSet>
        <cfvo type="percent" val="0"/>
        <cfvo type="num" val="95"/>
        <cfvo type="num" val="100"/>
      </iconSet>
    </cfRule>
    <cfRule type="iconSet" priority="48299">
      <iconSet>
        <cfvo type="percent" val="0"/>
        <cfvo type="num" val="70"/>
        <cfvo type="num" val="90"/>
      </iconSet>
    </cfRule>
    <cfRule type="iconSet" priority="48300">
      <iconSet>
        <cfvo type="percent" val="0"/>
        <cfvo type="num" val="70"/>
        <cfvo type="num" val="9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5">
      <iconSet>
        <cfvo type="percent" val="0"/>
        <cfvo type="num" val="70"/>
        <cfvo type="num" val="9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</conditionalFormatting>
  <conditionalFormatting sqref="AR20"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2">
      <iconSet>
        <cfvo type="percent" val="0"/>
        <cfvo type="num" val="95"/>
        <cfvo type="num" val="10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</conditionalFormatting>
  <conditionalFormatting sqref="AR27:AR45">
    <cfRule type="iconSet" priority="47979">
      <iconSet>
        <cfvo type="percent" val="0"/>
        <cfvo type="num" val="95"/>
        <cfvo type="num" val="100"/>
      </iconSet>
    </cfRule>
    <cfRule type="iconSet" priority="47980">
      <iconSet>
        <cfvo type="percent" val="0"/>
        <cfvo type="num" val="70"/>
        <cfvo type="num" val="90"/>
      </iconSet>
    </cfRule>
    <cfRule type="iconSet" priority="47981">
      <iconSet>
        <cfvo type="percent" val="0"/>
        <cfvo type="num" val="70"/>
        <cfvo type="num" val="9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7">
      <iconSet>
        <cfvo type="percent" val="0"/>
        <cfvo type="num" val="95"/>
        <cfvo type="num" val="100"/>
      </iconSet>
    </cfRule>
  </conditionalFormatting>
  <conditionalFormatting sqref="AR46:AR47"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70"/>
        <cfvo type="num" val="9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3">
      <iconSet>
        <cfvo type="percent" val="0"/>
        <cfvo type="num" val="95"/>
        <cfvo type="num" val="100"/>
      </iconSet>
    </cfRule>
    <cfRule type="iconSet" priority="48044">
      <iconSet>
        <cfvo type="percent" val="0"/>
        <cfvo type="num" val="70"/>
        <cfvo type="num" val="9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7">
      <iconSet>
        <cfvo type="percent" val="0"/>
        <cfvo type="num" val="95"/>
        <cfvo type="num" val="10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50">
      <iconSet>
        <cfvo type="percent" val="0"/>
        <cfvo type="num" val="70"/>
        <cfvo type="num" val="90"/>
      </iconSet>
    </cfRule>
    <cfRule type="iconSet" priority="48051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70"/>
        <cfvo type="num" val="9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95"/>
        <cfvo type="num" val="10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70"/>
        <cfvo type="num" val="9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95"/>
        <cfvo type="num" val="100"/>
      </iconSet>
    </cfRule>
    <cfRule type="iconSet" priority="520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BC11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1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7">
      <iconSet>
        <cfvo type="percent" val="0"/>
        <cfvo type="num" val="70"/>
        <cfvo type="num" val="90"/>
      </iconSet>
    </cfRule>
    <cfRule type="iconSet" priority="48328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</conditionalFormatting>
  <conditionalFormatting sqref="BC18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BC20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BC24:BC25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BC26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BC27:BC4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BC46:BC47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BC48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BC49:BC50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BC51:BC54">
    <cfRule type="iconSet" priority="48178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86">
      <iconSet>
        <cfvo type="percent" val="0"/>
        <cfvo type="num" val="95"/>
        <cfvo type="num" val="100"/>
      </iconSet>
    </cfRule>
  </conditionalFormatting>
  <conditionalFormatting sqref="BC55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BC56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4" t="s">
        <v>8</v>
      </c>
      <c r="B4" s="726" t="s">
        <v>9</v>
      </c>
      <c r="C4" s="727"/>
      <c r="D4" s="724" t="s">
        <v>93</v>
      </c>
      <c r="E4" s="724" t="s">
        <v>272</v>
      </c>
      <c r="F4" s="724" t="s">
        <v>99</v>
      </c>
      <c r="G4" s="720" t="s">
        <v>100</v>
      </c>
      <c r="H4" s="720"/>
      <c r="I4" s="721" t="s">
        <v>273</v>
      </c>
      <c r="J4" s="722"/>
      <c r="K4" s="722"/>
      <c r="L4" s="722"/>
      <c r="M4" s="722"/>
      <c r="N4" s="722"/>
      <c r="O4" s="722"/>
      <c r="P4" s="722"/>
      <c r="Q4" s="722"/>
      <c r="R4" s="722"/>
      <c r="S4" s="722"/>
      <c r="T4" s="723"/>
      <c r="U4" s="205"/>
      <c r="V4" s="205"/>
    </row>
    <row r="5" spans="1:22" s="206" customFormat="1" ht="15" customHeight="1">
      <c r="A5" s="725"/>
      <c r="B5" s="728"/>
      <c r="C5" s="729"/>
      <c r="D5" s="725"/>
      <c r="E5" s="725"/>
      <c r="F5" s="725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269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5" t="s">
        <v>8</v>
      </c>
      <c r="B4" s="737" t="s">
        <v>9</v>
      </c>
      <c r="C4" s="738"/>
      <c r="D4" s="715" t="s">
        <v>93</v>
      </c>
      <c r="E4" s="717" t="s">
        <v>272</v>
      </c>
      <c r="F4" s="715" t="s">
        <v>99</v>
      </c>
      <c r="G4" s="715" t="s">
        <v>374</v>
      </c>
      <c r="H4" s="715" t="s">
        <v>375</v>
      </c>
      <c r="I4" s="730" t="s">
        <v>376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</row>
    <row r="5" spans="1:22">
      <c r="A5" s="736"/>
      <c r="B5" s="739"/>
      <c r="C5" s="740"/>
      <c r="D5" s="716"/>
      <c r="E5" s="718"/>
      <c r="F5" s="716"/>
      <c r="G5" s="716"/>
      <c r="H5" s="716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3">
        <v>2</v>
      </c>
      <c r="C6" s="734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39"/>
      <c r="D3" s="28"/>
      <c r="E3" s="28"/>
      <c r="U3" s="31"/>
      <c r="V3" s="31"/>
    </row>
    <row r="4" spans="1:22" ht="15" customHeight="1">
      <c r="A4" s="735" t="s">
        <v>8</v>
      </c>
      <c r="B4" s="737" t="s">
        <v>9</v>
      </c>
      <c r="C4" s="738"/>
      <c r="D4" s="715" t="s">
        <v>93</v>
      </c>
      <c r="E4" s="717" t="s">
        <v>272</v>
      </c>
      <c r="F4" s="715" t="s">
        <v>99</v>
      </c>
      <c r="G4" s="715" t="s">
        <v>374</v>
      </c>
      <c r="H4" s="715" t="s">
        <v>375</v>
      </c>
      <c r="I4" s="730" t="s">
        <v>379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</row>
    <row r="5" spans="1:22" ht="15" customHeight="1">
      <c r="A5" s="736"/>
      <c r="B5" s="739"/>
      <c r="C5" s="740"/>
      <c r="D5" s="716"/>
      <c r="E5" s="718"/>
      <c r="F5" s="716"/>
      <c r="G5" s="716"/>
      <c r="H5" s="716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3">
        <v>2</v>
      </c>
      <c r="C6" s="734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5" t="s">
        <v>8</v>
      </c>
      <c r="B4" s="737" t="s">
        <v>9</v>
      </c>
      <c r="C4" s="738"/>
      <c r="D4" s="715" t="s">
        <v>93</v>
      </c>
      <c r="E4" s="717" t="s">
        <v>272</v>
      </c>
      <c r="F4" s="715" t="s">
        <v>99</v>
      </c>
      <c r="G4" s="715" t="s">
        <v>374</v>
      </c>
      <c r="H4" s="715" t="s">
        <v>375</v>
      </c>
      <c r="I4" s="730" t="s">
        <v>376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</row>
    <row r="5" spans="1:22" ht="15" customHeight="1">
      <c r="A5" s="736"/>
      <c r="B5" s="739"/>
      <c r="C5" s="740"/>
      <c r="D5" s="716"/>
      <c r="E5" s="718"/>
      <c r="F5" s="716"/>
      <c r="G5" s="716"/>
      <c r="H5" s="716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3">
        <v>2</v>
      </c>
      <c r="C6" s="734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abSelected="1"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5" t="s">
        <v>8</v>
      </c>
      <c r="B4" s="737" t="s">
        <v>9</v>
      </c>
      <c r="C4" s="738"/>
      <c r="D4" s="715" t="s">
        <v>93</v>
      </c>
      <c r="E4" s="717" t="s">
        <v>272</v>
      </c>
      <c r="F4" s="715" t="s">
        <v>99</v>
      </c>
      <c r="G4" s="715" t="s">
        <v>374</v>
      </c>
      <c r="H4" s="715" t="s">
        <v>375</v>
      </c>
      <c r="I4" s="730" t="s">
        <v>379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</row>
    <row r="5" spans="1:22" ht="15" customHeight="1">
      <c r="A5" s="736"/>
      <c r="B5" s="739"/>
      <c r="C5" s="740"/>
      <c r="D5" s="716"/>
      <c r="E5" s="718"/>
      <c r="F5" s="716"/>
      <c r="G5" s="716"/>
      <c r="H5" s="716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3">
        <v>2</v>
      </c>
      <c r="C6" s="734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5" t="s">
        <v>8</v>
      </c>
      <c r="B4" s="737" t="s">
        <v>9</v>
      </c>
      <c r="C4" s="738"/>
      <c r="D4" s="715" t="s">
        <v>93</v>
      </c>
      <c r="E4" s="717" t="s">
        <v>272</v>
      </c>
      <c r="F4" s="715" t="s">
        <v>99</v>
      </c>
      <c r="G4" s="715" t="s">
        <v>374</v>
      </c>
      <c r="H4" s="715" t="s">
        <v>375</v>
      </c>
      <c r="I4" s="730" t="s">
        <v>379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</row>
    <row r="5" spans="1:22" ht="15" customHeight="1">
      <c r="A5" s="736"/>
      <c r="B5" s="739"/>
      <c r="C5" s="740"/>
      <c r="D5" s="716"/>
      <c r="E5" s="718"/>
      <c r="F5" s="716"/>
      <c r="G5" s="716"/>
      <c r="H5" s="716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3">
        <v>2</v>
      </c>
      <c r="C6" s="734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4" t="s">
        <v>8</v>
      </c>
      <c r="B4" s="726" t="s">
        <v>9</v>
      </c>
      <c r="C4" s="727"/>
      <c r="D4" s="724" t="s">
        <v>93</v>
      </c>
      <c r="E4" s="724" t="s">
        <v>272</v>
      </c>
      <c r="F4" s="724" t="s">
        <v>99</v>
      </c>
      <c r="G4" s="720" t="s">
        <v>100</v>
      </c>
      <c r="H4" s="720"/>
      <c r="I4" s="721" t="s">
        <v>382</v>
      </c>
      <c r="J4" s="722"/>
      <c r="K4" s="722"/>
      <c r="L4" s="722"/>
      <c r="M4" s="722"/>
      <c r="N4" s="722"/>
      <c r="O4" s="722"/>
      <c r="P4" s="722"/>
      <c r="Q4" s="722"/>
      <c r="R4" s="722"/>
      <c r="S4" s="722"/>
      <c r="T4" s="723"/>
      <c r="U4" s="205"/>
      <c r="V4" s="205"/>
    </row>
    <row r="5" spans="1:22" s="206" customFormat="1" ht="15" customHeight="1">
      <c r="A5" s="725"/>
      <c r="B5" s="728"/>
      <c r="C5" s="729"/>
      <c r="D5" s="725"/>
      <c r="E5" s="725"/>
      <c r="F5" s="725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269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1" t="s">
        <v>8</v>
      </c>
      <c r="B4" s="743" t="s">
        <v>9</v>
      </c>
      <c r="C4" s="744"/>
      <c r="D4" s="741" t="s">
        <v>93</v>
      </c>
      <c r="E4" s="741" t="s">
        <v>272</v>
      </c>
      <c r="F4" s="741" t="s">
        <v>99</v>
      </c>
      <c r="G4" s="747" t="s">
        <v>100</v>
      </c>
      <c r="H4" s="748"/>
      <c r="I4" s="730" t="s">
        <v>273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  <c r="U4" s="32"/>
      <c r="V4" s="32"/>
    </row>
    <row r="5" spans="1:22" s="33" customFormat="1" ht="15" customHeight="1">
      <c r="A5" s="742"/>
      <c r="B5" s="745"/>
      <c r="C5" s="746"/>
      <c r="D5" s="742"/>
      <c r="E5" s="742"/>
      <c r="F5" s="742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377</v>
      </c>
      <c r="C3" s="439"/>
    </row>
    <row r="4" spans="1:22" s="33" customFormat="1" ht="15" customHeight="1">
      <c r="A4" s="741" t="s">
        <v>8</v>
      </c>
      <c r="B4" s="743" t="s">
        <v>9</v>
      </c>
      <c r="C4" s="744"/>
      <c r="D4" s="741" t="s">
        <v>93</v>
      </c>
      <c r="E4" s="741" t="s">
        <v>272</v>
      </c>
      <c r="F4" s="741" t="s">
        <v>99</v>
      </c>
      <c r="G4" s="747" t="s">
        <v>100</v>
      </c>
      <c r="H4" s="748"/>
      <c r="I4" s="730" t="s">
        <v>273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  <c r="U4" s="32"/>
      <c r="V4" s="32"/>
    </row>
    <row r="5" spans="1:22" s="33" customFormat="1" ht="15" customHeight="1">
      <c r="A5" s="742"/>
      <c r="B5" s="745"/>
      <c r="C5" s="746"/>
      <c r="D5" s="742"/>
      <c r="E5" s="742"/>
      <c r="F5" s="742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378</v>
      </c>
      <c r="C3" s="439"/>
    </row>
    <row r="4" spans="1:22" s="33" customFormat="1" ht="15" customHeight="1">
      <c r="A4" s="741" t="s">
        <v>8</v>
      </c>
      <c r="B4" s="743" t="s">
        <v>9</v>
      </c>
      <c r="C4" s="744"/>
      <c r="D4" s="741" t="s">
        <v>93</v>
      </c>
      <c r="E4" s="741" t="s">
        <v>272</v>
      </c>
      <c r="F4" s="741" t="s">
        <v>99</v>
      </c>
      <c r="G4" s="747" t="s">
        <v>100</v>
      </c>
      <c r="H4" s="748"/>
      <c r="I4" s="730" t="s">
        <v>273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  <c r="U4" s="32"/>
      <c r="V4" s="32"/>
    </row>
    <row r="5" spans="1:22" s="33" customFormat="1" ht="15" customHeight="1">
      <c r="A5" s="742"/>
      <c r="B5" s="745"/>
      <c r="C5" s="746"/>
      <c r="D5" s="742"/>
      <c r="E5" s="742"/>
      <c r="F5" s="742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1" t="s">
        <v>8</v>
      </c>
      <c r="B4" s="743" t="s">
        <v>9</v>
      </c>
      <c r="C4" s="744"/>
      <c r="D4" s="741" t="s">
        <v>93</v>
      </c>
      <c r="E4" s="741" t="s">
        <v>272</v>
      </c>
      <c r="F4" s="741" t="s">
        <v>99</v>
      </c>
      <c r="G4" s="747" t="s">
        <v>100</v>
      </c>
      <c r="H4" s="748"/>
      <c r="I4" s="730" t="s">
        <v>273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  <c r="U4" s="32"/>
      <c r="V4" s="32"/>
    </row>
    <row r="5" spans="1:22" s="33" customFormat="1" ht="15" customHeight="1">
      <c r="A5" s="742"/>
      <c r="B5" s="745"/>
      <c r="C5" s="746"/>
      <c r="D5" s="742"/>
      <c r="E5" s="742"/>
      <c r="F5" s="742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1" t="s">
        <v>8</v>
      </c>
      <c r="B4" s="743" t="s">
        <v>9</v>
      </c>
      <c r="C4" s="744"/>
      <c r="D4" s="741" t="s">
        <v>93</v>
      </c>
      <c r="E4" s="741" t="s">
        <v>272</v>
      </c>
      <c r="F4" s="741" t="s">
        <v>99</v>
      </c>
      <c r="G4" s="747" t="s">
        <v>100</v>
      </c>
      <c r="H4" s="748"/>
      <c r="I4" s="730" t="s">
        <v>273</v>
      </c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2"/>
      <c r="U4" s="32"/>
      <c r="V4" s="32"/>
    </row>
    <row r="5" spans="1:22" s="33" customFormat="1" ht="15" customHeight="1">
      <c r="A5" s="742"/>
      <c r="B5" s="745"/>
      <c r="C5" s="746"/>
      <c r="D5" s="742"/>
      <c r="E5" s="742"/>
      <c r="F5" s="742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opLeftCell="A12" zoomScale="119" workbookViewId="0">
      <selection activeCell="G54" sqref="G54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 t="s">
        <v>452</v>
      </c>
      <c r="AJ1" s="751" t="s">
        <v>472</v>
      </c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1"/>
      <c r="BA1" s="751" t="s">
        <v>472</v>
      </c>
      <c r="BB1" s="751"/>
      <c r="BC1" s="751"/>
      <c r="BD1" s="751"/>
      <c r="BE1" s="751"/>
      <c r="BF1" s="751"/>
      <c r="BG1" s="751"/>
      <c r="BH1" s="751"/>
      <c r="BI1" s="751"/>
      <c r="BJ1" s="751"/>
      <c r="BK1" s="751"/>
      <c r="BL1" s="751"/>
      <c r="BM1" s="751"/>
    </row>
    <row r="2" spans="1:85"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49" t="s">
        <v>453</v>
      </c>
      <c r="BQ2" s="749"/>
      <c r="BR2" s="749"/>
      <c r="BS2" s="749"/>
      <c r="BT2" s="749"/>
      <c r="BU2" s="749"/>
      <c r="BV2" s="749"/>
      <c r="BW2" s="749"/>
      <c r="BX2" s="749"/>
      <c r="BY2" s="749"/>
      <c r="BZ2" s="749"/>
      <c r="CA2" s="749"/>
      <c r="CB2" s="749"/>
      <c r="CC2" s="749"/>
    </row>
    <row r="3" spans="1:85">
      <c r="A3" t="s">
        <v>454</v>
      </c>
      <c r="B3" t="s">
        <v>455</v>
      </c>
      <c r="C3" t="s">
        <v>456</v>
      </c>
      <c r="E3" s="21" t="s">
        <v>457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457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457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457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458</v>
      </c>
      <c r="BR3" s="21"/>
      <c r="BS3" s="105" t="s">
        <v>459</v>
      </c>
      <c r="BT3" s="105" t="s">
        <v>460</v>
      </c>
      <c r="BU3" s="105" t="s">
        <v>461</v>
      </c>
      <c r="BX3" s="752" t="s">
        <v>459</v>
      </c>
      <c r="BY3" s="105" t="s">
        <v>9</v>
      </c>
      <c r="BZ3">
        <f>COUNT(BS4:BS10)</f>
        <v>5</v>
      </c>
      <c r="CB3" t="s">
        <v>459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462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458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2"/>
      <c r="BY4" s="105" t="s">
        <v>463</v>
      </c>
      <c r="BZ4">
        <f>COUNT(BS11:BS42)</f>
        <v>25</v>
      </c>
      <c r="CB4" t="s">
        <v>460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462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458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2" t="s">
        <v>460</v>
      </c>
      <c r="BY5" s="105" t="s">
        <v>9</v>
      </c>
      <c r="BZ5">
        <f>COUNT(BT4:BT10)</f>
        <v>0</v>
      </c>
      <c r="CB5" t="s">
        <v>461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462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458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2"/>
      <c r="BY6" s="105" t="s">
        <v>463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462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458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2" t="s">
        <v>461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462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458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2"/>
      <c r="BY8" s="105" t="s">
        <v>463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462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458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462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458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462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458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49" t="s">
        <v>464</v>
      </c>
      <c r="BY11" s="749"/>
      <c r="BZ11" s="749"/>
      <c r="CA11" s="749"/>
      <c r="CB11" s="749"/>
      <c r="CC11" s="749"/>
      <c r="CD11" s="749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462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458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460</v>
      </c>
      <c r="BZ12" s="105" t="s">
        <v>461</v>
      </c>
      <c r="CB12" t="s">
        <v>465</v>
      </c>
      <c r="CC12" s="105" t="s">
        <v>99</v>
      </c>
      <c r="CD12" s="105" t="s">
        <v>466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462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458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462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458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462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458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462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458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462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458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462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458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462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458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462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458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462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458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462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458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462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458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462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458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462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458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462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458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462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458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462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458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462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458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462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458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462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458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462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458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462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458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462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458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462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458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462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458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462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458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462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458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462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458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462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458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462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458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462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458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462</v>
      </c>
      <c r="BY42" s="649" t="s">
        <v>462</v>
      </c>
      <c r="BZ42" s="649" t="s">
        <v>462</v>
      </c>
      <c r="CA42" s="649" t="s">
        <v>462</v>
      </c>
      <c r="CB42" s="649" t="s">
        <v>462</v>
      </c>
      <c r="CC42" s="649" t="s">
        <v>462</v>
      </c>
      <c r="CD42" s="649" t="s">
        <v>462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462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458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462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458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94" t="s">
        <v>467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0" t="s">
        <v>107</v>
      </c>
      <c r="BQ46" s="750"/>
      <c r="BR46" s="750"/>
    </row>
    <row r="47" spans="1:82">
      <c r="AX47" s="694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458</v>
      </c>
      <c r="BR47" cm="1">
        <f t="array" ref="BR47">INDEX($BA$49:$BL$49,MATCH(MONTH(BP3),MONTH($BA$46:$BL$46),0))</f>
        <v>95.300000000000011</v>
      </c>
    </row>
    <row r="48" spans="1:82">
      <c r="AX48" s="694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94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781"/>
      <c r="AY50" s="782"/>
      <c r="AZ50" s="782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3"/>
      <c r="BL50" s="783"/>
    </row>
    <row r="51" spans="1:64">
      <c r="AX51" s="781"/>
      <c r="AY51" s="782"/>
      <c r="AZ51" s="782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3"/>
      <c r="BL51" s="783"/>
    </row>
    <row r="52" spans="1:64">
      <c r="AX52" s="781"/>
      <c r="AY52" s="782"/>
      <c r="AZ52" s="782"/>
      <c r="BA52" s="783"/>
      <c r="BB52" s="783"/>
      <c r="BC52" s="783"/>
      <c r="BD52" s="783"/>
      <c r="BE52" s="783"/>
      <c r="BF52" s="783"/>
      <c r="BG52" s="783"/>
      <c r="BH52" s="783"/>
      <c r="BI52" s="783"/>
      <c r="BJ52" s="783"/>
      <c r="BK52" s="783"/>
      <c r="BL52" s="783"/>
    </row>
    <row r="53" spans="1:64">
      <c r="AX53" s="781"/>
      <c r="AY53" s="782"/>
      <c r="AZ53" s="782"/>
      <c r="BA53" s="783"/>
      <c r="BB53" s="783"/>
      <c r="BC53" s="783"/>
      <c r="BD53" s="783"/>
      <c r="BE53" s="783"/>
      <c r="BF53" s="783"/>
      <c r="BG53" s="783"/>
      <c r="BH53" s="783"/>
      <c r="BI53" s="783"/>
      <c r="BJ53" s="783"/>
      <c r="BK53" s="783"/>
      <c r="BL53" s="783"/>
    </row>
    <row r="54" spans="1:64">
      <c r="AX54" s="781"/>
      <c r="AY54" s="782"/>
      <c r="AZ54" s="782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3"/>
      <c r="BL54" s="783"/>
    </row>
    <row r="55" spans="1:64">
      <c r="AX55" s="781"/>
      <c r="AY55" s="782"/>
      <c r="AZ55" s="782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3"/>
      <c r="BL55" s="783"/>
    </row>
    <row r="56" spans="1:64">
      <c r="AX56" s="781"/>
      <c r="AY56" s="782"/>
      <c r="AZ56" s="782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3"/>
      <c r="BL56" s="783"/>
    </row>
    <row r="57" spans="1:64">
      <c r="AX57" s="781"/>
      <c r="AY57" s="782"/>
      <c r="AZ57" s="782"/>
      <c r="BA57" s="783"/>
      <c r="BB57" s="783"/>
      <c r="BC57" s="783"/>
      <c r="BD57" s="783"/>
      <c r="BE57" s="783"/>
      <c r="BF57" s="783"/>
      <c r="BG57" s="783"/>
      <c r="BH57" s="783"/>
      <c r="BI57" s="783"/>
      <c r="BJ57" s="783"/>
      <c r="BK57" s="783"/>
      <c r="BL57" s="783"/>
    </row>
    <row r="58" spans="1:64">
      <c r="AX58" s="781"/>
      <c r="AY58" s="782"/>
      <c r="AZ58" s="782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3"/>
      <c r="BL58" s="783"/>
    </row>
    <row r="59" spans="1:64">
      <c r="AX59" s="781"/>
      <c r="AY59" s="782"/>
      <c r="AZ59" s="782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3"/>
      <c r="BL59" s="783"/>
    </row>
    <row r="60" spans="1:64">
      <c r="AX60" s="781"/>
      <c r="AY60" s="782"/>
      <c r="AZ60" s="782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3"/>
      <c r="BL60" s="783"/>
    </row>
    <row r="61" spans="1:64">
      <c r="AX61" s="781"/>
      <c r="AY61" s="782"/>
      <c r="AZ61" s="782"/>
      <c r="BA61" s="783"/>
      <c r="BB61" s="783"/>
      <c r="BC61" s="783"/>
      <c r="BD61" s="783"/>
      <c r="BE61" s="783"/>
      <c r="BF61" s="783"/>
      <c r="BG61" s="783"/>
      <c r="BH61" s="783"/>
      <c r="BI61" s="783"/>
      <c r="BJ61" s="783"/>
      <c r="BK61" s="783"/>
      <c r="BL61" s="783"/>
    </row>
    <row r="62" spans="1:64" ht="23.25" customHeight="1">
      <c r="A62" s="784" t="s">
        <v>473</v>
      </c>
      <c r="B62" s="784"/>
      <c r="C62" s="784"/>
      <c r="D62" s="784"/>
    </row>
    <row r="63" spans="1:64" ht="15" customHeight="1">
      <c r="A63" s="784"/>
      <c r="B63" s="784"/>
      <c r="C63" s="784"/>
      <c r="D63" s="784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84"/>
      <c r="B64" s="784"/>
      <c r="C64" s="784"/>
      <c r="D64" s="784"/>
      <c r="AZ64" t="s">
        <v>254</v>
      </c>
      <c r="BA64" s="625">
        <f>SUM(BA67:BA96)</f>
        <v>72.37</v>
      </c>
      <c r="BB64" s="625">
        <f t="shared" ref="BB64:BL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454</v>
      </c>
      <c r="B66" t="s">
        <v>455</v>
      </c>
      <c r="C66" t="s">
        <v>456</v>
      </c>
      <c r="E66" s="21" t="s">
        <v>457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457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457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457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462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458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462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458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462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458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462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458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462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458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462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458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462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458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462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458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462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458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462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458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462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458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462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458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462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458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462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458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462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458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462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458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462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458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462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458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462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458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462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458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462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458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462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458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462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458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462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458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462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458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462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458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462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458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462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458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462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458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462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458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474</v>
      </c>
      <c r="D100" t="str" cm="1">
        <f t="array" ref="D100:D103">_xlfn._xlws.SORT(B100:B103)</f>
        <v>BANGKIR</v>
      </c>
    </row>
    <row r="101" spans="1:64">
      <c r="B101" t="s">
        <v>475</v>
      </c>
      <c r="D101" t="str">
        <v>KOTARAYA</v>
      </c>
    </row>
    <row r="102" spans="1:64">
      <c r="B102" t="s">
        <v>476</v>
      </c>
      <c r="D102" t="str">
        <v>LEOK</v>
      </c>
    </row>
    <row r="103" spans="1:64">
      <c r="B103" t="s">
        <v>477</v>
      </c>
      <c r="D103" t="str">
        <v>MOUTONH</v>
      </c>
    </row>
    <row r="110" spans="1:64">
      <c r="A110" s="784" t="s">
        <v>4</v>
      </c>
      <c r="B110" s="784"/>
      <c r="C110" s="784"/>
      <c r="D110" s="784"/>
    </row>
    <row r="111" spans="1:64">
      <c r="A111" s="784"/>
      <c r="B111" s="784"/>
      <c r="C111" s="784"/>
      <c r="D111" s="784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84"/>
      <c r="B112" s="784"/>
      <c r="C112" s="784"/>
      <c r="D112" s="784"/>
      <c r="AZ112" t="s">
        <v>254</v>
      </c>
      <c r="BA112" s="625">
        <f>SUM(BA115:BA144)</f>
        <v>96.929999999999993</v>
      </c>
      <c r="BB112" s="625">
        <f t="shared" ref="BB112:BL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454</v>
      </c>
      <c r="B114" t="s">
        <v>455</v>
      </c>
      <c r="C114" t="s">
        <v>456</v>
      </c>
      <c r="E114" s="21" t="s">
        <v>457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457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457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457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462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458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462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458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462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458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462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458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462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458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462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458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462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458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462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458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462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458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462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458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462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458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462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458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462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458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462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458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462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458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462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458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462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458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462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458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462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458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462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458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462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458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462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458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462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458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462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458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462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458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462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458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462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458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462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458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462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458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462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458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84" t="s">
        <v>3</v>
      </c>
      <c r="B155" s="784"/>
      <c r="C155" s="784"/>
      <c r="D155" s="784"/>
    </row>
    <row r="156" spans="1:64">
      <c r="A156" s="784"/>
      <c r="B156" s="784"/>
      <c r="C156" s="784"/>
      <c r="D156" s="784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84"/>
      <c r="B157" s="784"/>
      <c r="C157" s="784"/>
      <c r="D157" s="784"/>
      <c r="AZ157" t="s">
        <v>254</v>
      </c>
      <c r="BA157" s="625">
        <f>SUM(BA160:BA189)</f>
        <v>90.710000000000008</v>
      </c>
      <c r="BB157" s="625">
        <f t="shared" ref="BB157:BL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454</v>
      </c>
      <c r="B159" t="s">
        <v>455</v>
      </c>
      <c r="C159" t="s">
        <v>456</v>
      </c>
      <c r="E159" s="21" t="s">
        <v>457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457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457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457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462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458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462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458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462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458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462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458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462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458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462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458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462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458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462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458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462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458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462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458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462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458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462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458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462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458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462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458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462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458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462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458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462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458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462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458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462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458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462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458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462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458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462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458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462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458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462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458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462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458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462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458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462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458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462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458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462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458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462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458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84" t="s">
        <v>6</v>
      </c>
      <c r="B200" s="784"/>
      <c r="C200" s="784"/>
      <c r="D200" s="784"/>
    </row>
    <row r="201" spans="1:64">
      <c r="A201" s="784"/>
      <c r="B201" s="784"/>
      <c r="C201" s="784"/>
      <c r="D201" s="784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84"/>
      <c r="B202" s="784"/>
      <c r="C202" s="784"/>
      <c r="D202" s="784"/>
      <c r="AZ202" t="s">
        <v>254</v>
      </c>
      <c r="BA202" s="625">
        <f>SUM(BA205:BA234)</f>
        <v>93.620000000000019</v>
      </c>
      <c r="BB202" s="625">
        <f t="shared" ref="BB202:BL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454</v>
      </c>
      <c r="B204" t="s">
        <v>455</v>
      </c>
      <c r="C204" t="s">
        <v>456</v>
      </c>
      <c r="E204" s="21" t="s">
        <v>457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457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457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457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462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458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462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458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462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458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462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458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462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458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462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458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462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458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462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458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462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458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462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458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462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458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462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458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462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458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462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458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462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458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462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458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462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458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462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458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462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458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462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458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462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458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462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458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462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458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462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458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462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458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462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458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462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458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462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458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462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458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462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458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84" t="s">
        <v>5</v>
      </c>
      <c r="B245" s="784"/>
      <c r="C245" s="784"/>
      <c r="D245" s="784"/>
    </row>
    <row r="246" spans="1:64">
      <c r="A246" s="784"/>
      <c r="B246" s="784"/>
      <c r="C246" s="784"/>
      <c r="D246" s="784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84"/>
      <c r="B247" s="784"/>
      <c r="C247" s="784"/>
      <c r="D247" s="784"/>
      <c r="AZ247" t="s">
        <v>254</v>
      </c>
      <c r="BA247" s="625">
        <f>SUM(BA250:BA279)</f>
        <v>88.97</v>
      </c>
      <c r="BB247" s="625">
        <f t="shared" ref="BB247:BL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454</v>
      </c>
      <c r="B249" t="s">
        <v>455</v>
      </c>
      <c r="C249" t="s">
        <v>456</v>
      </c>
      <c r="E249" s="21" t="s">
        <v>457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457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457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457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462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458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462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458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462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458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462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458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462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458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462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458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462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458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462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458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462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458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462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458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462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458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462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458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462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458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462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458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462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458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462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458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462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458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462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458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462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458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462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458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462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458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462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458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462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458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462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458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462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458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462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458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462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458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462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458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462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458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462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458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245:D247"/>
    <mergeCell ref="A62:D64"/>
    <mergeCell ref="A110:D112"/>
    <mergeCell ref="A155:D157"/>
    <mergeCell ref="A200:D202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3" t="s">
        <v>11</v>
      </c>
      <c r="P2" s="754"/>
      <c r="Q2" s="650"/>
      <c r="R2" s="757"/>
      <c r="S2" s="758"/>
      <c r="T2" s="753" t="s">
        <v>12</v>
      </c>
      <c r="U2" s="754"/>
      <c r="V2" s="650"/>
      <c r="W2" s="757"/>
      <c r="X2" s="758"/>
      <c r="Y2" s="753" t="s">
        <v>5</v>
      </c>
      <c r="Z2" s="761"/>
      <c r="AA2" s="650"/>
      <c r="AB2" s="650"/>
      <c r="AC2" s="651"/>
      <c r="AD2" s="753" t="s">
        <v>14</v>
      </c>
      <c r="AE2" s="754"/>
      <c r="AF2" s="609"/>
      <c r="AG2" s="757"/>
      <c r="AH2" s="758"/>
      <c r="AI2" s="612"/>
      <c r="AN2">
        <v>2025</v>
      </c>
    </row>
    <row r="3" spans="1:40">
      <c r="A3" s="611"/>
      <c r="O3" s="755"/>
      <c r="P3" s="756"/>
      <c r="Q3" s="294"/>
      <c r="R3" s="759"/>
      <c r="S3" s="760"/>
      <c r="T3" s="755"/>
      <c r="U3" s="756"/>
      <c r="V3" s="294"/>
      <c r="W3" s="759"/>
      <c r="X3" s="760"/>
      <c r="Y3" s="762"/>
      <c r="Z3" s="763"/>
      <c r="AA3" s="294"/>
      <c r="AB3" s="294"/>
      <c r="AC3" s="652"/>
      <c r="AD3" s="755"/>
      <c r="AE3" s="756"/>
      <c r="AG3" s="759"/>
      <c r="AH3" s="760"/>
      <c r="AI3" s="612"/>
      <c r="AM3">
        <v>1</v>
      </c>
      <c r="AN3" s="616">
        <f>DATE(2025,AM3+1,0)</f>
        <v>45688</v>
      </c>
    </row>
    <row r="4" spans="1:40">
      <c r="A4" s="611"/>
      <c r="O4" s="755"/>
      <c r="P4" s="756"/>
      <c r="Q4" s="294"/>
      <c r="R4" s="759"/>
      <c r="S4" s="760"/>
      <c r="T4" s="755"/>
      <c r="U4" s="756"/>
      <c r="V4" s="294"/>
      <c r="W4" s="759"/>
      <c r="X4" s="760"/>
      <c r="Y4" s="762"/>
      <c r="Z4" s="763"/>
      <c r="AA4" s="294"/>
      <c r="AB4" s="294"/>
      <c r="AC4" s="652"/>
      <c r="AD4" s="755"/>
      <c r="AE4" s="756"/>
      <c r="AG4" s="759"/>
      <c r="AH4" s="760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3"/>
      <c r="AE9" s="754"/>
      <c r="AF9" s="609"/>
      <c r="AG9" s="757"/>
      <c r="AH9" s="758"/>
      <c r="AI9" s="612"/>
      <c r="AM9">
        <v>7</v>
      </c>
      <c r="AN9" s="616">
        <f t="shared" si="0"/>
        <v>45869</v>
      </c>
    </row>
    <row r="10" spans="1:40">
      <c r="A10" s="611"/>
      <c r="AD10" s="755"/>
      <c r="AE10" s="756"/>
      <c r="AG10" s="759"/>
      <c r="AH10" s="760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65" t="s">
        <v>468</v>
      </c>
      <c r="P11" s="765"/>
      <c r="Q11" s="765" t="s">
        <v>458</v>
      </c>
      <c r="R11" s="764">
        <v>45688</v>
      </c>
      <c r="S11" s="764"/>
      <c r="T11" s="764"/>
      <c r="AD11" s="755"/>
      <c r="AE11" s="756"/>
      <c r="AG11" s="759"/>
      <c r="AH11" s="760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65"/>
      <c r="P12" s="765"/>
      <c r="Q12" s="765"/>
      <c r="R12" s="764"/>
      <c r="S12" s="764"/>
      <c r="T12" s="764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66"/>
      <c r="P15" s="767"/>
      <c r="Q15" s="772" t="s">
        <v>9</v>
      </c>
      <c r="R15" s="772"/>
      <c r="S15" s="772">
        <f>STRG!BZ3</f>
        <v>5</v>
      </c>
      <c r="T15" s="775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68"/>
      <c r="P16" s="769"/>
      <c r="Q16" s="773"/>
      <c r="R16" s="773"/>
      <c r="S16" s="773"/>
      <c r="T16" s="776"/>
      <c r="AI16" s="612"/>
    </row>
    <row r="17" spans="1:35">
      <c r="A17" s="611"/>
      <c r="O17" s="768"/>
      <c r="P17" s="769"/>
      <c r="Q17" s="772" t="s">
        <v>463</v>
      </c>
      <c r="R17" s="772"/>
      <c r="S17" s="773">
        <f>STRG!BZ4</f>
        <v>25</v>
      </c>
      <c r="T17" s="776"/>
      <c r="AI17" s="612"/>
    </row>
    <row r="18" spans="1:35" ht="15" customHeight="1" thickBot="1">
      <c r="A18" s="611"/>
      <c r="O18" s="770"/>
      <c r="P18" s="771"/>
      <c r="Q18" s="774"/>
      <c r="R18" s="774"/>
      <c r="S18" s="774"/>
      <c r="T18" s="777"/>
      <c r="AE18" s="627"/>
      <c r="AF18" s="627"/>
      <c r="AI18" s="612"/>
    </row>
    <row r="19" spans="1:35" ht="14.45" customHeight="1">
      <c r="A19" s="611"/>
      <c r="O19" s="766"/>
      <c r="P19" s="767"/>
      <c r="Q19" s="772" t="s">
        <v>9</v>
      </c>
      <c r="R19" s="772"/>
      <c r="S19" s="772">
        <f>STRG!BZ5</f>
        <v>0</v>
      </c>
      <c r="T19" s="775"/>
      <c r="AE19" s="627"/>
      <c r="AF19" s="627"/>
      <c r="AI19" s="612"/>
    </row>
    <row r="20" spans="1:35" ht="14.45" customHeight="1">
      <c r="A20" s="611"/>
      <c r="O20" s="768"/>
      <c r="P20" s="769"/>
      <c r="Q20" s="773"/>
      <c r="R20" s="773"/>
      <c r="S20" s="773"/>
      <c r="T20" s="776"/>
      <c r="AD20" s="627"/>
      <c r="AE20" s="627"/>
      <c r="AF20" s="627"/>
      <c r="AI20" s="612"/>
    </row>
    <row r="21" spans="1:35" ht="14.45" customHeight="1">
      <c r="A21" s="611"/>
      <c r="O21" s="768"/>
      <c r="P21" s="769"/>
      <c r="Q21" s="773" t="s">
        <v>463</v>
      </c>
      <c r="R21" s="773"/>
      <c r="S21" s="773">
        <f>STRG!BZ6</f>
        <v>1</v>
      </c>
      <c r="T21" s="776"/>
      <c r="AD21" s="627"/>
      <c r="AE21" s="627"/>
      <c r="AF21" s="627"/>
      <c r="AI21" s="612"/>
    </row>
    <row r="22" spans="1:35" ht="15" customHeight="1" thickBot="1">
      <c r="A22" s="611"/>
      <c r="O22" s="770"/>
      <c r="P22" s="771"/>
      <c r="Q22" s="774"/>
      <c r="R22" s="774"/>
      <c r="S22" s="774"/>
      <c r="T22" s="777"/>
      <c r="AD22" s="627"/>
      <c r="AE22" s="627"/>
      <c r="AF22" s="627"/>
      <c r="AI22" s="612"/>
    </row>
    <row r="23" spans="1:35" ht="14.45" customHeight="1">
      <c r="A23" s="611"/>
      <c r="O23" s="768"/>
      <c r="P23" s="769"/>
      <c r="Q23" s="773" t="s">
        <v>9</v>
      </c>
      <c r="R23" s="773"/>
      <c r="S23" s="772">
        <f>STRG!BZ7</f>
        <v>2</v>
      </c>
      <c r="T23" s="775"/>
      <c r="AD23" s="627"/>
      <c r="AE23" s="627"/>
      <c r="AF23" s="627"/>
      <c r="AI23" s="612"/>
    </row>
    <row r="24" spans="1:35" ht="15.75" thickBot="1">
      <c r="A24" s="611"/>
      <c r="O24" s="768"/>
      <c r="P24" s="769"/>
      <c r="Q24" s="773"/>
      <c r="R24" s="773"/>
      <c r="S24" s="773"/>
      <c r="T24" s="776"/>
      <c r="AI24" s="612"/>
    </row>
    <row r="25" spans="1:35">
      <c r="A25" s="611"/>
      <c r="O25" s="768"/>
      <c r="P25" s="769"/>
      <c r="Q25" s="772" t="s">
        <v>463</v>
      </c>
      <c r="R25" s="772"/>
      <c r="S25" s="773">
        <f>STRG!BZ8</f>
        <v>6</v>
      </c>
      <c r="T25" s="776"/>
      <c r="AI25" s="612"/>
    </row>
    <row r="26" spans="1:35" ht="15" customHeight="1" thickBot="1">
      <c r="A26" s="611"/>
      <c r="O26" s="770"/>
      <c r="P26" s="771"/>
      <c r="Q26" s="774"/>
      <c r="R26" s="774"/>
      <c r="S26" s="774"/>
      <c r="T26" s="777"/>
      <c r="AB26" s="780">
        <f>SUM(STRG!CC3:CC5)</f>
        <v>39</v>
      </c>
      <c r="AC26" s="778" t="s">
        <v>469</v>
      </c>
      <c r="AD26" s="778"/>
      <c r="AI26" s="612"/>
    </row>
    <row r="27" spans="1:35" ht="14.45" customHeight="1">
      <c r="A27" s="611"/>
      <c r="AB27" s="780"/>
      <c r="AC27" s="778"/>
      <c r="AD27" s="778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79" t="s">
        <v>470</v>
      </c>
      <c r="P30" s="779"/>
      <c r="Q30" s="779"/>
      <c r="R30" s="779"/>
      <c r="S30" s="779"/>
      <c r="T30" s="779"/>
      <c r="U30" s="779"/>
      <c r="V30" s="779"/>
      <c r="W30" s="779"/>
      <c r="X30" s="779"/>
      <c r="Y30" s="779"/>
      <c r="Z30" s="779"/>
      <c r="AB30" s="779" t="s">
        <v>471</v>
      </c>
      <c r="AC30" s="779"/>
      <c r="AD30" s="779"/>
      <c r="AE30" s="779"/>
      <c r="AF30" s="779"/>
      <c r="AG30" s="779"/>
      <c r="AH30" s="779"/>
      <c r="AI30" s="612"/>
    </row>
    <row r="31" spans="1:35">
      <c r="A31" s="611"/>
      <c r="O31" s="779"/>
      <c r="P31" s="779"/>
      <c r="Q31" s="779"/>
      <c r="R31" s="779"/>
      <c r="S31" s="779"/>
      <c r="T31" s="779"/>
      <c r="U31" s="779"/>
      <c r="V31" s="779"/>
      <c r="W31" s="779"/>
      <c r="X31" s="779"/>
      <c r="Y31" s="779"/>
      <c r="Z31" s="779"/>
      <c r="AB31" s="779"/>
      <c r="AC31" s="779"/>
      <c r="AD31" s="779"/>
      <c r="AE31" s="779"/>
      <c r="AF31" s="779"/>
      <c r="AG31" s="779"/>
      <c r="AH31" s="779"/>
      <c r="AI31" s="612"/>
    </row>
    <row r="32" spans="1:35" ht="14.45" customHeight="1">
      <c r="A32" s="611"/>
      <c r="O32" s="779"/>
      <c r="P32" s="779"/>
      <c r="Q32" s="779"/>
      <c r="R32" s="779"/>
      <c r="S32" s="779"/>
      <c r="T32" s="779"/>
      <c r="U32" s="779"/>
      <c r="V32" s="779"/>
      <c r="W32" s="779"/>
      <c r="X32" s="779"/>
      <c r="Y32" s="779"/>
      <c r="Z32" s="779"/>
      <c r="AB32" s="779"/>
      <c r="AC32" s="779"/>
      <c r="AD32" s="779"/>
      <c r="AE32" s="779"/>
      <c r="AF32" s="779"/>
      <c r="AG32" s="779"/>
      <c r="AH32" s="779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AD9:AE11"/>
    <mergeCell ref="W2:X4"/>
    <mergeCell ref="AG2:AH4"/>
    <mergeCell ref="AG9:AH11"/>
    <mergeCell ref="AC26:AD27"/>
    <mergeCell ref="O30:Z32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</cp:lastModifiedBy>
  <cp:revision/>
  <dcterms:created xsi:type="dcterms:W3CDTF">2016-02-19T03:11:29Z</dcterms:created>
  <dcterms:modified xsi:type="dcterms:W3CDTF">2025-11-05T08:31:27Z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