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2318" documentId="8_{663FF9C3-06A9-4452-83FF-2366E21643C8}" xr6:coauthVersionLast="47" xr6:coauthVersionMax="47" xr10:uidLastSave="{DD0D994C-D3FA-4916-8C55-FEF41101B7C0}"/>
  <bookViews>
    <workbookView xWindow="-105" yWindow="0" windowWidth="14610" windowHeight="15585" firstSheet="15" activeTab="25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_xlchart.v1.0" hidden="1">STRG!$CG$6</definedName>
    <definedName name="_xlchart.v1.1" hidden="1">STRG!$CG$7</definedName>
    <definedName name="_xlchart.v1.2" hidden="1">STRG!$CH$5:$CS$5</definedName>
    <definedName name="_xlchart.v1.3" hidden="1">STRG!$CH$6:$CS$6</definedName>
    <definedName name="_xlchart.v1.4" hidden="1">STRG!$CH$7:$CS$7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18" i="138" l="1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R8" i="138" s="1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A250" i="138" a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205" i="138" a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J15" i="138" l="1"/>
  <c r="CK18" i="138"/>
  <c r="CH17" i="138"/>
  <c r="CS18" i="138"/>
  <c r="CH15" i="138"/>
  <c r="CI18" i="138"/>
  <c r="CS15" i="138"/>
  <c r="CI17" i="138"/>
  <c r="CK16" i="138"/>
  <c r="CH18" i="138"/>
  <c r="CJ18" i="138"/>
  <c r="CJ17" i="138"/>
  <c r="CH14" i="138"/>
  <c r="CK17" i="138"/>
  <c r="CS14" i="138"/>
  <c r="CS16" i="138"/>
  <c r="CI14" i="138"/>
  <c r="CI16" i="138"/>
  <c r="CI15" i="138"/>
  <c r="CK15" i="138"/>
  <c r="CJ14" i="138"/>
  <c r="CJ16" i="138"/>
  <c r="CK14" i="138"/>
  <c r="CS17" i="138"/>
  <c r="CL14" i="138"/>
  <c r="CH16" i="138"/>
  <c r="CL16" i="138"/>
  <c r="CL18" i="138"/>
  <c r="CM16" i="138"/>
  <c r="CM18" i="138"/>
  <c r="CN14" i="138"/>
  <c r="CN15" i="138"/>
  <c r="CN17" i="138"/>
  <c r="CN16" i="138"/>
  <c r="CN18" i="138"/>
  <c r="CL15" i="138"/>
  <c r="CM15" i="138"/>
  <c r="CO15" i="138"/>
  <c r="CO18" i="138"/>
  <c r="CP14" i="138"/>
  <c r="CP15" i="138"/>
  <c r="CU15" i="138" s="1" a="1"/>
  <c r="CU15" i="138" s="1"/>
  <c r="CP17" i="138"/>
  <c r="CU17" i="138" s="1" a="1"/>
  <c r="CU17" i="138" s="1"/>
  <c r="CP16" i="138"/>
  <c r="CU16" i="138" s="1" a="1"/>
  <c r="CU16" i="138" s="1"/>
  <c r="CP18" i="138"/>
  <c r="CU18" i="138" s="1" a="1"/>
  <c r="CU18" i="138" s="1"/>
  <c r="CM14" i="138"/>
  <c r="CO14" i="138"/>
  <c r="CO16" i="138"/>
  <c r="CQ14" i="138"/>
  <c r="CQ15" i="138"/>
  <c r="CQ17" i="138"/>
  <c r="CQ16" i="138"/>
  <c r="CQ18" i="138"/>
  <c r="CL17" i="138"/>
  <c r="CM17" i="138"/>
  <c r="CO17" i="138"/>
  <c r="CR14" i="138"/>
  <c r="CR15" i="138"/>
  <c r="CR17" i="138"/>
  <c r="CR16" i="138"/>
  <c r="CR18" i="138"/>
  <c r="CN10" i="138"/>
  <c r="CS11" i="138"/>
  <c r="CN13" i="138"/>
  <c r="CH9" i="138"/>
  <c r="CP10" i="138"/>
  <c r="CH12" i="138"/>
  <c r="CP13" i="138"/>
  <c r="CI9" i="138"/>
  <c r="CQ10" i="138"/>
  <c r="CJ12" i="138"/>
  <c r="CQ13" i="138"/>
  <c r="CJ9" i="138"/>
  <c r="CR10" i="138"/>
  <c r="CK12" i="138"/>
  <c r="CR13" i="138"/>
  <c r="CL9" i="138"/>
  <c r="CS10" i="138"/>
  <c r="CN12" i="138"/>
  <c r="CS13" i="138"/>
  <c r="CN9" i="138"/>
  <c r="CH11" i="138"/>
  <c r="CP12" i="138"/>
  <c r="CO9" i="138"/>
  <c r="CJ11" i="138"/>
  <c r="CQ12" i="138"/>
  <c r="CP9" i="138"/>
  <c r="CK11" i="138"/>
  <c r="CR12" i="138"/>
  <c r="CK10" i="138"/>
  <c r="CK13" i="138"/>
  <c r="CN11" i="138"/>
  <c r="CH10" i="138"/>
  <c r="CP11" i="138"/>
  <c r="CU11" i="138" s="1" a="1"/>
  <c r="CU11" i="138" s="1"/>
  <c r="CH13" i="138"/>
  <c r="CR11" i="138"/>
  <c r="CQ9" i="138"/>
  <c r="CS12" i="138"/>
  <c r="CJ10" i="138"/>
  <c r="CQ11" i="138"/>
  <c r="CJ13" i="138"/>
  <c r="CM9" i="138"/>
  <c r="CO10" i="138"/>
  <c r="CO11" i="138"/>
  <c r="CO12" i="138"/>
  <c r="CO13" i="138"/>
  <c r="CI10" i="138"/>
  <c r="CI11" i="138"/>
  <c r="CI12" i="138"/>
  <c r="CI13" i="138"/>
  <c r="CL10" i="138"/>
  <c r="CL11" i="138"/>
  <c r="CL12" i="138"/>
  <c r="CL13" i="138"/>
  <c r="CK9" i="138"/>
  <c r="CM10" i="138"/>
  <c r="CM11" i="138"/>
  <c r="CM12" i="138"/>
  <c r="CM13" i="138"/>
  <c r="CU13" i="138" a="1"/>
  <c r="CU13" i="138" s="1"/>
  <c r="CX13" i="138" s="1"/>
  <c r="CR9" i="138"/>
  <c r="CS9" i="138"/>
  <c r="CS8" i="138"/>
  <c r="CH8" i="138"/>
  <c r="CI8" i="138"/>
  <c r="CJ8" i="138"/>
  <c r="CK8" i="138"/>
  <c r="CL8" i="138"/>
  <c r="CM8" i="138"/>
  <c r="CN8" i="138"/>
  <c r="CO8" i="138"/>
  <c r="CP8" i="138"/>
  <c r="CQ8" i="138"/>
  <c r="A205" i="138"/>
  <c r="W205" i="138" s="1" a="1"/>
  <c r="Z205" i="138" a="1"/>
  <c r="A250" i="138"/>
  <c r="R250" i="138" s="1" a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4" i="138"/>
  <c r="R4" i="138" s="1" a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CU10" i="138" l="1" a="1"/>
  <c r="CU10" i="138" s="1"/>
  <c r="CU14" i="138" a="1"/>
  <c r="CU14" i="138" s="1"/>
  <c r="CU9" i="138" a="1"/>
  <c r="CU9" i="138" s="1"/>
  <c r="CV9" i="138" s="1"/>
  <c r="CU12" i="138" a="1"/>
  <c r="CU12" i="138" s="1"/>
  <c r="CU8" i="138" a="1"/>
  <c r="CU8" i="138" s="1"/>
  <c r="CX8" i="138" s="1"/>
  <c r="CV13" i="138"/>
  <c r="CW13" i="138" s="1"/>
  <c r="CV11" i="138"/>
  <c r="CX11" i="138"/>
  <c r="CX12" i="138"/>
  <c r="CV12" i="138"/>
  <c r="CX9" i="138"/>
  <c r="CV10" i="138"/>
  <c r="CX10" i="138"/>
  <c r="R4" i="138"/>
  <c r="M205" i="138" a="1"/>
  <c r="L205" i="138" a="1"/>
  <c r="R205" i="138" a="1"/>
  <c r="AE67" i="138" a="1"/>
  <c r="Q67" i="138" a="1"/>
  <c r="AD67" i="138" a="1"/>
  <c r="P67" i="138" a="1"/>
  <c r="G205" i="138" a="1"/>
  <c r="AK211" i="138" s="1"/>
  <c r="BA211" i="138" s="1"/>
  <c r="Y205" i="138" a="1"/>
  <c r="Y205" i="138" s="1"/>
  <c r="AE205" i="138" a="1"/>
  <c r="AE205" i="138" s="1"/>
  <c r="K250" i="138" a="1"/>
  <c r="AF205" i="138" a="1"/>
  <c r="AF205" i="138" s="1"/>
  <c r="AC250" i="138" a="1"/>
  <c r="AC250" i="138" s="1"/>
  <c r="B205" i="138" a="1"/>
  <c r="B205" i="138" s="1"/>
  <c r="C205" i="138" s="1" a="1"/>
  <c r="C205" i="138" s="1"/>
  <c r="X250" i="138" a="1"/>
  <c r="X250" i="138" s="1"/>
  <c r="H205" i="138" a="1"/>
  <c r="AL230" i="138" s="1"/>
  <c r="BB230" i="138" s="1"/>
  <c r="K205" i="138" a="1"/>
  <c r="AO210" i="138" s="1"/>
  <c r="BE210" i="138" s="1"/>
  <c r="AD205" i="138" a="1"/>
  <c r="AD205" i="138" s="1"/>
  <c r="X205" i="138" a="1"/>
  <c r="AM222" i="138" s="1"/>
  <c r="BC222" i="138" s="1"/>
  <c r="I205" i="138" a="1"/>
  <c r="I205" i="138" s="1"/>
  <c r="Q205" i="138" a="1"/>
  <c r="Q205" i="138" s="1"/>
  <c r="AB67" i="138" a="1"/>
  <c r="V205" i="138" a="1"/>
  <c r="AG67" i="138" a="1"/>
  <c r="R250" i="138"/>
  <c r="K67" i="138" a="1"/>
  <c r="AO77" i="138" s="1"/>
  <c r="BE77" i="138" s="1"/>
  <c r="B67" i="138" a="1"/>
  <c r="B67" i="138" s="1"/>
  <c r="C67" i="138" s="1" a="1"/>
  <c r="L250" i="138" a="1"/>
  <c r="J250" i="138" a="1"/>
  <c r="AE250" i="138" a="1"/>
  <c r="M205" i="138"/>
  <c r="K250" i="138"/>
  <c r="Q250" i="138" a="1"/>
  <c r="L205" i="138"/>
  <c r="AB205" i="138" a="1"/>
  <c r="AQ208" i="138" s="1"/>
  <c r="BG208" i="138" s="1"/>
  <c r="AA205" i="138" a="1"/>
  <c r="O205" i="138" a="1"/>
  <c r="N205" i="138" a="1"/>
  <c r="P205" i="138" a="1"/>
  <c r="K205" i="138"/>
  <c r="AO212" i="138"/>
  <c r="BE212" i="138" s="1"/>
  <c r="AO208" i="138"/>
  <c r="BE208" i="138" s="1"/>
  <c r="O250" i="138" a="1"/>
  <c r="H250" i="138" a="1"/>
  <c r="G250" i="138" a="1"/>
  <c r="B250" i="138" a="1"/>
  <c r="Z250" i="138" a="1"/>
  <c r="AA250" i="138" a="1"/>
  <c r="AG250" i="138" a="1"/>
  <c r="AV257" i="138" s="1"/>
  <c r="BL257" i="138" s="1"/>
  <c r="AB250" i="138" a="1"/>
  <c r="AF250" i="138" a="1"/>
  <c r="V250" i="138" a="1"/>
  <c r="Y250" i="138" a="1"/>
  <c r="J205" i="138" a="1"/>
  <c r="X67" i="138" a="1"/>
  <c r="P250" i="138" a="1"/>
  <c r="Z205" i="138"/>
  <c r="AO230" i="138"/>
  <c r="BE230" i="138" s="1"/>
  <c r="AO227" i="138"/>
  <c r="BE227" i="138" s="1"/>
  <c r="AO219" i="138"/>
  <c r="BE219" i="138" s="1"/>
  <c r="AO228" i="138"/>
  <c r="BE228" i="138" s="1"/>
  <c r="AO222" i="138"/>
  <c r="BE222" i="138" s="1"/>
  <c r="AO216" i="138"/>
  <c r="BE216" i="138" s="1"/>
  <c r="AO213" i="138"/>
  <c r="BE213" i="138" s="1"/>
  <c r="AO209" i="138"/>
  <c r="BE209" i="138" s="1"/>
  <c r="AO215" i="138"/>
  <c r="BE215" i="138" s="1"/>
  <c r="AO232" i="138"/>
  <c r="BE232" i="138" s="1"/>
  <c r="AO226" i="138"/>
  <c r="BE226" i="138" s="1"/>
  <c r="AO221" i="138"/>
  <c r="BE221" i="138" s="1"/>
  <c r="AO217" i="138"/>
  <c r="BE217" i="138" s="1"/>
  <c r="AO231" i="138"/>
  <c r="BE231" i="138" s="1"/>
  <c r="AO211" i="138"/>
  <c r="BE211" i="138" s="1"/>
  <c r="AO223" i="138"/>
  <c r="BE223" i="138" s="1"/>
  <c r="AO207" i="138"/>
  <c r="BE207" i="138" s="1"/>
  <c r="AO225" i="138"/>
  <c r="BE225" i="138" s="1"/>
  <c r="AC205" i="138" a="1"/>
  <c r="AD250" i="138" a="1"/>
  <c r="N250" i="138" a="1"/>
  <c r="I250" i="138" a="1"/>
  <c r="W205" i="138"/>
  <c r="AL210" i="138"/>
  <c r="BB210" i="138" s="1"/>
  <c r="M250" i="138" a="1"/>
  <c r="W250" i="138" a="1"/>
  <c r="R205" i="138"/>
  <c r="AG205" i="138" a="1"/>
  <c r="B160" i="138" a="1"/>
  <c r="B160" i="138" s="1"/>
  <c r="C160" i="138" s="1" a="1"/>
  <c r="AG160" i="138" a="1"/>
  <c r="H160" i="138"/>
  <c r="X160" i="138" a="1"/>
  <c r="N160" i="138" a="1"/>
  <c r="AC160" i="138" a="1"/>
  <c r="R160" i="138" a="1"/>
  <c r="AA160" i="138" a="1"/>
  <c r="Q160" i="138" a="1"/>
  <c r="AD160" i="138" a="1"/>
  <c r="P160" i="138" a="1"/>
  <c r="AE160" i="138" a="1"/>
  <c r="O160" i="138" a="1"/>
  <c r="AF160" i="138" a="1"/>
  <c r="Z160" i="138" a="1"/>
  <c r="V160" i="138" a="1"/>
  <c r="G160" i="138" a="1"/>
  <c r="M160" i="138" a="1"/>
  <c r="W160" i="138" a="1"/>
  <c r="AL189" i="138" s="1"/>
  <c r="BB189" i="138" s="1"/>
  <c r="L160" i="138" a="1"/>
  <c r="Y160" i="138" a="1"/>
  <c r="K160" i="138" a="1"/>
  <c r="AB160" i="138" a="1"/>
  <c r="J160" i="138" a="1"/>
  <c r="I160" i="138" a="1"/>
  <c r="P115" i="138"/>
  <c r="AT122" i="138"/>
  <c r="BJ122" i="138" s="1"/>
  <c r="AT118" i="138"/>
  <c r="BJ118" i="138" s="1"/>
  <c r="Q115" i="138"/>
  <c r="AU122" i="138"/>
  <c r="BK122" i="138" s="1"/>
  <c r="AU118" i="138"/>
  <c r="BK118" i="138" s="1"/>
  <c r="AA115" i="138"/>
  <c r="AP140" i="138"/>
  <c r="BF140" i="138" s="1"/>
  <c r="AP129" i="138"/>
  <c r="BF129" i="138" s="1"/>
  <c r="AP121" i="138"/>
  <c r="BF121" i="138" s="1"/>
  <c r="AP142" i="138"/>
  <c r="BF142" i="138" s="1"/>
  <c r="AP123" i="138"/>
  <c r="BF123" i="138" s="1"/>
  <c r="AP141" i="138"/>
  <c r="BF141" i="138" s="1"/>
  <c r="AP125" i="138"/>
  <c r="BF125" i="138" s="1"/>
  <c r="AP143" i="138"/>
  <c r="BF143" i="138" s="1"/>
  <c r="AP124" i="138"/>
  <c r="BF124" i="138" s="1"/>
  <c r="AP116" i="138"/>
  <c r="BF116" i="138" s="1"/>
  <c r="AP144" i="138"/>
  <c r="BF144" i="138" s="1"/>
  <c r="AP137" i="138"/>
  <c r="BF137" i="138" s="1"/>
  <c r="AP136" i="138"/>
  <c r="BF136" i="138" s="1"/>
  <c r="AP135" i="138"/>
  <c r="BF135" i="138" s="1"/>
  <c r="AP134" i="138"/>
  <c r="BF134" i="138" s="1"/>
  <c r="AP133" i="138"/>
  <c r="BF133" i="138" s="1"/>
  <c r="AP132" i="138"/>
  <c r="BF132" i="138" s="1"/>
  <c r="AP131" i="138"/>
  <c r="BF131" i="138" s="1"/>
  <c r="AP130" i="138"/>
  <c r="BF130" i="138" s="1"/>
  <c r="AP126" i="138"/>
  <c r="BF126" i="138" s="1"/>
  <c r="AP117" i="138"/>
  <c r="BF117" i="138" s="1"/>
  <c r="AP139" i="138"/>
  <c r="BF139" i="138" s="1"/>
  <c r="AP127" i="138"/>
  <c r="BF127" i="138" s="1"/>
  <c r="AP119" i="138"/>
  <c r="BF119" i="138" s="1"/>
  <c r="AP138" i="138"/>
  <c r="BF138" i="138" s="1"/>
  <c r="AP128" i="138"/>
  <c r="BF128" i="138" s="1"/>
  <c r="AP120" i="138"/>
  <c r="BF120" i="138" s="1"/>
  <c r="AF115" i="138"/>
  <c r="AU144" i="138"/>
  <c r="BK144" i="138" s="1"/>
  <c r="AU143" i="138"/>
  <c r="BK143" i="138" s="1"/>
  <c r="AU142" i="138"/>
  <c r="BK142" i="138" s="1"/>
  <c r="AU141" i="138"/>
  <c r="BK141" i="138" s="1"/>
  <c r="AU140" i="138"/>
  <c r="BK140" i="138" s="1"/>
  <c r="AU139" i="138"/>
  <c r="BK139" i="138" s="1"/>
  <c r="AU138" i="138"/>
  <c r="BK138" i="138" s="1"/>
  <c r="AU137" i="138"/>
  <c r="BK137" i="138" s="1"/>
  <c r="AU136" i="138"/>
  <c r="BK136" i="138" s="1"/>
  <c r="AU135" i="138"/>
  <c r="BK135" i="138" s="1"/>
  <c r="AU134" i="138"/>
  <c r="BK134" i="138" s="1"/>
  <c r="AU133" i="138"/>
  <c r="BK133" i="138" s="1"/>
  <c r="AU132" i="138"/>
  <c r="BK132" i="138" s="1"/>
  <c r="AU131" i="138"/>
  <c r="BK131" i="138" s="1"/>
  <c r="AU130" i="138"/>
  <c r="BK130" i="138" s="1"/>
  <c r="AU129" i="138"/>
  <c r="BK129" i="138" s="1"/>
  <c r="AU128" i="138"/>
  <c r="BK128" i="138" s="1"/>
  <c r="AU127" i="138"/>
  <c r="BK127" i="138" s="1"/>
  <c r="AU126" i="138"/>
  <c r="BK126" i="138" s="1"/>
  <c r="AU125" i="138"/>
  <c r="BK125" i="138" s="1"/>
  <c r="AU124" i="138"/>
  <c r="BK124" i="138" s="1"/>
  <c r="AU123" i="138"/>
  <c r="BK123" i="138" s="1"/>
  <c r="AU121" i="138"/>
  <c r="BK121" i="138" s="1"/>
  <c r="AU120" i="138"/>
  <c r="BK120" i="138" s="1"/>
  <c r="AU119" i="138"/>
  <c r="BK119" i="138" s="1"/>
  <c r="AU117" i="138"/>
  <c r="BK117" i="138" s="1"/>
  <c r="AU116" i="138"/>
  <c r="BK116" i="138" s="1"/>
  <c r="Z115" i="138"/>
  <c r="AO138" i="138"/>
  <c r="BE138" i="138" s="1"/>
  <c r="AO126" i="138"/>
  <c r="BE126" i="138" s="1"/>
  <c r="AO143" i="138"/>
  <c r="BE143" i="138" s="1"/>
  <c r="AO125" i="138"/>
  <c r="BE125" i="138" s="1"/>
  <c r="AO141" i="138"/>
  <c r="BE141" i="138" s="1"/>
  <c r="AO124" i="138"/>
  <c r="BE124" i="138" s="1"/>
  <c r="AO117" i="138"/>
  <c r="BE117" i="138" s="1"/>
  <c r="AO139" i="138"/>
  <c r="BE139" i="138" s="1"/>
  <c r="AO130" i="138"/>
  <c r="BE130" i="138" s="1"/>
  <c r="AO144" i="138"/>
  <c r="BE144" i="138" s="1"/>
  <c r="AO137" i="138"/>
  <c r="BE137" i="138" s="1"/>
  <c r="AO136" i="138"/>
  <c r="BE136" i="138" s="1"/>
  <c r="AO135" i="138"/>
  <c r="BE135" i="138" s="1"/>
  <c r="AO134" i="138"/>
  <c r="BE134" i="138" s="1"/>
  <c r="AO133" i="138"/>
  <c r="BE133" i="138" s="1"/>
  <c r="AO132" i="138"/>
  <c r="BE132" i="138" s="1"/>
  <c r="AO131" i="138"/>
  <c r="BE131" i="138" s="1"/>
  <c r="AO127" i="138"/>
  <c r="BE127" i="138" s="1"/>
  <c r="AO123" i="138"/>
  <c r="BE123" i="138" s="1"/>
  <c r="AO120" i="138"/>
  <c r="BE120" i="138" s="1"/>
  <c r="AO116" i="138"/>
  <c r="BE116" i="138" s="1"/>
  <c r="AO140" i="138"/>
  <c r="BE140" i="138" s="1"/>
  <c r="AO129" i="138"/>
  <c r="BE129" i="138" s="1"/>
  <c r="AO121" i="138"/>
  <c r="BE121" i="138" s="1"/>
  <c r="AO142" i="138"/>
  <c r="BE142" i="138" s="1"/>
  <c r="AO128" i="138"/>
  <c r="BE128" i="138" s="1"/>
  <c r="AO119" i="138"/>
  <c r="BE119" i="138" s="1"/>
  <c r="H115" i="138"/>
  <c r="AL122" i="138"/>
  <c r="BB122" i="138" s="1"/>
  <c r="AL118" i="138"/>
  <c r="BB118" i="138" s="1"/>
  <c r="L115" i="138"/>
  <c r="AP118" i="138"/>
  <c r="BF118" i="138" s="1"/>
  <c r="AP122" i="138"/>
  <c r="BF122" i="138" s="1"/>
  <c r="I115" i="138"/>
  <c r="AM122" i="138"/>
  <c r="BC122" i="138" s="1"/>
  <c r="AM118" i="138"/>
  <c r="BC118" i="138" s="1"/>
  <c r="X115" i="138"/>
  <c r="AM144" i="138"/>
  <c r="BC144" i="138" s="1"/>
  <c r="AM143" i="138"/>
  <c r="BC143" i="138" s="1"/>
  <c r="AM142" i="138"/>
  <c r="BC142" i="138" s="1"/>
  <c r="AM141" i="138"/>
  <c r="BC141" i="138" s="1"/>
  <c r="AM140" i="138"/>
  <c r="BC140" i="138" s="1"/>
  <c r="AM139" i="138"/>
  <c r="BC139" i="138" s="1"/>
  <c r="AM138" i="138"/>
  <c r="BC138" i="138" s="1"/>
  <c r="AM137" i="138"/>
  <c r="BC137" i="138" s="1"/>
  <c r="AM136" i="138"/>
  <c r="BC136" i="138" s="1"/>
  <c r="AM135" i="138"/>
  <c r="BC135" i="138" s="1"/>
  <c r="AM134" i="138"/>
  <c r="BC134" i="138" s="1"/>
  <c r="AM133" i="138"/>
  <c r="BC133" i="138" s="1"/>
  <c r="AM132" i="138"/>
  <c r="BC132" i="138" s="1"/>
  <c r="AM131" i="138"/>
  <c r="BC131" i="138" s="1"/>
  <c r="AM130" i="138"/>
  <c r="BC130" i="138" s="1"/>
  <c r="AM129" i="138"/>
  <c r="BC129" i="138" s="1"/>
  <c r="AM128" i="138"/>
  <c r="BC128" i="138" s="1"/>
  <c r="AM127" i="138"/>
  <c r="BC127" i="138" s="1"/>
  <c r="AM126" i="138"/>
  <c r="BC126" i="138" s="1"/>
  <c r="AM125" i="138"/>
  <c r="BC125" i="138" s="1"/>
  <c r="AM124" i="138"/>
  <c r="BC124" i="138" s="1"/>
  <c r="AM123" i="138"/>
  <c r="BC123" i="138" s="1"/>
  <c r="AM121" i="138"/>
  <c r="BC121" i="138" s="1"/>
  <c r="AM120" i="138"/>
  <c r="BC120" i="138" s="1"/>
  <c r="AM119" i="138"/>
  <c r="BC119" i="138" s="1"/>
  <c r="AM117" i="138"/>
  <c r="BC117" i="138" s="1"/>
  <c r="AM116" i="138"/>
  <c r="BC116" i="138" s="1"/>
  <c r="W115" i="138"/>
  <c r="AL144" i="138"/>
  <c r="BB144" i="138" s="1"/>
  <c r="AL143" i="138"/>
  <c r="BB143" i="138" s="1"/>
  <c r="AL142" i="138"/>
  <c r="BB142" i="138" s="1"/>
  <c r="AL141" i="138"/>
  <c r="BB141" i="138" s="1"/>
  <c r="AL140" i="138"/>
  <c r="BB140" i="138" s="1"/>
  <c r="AL139" i="138"/>
  <c r="BB139" i="138" s="1"/>
  <c r="AL138" i="138"/>
  <c r="BB138" i="138" s="1"/>
  <c r="AL137" i="138"/>
  <c r="BB137" i="138" s="1"/>
  <c r="AL136" i="138"/>
  <c r="BB136" i="138" s="1"/>
  <c r="AL135" i="138"/>
  <c r="BB135" i="138" s="1"/>
  <c r="AL134" i="138"/>
  <c r="BB134" i="138" s="1"/>
  <c r="AL133" i="138"/>
  <c r="BB133" i="138" s="1"/>
  <c r="AL132" i="138"/>
  <c r="BB132" i="138" s="1"/>
  <c r="AL131" i="138"/>
  <c r="BB131" i="138" s="1"/>
  <c r="AL130" i="138"/>
  <c r="BB130" i="138" s="1"/>
  <c r="AL129" i="138"/>
  <c r="BB129" i="138" s="1"/>
  <c r="AL128" i="138"/>
  <c r="BB128" i="138" s="1"/>
  <c r="AL127" i="138"/>
  <c r="BB127" i="138" s="1"/>
  <c r="AL126" i="138"/>
  <c r="BB126" i="138" s="1"/>
  <c r="AL125" i="138"/>
  <c r="BB125" i="138" s="1"/>
  <c r="AL124" i="138"/>
  <c r="BB124" i="138" s="1"/>
  <c r="AL123" i="138"/>
  <c r="BB123" i="138" s="1"/>
  <c r="AL120" i="138"/>
  <c r="BB120" i="138" s="1"/>
  <c r="AL119" i="138"/>
  <c r="BB119" i="138" s="1"/>
  <c r="AL117" i="138"/>
  <c r="BB117" i="138" s="1"/>
  <c r="AL121" i="138"/>
  <c r="BB121" i="138" s="1"/>
  <c r="AL116" i="138"/>
  <c r="BB116" i="138" s="1"/>
  <c r="V115" i="138"/>
  <c r="AK115" i="138" s="1"/>
  <c r="BA115" i="138" s="1"/>
  <c r="AK144" i="138"/>
  <c r="BA144" i="138" s="1"/>
  <c r="AK143" i="138"/>
  <c r="BA143" i="138" s="1"/>
  <c r="AK142" i="138"/>
  <c r="BA142" i="138" s="1"/>
  <c r="AK141" i="138"/>
  <c r="BA141" i="138" s="1"/>
  <c r="AK140" i="138"/>
  <c r="BA140" i="138" s="1"/>
  <c r="AK139" i="138"/>
  <c r="BA139" i="138" s="1"/>
  <c r="AK138" i="138"/>
  <c r="BA138" i="138" s="1"/>
  <c r="AK137" i="138"/>
  <c r="BA137" i="138" s="1"/>
  <c r="AK136" i="138"/>
  <c r="BA136" i="138" s="1"/>
  <c r="AK135" i="138"/>
  <c r="BA135" i="138" s="1"/>
  <c r="AK134" i="138"/>
  <c r="BA134" i="138" s="1"/>
  <c r="AK133" i="138"/>
  <c r="BA133" i="138" s="1"/>
  <c r="AK132" i="138"/>
  <c r="BA132" i="138" s="1"/>
  <c r="AK131" i="138"/>
  <c r="BA131" i="138" s="1"/>
  <c r="AK130" i="138"/>
  <c r="BA130" i="138" s="1"/>
  <c r="AK129" i="138"/>
  <c r="BA129" i="138" s="1"/>
  <c r="AK128" i="138"/>
  <c r="BA128" i="138" s="1"/>
  <c r="AK127" i="138"/>
  <c r="BA127" i="138" s="1"/>
  <c r="AK126" i="138"/>
  <c r="BA126" i="138" s="1"/>
  <c r="AK125" i="138"/>
  <c r="BA125" i="138" s="1"/>
  <c r="AK124" i="138"/>
  <c r="BA124" i="138" s="1"/>
  <c r="AK123" i="138"/>
  <c r="BA123" i="138" s="1"/>
  <c r="AK121" i="138"/>
  <c r="BA121" i="138" s="1"/>
  <c r="AK120" i="138"/>
  <c r="BA120" i="138" s="1"/>
  <c r="AK119" i="138"/>
  <c r="BA119" i="138" s="1"/>
  <c r="AK117" i="138"/>
  <c r="BA117" i="138" s="1"/>
  <c r="AK116" i="138"/>
  <c r="BA116" i="138" s="1"/>
  <c r="J115" i="138"/>
  <c r="AN122" i="138"/>
  <c r="BD122" i="138" s="1"/>
  <c r="AN118" i="138"/>
  <c r="BD118" i="138" s="1"/>
  <c r="AG115" i="138"/>
  <c r="AV144" i="138"/>
  <c r="BL144" i="138" s="1"/>
  <c r="AV143" i="138"/>
  <c r="BL143" i="138" s="1"/>
  <c r="AV142" i="138"/>
  <c r="BL142" i="138" s="1"/>
  <c r="AV141" i="138"/>
  <c r="BL141" i="138" s="1"/>
  <c r="AV140" i="138"/>
  <c r="BL140" i="138" s="1"/>
  <c r="AV139" i="138"/>
  <c r="BL139" i="138" s="1"/>
  <c r="AV138" i="138"/>
  <c r="BL138" i="138" s="1"/>
  <c r="AV137" i="138"/>
  <c r="BL137" i="138" s="1"/>
  <c r="AV136" i="138"/>
  <c r="BL136" i="138" s="1"/>
  <c r="AV135" i="138"/>
  <c r="BL135" i="138" s="1"/>
  <c r="AV134" i="138"/>
  <c r="BL134" i="138" s="1"/>
  <c r="AV133" i="138"/>
  <c r="BL133" i="138" s="1"/>
  <c r="AV132" i="138"/>
  <c r="BL132" i="138" s="1"/>
  <c r="AV131" i="138"/>
  <c r="BL131" i="138" s="1"/>
  <c r="AV130" i="138"/>
  <c r="BL130" i="138" s="1"/>
  <c r="AV129" i="138"/>
  <c r="BL129" i="138" s="1"/>
  <c r="AV128" i="138"/>
  <c r="BL128" i="138" s="1"/>
  <c r="AV127" i="138"/>
  <c r="BL127" i="138" s="1"/>
  <c r="AV126" i="138"/>
  <c r="BL126" i="138" s="1"/>
  <c r="AV125" i="138"/>
  <c r="BL125" i="138" s="1"/>
  <c r="AV124" i="138"/>
  <c r="BL124" i="138" s="1"/>
  <c r="AV123" i="138"/>
  <c r="BL123" i="138" s="1"/>
  <c r="AV121" i="138"/>
  <c r="BL121" i="138" s="1"/>
  <c r="AV120" i="138"/>
  <c r="BL120" i="138" s="1"/>
  <c r="AV119" i="138"/>
  <c r="BL119" i="138" s="1"/>
  <c r="AV117" i="138"/>
  <c r="BL117" i="138" s="1"/>
  <c r="AV116" i="138"/>
  <c r="BL116" i="138" s="1"/>
  <c r="K115" i="138"/>
  <c r="AO118" i="138"/>
  <c r="BE118" i="138" s="1"/>
  <c r="AO122" i="138"/>
  <c r="BE122" i="138" s="1"/>
  <c r="G115" i="138"/>
  <c r="AK122" i="138"/>
  <c r="BA122" i="138" s="1"/>
  <c r="AK118" i="138"/>
  <c r="BA118" i="138" s="1"/>
  <c r="Y115" i="138"/>
  <c r="AN137" i="138"/>
  <c r="BD137" i="138" s="1"/>
  <c r="AN124" i="138"/>
  <c r="BD124" i="138" s="1"/>
  <c r="AN116" i="138"/>
  <c r="BD116" i="138" s="1"/>
  <c r="AN139" i="138"/>
  <c r="BD139" i="138" s="1"/>
  <c r="AN142" i="138"/>
  <c r="BD142" i="138" s="1"/>
  <c r="AN128" i="138"/>
  <c r="BD128" i="138" s="1"/>
  <c r="AN120" i="138"/>
  <c r="BD120" i="138" s="1"/>
  <c r="AN141" i="138"/>
  <c r="BD141" i="138" s="1"/>
  <c r="AN126" i="138"/>
  <c r="BD126" i="138" s="1"/>
  <c r="AN144" i="138"/>
  <c r="BD144" i="138" s="1"/>
  <c r="AN140" i="138"/>
  <c r="BD140" i="138" s="1"/>
  <c r="AN136" i="138"/>
  <c r="BD136" i="138" s="1"/>
  <c r="AN135" i="138"/>
  <c r="BD135" i="138" s="1"/>
  <c r="AN134" i="138"/>
  <c r="BD134" i="138" s="1"/>
  <c r="AN133" i="138"/>
  <c r="BD133" i="138" s="1"/>
  <c r="AN132" i="138"/>
  <c r="BD132" i="138" s="1"/>
  <c r="AN131" i="138"/>
  <c r="BD131" i="138" s="1"/>
  <c r="AN130" i="138"/>
  <c r="BD130" i="138" s="1"/>
  <c r="AN129" i="138"/>
  <c r="BD129" i="138" s="1"/>
  <c r="AN125" i="138"/>
  <c r="BD125" i="138" s="1"/>
  <c r="AN121" i="138"/>
  <c r="BD121" i="138" s="1"/>
  <c r="AN117" i="138"/>
  <c r="BD117" i="138" s="1"/>
  <c r="AN143" i="138"/>
  <c r="BD143" i="138" s="1"/>
  <c r="AN127" i="138"/>
  <c r="BD127" i="138" s="1"/>
  <c r="AN119" i="138"/>
  <c r="BD119" i="138" s="1"/>
  <c r="AN138" i="138"/>
  <c r="BD138" i="138" s="1"/>
  <c r="AN123" i="138"/>
  <c r="BD123" i="138" s="1"/>
  <c r="R115" i="138"/>
  <c r="AV122" i="138"/>
  <c r="BL122" i="138" s="1"/>
  <c r="AV118" i="138"/>
  <c r="BL118" i="138" s="1"/>
  <c r="M115" i="138"/>
  <c r="AQ118" i="138"/>
  <c r="BG118" i="138" s="1"/>
  <c r="AQ122" i="138"/>
  <c r="BG122" i="138" s="1"/>
  <c r="O115" i="138"/>
  <c r="AS122" i="138"/>
  <c r="BI122" i="138" s="1"/>
  <c r="AS118" i="138"/>
  <c r="BI118" i="138" s="1"/>
  <c r="N115" i="138"/>
  <c r="AR118" i="138"/>
  <c r="BH118" i="138" s="1"/>
  <c r="AR122" i="138"/>
  <c r="BH122" i="138" s="1"/>
  <c r="AC115" i="138"/>
  <c r="AR140" i="138"/>
  <c r="BH140" i="138" s="1"/>
  <c r="AR133" i="138"/>
  <c r="BH133" i="138" s="1"/>
  <c r="AR126" i="138"/>
  <c r="BH126" i="138" s="1"/>
  <c r="AR121" i="138"/>
  <c r="BH121" i="138" s="1"/>
  <c r="AR116" i="138"/>
  <c r="BH116" i="138" s="1"/>
  <c r="AR141" i="138"/>
  <c r="BH141" i="138" s="1"/>
  <c r="AR135" i="138"/>
  <c r="BH135" i="138" s="1"/>
  <c r="AR129" i="138"/>
  <c r="BH129" i="138" s="1"/>
  <c r="AR123" i="138"/>
  <c r="BH123" i="138" s="1"/>
  <c r="AR142" i="138"/>
  <c r="BH142" i="138" s="1"/>
  <c r="AR139" i="138"/>
  <c r="BH139" i="138" s="1"/>
  <c r="AR136" i="138"/>
  <c r="BH136" i="138" s="1"/>
  <c r="AR132" i="138"/>
  <c r="BH132" i="138" s="1"/>
  <c r="AR127" i="138"/>
  <c r="BH127" i="138" s="1"/>
  <c r="AR120" i="138"/>
  <c r="BH120" i="138" s="1"/>
  <c r="AR117" i="138"/>
  <c r="BH117" i="138" s="1"/>
  <c r="AR144" i="138"/>
  <c r="BH144" i="138" s="1"/>
  <c r="AR137" i="138"/>
  <c r="BH137" i="138" s="1"/>
  <c r="AR130" i="138"/>
  <c r="BH130" i="138" s="1"/>
  <c r="AR125" i="138"/>
  <c r="BH125" i="138" s="1"/>
  <c r="AR143" i="138"/>
  <c r="BH143" i="138" s="1"/>
  <c r="AR138" i="138"/>
  <c r="BH138" i="138" s="1"/>
  <c r="AR134" i="138"/>
  <c r="BH134" i="138" s="1"/>
  <c r="AR128" i="138"/>
  <c r="BH128" i="138" s="1"/>
  <c r="AR124" i="138"/>
  <c r="BH124" i="138" s="1"/>
  <c r="AR119" i="138"/>
  <c r="BH119" i="138" s="1"/>
  <c r="AR131" i="138"/>
  <c r="BH131" i="138" s="1"/>
  <c r="AB115" i="138"/>
  <c r="AQ144" i="138"/>
  <c r="BG144" i="138" s="1"/>
  <c r="AQ128" i="138"/>
  <c r="BG128" i="138" s="1"/>
  <c r="AQ121" i="138"/>
  <c r="BG121" i="138" s="1"/>
  <c r="AQ141" i="138"/>
  <c r="BG141" i="138" s="1"/>
  <c r="AQ132" i="138"/>
  <c r="BG132" i="138" s="1"/>
  <c r="AQ124" i="138"/>
  <c r="BG124" i="138" s="1"/>
  <c r="AQ117" i="138"/>
  <c r="BG117" i="138" s="1"/>
  <c r="AQ139" i="138"/>
  <c r="BG139" i="138" s="1"/>
  <c r="AQ127" i="138"/>
  <c r="BG127" i="138" s="1"/>
  <c r="AQ138" i="138"/>
  <c r="BG138" i="138" s="1"/>
  <c r="AQ126" i="138"/>
  <c r="BG126" i="138" s="1"/>
  <c r="AQ119" i="138"/>
  <c r="BG119" i="138" s="1"/>
  <c r="AQ143" i="138"/>
  <c r="BG143" i="138" s="1"/>
  <c r="AQ137" i="138"/>
  <c r="BG137" i="138" s="1"/>
  <c r="AQ136" i="138"/>
  <c r="BG136" i="138" s="1"/>
  <c r="AQ134" i="138"/>
  <c r="BG134" i="138" s="1"/>
  <c r="AQ133" i="138"/>
  <c r="BG133" i="138" s="1"/>
  <c r="AQ129" i="138"/>
  <c r="BG129" i="138" s="1"/>
  <c r="AQ123" i="138"/>
  <c r="BG123" i="138" s="1"/>
  <c r="AQ116" i="138"/>
  <c r="BG116" i="138" s="1"/>
  <c r="AQ140" i="138"/>
  <c r="BG140" i="138" s="1"/>
  <c r="AQ131" i="138"/>
  <c r="BG131" i="138" s="1"/>
  <c r="AQ142" i="138"/>
  <c r="BG142" i="138" s="1"/>
  <c r="AQ135" i="138"/>
  <c r="BG135" i="138" s="1"/>
  <c r="AQ130" i="138"/>
  <c r="BG130" i="138" s="1"/>
  <c r="AQ125" i="138"/>
  <c r="BG125" i="138" s="1"/>
  <c r="AQ120" i="138"/>
  <c r="BG120" i="138" s="1"/>
  <c r="AD115" i="138"/>
  <c r="AS144" i="138"/>
  <c r="BI144" i="138" s="1"/>
  <c r="AS143" i="138"/>
  <c r="BI143" i="138" s="1"/>
  <c r="AS142" i="138"/>
  <c r="BI142" i="138" s="1"/>
  <c r="AS141" i="138"/>
  <c r="BI141" i="138" s="1"/>
  <c r="AS140" i="138"/>
  <c r="BI140" i="138" s="1"/>
  <c r="AS139" i="138"/>
  <c r="BI139" i="138" s="1"/>
  <c r="AS138" i="138"/>
  <c r="BI138" i="138" s="1"/>
  <c r="AS137" i="138"/>
  <c r="BI137" i="138" s="1"/>
  <c r="AS136" i="138"/>
  <c r="BI136" i="138" s="1"/>
  <c r="AS135" i="138"/>
  <c r="BI135" i="138" s="1"/>
  <c r="AS134" i="138"/>
  <c r="BI134" i="138" s="1"/>
  <c r="AS133" i="138"/>
  <c r="BI133" i="138" s="1"/>
  <c r="AS132" i="138"/>
  <c r="BI132" i="138" s="1"/>
  <c r="AS131" i="138"/>
  <c r="BI131" i="138" s="1"/>
  <c r="AS130" i="138"/>
  <c r="BI130" i="138" s="1"/>
  <c r="AS129" i="138"/>
  <c r="BI129" i="138" s="1"/>
  <c r="AS128" i="138"/>
  <c r="BI128" i="138" s="1"/>
  <c r="AS127" i="138"/>
  <c r="BI127" i="138" s="1"/>
  <c r="AS126" i="138"/>
  <c r="BI126" i="138" s="1"/>
  <c r="AS125" i="138"/>
  <c r="BI125" i="138" s="1"/>
  <c r="AS124" i="138"/>
  <c r="BI124" i="138" s="1"/>
  <c r="AS123" i="138"/>
  <c r="BI123" i="138" s="1"/>
  <c r="AS121" i="138"/>
  <c r="BI121" i="138" s="1"/>
  <c r="AS120" i="138"/>
  <c r="BI120" i="138" s="1"/>
  <c r="AS119" i="138"/>
  <c r="BI119" i="138" s="1"/>
  <c r="AS117" i="138"/>
  <c r="BI117" i="138" s="1"/>
  <c r="AS116" i="138"/>
  <c r="BI116" i="138" s="1"/>
  <c r="AE115" i="138"/>
  <c r="AT144" i="138"/>
  <c r="BJ144" i="138" s="1"/>
  <c r="AT143" i="138"/>
  <c r="BJ143" i="138" s="1"/>
  <c r="AT142" i="138"/>
  <c r="BJ142" i="138" s="1"/>
  <c r="AT141" i="138"/>
  <c r="BJ141" i="138" s="1"/>
  <c r="AT140" i="138"/>
  <c r="BJ140" i="138" s="1"/>
  <c r="AT139" i="138"/>
  <c r="BJ139" i="138" s="1"/>
  <c r="AT138" i="138"/>
  <c r="BJ138" i="138" s="1"/>
  <c r="AT137" i="138"/>
  <c r="BJ137" i="138" s="1"/>
  <c r="AT136" i="138"/>
  <c r="BJ136" i="138" s="1"/>
  <c r="AT135" i="138"/>
  <c r="BJ135" i="138" s="1"/>
  <c r="AT134" i="138"/>
  <c r="BJ134" i="138" s="1"/>
  <c r="AT133" i="138"/>
  <c r="BJ133" i="138" s="1"/>
  <c r="AT132" i="138"/>
  <c r="BJ132" i="138" s="1"/>
  <c r="AT131" i="138"/>
  <c r="BJ131" i="138" s="1"/>
  <c r="AT130" i="138"/>
  <c r="BJ130" i="138" s="1"/>
  <c r="AT129" i="138"/>
  <c r="BJ129" i="138" s="1"/>
  <c r="AT128" i="138"/>
  <c r="BJ128" i="138" s="1"/>
  <c r="AT127" i="138"/>
  <c r="BJ127" i="138" s="1"/>
  <c r="AT126" i="138"/>
  <c r="BJ126" i="138" s="1"/>
  <c r="AT125" i="138"/>
  <c r="BJ125" i="138" s="1"/>
  <c r="AT124" i="138"/>
  <c r="BJ124" i="138" s="1"/>
  <c r="AT123" i="138"/>
  <c r="BJ123" i="138" s="1"/>
  <c r="AT121" i="138"/>
  <c r="BJ121" i="138" s="1"/>
  <c r="AT120" i="138"/>
  <c r="BJ120" i="138" s="1"/>
  <c r="AT119" i="138"/>
  <c r="BJ119" i="138" s="1"/>
  <c r="AT117" i="138"/>
  <c r="BJ117" i="138" s="1"/>
  <c r="AT116" i="138"/>
  <c r="BJ116" i="138" s="1"/>
  <c r="B115" i="138"/>
  <c r="C115" i="138" s="1" a="1"/>
  <c r="O67" i="138" a="1"/>
  <c r="AS96" i="138" s="1"/>
  <c r="BI96" i="138" s="1"/>
  <c r="J67" i="138" a="1"/>
  <c r="J67" i="138" s="1"/>
  <c r="N67" i="138" a="1"/>
  <c r="N67" i="138" s="1"/>
  <c r="AF67" i="138" a="1"/>
  <c r="AU88" i="138" s="1"/>
  <c r="BK88" i="138" s="1"/>
  <c r="W67" i="138" a="1"/>
  <c r="W67" i="138" s="1"/>
  <c r="Y67" i="138" a="1"/>
  <c r="Z67" i="138"/>
  <c r="AO72" i="138"/>
  <c r="BE72" i="138" s="1"/>
  <c r="I4" i="138" a="1"/>
  <c r="AB4" i="138" a="1"/>
  <c r="I67" i="138" a="1"/>
  <c r="AA4" i="138" a="1"/>
  <c r="G67" i="138" a="1"/>
  <c r="V67" i="138" a="1"/>
  <c r="P67" i="138"/>
  <c r="AT70" i="138"/>
  <c r="BJ70" i="138" s="1"/>
  <c r="AT74" i="138"/>
  <c r="BJ74" i="138" s="1"/>
  <c r="X67" i="138"/>
  <c r="AU73" i="138"/>
  <c r="BK73" i="138" s="1"/>
  <c r="AU81" i="138"/>
  <c r="BK81" i="138" s="1"/>
  <c r="AB67" i="138"/>
  <c r="O4" i="138" a="1"/>
  <c r="AG4" i="138" a="1"/>
  <c r="Z4" i="138" a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X4" i="138" a="1"/>
  <c r="H67" i="138" a="1"/>
  <c r="AL86" i="138" s="1"/>
  <c r="BB86" i="138" s="1"/>
  <c r="M67" i="138" a="1"/>
  <c r="O67" i="138"/>
  <c r="AS74" i="138"/>
  <c r="BI74" i="138" s="1"/>
  <c r="AG67" i="138"/>
  <c r="W4" i="138" a="1"/>
  <c r="R67" i="138" a="1"/>
  <c r="AV85" i="138" s="1"/>
  <c r="BL85" i="138" s="1"/>
  <c r="AC67" i="138" a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AD4" i="138" a="1"/>
  <c r="V4" i="138" a="1"/>
  <c r="AF4" i="138" a="1"/>
  <c r="AE4" i="138" a="1"/>
  <c r="AC4" i="138" a="1"/>
  <c r="N4" i="138" a="1"/>
  <c r="H4" i="138" a="1"/>
  <c r="M4" i="138" a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CV8" i="138" l="1"/>
  <c r="CW12" i="138"/>
  <c r="CW9" i="138"/>
  <c r="CY9" i="138" s="1"/>
  <c r="CW11" i="138"/>
  <c r="CW8" i="138"/>
  <c r="CY8" i="138" s="1"/>
  <c r="CY13" i="138"/>
  <c r="CW10" i="138"/>
  <c r="CY10" i="138" s="1"/>
  <c r="CY12" i="138"/>
  <c r="CY11" i="138"/>
  <c r="AK225" i="138"/>
  <c r="BA225" i="138" s="1"/>
  <c r="AK212" i="138"/>
  <c r="BA212" i="138" s="1"/>
  <c r="G205" i="138"/>
  <c r="AK208" i="138"/>
  <c r="BA208" i="138" s="1"/>
  <c r="AK232" i="138"/>
  <c r="BA232" i="138" s="1"/>
  <c r="AR70" i="138"/>
  <c r="BH70" i="138" s="1"/>
  <c r="AM209" i="138"/>
  <c r="BC209" i="138" s="1"/>
  <c r="AM210" i="138"/>
  <c r="BC210" i="138" s="1"/>
  <c r="AK210" i="138"/>
  <c r="BA210" i="138" s="1"/>
  <c r="AM212" i="138"/>
  <c r="BC212" i="138" s="1"/>
  <c r="AM206" i="138"/>
  <c r="BC206" i="138" s="1"/>
  <c r="AK222" i="138"/>
  <c r="BA222" i="138" s="1"/>
  <c r="AM229" i="138"/>
  <c r="BC229" i="138" s="1"/>
  <c r="AK218" i="138"/>
  <c r="BA218" i="138" s="1"/>
  <c r="AK233" i="138"/>
  <c r="BA233" i="138" s="1"/>
  <c r="AG4" i="138"/>
  <c r="AU208" i="138"/>
  <c r="BK208" i="138" s="1"/>
  <c r="AK220" i="138"/>
  <c r="BA220" i="138" s="1"/>
  <c r="AQ96" i="138"/>
  <c r="BG96" i="138" s="1"/>
  <c r="AN217" i="138"/>
  <c r="BD217" i="138" s="1"/>
  <c r="AK224" i="138"/>
  <c r="BA224" i="138" s="1"/>
  <c r="AO83" i="138"/>
  <c r="BE83" i="138" s="1"/>
  <c r="AM254" i="138"/>
  <c r="BC254" i="138" s="1"/>
  <c r="AU232" i="138"/>
  <c r="BK232" i="138" s="1"/>
  <c r="AR271" i="138"/>
  <c r="BH271" i="138" s="1"/>
  <c r="AK234" i="138"/>
  <c r="BA234" i="138" s="1"/>
  <c r="AU217" i="138"/>
  <c r="BK217" i="138" s="1"/>
  <c r="AK206" i="138"/>
  <c r="BA206" i="138" s="1"/>
  <c r="AU224" i="138"/>
  <c r="BK224" i="138" s="1"/>
  <c r="AM218" i="138"/>
  <c r="BC218" i="138" s="1"/>
  <c r="AO90" i="138"/>
  <c r="BE90" i="138" s="1"/>
  <c r="AL213" i="138"/>
  <c r="BB213" i="138" s="1"/>
  <c r="AL219" i="138"/>
  <c r="BB219" i="138" s="1"/>
  <c r="AM214" i="138"/>
  <c r="BC214" i="138" s="1"/>
  <c r="AL224" i="138"/>
  <c r="BB224" i="138" s="1"/>
  <c r="AL218" i="138"/>
  <c r="BB218" i="138" s="1"/>
  <c r="AM208" i="138"/>
  <c r="BC208" i="138" s="1"/>
  <c r="AM211" i="138"/>
  <c r="BC211" i="138" s="1"/>
  <c r="AM225" i="138"/>
  <c r="BC225" i="138" s="1"/>
  <c r="AL208" i="138"/>
  <c r="BB208" i="138" s="1"/>
  <c r="AL227" i="138"/>
  <c r="BB227" i="138" s="1"/>
  <c r="AL217" i="138"/>
  <c r="BB217" i="138" s="1"/>
  <c r="AM220" i="138"/>
  <c r="BC220" i="138" s="1"/>
  <c r="AM233" i="138"/>
  <c r="BC233" i="138" s="1"/>
  <c r="AL212" i="138"/>
  <c r="BB212" i="138" s="1"/>
  <c r="AL214" i="138"/>
  <c r="BB214" i="138" s="1"/>
  <c r="AL223" i="138"/>
  <c r="BB223" i="138" s="1"/>
  <c r="AM230" i="138"/>
  <c r="BC230" i="138" s="1"/>
  <c r="AM215" i="138"/>
  <c r="BC215" i="138" s="1"/>
  <c r="H205" i="138"/>
  <c r="AL207" i="138"/>
  <c r="BB207" i="138" s="1"/>
  <c r="AL226" i="138"/>
  <c r="BB226" i="138" s="1"/>
  <c r="AM234" i="138"/>
  <c r="BC234" i="138" s="1"/>
  <c r="AM216" i="138"/>
  <c r="BC216" i="138" s="1"/>
  <c r="AL222" i="138"/>
  <c r="BB222" i="138" s="1"/>
  <c r="AL229" i="138"/>
  <c r="BB229" i="138" s="1"/>
  <c r="AM221" i="138"/>
  <c r="BC221" i="138" s="1"/>
  <c r="X205" i="138"/>
  <c r="AL221" i="138"/>
  <c r="BB221" i="138" s="1"/>
  <c r="AL211" i="138"/>
  <c r="BB211" i="138" s="1"/>
  <c r="AL225" i="138"/>
  <c r="BB225" i="138" s="1"/>
  <c r="AL232" i="138"/>
  <c r="BB232" i="138" s="1"/>
  <c r="AM213" i="138"/>
  <c r="BC213" i="138" s="1"/>
  <c r="AU218" i="138"/>
  <c r="BK218" i="138" s="1"/>
  <c r="AL209" i="138"/>
  <c r="BB209" i="138" s="1"/>
  <c r="AL233" i="138"/>
  <c r="BB233" i="138" s="1"/>
  <c r="AL215" i="138"/>
  <c r="BB215" i="138" s="1"/>
  <c r="AL228" i="138"/>
  <c r="BB228" i="138" s="1"/>
  <c r="AL216" i="138"/>
  <c r="BB216" i="138" s="1"/>
  <c r="AL234" i="138"/>
  <c r="BB234" i="138" s="1"/>
  <c r="AM227" i="138"/>
  <c r="BC227" i="138" s="1"/>
  <c r="AU213" i="138"/>
  <c r="BK213" i="138" s="1"/>
  <c r="AM226" i="138"/>
  <c r="BC226" i="138" s="1"/>
  <c r="AK229" i="138"/>
  <c r="BA229" i="138" s="1"/>
  <c r="AL231" i="138"/>
  <c r="BB231" i="138" s="1"/>
  <c r="AL220" i="138"/>
  <c r="BB220" i="138" s="1"/>
  <c r="AL205" i="138"/>
  <c r="BB205" i="138" s="1"/>
  <c r="AL206" i="138"/>
  <c r="BB206" i="138" s="1"/>
  <c r="E205" i="138" a="1"/>
  <c r="E205" i="138" s="1"/>
  <c r="AX205" i="138" a="1"/>
  <c r="AX205" i="138" s="1"/>
  <c r="AU212" i="138"/>
  <c r="BK212" i="138" s="1"/>
  <c r="AU220" i="138"/>
  <c r="BK220" i="138" s="1"/>
  <c r="AU223" i="138"/>
  <c r="BK223" i="138" s="1"/>
  <c r="AS214" i="138"/>
  <c r="BI214" i="138" s="1"/>
  <c r="AU207" i="138"/>
  <c r="BK207" i="138" s="1"/>
  <c r="AU225" i="138"/>
  <c r="BK225" i="138" s="1"/>
  <c r="AV172" i="138"/>
  <c r="BL172" i="138" s="1"/>
  <c r="AO229" i="138"/>
  <c r="BE229" i="138" s="1"/>
  <c r="AO220" i="138"/>
  <c r="BE220" i="138" s="1"/>
  <c r="AS215" i="138"/>
  <c r="BI215" i="138" s="1"/>
  <c r="AM207" i="138"/>
  <c r="BC207" i="138" s="1"/>
  <c r="AM232" i="138"/>
  <c r="BC232" i="138" s="1"/>
  <c r="AM219" i="138"/>
  <c r="BC219" i="138" s="1"/>
  <c r="AK230" i="138"/>
  <c r="BA230" i="138" s="1"/>
  <c r="AU211" i="138"/>
  <c r="BK211" i="138" s="1"/>
  <c r="AU226" i="138"/>
  <c r="BK226" i="138" s="1"/>
  <c r="T205" i="138" a="1"/>
  <c r="T205" i="138" s="1"/>
  <c r="AO206" i="138"/>
  <c r="BE206" i="138" s="1"/>
  <c r="AO224" i="138"/>
  <c r="BE224" i="138" s="1"/>
  <c r="AS221" i="138"/>
  <c r="BI221" i="138" s="1"/>
  <c r="AM231" i="138"/>
  <c r="BC231" i="138" s="1"/>
  <c r="AM224" i="138"/>
  <c r="BC224" i="138" s="1"/>
  <c r="AK207" i="138"/>
  <c r="BA207" i="138" s="1"/>
  <c r="AU219" i="138"/>
  <c r="BK219" i="138" s="1"/>
  <c r="AU229" i="138"/>
  <c r="BK229" i="138" s="1"/>
  <c r="AI205" i="138" a="1"/>
  <c r="AI205" i="138" s="1"/>
  <c r="AS222" i="138"/>
  <c r="BI222" i="138" s="1"/>
  <c r="AU221" i="138"/>
  <c r="BK221" i="138" s="1"/>
  <c r="AU230" i="138"/>
  <c r="BK230" i="138" s="1"/>
  <c r="AS226" i="138"/>
  <c r="BI226" i="138" s="1"/>
  <c r="AU215" i="138"/>
  <c r="BK215" i="138" s="1"/>
  <c r="AU231" i="138"/>
  <c r="BK231" i="138" s="1"/>
  <c r="AO233" i="138"/>
  <c r="BE233" i="138" s="1"/>
  <c r="AO234" i="138"/>
  <c r="BE234" i="138" s="1"/>
  <c r="AO218" i="138"/>
  <c r="BE218" i="138" s="1"/>
  <c r="AS227" i="138"/>
  <c r="BI227" i="138" s="1"/>
  <c r="AM223" i="138"/>
  <c r="BC223" i="138" s="1"/>
  <c r="AM217" i="138"/>
  <c r="BC217" i="138" s="1"/>
  <c r="AU206" i="138"/>
  <c r="BK206" i="138" s="1"/>
  <c r="AU234" i="138"/>
  <c r="BK234" i="138" s="1"/>
  <c r="AO214" i="138"/>
  <c r="BE214" i="138" s="1"/>
  <c r="AO205" i="138"/>
  <c r="BE205" i="138" s="1"/>
  <c r="AS233" i="138"/>
  <c r="BI233" i="138" s="1"/>
  <c r="AM228" i="138"/>
  <c r="BC228" i="138" s="1"/>
  <c r="AT224" i="138"/>
  <c r="BJ224" i="138" s="1"/>
  <c r="AK209" i="138"/>
  <c r="BA209" i="138" s="1"/>
  <c r="AU210" i="138"/>
  <c r="BK210" i="138" s="1"/>
  <c r="AK214" i="138"/>
  <c r="BA214" i="138" s="1"/>
  <c r="AS234" i="138"/>
  <c r="BI234" i="138" s="1"/>
  <c r="AS225" i="138"/>
  <c r="BI225" i="138" s="1"/>
  <c r="AU222" i="138"/>
  <c r="BK222" i="138" s="1"/>
  <c r="AO85" i="138"/>
  <c r="BE85" i="138" s="1"/>
  <c r="AO69" i="138"/>
  <c r="BE69" i="138" s="1"/>
  <c r="AO80" i="138"/>
  <c r="BE80" i="138" s="1"/>
  <c r="AU115" i="138"/>
  <c r="BK115" i="138" s="1"/>
  <c r="AT217" i="138"/>
  <c r="BJ217" i="138" s="1"/>
  <c r="AT226" i="138"/>
  <c r="BJ226" i="138" s="1"/>
  <c r="AT227" i="138"/>
  <c r="BJ227" i="138" s="1"/>
  <c r="AO96" i="138"/>
  <c r="BE96" i="138" s="1"/>
  <c r="AO75" i="138"/>
  <c r="BE75" i="138" s="1"/>
  <c r="AO93" i="138"/>
  <c r="BE93" i="138" s="1"/>
  <c r="AT206" i="138"/>
  <c r="BJ206" i="138" s="1"/>
  <c r="AT228" i="138"/>
  <c r="BJ228" i="138" s="1"/>
  <c r="AK223" i="138"/>
  <c r="BA223" i="138" s="1"/>
  <c r="AU227" i="138"/>
  <c r="BK227" i="138" s="1"/>
  <c r="AO94" i="138"/>
  <c r="BE94" i="138" s="1"/>
  <c r="AO78" i="138"/>
  <c r="BE78" i="138" s="1"/>
  <c r="AT207" i="138"/>
  <c r="BJ207" i="138" s="1"/>
  <c r="AT229" i="138"/>
  <c r="BJ229" i="138" s="1"/>
  <c r="AN211" i="138"/>
  <c r="BD211" i="138" s="1"/>
  <c r="AK213" i="138"/>
  <c r="BA213" i="138" s="1"/>
  <c r="AK226" i="138"/>
  <c r="BA226" i="138" s="1"/>
  <c r="AU209" i="138"/>
  <c r="BK209" i="138" s="1"/>
  <c r="AU228" i="138"/>
  <c r="BK228" i="138" s="1"/>
  <c r="AO70" i="138"/>
  <c r="BE70" i="138" s="1"/>
  <c r="AO76" i="138"/>
  <c r="BE76" i="138" s="1"/>
  <c r="AO81" i="138"/>
  <c r="BE81" i="138" s="1"/>
  <c r="AT209" i="138"/>
  <c r="BJ209" i="138" s="1"/>
  <c r="AT230" i="138"/>
  <c r="BJ230" i="138" s="1"/>
  <c r="AO74" i="138"/>
  <c r="BE74" i="138" s="1"/>
  <c r="AO95" i="138"/>
  <c r="BE95" i="138" s="1"/>
  <c r="AO84" i="138"/>
  <c r="BE84" i="138" s="1"/>
  <c r="AT210" i="138"/>
  <c r="BJ210" i="138" s="1"/>
  <c r="AT231" i="138"/>
  <c r="BJ231" i="138" s="1"/>
  <c r="AT213" i="138"/>
  <c r="BJ213" i="138" s="1"/>
  <c r="K67" i="138"/>
  <c r="AO67" i="138" s="1"/>
  <c r="BE67" i="138" s="1"/>
  <c r="AO73" i="138"/>
  <c r="BE73" i="138" s="1"/>
  <c r="AO89" i="138"/>
  <c r="BE89" i="138" s="1"/>
  <c r="AT211" i="138"/>
  <c r="BJ211" i="138" s="1"/>
  <c r="AT232" i="138"/>
  <c r="BJ232" i="138" s="1"/>
  <c r="AS207" i="138"/>
  <c r="BI207" i="138" s="1"/>
  <c r="V205" i="138"/>
  <c r="AK205" i="138" s="1"/>
  <c r="BA205" i="138" s="1"/>
  <c r="AO82" i="138"/>
  <c r="BE82" i="138" s="1"/>
  <c r="AO86" i="138"/>
  <c r="BE86" i="138" s="1"/>
  <c r="AT221" i="138"/>
  <c r="BJ221" i="138" s="1"/>
  <c r="AT233" i="138"/>
  <c r="BJ233" i="138" s="1"/>
  <c r="AU233" i="138"/>
  <c r="BK233" i="138" s="1"/>
  <c r="AO87" i="138"/>
  <c r="BE87" i="138" s="1"/>
  <c r="AO91" i="138"/>
  <c r="BE91" i="138" s="1"/>
  <c r="AT216" i="138"/>
  <c r="BJ216" i="138" s="1"/>
  <c r="AT220" i="138"/>
  <c r="BJ220" i="138" s="1"/>
  <c r="AT234" i="138"/>
  <c r="BJ234" i="138" s="1"/>
  <c r="AM87" i="138"/>
  <c r="BC87" i="138" s="1"/>
  <c r="AO92" i="138"/>
  <c r="BE92" i="138" s="1"/>
  <c r="AO68" i="138"/>
  <c r="BE68" i="138" s="1"/>
  <c r="AT218" i="138"/>
  <c r="BJ218" i="138" s="1"/>
  <c r="AT222" i="138"/>
  <c r="BJ222" i="138" s="1"/>
  <c r="AO79" i="138"/>
  <c r="BE79" i="138" s="1"/>
  <c r="AO71" i="138"/>
  <c r="BE71" i="138" s="1"/>
  <c r="AT219" i="138"/>
  <c r="BJ219" i="138" s="1"/>
  <c r="AT223" i="138"/>
  <c r="BJ223" i="138" s="1"/>
  <c r="AO88" i="138"/>
  <c r="BE88" i="138" s="1"/>
  <c r="AT215" i="138"/>
  <c r="BJ215" i="138" s="1"/>
  <c r="AT225" i="138"/>
  <c r="BJ225" i="138" s="1"/>
  <c r="AF67" i="138"/>
  <c r="AT214" i="138"/>
  <c r="BJ214" i="138" s="1"/>
  <c r="AS209" i="138"/>
  <c r="BI209" i="138" s="1"/>
  <c r="AK219" i="138"/>
  <c r="BA219" i="138" s="1"/>
  <c r="AK231" i="138"/>
  <c r="BA231" i="138" s="1"/>
  <c r="AU216" i="138"/>
  <c r="BK216" i="138" s="1"/>
  <c r="AU214" i="138"/>
  <c r="BK214" i="138" s="1"/>
  <c r="AM270" i="138"/>
  <c r="BC270" i="138" s="1"/>
  <c r="AK227" i="138"/>
  <c r="BA227" i="138" s="1"/>
  <c r="AK217" i="138"/>
  <c r="BA217" i="138" s="1"/>
  <c r="AN69" i="138"/>
  <c r="BD69" i="138" s="1"/>
  <c r="AN228" i="138"/>
  <c r="BD228" i="138" s="1"/>
  <c r="AN224" i="138"/>
  <c r="BD224" i="138" s="1"/>
  <c r="AK215" i="138"/>
  <c r="BA215" i="138" s="1"/>
  <c r="AK216" i="138"/>
  <c r="BA216" i="138" s="1"/>
  <c r="AN230" i="138"/>
  <c r="BD230" i="138" s="1"/>
  <c r="AK228" i="138"/>
  <c r="BA228" i="138" s="1"/>
  <c r="AK221" i="138"/>
  <c r="BA221" i="138" s="1"/>
  <c r="AM271" i="138"/>
  <c r="BC271" i="138" s="1"/>
  <c r="AU78" i="138"/>
  <c r="BK78" i="138" s="1"/>
  <c r="AM252" i="138"/>
  <c r="BC252" i="138" s="1"/>
  <c r="AM251" i="138"/>
  <c r="BC251" i="138" s="1"/>
  <c r="AN84" i="138"/>
  <c r="BD84" i="138" s="1"/>
  <c r="AL115" i="138"/>
  <c r="BB115" i="138" s="1"/>
  <c r="BB112" i="138" s="1"/>
  <c r="AN188" i="138"/>
  <c r="BD188" i="138" s="1"/>
  <c r="AN189" i="138"/>
  <c r="BD189" i="138" s="1"/>
  <c r="I250" i="138"/>
  <c r="AM250" i="138" s="1"/>
  <c r="BC250" i="138" s="1"/>
  <c r="AM253" i="138"/>
  <c r="BC253" i="138" s="1"/>
  <c r="AM257" i="138"/>
  <c r="BC257" i="138" s="1"/>
  <c r="AN209" i="138"/>
  <c r="BD209" i="138" s="1"/>
  <c r="AN218" i="138"/>
  <c r="BD218" i="138" s="1"/>
  <c r="AS206" i="138"/>
  <c r="BI206" i="138" s="1"/>
  <c r="AS220" i="138"/>
  <c r="BI220" i="138" s="1"/>
  <c r="AS232" i="138"/>
  <c r="BI232" i="138" s="1"/>
  <c r="Z250" i="138"/>
  <c r="AO250" i="138" s="1"/>
  <c r="BE250" i="138" s="1"/>
  <c r="AO268" i="138"/>
  <c r="BE268" i="138" s="1"/>
  <c r="AO273" i="138"/>
  <c r="BE273" i="138" s="1"/>
  <c r="AO261" i="138"/>
  <c r="BE261" i="138" s="1"/>
  <c r="AO256" i="138"/>
  <c r="BE256" i="138" s="1"/>
  <c r="AO278" i="138"/>
  <c r="BE278" i="138" s="1"/>
  <c r="AO266" i="138"/>
  <c r="BE266" i="138" s="1"/>
  <c r="AO271" i="138"/>
  <c r="BE271" i="138" s="1"/>
  <c r="AO259" i="138"/>
  <c r="BE259" i="138" s="1"/>
  <c r="AO276" i="138"/>
  <c r="BE276" i="138" s="1"/>
  <c r="AO264" i="138"/>
  <c r="BE264" i="138" s="1"/>
  <c r="AO279" i="138"/>
  <c r="BE279" i="138" s="1"/>
  <c r="AO267" i="138"/>
  <c r="BE267" i="138" s="1"/>
  <c r="AO274" i="138"/>
  <c r="BE274" i="138" s="1"/>
  <c r="AO260" i="138"/>
  <c r="BE260" i="138" s="1"/>
  <c r="AO277" i="138"/>
  <c r="BE277" i="138" s="1"/>
  <c r="AO270" i="138"/>
  <c r="BE270" i="138" s="1"/>
  <c r="AO262" i="138"/>
  <c r="BE262" i="138" s="1"/>
  <c r="AO272" i="138"/>
  <c r="BE272" i="138" s="1"/>
  <c r="AO265" i="138"/>
  <c r="BE265" i="138" s="1"/>
  <c r="AO252" i="138"/>
  <c r="BE252" i="138" s="1"/>
  <c r="AO258" i="138"/>
  <c r="BE258" i="138" s="1"/>
  <c r="AO251" i="138"/>
  <c r="BE251" i="138" s="1"/>
  <c r="AO263" i="138"/>
  <c r="BE263" i="138" s="1"/>
  <c r="AO254" i="138"/>
  <c r="BE254" i="138" s="1"/>
  <c r="AO255" i="138"/>
  <c r="BE255" i="138" s="1"/>
  <c r="AO275" i="138"/>
  <c r="BE275" i="138" s="1"/>
  <c r="AO269" i="138"/>
  <c r="BE269" i="138" s="1"/>
  <c r="AR251" i="138"/>
  <c r="BH251" i="138" s="1"/>
  <c r="AR265" i="138"/>
  <c r="BH265" i="138" s="1"/>
  <c r="AR277" i="138"/>
  <c r="BH277" i="138" s="1"/>
  <c r="Q250" i="138"/>
  <c r="AU257" i="138"/>
  <c r="BK257" i="138" s="1"/>
  <c r="AU253" i="138"/>
  <c r="BK253" i="138" s="1"/>
  <c r="AM277" i="138"/>
  <c r="BC277" i="138" s="1"/>
  <c r="AM264" i="138"/>
  <c r="BC264" i="138" s="1"/>
  <c r="AM258" i="138"/>
  <c r="BC258" i="138" s="1"/>
  <c r="W250" i="138"/>
  <c r="AL279" i="138"/>
  <c r="BB279" i="138" s="1"/>
  <c r="AL278" i="138"/>
  <c r="BB278" i="138" s="1"/>
  <c r="AL277" i="138"/>
  <c r="BB277" i="138" s="1"/>
  <c r="AL276" i="138"/>
  <c r="BB276" i="138" s="1"/>
  <c r="AL275" i="138"/>
  <c r="BB275" i="138" s="1"/>
  <c r="AL274" i="138"/>
  <c r="BB274" i="138" s="1"/>
  <c r="AL273" i="138"/>
  <c r="BB273" i="138" s="1"/>
  <c r="AL272" i="138"/>
  <c r="BB272" i="138" s="1"/>
  <c r="AL271" i="138"/>
  <c r="BB271" i="138" s="1"/>
  <c r="AL270" i="138"/>
  <c r="BB270" i="138" s="1"/>
  <c r="AL269" i="138"/>
  <c r="BB269" i="138" s="1"/>
  <c r="AL268" i="138"/>
  <c r="BB268" i="138" s="1"/>
  <c r="AL267" i="138"/>
  <c r="BB267" i="138" s="1"/>
  <c r="AL266" i="138"/>
  <c r="BB266" i="138" s="1"/>
  <c r="AL265" i="138"/>
  <c r="BB265" i="138" s="1"/>
  <c r="AL264" i="138"/>
  <c r="BB264" i="138" s="1"/>
  <c r="AL263" i="138"/>
  <c r="BB263" i="138" s="1"/>
  <c r="AL262" i="138"/>
  <c r="BB262" i="138" s="1"/>
  <c r="AL261" i="138"/>
  <c r="BB261" i="138" s="1"/>
  <c r="AL260" i="138"/>
  <c r="BB260" i="138" s="1"/>
  <c r="AL259" i="138"/>
  <c r="BB259" i="138" s="1"/>
  <c r="AL258" i="138"/>
  <c r="BB258" i="138" s="1"/>
  <c r="AL256" i="138"/>
  <c r="BB256" i="138" s="1"/>
  <c r="AL255" i="138"/>
  <c r="BB255" i="138" s="1"/>
  <c r="AL254" i="138"/>
  <c r="BB254" i="138" s="1"/>
  <c r="AL252" i="138"/>
  <c r="BB252" i="138" s="1"/>
  <c r="AL251" i="138"/>
  <c r="BB251" i="138" s="1"/>
  <c r="X4" i="138"/>
  <c r="Y4" i="138"/>
  <c r="O4" i="138"/>
  <c r="AN115" i="138"/>
  <c r="BD115" i="138" s="1"/>
  <c r="BD112" i="138" s="1"/>
  <c r="AR188" i="138"/>
  <c r="BH188" i="138" s="1"/>
  <c r="AR189" i="138"/>
  <c r="BH189" i="138" s="1"/>
  <c r="AN231" i="138"/>
  <c r="BD231" i="138" s="1"/>
  <c r="AN219" i="138"/>
  <c r="BD219" i="138" s="1"/>
  <c r="AS210" i="138"/>
  <c r="BI210" i="138" s="1"/>
  <c r="AS223" i="138"/>
  <c r="BI223" i="138" s="1"/>
  <c r="H250" i="138"/>
  <c r="AL257" i="138"/>
  <c r="BB257" i="138" s="1"/>
  <c r="AL253" i="138"/>
  <c r="BB253" i="138" s="1"/>
  <c r="AR255" i="138"/>
  <c r="BH255" i="138" s="1"/>
  <c r="AR268" i="138"/>
  <c r="BH268" i="138" s="1"/>
  <c r="AM265" i="138"/>
  <c r="BC265" i="138" s="1"/>
  <c r="AM269" i="138"/>
  <c r="BC269" i="138" s="1"/>
  <c r="AV253" i="138"/>
  <c r="BL253" i="138" s="1"/>
  <c r="G250" i="138"/>
  <c r="AK257" i="138"/>
  <c r="BA257" i="138" s="1"/>
  <c r="AK253" i="138"/>
  <c r="BA253" i="138" s="1"/>
  <c r="AQ16" i="138"/>
  <c r="BG16" i="138" s="1"/>
  <c r="AN215" i="138"/>
  <c r="BD215" i="138" s="1"/>
  <c r="AS211" i="138"/>
  <c r="BI211" i="138" s="1"/>
  <c r="AS224" i="138"/>
  <c r="BI224" i="138" s="1"/>
  <c r="O250" i="138"/>
  <c r="AS257" i="138"/>
  <c r="BI257" i="138" s="1"/>
  <c r="AS253" i="138"/>
  <c r="BI253" i="138" s="1"/>
  <c r="AR256" i="138"/>
  <c r="BH256" i="138" s="1"/>
  <c r="AR269" i="138"/>
  <c r="BH269" i="138" s="1"/>
  <c r="P205" i="138"/>
  <c r="AT205" i="138" s="1"/>
  <c r="BJ205" i="138" s="1"/>
  <c r="AT212" i="138"/>
  <c r="BJ212" i="138" s="1"/>
  <c r="AT208" i="138"/>
  <c r="BJ208" i="138" s="1"/>
  <c r="AO257" i="138"/>
  <c r="BE257" i="138" s="1"/>
  <c r="AM272" i="138"/>
  <c r="BC272" i="138" s="1"/>
  <c r="AM266" i="138"/>
  <c r="BC266" i="138" s="1"/>
  <c r="P250" i="138"/>
  <c r="AT257" i="138"/>
  <c r="BJ257" i="138" s="1"/>
  <c r="AT253" i="138"/>
  <c r="BJ253" i="138" s="1"/>
  <c r="AR254" i="138"/>
  <c r="BH254" i="138" s="1"/>
  <c r="AA4" i="138"/>
  <c r="AK188" i="138"/>
  <c r="BA188" i="138" s="1"/>
  <c r="AK189" i="138"/>
  <c r="BA189" i="138" s="1"/>
  <c r="AM188" i="138"/>
  <c r="BC188" i="138" s="1"/>
  <c r="AM189" i="138"/>
  <c r="BC189" i="138" s="1"/>
  <c r="J205" i="138"/>
  <c r="AN212" i="138"/>
  <c r="BD212" i="138" s="1"/>
  <c r="AN208" i="138"/>
  <c r="BD208" i="138" s="1"/>
  <c r="AN234" i="138"/>
  <c r="BD234" i="138" s="1"/>
  <c r="AN223" i="138"/>
  <c r="BD223" i="138" s="1"/>
  <c r="AS213" i="138"/>
  <c r="BI213" i="138" s="1"/>
  <c r="AR258" i="138"/>
  <c r="BH258" i="138" s="1"/>
  <c r="AR270" i="138"/>
  <c r="BH270" i="138" s="1"/>
  <c r="N205" i="138"/>
  <c r="AR208" i="138"/>
  <c r="BH208" i="138" s="1"/>
  <c r="AR212" i="138"/>
  <c r="BH212" i="138" s="1"/>
  <c r="AO253" i="138"/>
  <c r="BE253" i="138" s="1"/>
  <c r="AM279" i="138"/>
  <c r="BC279" i="138" s="1"/>
  <c r="AM278" i="138"/>
  <c r="BC278" i="138" s="1"/>
  <c r="AN75" i="138"/>
  <c r="BD75" i="138" s="1"/>
  <c r="AO188" i="138"/>
  <c r="BE188" i="138" s="1"/>
  <c r="AO189" i="138"/>
  <c r="BE189" i="138" s="1"/>
  <c r="AN220" i="138"/>
  <c r="BD220" i="138" s="1"/>
  <c r="AN206" i="138"/>
  <c r="BD206" i="138" s="1"/>
  <c r="AN226" i="138"/>
  <c r="BD226" i="138" s="1"/>
  <c r="AR259" i="138"/>
  <c r="BH259" i="138" s="1"/>
  <c r="O205" i="138"/>
  <c r="AS205" i="138" s="1"/>
  <c r="BI205" i="138" s="1"/>
  <c r="AS212" i="138"/>
  <c r="BI212" i="138" s="1"/>
  <c r="AS208" i="138"/>
  <c r="BI208" i="138" s="1"/>
  <c r="AU205" i="138"/>
  <c r="BK205" i="138" s="1"/>
  <c r="AM259" i="138"/>
  <c r="BC259" i="138" s="1"/>
  <c r="AM256" i="138"/>
  <c r="BC256" i="138" s="1"/>
  <c r="N250" i="138"/>
  <c r="AR250" i="138" s="1"/>
  <c r="BH250" i="138" s="1"/>
  <c r="AR257" i="138"/>
  <c r="BH257" i="138" s="1"/>
  <c r="AR253" i="138"/>
  <c r="BH253" i="138" s="1"/>
  <c r="AB4" i="138"/>
  <c r="AU188" i="138"/>
  <c r="BK188" i="138" s="1"/>
  <c r="AU189" i="138"/>
  <c r="BK189" i="138" s="1"/>
  <c r="AV189" i="138"/>
  <c r="BL189" i="138" s="1"/>
  <c r="AN207" i="138"/>
  <c r="BD207" i="138" s="1"/>
  <c r="AN213" i="138"/>
  <c r="BD213" i="138" s="1"/>
  <c r="AN229" i="138"/>
  <c r="BD229" i="138" s="1"/>
  <c r="V250" i="138"/>
  <c r="AK279" i="138"/>
  <c r="BA279" i="138" s="1"/>
  <c r="AK278" i="138"/>
  <c r="BA278" i="138" s="1"/>
  <c r="AK277" i="138"/>
  <c r="BA277" i="138" s="1"/>
  <c r="AK276" i="138"/>
  <c r="BA276" i="138" s="1"/>
  <c r="AK275" i="138"/>
  <c r="BA275" i="138" s="1"/>
  <c r="AK274" i="138"/>
  <c r="BA274" i="138" s="1"/>
  <c r="AK273" i="138"/>
  <c r="BA273" i="138" s="1"/>
  <c r="AK272" i="138"/>
  <c r="BA272" i="138" s="1"/>
  <c r="AK271" i="138"/>
  <c r="BA271" i="138" s="1"/>
  <c r="AK270" i="138"/>
  <c r="BA270" i="138" s="1"/>
  <c r="AK269" i="138"/>
  <c r="BA269" i="138" s="1"/>
  <c r="AK268" i="138"/>
  <c r="BA268" i="138" s="1"/>
  <c r="AK267" i="138"/>
  <c r="BA267" i="138" s="1"/>
  <c r="AK266" i="138"/>
  <c r="BA266" i="138" s="1"/>
  <c r="AK265" i="138"/>
  <c r="BA265" i="138" s="1"/>
  <c r="AK264" i="138"/>
  <c r="BA264" i="138" s="1"/>
  <c r="AK263" i="138"/>
  <c r="BA263" i="138" s="1"/>
  <c r="AK262" i="138"/>
  <c r="BA262" i="138" s="1"/>
  <c r="AK261" i="138"/>
  <c r="BA261" i="138" s="1"/>
  <c r="AK260" i="138"/>
  <c r="BA260" i="138" s="1"/>
  <c r="AK259" i="138"/>
  <c r="BA259" i="138" s="1"/>
  <c r="AK258" i="138"/>
  <c r="BA258" i="138" s="1"/>
  <c r="AK256" i="138"/>
  <c r="BA256" i="138" s="1"/>
  <c r="AK255" i="138"/>
  <c r="BA255" i="138" s="1"/>
  <c r="AK254" i="138"/>
  <c r="BA254" i="138" s="1"/>
  <c r="AK252" i="138"/>
  <c r="BA252" i="138" s="1"/>
  <c r="AK251" i="138"/>
  <c r="BA251" i="138" s="1"/>
  <c r="AR260" i="138"/>
  <c r="BH260" i="138" s="1"/>
  <c r="AR272" i="138"/>
  <c r="BH272" i="138" s="1"/>
  <c r="AA205" i="138"/>
  <c r="AP205" i="138" s="1"/>
  <c r="BF205" i="138" s="1"/>
  <c r="AP219" i="138"/>
  <c r="BF219" i="138" s="1"/>
  <c r="AP230" i="138"/>
  <c r="BF230" i="138" s="1"/>
  <c r="AP227" i="138"/>
  <c r="BF227" i="138" s="1"/>
  <c r="AP224" i="138"/>
  <c r="BF224" i="138" s="1"/>
  <c r="AP220" i="138"/>
  <c r="BF220" i="138" s="1"/>
  <c r="AP233" i="138"/>
  <c r="BF233" i="138" s="1"/>
  <c r="AP228" i="138"/>
  <c r="BF228" i="138" s="1"/>
  <c r="AP222" i="138"/>
  <c r="BF222" i="138" s="1"/>
  <c r="AP216" i="138"/>
  <c r="BF216" i="138" s="1"/>
  <c r="AP213" i="138"/>
  <c r="BF213" i="138" s="1"/>
  <c r="AP209" i="138"/>
  <c r="BF209" i="138" s="1"/>
  <c r="AP232" i="138"/>
  <c r="BF232" i="138" s="1"/>
  <c r="AP226" i="138"/>
  <c r="BF226" i="138" s="1"/>
  <c r="AP210" i="138"/>
  <c r="BF210" i="138" s="1"/>
  <c r="AP231" i="138"/>
  <c r="BF231" i="138" s="1"/>
  <c r="AP211" i="138"/>
  <c r="BF211" i="138" s="1"/>
  <c r="AP206" i="138"/>
  <c r="BF206" i="138" s="1"/>
  <c r="AP229" i="138"/>
  <c r="BF229" i="138" s="1"/>
  <c r="AP221" i="138"/>
  <c r="BF221" i="138" s="1"/>
  <c r="AP217" i="138"/>
  <c r="BF217" i="138" s="1"/>
  <c r="AP234" i="138"/>
  <c r="BF234" i="138" s="1"/>
  <c r="AP215" i="138"/>
  <c r="BF215" i="138" s="1"/>
  <c r="AP223" i="138"/>
  <c r="BF223" i="138" s="1"/>
  <c r="AP218" i="138"/>
  <c r="BF218" i="138" s="1"/>
  <c r="AP214" i="138"/>
  <c r="BF214" i="138" s="1"/>
  <c r="AP225" i="138"/>
  <c r="BF225" i="138" s="1"/>
  <c r="AP207" i="138"/>
  <c r="BF207" i="138" s="1"/>
  <c r="J250" i="138"/>
  <c r="AN253" i="138"/>
  <c r="BD253" i="138" s="1"/>
  <c r="AN257" i="138"/>
  <c r="BD257" i="138" s="1"/>
  <c r="AM262" i="138"/>
  <c r="BC262" i="138" s="1"/>
  <c r="AM261" i="138"/>
  <c r="BC261" i="138" s="1"/>
  <c r="B250" i="138"/>
  <c r="C250" i="138" s="1" a="1"/>
  <c r="AR252" i="138"/>
  <c r="BH252" i="138" s="1"/>
  <c r="AR266" i="138"/>
  <c r="BH266" i="138" s="1"/>
  <c r="AR278" i="138"/>
  <c r="BH278" i="138" s="1"/>
  <c r="AE250" i="138"/>
  <c r="AT271" i="138"/>
  <c r="BJ271" i="138" s="1"/>
  <c r="AT259" i="138"/>
  <c r="BJ259" i="138" s="1"/>
  <c r="AT276" i="138"/>
  <c r="BJ276" i="138" s="1"/>
  <c r="AT264" i="138"/>
  <c r="BJ264" i="138" s="1"/>
  <c r="AT254" i="138"/>
  <c r="BJ254" i="138" s="1"/>
  <c r="AT251" i="138"/>
  <c r="BJ251" i="138" s="1"/>
  <c r="AT269" i="138"/>
  <c r="BJ269" i="138" s="1"/>
  <c r="AT274" i="138"/>
  <c r="BJ274" i="138" s="1"/>
  <c r="AT262" i="138"/>
  <c r="BJ262" i="138" s="1"/>
  <c r="AT279" i="138"/>
  <c r="BJ279" i="138" s="1"/>
  <c r="AT267" i="138"/>
  <c r="BJ267" i="138" s="1"/>
  <c r="AT270" i="138"/>
  <c r="BJ270" i="138" s="1"/>
  <c r="AT258" i="138"/>
  <c r="BJ258" i="138" s="1"/>
  <c r="AT277" i="138"/>
  <c r="BJ277" i="138" s="1"/>
  <c r="AT263" i="138"/>
  <c r="BJ263" i="138" s="1"/>
  <c r="AT256" i="138"/>
  <c r="BJ256" i="138" s="1"/>
  <c r="AT273" i="138"/>
  <c r="BJ273" i="138" s="1"/>
  <c r="AT265" i="138"/>
  <c r="BJ265" i="138" s="1"/>
  <c r="AT275" i="138"/>
  <c r="BJ275" i="138" s="1"/>
  <c r="AT266" i="138"/>
  <c r="BJ266" i="138" s="1"/>
  <c r="AT272" i="138"/>
  <c r="BJ272" i="138" s="1"/>
  <c r="AT252" i="138"/>
  <c r="BJ252" i="138" s="1"/>
  <c r="AT278" i="138"/>
  <c r="BJ278" i="138" s="1"/>
  <c r="AT260" i="138"/>
  <c r="BJ260" i="138" s="1"/>
  <c r="AT261" i="138"/>
  <c r="BJ261" i="138" s="1"/>
  <c r="AT255" i="138"/>
  <c r="BJ255" i="138" s="1"/>
  <c r="AT268" i="138"/>
  <c r="BJ268" i="138" s="1"/>
  <c r="I4" i="138"/>
  <c r="BA112" i="138"/>
  <c r="AD250" i="138"/>
  <c r="AS279" i="138"/>
  <c r="BI279" i="138" s="1"/>
  <c r="AS278" i="138"/>
  <c r="BI278" i="138" s="1"/>
  <c r="AS277" i="138"/>
  <c r="BI277" i="138" s="1"/>
  <c r="AS276" i="138"/>
  <c r="BI276" i="138" s="1"/>
  <c r="AS275" i="138"/>
  <c r="BI275" i="138" s="1"/>
  <c r="AS274" i="138"/>
  <c r="BI274" i="138" s="1"/>
  <c r="AS273" i="138"/>
  <c r="BI273" i="138" s="1"/>
  <c r="AS272" i="138"/>
  <c r="BI272" i="138" s="1"/>
  <c r="AS271" i="138"/>
  <c r="BI271" i="138" s="1"/>
  <c r="AS270" i="138"/>
  <c r="BI270" i="138" s="1"/>
  <c r="AS269" i="138"/>
  <c r="BI269" i="138" s="1"/>
  <c r="AS268" i="138"/>
  <c r="BI268" i="138" s="1"/>
  <c r="AS267" i="138"/>
  <c r="BI267" i="138" s="1"/>
  <c r="AS266" i="138"/>
  <c r="BI266" i="138" s="1"/>
  <c r="AS265" i="138"/>
  <c r="BI265" i="138" s="1"/>
  <c r="AS264" i="138"/>
  <c r="BI264" i="138" s="1"/>
  <c r="AS263" i="138"/>
  <c r="BI263" i="138" s="1"/>
  <c r="AS262" i="138"/>
  <c r="BI262" i="138" s="1"/>
  <c r="AS261" i="138"/>
  <c r="BI261" i="138" s="1"/>
  <c r="AS260" i="138"/>
  <c r="BI260" i="138" s="1"/>
  <c r="AS259" i="138"/>
  <c r="BI259" i="138" s="1"/>
  <c r="AS258" i="138"/>
  <c r="BI258" i="138" s="1"/>
  <c r="AS254" i="138"/>
  <c r="BI254" i="138" s="1"/>
  <c r="AS251" i="138"/>
  <c r="BI251" i="138" s="1"/>
  <c r="AS256" i="138"/>
  <c r="BI256" i="138" s="1"/>
  <c r="AS255" i="138"/>
  <c r="BI255" i="138" s="1"/>
  <c r="AS252" i="138"/>
  <c r="BI252" i="138" s="1"/>
  <c r="AN216" i="138"/>
  <c r="BD216" i="138" s="1"/>
  <c r="AN210" i="138"/>
  <c r="BD210" i="138" s="1"/>
  <c r="AN232" i="138"/>
  <c r="BD232" i="138" s="1"/>
  <c r="AS216" i="138"/>
  <c r="BI216" i="138" s="1"/>
  <c r="AS228" i="138"/>
  <c r="BI228" i="138" s="1"/>
  <c r="AF250" i="138"/>
  <c r="AU276" i="138"/>
  <c r="BK276" i="138" s="1"/>
  <c r="AU264" i="138"/>
  <c r="BK264" i="138" s="1"/>
  <c r="AU254" i="138"/>
  <c r="BK254" i="138" s="1"/>
  <c r="AU251" i="138"/>
  <c r="BK251" i="138" s="1"/>
  <c r="AU269" i="138"/>
  <c r="BK269" i="138" s="1"/>
  <c r="AU274" i="138"/>
  <c r="BK274" i="138" s="1"/>
  <c r="AU262" i="138"/>
  <c r="BK262" i="138" s="1"/>
  <c r="AU279" i="138"/>
  <c r="BK279" i="138" s="1"/>
  <c r="AU267" i="138"/>
  <c r="BK267" i="138" s="1"/>
  <c r="AU272" i="138"/>
  <c r="BK272" i="138" s="1"/>
  <c r="AU260" i="138"/>
  <c r="BK260" i="138" s="1"/>
  <c r="AU255" i="138"/>
  <c r="BK255" i="138" s="1"/>
  <c r="AU252" i="138"/>
  <c r="BK252" i="138" s="1"/>
  <c r="AU275" i="138"/>
  <c r="BK275" i="138" s="1"/>
  <c r="AU263" i="138"/>
  <c r="BK263" i="138" s="1"/>
  <c r="AU270" i="138"/>
  <c r="BK270" i="138" s="1"/>
  <c r="AU256" i="138"/>
  <c r="BK256" i="138" s="1"/>
  <c r="AU273" i="138"/>
  <c r="BK273" i="138" s="1"/>
  <c r="AU266" i="138"/>
  <c r="BK266" i="138" s="1"/>
  <c r="AU258" i="138"/>
  <c r="BK258" i="138" s="1"/>
  <c r="AU268" i="138"/>
  <c r="BK268" i="138" s="1"/>
  <c r="AU259" i="138"/>
  <c r="BK259" i="138" s="1"/>
  <c r="AU265" i="138"/>
  <c r="BK265" i="138" s="1"/>
  <c r="AU278" i="138"/>
  <c r="BK278" i="138" s="1"/>
  <c r="AU271" i="138"/>
  <c r="BK271" i="138" s="1"/>
  <c r="AU277" i="138"/>
  <c r="BK277" i="138" s="1"/>
  <c r="AU261" i="138"/>
  <c r="BK261" i="138" s="1"/>
  <c r="AR261" i="138"/>
  <c r="BH261" i="138" s="1"/>
  <c r="AR273" i="138"/>
  <c r="BH273" i="138" s="1"/>
  <c r="AB205" i="138"/>
  <c r="AQ205" i="138" s="1"/>
  <c r="BG205" i="138" s="1"/>
  <c r="AQ234" i="138"/>
  <c r="BG234" i="138" s="1"/>
  <c r="AQ233" i="138"/>
  <c r="BG233" i="138" s="1"/>
  <c r="AQ232" i="138"/>
  <c r="BG232" i="138" s="1"/>
  <c r="AQ221" i="138"/>
  <c r="BG221" i="138" s="1"/>
  <c r="AQ228" i="138"/>
  <c r="BG228" i="138" s="1"/>
  <c r="AQ222" i="138"/>
  <c r="BG222" i="138" s="1"/>
  <c r="AQ219" i="138"/>
  <c r="BG219" i="138" s="1"/>
  <c r="AQ216" i="138"/>
  <c r="BG216" i="138" s="1"/>
  <c r="AQ213" i="138"/>
  <c r="BG213" i="138" s="1"/>
  <c r="AQ209" i="138"/>
  <c r="BG209" i="138" s="1"/>
  <c r="AQ230" i="138"/>
  <c r="BG230" i="138" s="1"/>
  <c r="AQ226" i="138"/>
  <c r="BG226" i="138" s="1"/>
  <c r="AQ224" i="138"/>
  <c r="BG224" i="138" s="1"/>
  <c r="AQ227" i="138"/>
  <c r="BG227" i="138" s="1"/>
  <c r="AQ206" i="138"/>
  <c r="BG206" i="138" s="1"/>
  <c r="AQ229" i="138"/>
  <c r="BG229" i="138" s="1"/>
  <c r="AQ217" i="138"/>
  <c r="BG217" i="138" s="1"/>
  <c r="AQ215" i="138"/>
  <c r="BG215" i="138" s="1"/>
  <c r="AQ231" i="138"/>
  <c r="BG231" i="138" s="1"/>
  <c r="AQ211" i="138"/>
  <c r="BG211" i="138" s="1"/>
  <c r="AQ223" i="138"/>
  <c r="BG223" i="138" s="1"/>
  <c r="AQ225" i="138"/>
  <c r="BG225" i="138" s="1"/>
  <c r="AQ207" i="138"/>
  <c r="BG207" i="138" s="1"/>
  <c r="AQ210" i="138"/>
  <c r="BG210" i="138" s="1"/>
  <c r="AQ214" i="138"/>
  <c r="BG214" i="138" s="1"/>
  <c r="AQ218" i="138"/>
  <c r="BG218" i="138" s="1"/>
  <c r="AQ220" i="138"/>
  <c r="BG220" i="138" s="1"/>
  <c r="L250" i="138"/>
  <c r="AP253" i="138"/>
  <c r="BF253" i="138" s="1"/>
  <c r="AP257" i="138"/>
  <c r="BF257" i="138" s="1"/>
  <c r="AM276" i="138"/>
  <c r="BC276" i="138" s="1"/>
  <c r="AM273" i="138"/>
  <c r="BC273" i="138" s="1"/>
  <c r="W4" i="138"/>
  <c r="AT188" i="138"/>
  <c r="BJ188" i="138" s="1"/>
  <c r="AT189" i="138"/>
  <c r="BJ189" i="138" s="1"/>
  <c r="AG205" i="138"/>
  <c r="AV205" i="138" s="1"/>
  <c r="BL205" i="138" s="1"/>
  <c r="AV230" i="138"/>
  <c r="BL230" i="138" s="1"/>
  <c r="AV227" i="138"/>
  <c r="BL227" i="138" s="1"/>
  <c r="AV224" i="138"/>
  <c r="BL224" i="138" s="1"/>
  <c r="AV221" i="138"/>
  <c r="BL221" i="138" s="1"/>
  <c r="AV211" i="138"/>
  <c r="BL211" i="138" s="1"/>
  <c r="AV210" i="138"/>
  <c r="BL210" i="138" s="1"/>
  <c r="AV209" i="138"/>
  <c r="BL209" i="138" s="1"/>
  <c r="AV207" i="138"/>
  <c r="BL207" i="138" s="1"/>
  <c r="AV206" i="138"/>
  <c r="BL206" i="138" s="1"/>
  <c r="AV233" i="138"/>
  <c r="BL233" i="138" s="1"/>
  <c r="AV214" i="138"/>
  <c r="BL214" i="138" s="1"/>
  <c r="AV215" i="138"/>
  <c r="BL215" i="138" s="1"/>
  <c r="AV226" i="138"/>
  <c r="BL226" i="138" s="1"/>
  <c r="AV217" i="138"/>
  <c r="BL217" i="138" s="1"/>
  <c r="AV232" i="138"/>
  <c r="BL232" i="138" s="1"/>
  <c r="AV234" i="138"/>
  <c r="BL234" i="138" s="1"/>
  <c r="AV220" i="138"/>
  <c r="BL220" i="138" s="1"/>
  <c r="AV229" i="138"/>
  <c r="BL229" i="138" s="1"/>
  <c r="AV219" i="138"/>
  <c r="BL219" i="138" s="1"/>
  <c r="AV213" i="138"/>
  <c r="BL213" i="138" s="1"/>
  <c r="AV231" i="138"/>
  <c r="BL231" i="138" s="1"/>
  <c r="AV218" i="138"/>
  <c r="BL218" i="138" s="1"/>
  <c r="AV223" i="138"/>
  <c r="BL223" i="138" s="1"/>
  <c r="AV228" i="138"/>
  <c r="BL228" i="138" s="1"/>
  <c r="AV225" i="138"/>
  <c r="BL225" i="138" s="1"/>
  <c r="AV216" i="138"/>
  <c r="BL216" i="138" s="1"/>
  <c r="AV222" i="138"/>
  <c r="BL222" i="138" s="1"/>
  <c r="AC205" i="138"/>
  <c r="AR234" i="138"/>
  <c r="BH234" i="138" s="1"/>
  <c r="AR233" i="138"/>
  <c r="BH233" i="138" s="1"/>
  <c r="AR232" i="138"/>
  <c r="BH232" i="138" s="1"/>
  <c r="AR231" i="138"/>
  <c r="BH231" i="138" s="1"/>
  <c r="AR230" i="138"/>
  <c r="BH230" i="138" s="1"/>
  <c r="AR229" i="138"/>
  <c r="BH229" i="138" s="1"/>
  <c r="AR228" i="138"/>
  <c r="BH228" i="138" s="1"/>
  <c r="AR227" i="138"/>
  <c r="BH227" i="138" s="1"/>
  <c r="AR226" i="138"/>
  <c r="BH226" i="138" s="1"/>
  <c r="AR225" i="138"/>
  <c r="BH225" i="138" s="1"/>
  <c r="AR224" i="138"/>
  <c r="BH224" i="138" s="1"/>
  <c r="AR223" i="138"/>
  <c r="BH223" i="138" s="1"/>
  <c r="AR222" i="138"/>
  <c r="BH222" i="138" s="1"/>
  <c r="AR221" i="138"/>
  <c r="BH221" i="138" s="1"/>
  <c r="AR220" i="138"/>
  <c r="BH220" i="138" s="1"/>
  <c r="AR219" i="138"/>
  <c r="BH219" i="138" s="1"/>
  <c r="AR210" i="138"/>
  <c r="BH210" i="138" s="1"/>
  <c r="AR206" i="138"/>
  <c r="BH206" i="138" s="1"/>
  <c r="AR217" i="138"/>
  <c r="BH217" i="138" s="1"/>
  <c r="AR215" i="138"/>
  <c r="BH215" i="138" s="1"/>
  <c r="AR213" i="138"/>
  <c r="BH213" i="138" s="1"/>
  <c r="AR211" i="138"/>
  <c r="BH211" i="138" s="1"/>
  <c r="AR209" i="138"/>
  <c r="BH209" i="138" s="1"/>
  <c r="AR207" i="138"/>
  <c r="BH207" i="138" s="1"/>
  <c r="AR214" i="138"/>
  <c r="BH214" i="138" s="1"/>
  <c r="AR216" i="138"/>
  <c r="BH216" i="138" s="1"/>
  <c r="AR218" i="138"/>
  <c r="BH218" i="138" s="1"/>
  <c r="AN222" i="138"/>
  <c r="BD222" i="138" s="1"/>
  <c r="AN221" i="138"/>
  <c r="BD221" i="138" s="1"/>
  <c r="AN205" i="138"/>
  <c r="BD205" i="138" s="1"/>
  <c r="AS217" i="138"/>
  <c r="BI217" i="138" s="1"/>
  <c r="AS229" i="138"/>
  <c r="BI229" i="138" s="1"/>
  <c r="AB250" i="138"/>
  <c r="AQ278" i="138"/>
  <c r="BG278" i="138" s="1"/>
  <c r="AQ266" i="138"/>
  <c r="BG266" i="138" s="1"/>
  <c r="AQ271" i="138"/>
  <c r="BG271" i="138" s="1"/>
  <c r="AQ259" i="138"/>
  <c r="BG259" i="138" s="1"/>
  <c r="AQ276" i="138"/>
  <c r="BG276" i="138" s="1"/>
  <c r="AQ264" i="138"/>
  <c r="BG264" i="138" s="1"/>
  <c r="AQ269" i="138"/>
  <c r="BG269" i="138" s="1"/>
  <c r="AQ254" i="138"/>
  <c r="BG254" i="138" s="1"/>
  <c r="AQ251" i="138"/>
  <c r="BG251" i="138" s="1"/>
  <c r="AQ274" i="138"/>
  <c r="BG274" i="138" s="1"/>
  <c r="AQ262" i="138"/>
  <c r="BG262" i="138" s="1"/>
  <c r="AQ277" i="138"/>
  <c r="BG277" i="138" s="1"/>
  <c r="AQ265" i="138"/>
  <c r="BG265" i="138" s="1"/>
  <c r="AQ255" i="138"/>
  <c r="BG255" i="138" s="1"/>
  <c r="AQ252" i="138"/>
  <c r="BG252" i="138" s="1"/>
  <c r="AQ260" i="138"/>
  <c r="BG260" i="138" s="1"/>
  <c r="AQ270" i="138"/>
  <c r="BG270" i="138" s="1"/>
  <c r="AQ263" i="138"/>
  <c r="BG263" i="138" s="1"/>
  <c r="AQ272" i="138"/>
  <c r="BG272" i="138" s="1"/>
  <c r="AQ258" i="138"/>
  <c r="BG258" i="138" s="1"/>
  <c r="AQ273" i="138"/>
  <c r="BG273" i="138" s="1"/>
  <c r="AQ279" i="138"/>
  <c r="BG279" i="138" s="1"/>
  <c r="AQ256" i="138"/>
  <c r="BG256" i="138" s="1"/>
  <c r="AQ267" i="138"/>
  <c r="BG267" i="138" s="1"/>
  <c r="AQ261" i="138"/>
  <c r="BG261" i="138" s="1"/>
  <c r="AQ275" i="138"/>
  <c r="BG275" i="138" s="1"/>
  <c r="AQ268" i="138"/>
  <c r="BG268" i="138" s="1"/>
  <c r="AR262" i="138"/>
  <c r="BH262" i="138" s="1"/>
  <c r="AR274" i="138"/>
  <c r="BH274" i="138" s="1"/>
  <c r="AP208" i="138"/>
  <c r="BF208" i="138" s="1"/>
  <c r="AM260" i="138"/>
  <c r="BC260" i="138" s="1"/>
  <c r="AM268" i="138"/>
  <c r="BC268" i="138" s="1"/>
  <c r="M250" i="138"/>
  <c r="AQ257" i="138"/>
  <c r="BG257" i="138" s="1"/>
  <c r="AQ253" i="138"/>
  <c r="BG253" i="138" s="1"/>
  <c r="AQ34" i="138"/>
  <c r="BG34" i="138" s="1"/>
  <c r="Z4" i="138"/>
  <c r="AQ188" i="138"/>
  <c r="BG188" i="138" s="1"/>
  <c r="AQ189" i="138"/>
  <c r="BG189" i="138" s="1"/>
  <c r="AV208" i="138"/>
  <c r="BL208" i="138" s="1"/>
  <c r="AN225" i="138"/>
  <c r="BD225" i="138" s="1"/>
  <c r="AN227" i="138"/>
  <c r="BD227" i="138" s="1"/>
  <c r="Y250" i="138"/>
  <c r="AN275" i="138"/>
  <c r="BD275" i="138" s="1"/>
  <c r="AN263" i="138"/>
  <c r="BD263" i="138" s="1"/>
  <c r="AN268" i="138"/>
  <c r="BD268" i="138" s="1"/>
  <c r="AN273" i="138"/>
  <c r="BD273" i="138" s="1"/>
  <c r="AN261" i="138"/>
  <c r="BD261" i="138" s="1"/>
  <c r="AN256" i="138"/>
  <c r="BD256" i="138" s="1"/>
  <c r="AN278" i="138"/>
  <c r="BD278" i="138" s="1"/>
  <c r="AN266" i="138"/>
  <c r="BD266" i="138" s="1"/>
  <c r="AN271" i="138"/>
  <c r="BD271" i="138" s="1"/>
  <c r="AN259" i="138"/>
  <c r="BD259" i="138" s="1"/>
  <c r="AN274" i="138"/>
  <c r="BD274" i="138" s="1"/>
  <c r="AN262" i="138"/>
  <c r="BD262" i="138" s="1"/>
  <c r="AN254" i="138"/>
  <c r="BD254" i="138" s="1"/>
  <c r="AN251" i="138"/>
  <c r="BD251" i="138" s="1"/>
  <c r="AN267" i="138"/>
  <c r="BD267" i="138" s="1"/>
  <c r="AN260" i="138"/>
  <c r="BD260" i="138" s="1"/>
  <c r="AN277" i="138"/>
  <c r="BD277" i="138" s="1"/>
  <c r="AN269" i="138"/>
  <c r="BD269" i="138" s="1"/>
  <c r="AN279" i="138"/>
  <c r="BD279" i="138" s="1"/>
  <c r="AN272" i="138"/>
  <c r="BD272" i="138" s="1"/>
  <c r="AN265" i="138"/>
  <c r="BD265" i="138" s="1"/>
  <c r="AN252" i="138"/>
  <c r="BD252" i="138" s="1"/>
  <c r="AN258" i="138"/>
  <c r="BD258" i="138" s="1"/>
  <c r="AN264" i="138"/>
  <c r="BD264" i="138" s="1"/>
  <c r="AN270" i="138"/>
  <c r="BD270" i="138" s="1"/>
  <c r="AN276" i="138"/>
  <c r="BD276" i="138" s="1"/>
  <c r="AN255" i="138"/>
  <c r="BD255" i="138" s="1"/>
  <c r="AS218" i="138"/>
  <c r="BI218" i="138" s="1"/>
  <c r="AS230" i="138"/>
  <c r="BI230" i="138" s="1"/>
  <c r="AG250" i="138"/>
  <c r="AV250" i="138" s="1"/>
  <c r="BL250" i="138" s="1"/>
  <c r="AV279" i="138"/>
  <c r="BL279" i="138" s="1"/>
  <c r="AV278" i="138"/>
  <c r="BL278" i="138" s="1"/>
  <c r="AV277" i="138"/>
  <c r="BL277" i="138" s="1"/>
  <c r="AV276" i="138"/>
  <c r="BL276" i="138" s="1"/>
  <c r="AV275" i="138"/>
  <c r="BL275" i="138" s="1"/>
  <c r="AV274" i="138"/>
  <c r="BL274" i="138" s="1"/>
  <c r="AV273" i="138"/>
  <c r="BL273" i="138" s="1"/>
  <c r="AV272" i="138"/>
  <c r="BL272" i="138" s="1"/>
  <c r="AV271" i="138"/>
  <c r="BL271" i="138" s="1"/>
  <c r="AV270" i="138"/>
  <c r="BL270" i="138" s="1"/>
  <c r="AV269" i="138"/>
  <c r="BL269" i="138" s="1"/>
  <c r="AV268" i="138"/>
  <c r="BL268" i="138" s="1"/>
  <c r="AV267" i="138"/>
  <c r="BL267" i="138" s="1"/>
  <c r="AV266" i="138"/>
  <c r="BL266" i="138" s="1"/>
  <c r="AV265" i="138"/>
  <c r="BL265" i="138" s="1"/>
  <c r="AV264" i="138"/>
  <c r="BL264" i="138" s="1"/>
  <c r="AV263" i="138"/>
  <c r="BL263" i="138" s="1"/>
  <c r="AV262" i="138"/>
  <c r="BL262" i="138" s="1"/>
  <c r="AV261" i="138"/>
  <c r="BL261" i="138" s="1"/>
  <c r="AV260" i="138"/>
  <c r="BL260" i="138" s="1"/>
  <c r="AV259" i="138"/>
  <c r="BL259" i="138" s="1"/>
  <c r="AV258" i="138"/>
  <c r="BL258" i="138" s="1"/>
  <c r="AV256" i="138"/>
  <c r="BL256" i="138" s="1"/>
  <c r="AV255" i="138"/>
  <c r="BL255" i="138" s="1"/>
  <c r="AV254" i="138"/>
  <c r="BL254" i="138" s="1"/>
  <c r="AV252" i="138"/>
  <c r="BL252" i="138" s="1"/>
  <c r="AV251" i="138"/>
  <c r="BL251" i="138" s="1"/>
  <c r="AR263" i="138"/>
  <c r="BH263" i="138" s="1"/>
  <c r="AR275" i="138"/>
  <c r="BH275" i="138" s="1"/>
  <c r="AP212" i="138"/>
  <c r="BF212" i="138" s="1"/>
  <c r="AM267" i="138"/>
  <c r="BC267" i="138" s="1"/>
  <c r="AM263" i="138"/>
  <c r="BC263" i="138" s="1"/>
  <c r="AP188" i="138"/>
  <c r="BF188" i="138" s="1"/>
  <c r="AP189" i="138"/>
  <c r="BF189" i="138" s="1"/>
  <c r="AR267" i="138"/>
  <c r="BH267" i="138" s="1"/>
  <c r="AR279" i="138"/>
  <c r="BH279" i="138" s="1"/>
  <c r="AN89" i="138"/>
  <c r="BD89" i="138" s="1"/>
  <c r="AS188" i="138"/>
  <c r="BI188" i="138" s="1"/>
  <c r="AS189" i="138"/>
  <c r="BI189" i="138" s="1"/>
  <c r="AV212" i="138"/>
  <c r="BL212" i="138" s="1"/>
  <c r="AN233" i="138"/>
  <c r="BD233" i="138" s="1"/>
  <c r="AN214" i="138"/>
  <c r="BD214" i="138" s="1"/>
  <c r="AS219" i="138"/>
  <c r="BI219" i="138" s="1"/>
  <c r="AS231" i="138"/>
  <c r="BI231" i="138" s="1"/>
  <c r="AA250" i="138"/>
  <c r="AP273" i="138"/>
  <c r="BF273" i="138" s="1"/>
  <c r="AP261" i="138"/>
  <c r="BF261" i="138" s="1"/>
  <c r="AP256" i="138"/>
  <c r="BF256" i="138" s="1"/>
  <c r="AP278" i="138"/>
  <c r="BF278" i="138" s="1"/>
  <c r="AP266" i="138"/>
  <c r="BF266" i="138" s="1"/>
  <c r="AP271" i="138"/>
  <c r="BF271" i="138" s="1"/>
  <c r="AP259" i="138"/>
  <c r="BF259" i="138" s="1"/>
  <c r="AP276" i="138"/>
  <c r="BF276" i="138" s="1"/>
  <c r="AP264" i="138"/>
  <c r="BF264" i="138" s="1"/>
  <c r="AP269" i="138"/>
  <c r="BF269" i="138" s="1"/>
  <c r="AP254" i="138"/>
  <c r="BF254" i="138" s="1"/>
  <c r="AP251" i="138"/>
  <c r="BF251" i="138" s="1"/>
  <c r="AP272" i="138"/>
  <c r="BF272" i="138" s="1"/>
  <c r="AP260" i="138"/>
  <c r="BF260" i="138" s="1"/>
  <c r="AP267" i="138"/>
  <c r="BF267" i="138" s="1"/>
  <c r="AP277" i="138"/>
  <c r="BF277" i="138" s="1"/>
  <c r="AP270" i="138"/>
  <c r="BF270" i="138" s="1"/>
  <c r="AP263" i="138"/>
  <c r="BF263" i="138" s="1"/>
  <c r="AP279" i="138"/>
  <c r="BF279" i="138" s="1"/>
  <c r="AP265" i="138"/>
  <c r="BF265" i="138" s="1"/>
  <c r="AP255" i="138"/>
  <c r="BF255" i="138" s="1"/>
  <c r="AP252" i="138"/>
  <c r="BF252" i="138" s="1"/>
  <c r="AP258" i="138"/>
  <c r="BF258" i="138" s="1"/>
  <c r="AP274" i="138"/>
  <c r="BF274" i="138" s="1"/>
  <c r="AP268" i="138"/>
  <c r="BF268" i="138" s="1"/>
  <c r="AP262" i="138"/>
  <c r="BF262" i="138" s="1"/>
  <c r="AP275" i="138"/>
  <c r="BF275" i="138" s="1"/>
  <c r="AM205" i="138"/>
  <c r="BC205" i="138" s="1"/>
  <c r="AR264" i="138"/>
  <c r="BH264" i="138" s="1"/>
  <c r="AR276" i="138"/>
  <c r="BH276" i="138" s="1"/>
  <c r="AQ212" i="138"/>
  <c r="BG212" i="138" s="1"/>
  <c r="AM255" i="138"/>
  <c r="BC255" i="138" s="1"/>
  <c r="AM274" i="138"/>
  <c r="BC274" i="138" s="1"/>
  <c r="AM275" i="138"/>
  <c r="BC275" i="138" s="1"/>
  <c r="AL187" i="138"/>
  <c r="BB187" i="138" s="1"/>
  <c r="AL188" i="138"/>
  <c r="BB188" i="138" s="1"/>
  <c r="AV187" i="138"/>
  <c r="BL187" i="138" s="1"/>
  <c r="AV188" i="138"/>
  <c r="BL188" i="138" s="1"/>
  <c r="AT186" i="138"/>
  <c r="BJ186" i="138" s="1"/>
  <c r="AT187" i="138"/>
  <c r="BJ187" i="138" s="1"/>
  <c r="AQ186" i="138"/>
  <c r="BG186" i="138" s="1"/>
  <c r="AQ187" i="138"/>
  <c r="BG187" i="138" s="1"/>
  <c r="AR186" i="138"/>
  <c r="BH186" i="138" s="1"/>
  <c r="AR187" i="138"/>
  <c r="BH187" i="138" s="1"/>
  <c r="AK186" i="138"/>
  <c r="BA186" i="138" s="1"/>
  <c r="AK187" i="138"/>
  <c r="BA187" i="138" s="1"/>
  <c r="AM186" i="138"/>
  <c r="BC186" i="138" s="1"/>
  <c r="AM187" i="138"/>
  <c r="BC187" i="138" s="1"/>
  <c r="AN186" i="138"/>
  <c r="BD186" i="138" s="1"/>
  <c r="AN187" i="138"/>
  <c r="BD187" i="138" s="1"/>
  <c r="AO186" i="138"/>
  <c r="BE186" i="138" s="1"/>
  <c r="AO187" i="138"/>
  <c r="BE187" i="138" s="1"/>
  <c r="AS186" i="138"/>
  <c r="BI186" i="138" s="1"/>
  <c r="AS187" i="138"/>
  <c r="BI187" i="138" s="1"/>
  <c r="AP186" i="138"/>
  <c r="BF186" i="138" s="1"/>
  <c r="AP187" i="138"/>
  <c r="BF187" i="138" s="1"/>
  <c r="AU186" i="138"/>
  <c r="BK186" i="138" s="1"/>
  <c r="AU187" i="138"/>
  <c r="BK187" i="138" s="1"/>
  <c r="AL163" i="138"/>
  <c r="BB163" i="138" s="1"/>
  <c r="AL186" i="138"/>
  <c r="BB186" i="138" s="1"/>
  <c r="AV175" i="138"/>
  <c r="BL175" i="138" s="1"/>
  <c r="AV186" i="138"/>
  <c r="BL186" i="138" s="1"/>
  <c r="AG160" i="138"/>
  <c r="AV181" i="138"/>
  <c r="BL181" i="138" s="1"/>
  <c r="AV164" i="138"/>
  <c r="BL164" i="138" s="1"/>
  <c r="AV165" i="138"/>
  <c r="BL165" i="138" s="1"/>
  <c r="AV170" i="138"/>
  <c r="BL170" i="138" s="1"/>
  <c r="AV168" i="138"/>
  <c r="BL168" i="138" s="1"/>
  <c r="AV173" i="138"/>
  <c r="BL173" i="138" s="1"/>
  <c r="AV182" i="138"/>
  <c r="BL182" i="138" s="1"/>
  <c r="AV174" i="138"/>
  <c r="BL174" i="138" s="1"/>
  <c r="AV166" i="138"/>
  <c r="BL166" i="138" s="1"/>
  <c r="AV169" i="138"/>
  <c r="BL169" i="138" s="1"/>
  <c r="P160" i="138"/>
  <c r="AT163" i="138"/>
  <c r="BJ163" i="138" s="1"/>
  <c r="AT167" i="138"/>
  <c r="BJ167" i="138" s="1"/>
  <c r="AD160" i="138"/>
  <c r="AS178" i="138"/>
  <c r="BI178" i="138" s="1"/>
  <c r="AS172" i="138"/>
  <c r="BI172" i="138" s="1"/>
  <c r="AS168" i="138"/>
  <c r="BI168" i="138" s="1"/>
  <c r="AS165" i="138"/>
  <c r="BI165" i="138" s="1"/>
  <c r="AS164" i="138"/>
  <c r="BI164" i="138" s="1"/>
  <c r="AS185" i="138"/>
  <c r="BI185" i="138" s="1"/>
  <c r="AS183" i="138"/>
  <c r="BI183" i="138" s="1"/>
  <c r="AS180" i="138"/>
  <c r="BI180" i="138" s="1"/>
  <c r="AS177" i="138"/>
  <c r="BI177" i="138" s="1"/>
  <c r="AS174" i="138"/>
  <c r="BI174" i="138" s="1"/>
  <c r="AS171" i="138"/>
  <c r="BI171" i="138" s="1"/>
  <c r="AS162" i="138"/>
  <c r="BI162" i="138" s="1"/>
  <c r="AS169" i="138"/>
  <c r="BI169" i="138" s="1"/>
  <c r="AS161" i="138"/>
  <c r="BI161" i="138" s="1"/>
  <c r="AS184" i="138"/>
  <c r="BI184" i="138" s="1"/>
  <c r="AS182" i="138"/>
  <c r="BI182" i="138" s="1"/>
  <c r="AS181" i="138"/>
  <c r="BI181" i="138" s="1"/>
  <c r="AS179" i="138"/>
  <c r="BI179" i="138" s="1"/>
  <c r="AS176" i="138"/>
  <c r="BI176" i="138" s="1"/>
  <c r="AS175" i="138"/>
  <c r="BI175" i="138" s="1"/>
  <c r="AS173" i="138"/>
  <c r="BI173" i="138" s="1"/>
  <c r="AS170" i="138"/>
  <c r="BI170" i="138" s="1"/>
  <c r="AS166" i="138"/>
  <c r="BI166" i="138" s="1"/>
  <c r="Q160" i="138"/>
  <c r="AU163" i="138"/>
  <c r="BK163" i="138" s="1"/>
  <c r="AU167" i="138"/>
  <c r="BK167" i="138" s="1"/>
  <c r="J160" i="138"/>
  <c r="AN163" i="138"/>
  <c r="BD163" i="138" s="1"/>
  <c r="AN167" i="138"/>
  <c r="BD167" i="138" s="1"/>
  <c r="AE160" i="138"/>
  <c r="AT178" i="138"/>
  <c r="BJ178" i="138" s="1"/>
  <c r="AT171" i="138"/>
  <c r="BJ171" i="138" s="1"/>
  <c r="AT166" i="138"/>
  <c r="BJ166" i="138" s="1"/>
  <c r="AT181" i="138"/>
  <c r="BJ181" i="138" s="1"/>
  <c r="AT173" i="138"/>
  <c r="BJ173" i="138" s="1"/>
  <c r="AT168" i="138"/>
  <c r="BJ168" i="138" s="1"/>
  <c r="AT164" i="138"/>
  <c r="BJ164" i="138" s="1"/>
  <c r="AT185" i="138"/>
  <c r="BJ185" i="138" s="1"/>
  <c r="AT184" i="138"/>
  <c r="BJ184" i="138" s="1"/>
  <c r="AT182" i="138"/>
  <c r="BJ182" i="138" s="1"/>
  <c r="AT180" i="138"/>
  <c r="BJ180" i="138" s="1"/>
  <c r="AT177" i="138"/>
  <c r="BJ177" i="138" s="1"/>
  <c r="AT175" i="138"/>
  <c r="BJ175" i="138" s="1"/>
  <c r="AT172" i="138"/>
  <c r="BJ172" i="138" s="1"/>
  <c r="AT170" i="138"/>
  <c r="BJ170" i="138" s="1"/>
  <c r="AT162" i="138"/>
  <c r="BJ162" i="138" s="1"/>
  <c r="AT183" i="138"/>
  <c r="BJ183" i="138" s="1"/>
  <c r="AT179" i="138"/>
  <c r="BJ179" i="138" s="1"/>
  <c r="AT176" i="138"/>
  <c r="BJ176" i="138" s="1"/>
  <c r="AT174" i="138"/>
  <c r="BJ174" i="138" s="1"/>
  <c r="AT169" i="138"/>
  <c r="BJ169" i="138" s="1"/>
  <c r="AT165" i="138"/>
  <c r="BJ165" i="138" s="1"/>
  <c r="AT161" i="138"/>
  <c r="BJ161" i="138" s="1"/>
  <c r="AB160" i="138"/>
  <c r="AQ185" i="138"/>
  <c r="BG185" i="138" s="1"/>
  <c r="AQ184" i="138"/>
  <c r="BG184" i="138" s="1"/>
  <c r="AQ183" i="138"/>
  <c r="BG183" i="138" s="1"/>
  <c r="AQ182" i="138"/>
  <c r="BG182" i="138" s="1"/>
  <c r="AQ181" i="138"/>
  <c r="BG181" i="138" s="1"/>
  <c r="AQ180" i="138"/>
  <c r="BG180" i="138" s="1"/>
  <c r="AQ179" i="138"/>
  <c r="BG179" i="138" s="1"/>
  <c r="AQ178" i="138"/>
  <c r="BG178" i="138" s="1"/>
  <c r="AQ177" i="138"/>
  <c r="BG177" i="138" s="1"/>
  <c r="AQ176" i="138"/>
  <c r="BG176" i="138" s="1"/>
  <c r="AQ175" i="138"/>
  <c r="BG175" i="138" s="1"/>
  <c r="AQ174" i="138"/>
  <c r="BG174" i="138" s="1"/>
  <c r="AQ173" i="138"/>
  <c r="BG173" i="138" s="1"/>
  <c r="AQ172" i="138"/>
  <c r="BG172" i="138" s="1"/>
  <c r="AQ171" i="138"/>
  <c r="BG171" i="138" s="1"/>
  <c r="AQ170" i="138"/>
  <c r="BG170" i="138" s="1"/>
  <c r="AQ169" i="138"/>
  <c r="BG169" i="138" s="1"/>
  <c r="AQ168" i="138"/>
  <c r="BG168" i="138" s="1"/>
  <c r="AQ166" i="138"/>
  <c r="BG166" i="138" s="1"/>
  <c r="AQ165" i="138"/>
  <c r="BG165" i="138" s="1"/>
  <c r="AQ164" i="138"/>
  <c r="BG164" i="138" s="1"/>
  <c r="AQ162" i="138"/>
  <c r="BG162" i="138" s="1"/>
  <c r="AQ161" i="138"/>
  <c r="BG161" i="138" s="1"/>
  <c r="AA160" i="138"/>
  <c r="AP185" i="138"/>
  <c r="BF185" i="138" s="1"/>
  <c r="AP184" i="138"/>
  <c r="BF184" i="138" s="1"/>
  <c r="AP183" i="138"/>
  <c r="BF183" i="138" s="1"/>
  <c r="AP182" i="138"/>
  <c r="BF182" i="138" s="1"/>
  <c r="AP181" i="138"/>
  <c r="BF181" i="138" s="1"/>
  <c r="AP180" i="138"/>
  <c r="BF180" i="138" s="1"/>
  <c r="AP179" i="138"/>
  <c r="BF179" i="138" s="1"/>
  <c r="AP178" i="138"/>
  <c r="BF178" i="138" s="1"/>
  <c r="AP177" i="138"/>
  <c r="BF177" i="138" s="1"/>
  <c r="AP176" i="138"/>
  <c r="BF176" i="138" s="1"/>
  <c r="AP175" i="138"/>
  <c r="BF175" i="138" s="1"/>
  <c r="AP174" i="138"/>
  <c r="BF174" i="138" s="1"/>
  <c r="AP173" i="138"/>
  <c r="BF173" i="138" s="1"/>
  <c r="AP172" i="138"/>
  <c r="BF172" i="138" s="1"/>
  <c r="AP171" i="138"/>
  <c r="BF171" i="138" s="1"/>
  <c r="AP170" i="138"/>
  <c r="BF170" i="138" s="1"/>
  <c r="AP169" i="138"/>
  <c r="BF169" i="138" s="1"/>
  <c r="AP168" i="138"/>
  <c r="BF168" i="138" s="1"/>
  <c r="AP166" i="138"/>
  <c r="BF166" i="138" s="1"/>
  <c r="AP165" i="138"/>
  <c r="BF165" i="138" s="1"/>
  <c r="AP164" i="138"/>
  <c r="BF164" i="138" s="1"/>
  <c r="AP162" i="138"/>
  <c r="BF162" i="138" s="1"/>
  <c r="AP161" i="138"/>
  <c r="BF161" i="138" s="1"/>
  <c r="W160" i="138"/>
  <c r="AL160" i="138" s="1"/>
  <c r="BB160" i="138" s="1"/>
  <c r="AL184" i="138"/>
  <c r="BB184" i="138" s="1"/>
  <c r="AL180" i="138"/>
  <c r="BB180" i="138" s="1"/>
  <c r="AL178" i="138"/>
  <c r="BB178" i="138" s="1"/>
  <c r="AL173" i="138"/>
  <c r="BB173" i="138" s="1"/>
  <c r="AL170" i="138"/>
  <c r="BB170" i="138" s="1"/>
  <c r="AL166" i="138"/>
  <c r="BB166" i="138" s="1"/>
  <c r="AL161" i="138"/>
  <c r="BB161" i="138" s="1"/>
  <c r="AL183" i="138"/>
  <c r="BB183" i="138" s="1"/>
  <c r="AL182" i="138"/>
  <c r="BB182" i="138" s="1"/>
  <c r="AL179" i="138"/>
  <c r="BB179" i="138" s="1"/>
  <c r="AL174" i="138"/>
  <c r="BB174" i="138" s="1"/>
  <c r="AL185" i="138"/>
  <c r="BB185" i="138" s="1"/>
  <c r="AL181" i="138"/>
  <c r="BB181" i="138" s="1"/>
  <c r="AL177" i="138"/>
  <c r="BB177" i="138" s="1"/>
  <c r="AL175" i="138"/>
  <c r="BB175" i="138" s="1"/>
  <c r="AL171" i="138"/>
  <c r="BB171" i="138" s="1"/>
  <c r="AL168" i="138"/>
  <c r="BB168" i="138" s="1"/>
  <c r="AL164" i="138"/>
  <c r="BB164" i="138" s="1"/>
  <c r="AL176" i="138"/>
  <c r="BB176" i="138" s="1"/>
  <c r="AL172" i="138"/>
  <c r="BB172" i="138" s="1"/>
  <c r="AL169" i="138"/>
  <c r="BB169" i="138" s="1"/>
  <c r="AL165" i="138"/>
  <c r="BB165" i="138" s="1"/>
  <c r="AL162" i="138"/>
  <c r="BB162" i="138" s="1"/>
  <c r="AL167" i="138"/>
  <c r="BB167" i="138" s="1"/>
  <c r="R160" i="138"/>
  <c r="AV163" i="138"/>
  <c r="BL163" i="138" s="1"/>
  <c r="AV167" i="138"/>
  <c r="BL167" i="138" s="1"/>
  <c r="AV162" i="138"/>
  <c r="BL162" i="138" s="1"/>
  <c r="AV176" i="138"/>
  <c r="BL176" i="138" s="1"/>
  <c r="AV171" i="138"/>
  <c r="BL171" i="138" s="1"/>
  <c r="AV161" i="138"/>
  <c r="BL161" i="138" s="1"/>
  <c r="AV185" i="138"/>
  <c r="BL185" i="138" s="1"/>
  <c r="AV184" i="138"/>
  <c r="BL184" i="138" s="1"/>
  <c r="AV183" i="138"/>
  <c r="BL183" i="138" s="1"/>
  <c r="AV179" i="138"/>
  <c r="BL179" i="138" s="1"/>
  <c r="AV180" i="138"/>
  <c r="BL180" i="138" s="1"/>
  <c r="M160" i="138"/>
  <c r="AQ167" i="138"/>
  <c r="BG167" i="138" s="1"/>
  <c r="AQ163" i="138"/>
  <c r="BG163" i="138" s="1"/>
  <c r="AC160" i="138"/>
  <c r="AR183" i="138"/>
  <c r="BH183" i="138" s="1"/>
  <c r="AR181" i="138"/>
  <c r="BH181" i="138" s="1"/>
  <c r="AR178" i="138"/>
  <c r="BH178" i="138" s="1"/>
  <c r="AR179" i="138"/>
  <c r="BH179" i="138" s="1"/>
  <c r="AR173" i="138"/>
  <c r="BH173" i="138" s="1"/>
  <c r="AR185" i="138"/>
  <c r="BH185" i="138" s="1"/>
  <c r="AR184" i="138"/>
  <c r="BH184" i="138" s="1"/>
  <c r="AR182" i="138"/>
  <c r="BH182" i="138" s="1"/>
  <c r="AR180" i="138"/>
  <c r="BH180" i="138" s="1"/>
  <c r="AR177" i="138"/>
  <c r="BH177" i="138" s="1"/>
  <c r="AR174" i="138"/>
  <c r="BH174" i="138" s="1"/>
  <c r="AR168" i="138"/>
  <c r="BH168" i="138" s="1"/>
  <c r="AR169" i="138"/>
  <c r="BH169" i="138" s="1"/>
  <c r="AR166" i="138"/>
  <c r="BH166" i="138" s="1"/>
  <c r="AR165" i="138"/>
  <c r="BH165" i="138" s="1"/>
  <c r="AR164" i="138"/>
  <c r="BH164" i="138" s="1"/>
  <c r="AR176" i="138"/>
  <c r="BH176" i="138" s="1"/>
  <c r="AR162" i="138"/>
  <c r="BH162" i="138" s="1"/>
  <c r="AR175" i="138"/>
  <c r="BH175" i="138" s="1"/>
  <c r="AR161" i="138"/>
  <c r="BH161" i="138" s="1"/>
  <c r="AR172" i="138"/>
  <c r="BH172" i="138" s="1"/>
  <c r="AR170" i="138"/>
  <c r="BH170" i="138" s="1"/>
  <c r="AR171" i="138"/>
  <c r="BH171" i="138" s="1"/>
  <c r="K160" i="138"/>
  <c r="AO167" i="138"/>
  <c r="BE167" i="138" s="1"/>
  <c r="AO163" i="138"/>
  <c r="BE163" i="138" s="1"/>
  <c r="Y160" i="138"/>
  <c r="AN184" i="138"/>
  <c r="BD184" i="138" s="1"/>
  <c r="AN182" i="138"/>
  <c r="BD182" i="138" s="1"/>
  <c r="AN179" i="138"/>
  <c r="BD179" i="138" s="1"/>
  <c r="AN176" i="138"/>
  <c r="BD176" i="138" s="1"/>
  <c r="AN172" i="138"/>
  <c r="BD172" i="138" s="1"/>
  <c r="AN170" i="138"/>
  <c r="BD170" i="138" s="1"/>
  <c r="AN168" i="138"/>
  <c r="BD168" i="138" s="1"/>
  <c r="AN165" i="138"/>
  <c r="BD165" i="138" s="1"/>
  <c r="AN161" i="138"/>
  <c r="BD161" i="138" s="1"/>
  <c r="AN183" i="138"/>
  <c r="BD183" i="138" s="1"/>
  <c r="AN181" i="138"/>
  <c r="BD181" i="138" s="1"/>
  <c r="AN177" i="138"/>
  <c r="BD177" i="138" s="1"/>
  <c r="AN174" i="138"/>
  <c r="BD174" i="138" s="1"/>
  <c r="AN169" i="138"/>
  <c r="BD169" i="138" s="1"/>
  <c r="AN166" i="138"/>
  <c r="BD166" i="138" s="1"/>
  <c r="AN164" i="138"/>
  <c r="BD164" i="138" s="1"/>
  <c r="AN185" i="138"/>
  <c r="BD185" i="138" s="1"/>
  <c r="AN180" i="138"/>
  <c r="BD180" i="138" s="1"/>
  <c r="AN178" i="138"/>
  <c r="BD178" i="138" s="1"/>
  <c r="AN175" i="138"/>
  <c r="BD175" i="138" s="1"/>
  <c r="AN173" i="138"/>
  <c r="BD173" i="138" s="1"/>
  <c r="AN171" i="138"/>
  <c r="BD171" i="138" s="1"/>
  <c r="AN162" i="138"/>
  <c r="BD162" i="138" s="1"/>
  <c r="L160" i="138"/>
  <c r="AP167" i="138"/>
  <c r="BF167" i="138" s="1"/>
  <c r="AP163" i="138"/>
  <c r="BF163" i="138" s="1"/>
  <c r="G160" i="138"/>
  <c r="AK167" i="138"/>
  <c r="BA167" i="138" s="1"/>
  <c r="AK163" i="138"/>
  <c r="BA163" i="138" s="1"/>
  <c r="N160" i="138"/>
  <c r="AR167" i="138"/>
  <c r="BH167" i="138" s="1"/>
  <c r="AR163" i="138"/>
  <c r="BH163" i="138" s="1"/>
  <c r="V160" i="138"/>
  <c r="AK179" i="138"/>
  <c r="BA179" i="138" s="1"/>
  <c r="AK172" i="138"/>
  <c r="BA172" i="138" s="1"/>
  <c r="AK161" i="138"/>
  <c r="BA161" i="138" s="1"/>
  <c r="AK178" i="138"/>
  <c r="BA178" i="138" s="1"/>
  <c r="AK173" i="138"/>
  <c r="BA173" i="138" s="1"/>
  <c r="AK169" i="138"/>
  <c r="BA169" i="138" s="1"/>
  <c r="AK165" i="138"/>
  <c r="BA165" i="138" s="1"/>
  <c r="AK164" i="138"/>
  <c r="BA164" i="138" s="1"/>
  <c r="AK184" i="138"/>
  <c r="BA184" i="138" s="1"/>
  <c r="AK176" i="138"/>
  <c r="BA176" i="138" s="1"/>
  <c r="AK171" i="138"/>
  <c r="BA171" i="138" s="1"/>
  <c r="AK170" i="138"/>
  <c r="BA170" i="138" s="1"/>
  <c r="AK168" i="138"/>
  <c r="BA168" i="138" s="1"/>
  <c r="AK185" i="138"/>
  <c r="BA185" i="138" s="1"/>
  <c r="AK183" i="138"/>
  <c r="BA183" i="138" s="1"/>
  <c r="AK182" i="138"/>
  <c r="BA182" i="138" s="1"/>
  <c r="AK181" i="138"/>
  <c r="BA181" i="138" s="1"/>
  <c r="AK180" i="138"/>
  <c r="BA180" i="138" s="1"/>
  <c r="AK177" i="138"/>
  <c r="BA177" i="138" s="1"/>
  <c r="AK175" i="138"/>
  <c r="BA175" i="138" s="1"/>
  <c r="AK174" i="138"/>
  <c r="BA174" i="138" s="1"/>
  <c r="AK166" i="138"/>
  <c r="BA166" i="138" s="1"/>
  <c r="AK162" i="138"/>
  <c r="BA162" i="138" s="1"/>
  <c r="X160" i="138"/>
  <c r="AM162" i="138"/>
  <c r="BC162" i="138" s="1"/>
  <c r="AM161" i="138"/>
  <c r="BC161" i="138" s="1"/>
  <c r="AM185" i="138"/>
  <c r="BC185" i="138" s="1"/>
  <c r="AM184" i="138"/>
  <c r="BC184" i="138" s="1"/>
  <c r="AM183" i="138"/>
  <c r="BC183" i="138" s="1"/>
  <c r="AM182" i="138"/>
  <c r="BC182" i="138" s="1"/>
  <c r="AM181" i="138"/>
  <c r="BC181" i="138" s="1"/>
  <c r="AM180" i="138"/>
  <c r="BC180" i="138" s="1"/>
  <c r="AM179" i="138"/>
  <c r="BC179" i="138" s="1"/>
  <c r="AM178" i="138"/>
  <c r="BC178" i="138" s="1"/>
  <c r="AM177" i="138"/>
  <c r="BC177" i="138" s="1"/>
  <c r="AM176" i="138"/>
  <c r="BC176" i="138" s="1"/>
  <c r="AM175" i="138"/>
  <c r="BC175" i="138" s="1"/>
  <c r="AM174" i="138"/>
  <c r="BC174" i="138" s="1"/>
  <c r="AM173" i="138"/>
  <c r="BC173" i="138" s="1"/>
  <c r="AM172" i="138"/>
  <c r="BC172" i="138" s="1"/>
  <c r="AM171" i="138"/>
  <c r="BC171" i="138" s="1"/>
  <c r="AM170" i="138"/>
  <c r="BC170" i="138" s="1"/>
  <c r="AM169" i="138"/>
  <c r="BC169" i="138" s="1"/>
  <c r="AM168" i="138"/>
  <c r="BC168" i="138" s="1"/>
  <c r="AM166" i="138"/>
  <c r="BC166" i="138" s="1"/>
  <c r="AM165" i="138"/>
  <c r="BC165" i="138" s="1"/>
  <c r="AM164" i="138"/>
  <c r="BC164" i="138" s="1"/>
  <c r="Z160" i="138"/>
  <c r="AO160" i="138" s="1"/>
  <c r="BE160" i="138" s="1"/>
  <c r="AO185" i="138"/>
  <c r="BE185" i="138" s="1"/>
  <c r="AO184" i="138"/>
  <c r="BE184" i="138" s="1"/>
  <c r="AO183" i="138"/>
  <c r="BE183" i="138" s="1"/>
  <c r="AO182" i="138"/>
  <c r="BE182" i="138" s="1"/>
  <c r="AO181" i="138"/>
  <c r="BE181" i="138" s="1"/>
  <c r="AO180" i="138"/>
  <c r="BE180" i="138" s="1"/>
  <c r="AO179" i="138"/>
  <c r="BE179" i="138" s="1"/>
  <c r="AO178" i="138"/>
  <c r="BE178" i="138" s="1"/>
  <c r="AO177" i="138"/>
  <c r="BE177" i="138" s="1"/>
  <c r="AO176" i="138"/>
  <c r="BE176" i="138" s="1"/>
  <c r="AO175" i="138"/>
  <c r="BE175" i="138" s="1"/>
  <c r="AO174" i="138"/>
  <c r="BE174" i="138" s="1"/>
  <c r="AO173" i="138"/>
  <c r="BE173" i="138" s="1"/>
  <c r="AO172" i="138"/>
  <c r="BE172" i="138" s="1"/>
  <c r="AO171" i="138"/>
  <c r="BE171" i="138" s="1"/>
  <c r="AO170" i="138"/>
  <c r="BE170" i="138" s="1"/>
  <c r="AO169" i="138"/>
  <c r="BE169" i="138" s="1"/>
  <c r="AO168" i="138"/>
  <c r="BE168" i="138" s="1"/>
  <c r="AO166" i="138"/>
  <c r="BE166" i="138" s="1"/>
  <c r="AO165" i="138"/>
  <c r="BE165" i="138" s="1"/>
  <c r="AO164" i="138"/>
  <c r="BE164" i="138" s="1"/>
  <c r="AO162" i="138"/>
  <c r="BE162" i="138" s="1"/>
  <c r="AO161" i="138"/>
  <c r="BE161" i="138" s="1"/>
  <c r="AF160" i="138"/>
  <c r="AU184" i="138"/>
  <c r="BK184" i="138" s="1"/>
  <c r="AU181" i="138"/>
  <c r="BK181" i="138" s="1"/>
  <c r="AU178" i="138"/>
  <c r="BK178" i="138" s="1"/>
  <c r="AU175" i="138"/>
  <c r="BK175" i="138" s="1"/>
  <c r="AU172" i="138"/>
  <c r="BK172" i="138" s="1"/>
  <c r="AU169" i="138"/>
  <c r="BK169" i="138" s="1"/>
  <c r="AU166" i="138"/>
  <c r="BK166" i="138" s="1"/>
  <c r="AU164" i="138"/>
  <c r="BK164" i="138" s="1"/>
  <c r="AU180" i="138"/>
  <c r="BK180" i="138" s="1"/>
  <c r="AU174" i="138"/>
  <c r="BK174" i="138" s="1"/>
  <c r="AU168" i="138"/>
  <c r="BK168" i="138" s="1"/>
  <c r="AU185" i="138"/>
  <c r="BK185" i="138" s="1"/>
  <c r="AU183" i="138"/>
  <c r="BK183" i="138" s="1"/>
  <c r="AU182" i="138"/>
  <c r="BK182" i="138" s="1"/>
  <c r="AU179" i="138"/>
  <c r="BK179" i="138" s="1"/>
  <c r="AU177" i="138"/>
  <c r="BK177" i="138" s="1"/>
  <c r="AU176" i="138"/>
  <c r="BK176" i="138" s="1"/>
  <c r="AU173" i="138"/>
  <c r="BK173" i="138" s="1"/>
  <c r="AU170" i="138"/>
  <c r="BK170" i="138" s="1"/>
  <c r="AU161" i="138"/>
  <c r="BK161" i="138" s="1"/>
  <c r="AU171" i="138"/>
  <c r="BK171" i="138" s="1"/>
  <c r="AU165" i="138"/>
  <c r="BK165" i="138" s="1"/>
  <c r="AU162" i="138"/>
  <c r="BK162" i="138" s="1"/>
  <c r="I160" i="138"/>
  <c r="AM167" i="138"/>
  <c r="BC167" i="138" s="1"/>
  <c r="AM163" i="138"/>
  <c r="BC163" i="138" s="1"/>
  <c r="O160" i="138"/>
  <c r="AS167" i="138"/>
  <c r="BI167" i="138" s="1"/>
  <c r="AS163" i="138"/>
  <c r="BI163" i="138" s="1"/>
  <c r="AV178" i="138"/>
  <c r="BL178" i="138" s="1"/>
  <c r="AV177" i="138"/>
  <c r="BL177" i="138" s="1"/>
  <c r="C160" i="138"/>
  <c r="E160" i="138" s="1" a="1"/>
  <c r="E160" i="138" s="1"/>
  <c r="AT115" i="138"/>
  <c r="BJ115" i="138" s="1"/>
  <c r="AR115" i="138"/>
  <c r="BH115" i="138" s="1"/>
  <c r="BH112" i="138" s="1"/>
  <c r="AS115" i="138"/>
  <c r="BI115" i="138" s="1"/>
  <c r="BI112" i="138" s="1"/>
  <c r="AM115" i="138"/>
  <c r="BC115" i="138" s="1"/>
  <c r="BC112" i="138" s="1"/>
  <c r="AV115" i="138"/>
  <c r="BL115" i="138" s="1"/>
  <c r="AP115" i="138"/>
  <c r="BF115" i="138" s="1"/>
  <c r="BF112" i="138" s="1"/>
  <c r="AO115" i="138"/>
  <c r="BE115" i="138" s="1"/>
  <c r="BE112" i="138" s="1"/>
  <c r="AQ115" i="138"/>
  <c r="BG115" i="138" s="1"/>
  <c r="BG112" i="138" s="1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V4" i="138"/>
  <c r="BL4" i="138" s="1"/>
  <c r="AN289" i="83"/>
  <c r="AN286" i="83"/>
  <c r="AN295" i="83"/>
  <c r="AM4" i="138" l="1"/>
  <c r="BC4" i="138" s="1"/>
  <c r="BC49" i="138" s="1"/>
  <c r="BB202" i="138"/>
  <c r="AN4" i="138"/>
  <c r="BD4" i="138" s="1"/>
  <c r="BE202" i="138"/>
  <c r="AT250" i="138"/>
  <c r="BJ250" i="138" s="1"/>
  <c r="BC202" i="138"/>
  <c r="BE64" i="138"/>
  <c r="AO4" i="138"/>
  <c r="BE4" i="138" s="1"/>
  <c r="BE49" i="138" s="1"/>
  <c r="AL4" i="138"/>
  <c r="BB4" i="138" s="1"/>
  <c r="BB49" i="138" s="1"/>
  <c r="AN250" i="138"/>
  <c r="BD250" i="138" s="1"/>
  <c r="BD247" i="138" s="1"/>
  <c r="AQ250" i="138"/>
  <c r="BG250" i="138" s="1"/>
  <c r="BG247" i="138" s="1"/>
  <c r="BI64" i="138"/>
  <c r="AL250" i="138"/>
  <c r="BB250" i="138" s="1"/>
  <c r="BB247" i="138" s="1"/>
  <c r="BI202" i="138"/>
  <c r="BA202" i="138"/>
  <c r="AK250" i="138"/>
  <c r="BA250" i="138" s="1"/>
  <c r="BA247" i="138" s="1"/>
  <c r="AR205" i="138"/>
  <c r="BH205" i="138" s="1"/>
  <c r="BH202" i="138" s="1"/>
  <c r="C250" i="138"/>
  <c r="T250" i="138" s="1" a="1"/>
  <c r="T250" i="138" s="1"/>
  <c r="BG64" i="138"/>
  <c r="BE247" i="138"/>
  <c r="AP4" i="138"/>
  <c r="BF4" i="138" s="1"/>
  <c r="BC64" i="138"/>
  <c r="BD202" i="138"/>
  <c r="BB64" i="138"/>
  <c r="BD64" i="138"/>
  <c r="BE157" i="138"/>
  <c r="AX115" i="138" a="1"/>
  <c r="AX115" i="138" s="1"/>
  <c r="BG202" i="138"/>
  <c r="BH64" i="138"/>
  <c r="BH247" i="138"/>
  <c r="BF202" i="138"/>
  <c r="AP250" i="138"/>
  <c r="BF250" i="138" s="1"/>
  <c r="BF247" i="138" s="1"/>
  <c r="AS250" i="138"/>
  <c r="BI250" i="138" s="1"/>
  <c r="BI247" i="138" s="1"/>
  <c r="BC247" i="138"/>
  <c r="BB157" i="138"/>
  <c r="AX160" i="138" a="1"/>
  <c r="AX160" i="138" s="1"/>
  <c r="AU250" i="138"/>
  <c r="BK250" i="138" s="1"/>
  <c r="AU160" i="138"/>
  <c r="BK160" i="138" s="1"/>
  <c r="AV160" i="138"/>
  <c r="BL160" i="138" s="1"/>
  <c r="AP160" i="138"/>
  <c r="BF160" i="138" s="1"/>
  <c r="BF157" i="138" s="1"/>
  <c r="AT160" i="138"/>
  <c r="BJ160" i="138" s="1"/>
  <c r="AK160" i="138"/>
  <c r="BA160" i="138" s="1"/>
  <c r="BA157" i="138" s="1"/>
  <c r="T160" i="138" a="1"/>
  <c r="T160" i="138" s="1"/>
  <c r="AN160" i="138"/>
  <c r="BD160" i="138" s="1"/>
  <c r="BD157" i="138" s="1"/>
  <c r="AI160" i="138" a="1"/>
  <c r="AI160" i="138" s="1"/>
  <c r="AQ160" i="138"/>
  <c r="BG160" i="138" s="1"/>
  <c r="BG157" i="138" s="1"/>
  <c r="AS160" i="138"/>
  <c r="BI160" i="138" s="1"/>
  <c r="BI157" i="138" s="1"/>
  <c r="AM160" i="138"/>
  <c r="BC160" i="138" s="1"/>
  <c r="BC157" i="138" s="1"/>
  <c r="AR160" i="138"/>
  <c r="BH160" i="138" s="1"/>
  <c r="BH157" i="138" s="1"/>
  <c r="E115" i="138" a="1"/>
  <c r="E115" i="138" s="1"/>
  <c r="AI115" i="138" a="1"/>
  <c r="AI115" i="138" s="1"/>
  <c r="BQ20" i="138" a="1"/>
  <c r="BQ20" i="138" s="1"/>
  <c r="BV20" i="138" s="1"/>
  <c r="BQ5" i="138" a="1"/>
  <c r="BQ5" i="138" s="1"/>
  <c r="BV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F64" i="138" s="1"/>
  <c r="BQ16" i="138" a="1"/>
  <c r="BQ16" i="138" s="1"/>
  <c r="BT16" i="138" s="1"/>
  <c r="AK67" i="138"/>
  <c r="BA67" i="138" s="1"/>
  <c r="BA64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T20" i="138"/>
  <c r="BQ37" i="138" a="1"/>
  <c r="BQ37" i="138" s="1"/>
  <c r="BV38" i="138"/>
  <c r="BT38" i="138"/>
  <c r="BQ6" i="138" a="1"/>
  <c r="BQ6" i="138" s="1"/>
  <c r="BQ31" i="138" a="1"/>
  <c r="BQ31" i="138" s="1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Z106" i="82"/>
  <c r="Z101" i="82"/>
  <c r="CM7" i="138" l="1"/>
  <c r="CR7" i="138"/>
  <c r="CN7" i="138"/>
  <c r="CJ7" i="138"/>
  <c r="CI7" i="138"/>
  <c r="CS7" i="138"/>
  <c r="BV23" i="138"/>
  <c r="AX250" i="138" a="1"/>
  <c r="AX250" i="138" s="1"/>
  <c r="AI250" i="138" a="1"/>
  <c r="AI250" i="138" s="1"/>
  <c r="E250" i="138" a="1"/>
  <c r="E250" i="138" s="1"/>
  <c r="BQ4" i="138" a="1"/>
  <c r="BQ4" i="138" s="1"/>
  <c r="BT4" i="138" s="1"/>
  <c r="T4" i="138"/>
  <c r="CQ7" i="138" s="1"/>
  <c r="BT5" i="138"/>
  <c r="BT29" i="138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BR4" i="138" a="1"/>
  <c r="BR4" i="138" s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V31" i="138"/>
  <c r="BT31" i="138"/>
  <c r="BV6" i="138"/>
  <c r="BT6" i="138"/>
  <c r="BV37" i="138"/>
  <c r="BT37" i="138"/>
  <c r="Z42" i="82"/>
  <c r="Z39" i="82"/>
  <c r="Z36" i="82"/>
  <c r="Z33" i="82"/>
  <c r="Z30" i="82"/>
  <c r="BS4" i="138" l="1" a="1"/>
  <c r="BS4" i="138" s="1"/>
  <c r="CH7" i="138"/>
  <c r="CK6" i="138"/>
  <c r="CO6" i="138"/>
  <c r="CN6" i="138"/>
  <c r="CH6" i="138"/>
  <c r="CO7" i="138"/>
  <c r="CL7" i="138"/>
  <c r="CP7" i="138"/>
  <c r="CK7" i="138"/>
  <c r="BX13" i="138" a="1"/>
  <c r="BV4" i="138"/>
  <c r="E4" i="138"/>
  <c r="CS6" i="138" s="1"/>
  <c r="CC41" i="138"/>
  <c r="CC36" i="138"/>
  <c r="CC40" i="138"/>
  <c r="CC37" i="138"/>
  <c r="CC39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BY38" i="138"/>
  <c r="BY39" i="138"/>
  <c r="BY40" i="138"/>
  <c r="BY36" i="138"/>
  <c r="BY37" i="138"/>
  <c r="BY41" i="138"/>
  <c r="AN298" i="83"/>
  <c r="Y47" i="83"/>
  <c r="Y46" i="83"/>
  <c r="CC18" i="138" l="1"/>
  <c r="CC20" i="138"/>
  <c r="CC22" i="138"/>
  <c r="CC21" i="138"/>
  <c r="CJ6" i="138"/>
  <c r="CM6" i="138"/>
  <c r="CL6" i="138"/>
  <c r="CI6" i="138"/>
  <c r="CQ6" i="138"/>
  <c r="CC17" i="138"/>
  <c r="CP6" i="138"/>
  <c r="CR6" i="138"/>
  <c r="CC15" i="138"/>
  <c r="CC19" i="138"/>
  <c r="BX13" i="138"/>
  <c r="CC13" i="138" s="1"/>
  <c r="CC16" i="138"/>
  <c r="CC14" i="138"/>
  <c r="Y30" i="82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BZ5" i="138" l="1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<sst xmlns="http://schemas.openxmlformats.org/spreadsheetml/2006/main" count="4825" uniqueCount="486">
  <si>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</si>
  <si>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</si>
  <si>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</si>
  <si>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</si>
  <si>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</si>
  <si>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</si>
  <si>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</si>
  <si>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</si>
  <si>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</si>
  <si>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</si>
  <si>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</si>
  <si>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</si>
  <si>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</si>
  <si>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</si>
  <si>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</si>
  <si>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</si>
  <si>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</si>
  <si>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</si>
  <si>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</si>
  <si>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</si>
  <si>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</si>
  <si>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</si>
  <si>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</si>
  <si>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</si>
  <si>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</si>
  <si>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</si>
  <si>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</si>
  <si>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</si>
  <si>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</si>
  <si>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</si>
  <si>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</si>
  <si>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</si>
  <si>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</si>
  <si>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</si>
  <si>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</si>
  <si>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</si>
  <si>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</si>
  <si>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</si>
  <si>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</si>
  <si>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</si>
  <si>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</si>
  <si>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</si>
  <si>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</si>
  <si>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</si>
  <si>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</si>
  <si>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</si>
  <si>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</si>
  <si>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</si>
  <si>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</si>
  <si>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</si>
  <si>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</si>
  <si>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</si>
  <si>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</si>
  <si>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</si>
  <si>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</si>
  <si>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</si>
  <si>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</si>
  <si>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</si>
  <si>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</si>
  <si>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</si>
  <si>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</si>
  <si>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</si>
  <si>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</si>
  <si>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</si>
  <si>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</si>
  <si>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</si>
  <si>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</si>
  <si>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</si>
  <si>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</si>
  <si>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</si>
  <si>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</si>
  <si>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</si>
  <si>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</si>
  <si>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</si>
  <si>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</si>
  <si>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</si>
  <si>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</si>
  <si>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</si>
  <si>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</si>
  <si>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</si>
  <si>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</si>
  <si>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</si>
  <si>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</si>
  <si>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</si>
  <si>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</si>
  <si>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</si>
  <si>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</si>
  <si>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</si>
  <si>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</si>
  <si>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</si>
  <si>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</si>
  <si>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</si>
  <si>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</si>
  <si>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</si>
  <si>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</si>
  <si>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</si>
  <si>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</si>
  <si>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</si>
  <si>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</si>
  <si>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</si>
  <si>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</si>
  <si>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</si>
  <si>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</si>
  <si>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</si>
  <si>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</si>
  <si>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</si>
  <si>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</si>
  <si>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</si>
  <si>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</si>
  <si>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</si>
  <si>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</si>
  <si>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</si>
  <si>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</si>
  <si>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</si>
  <si>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</si>
  <si>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</si>
  <si>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</si>
  <si>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</si>
  <si>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</si>
  <si>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</si>
  <si>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</si>
  <si>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</si>
  <si>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</si>
  <si>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</si>
  <si>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</si>
  <si>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</si>
  <si>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</si>
  <si>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</si>
  <si>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</si>
  <si>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</si>
  <si>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</si>
  <si>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</si>
  <si>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</si>
  <si>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</si>
  <si>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</si>
  <si>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</si>
  <si>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</si>
  <si>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</si>
  <si>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</si>
  <si>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</si>
  <si>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</si>
  <si>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</si>
  <si>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</si>
  <si>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</si>
  <si>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</si>
  <si>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</si>
  <si>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</si>
  <si>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</si>
  <si>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</si>
  <si>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</si>
  <si>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</si>
  <si>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</si>
  <si>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</si>
  <si>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</si>
  <si>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</si>
  <si>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</si>
  <si>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</si>
  <si>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</si>
  <si>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</si>
  <si>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</si>
  <si>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</si>
  <si>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</si>
  <si>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</si>
  <si>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</si>
  <si>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</si>
  <si>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</si>
  <si>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</si>
  <si>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</si>
  <si>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</si>
  <si>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</si>
  <si>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</si>
  <si>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</si>
  <si>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</si>
  <si>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</si>
  <si>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</si>
  <si>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</si>
  <si>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</si>
  <si>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</si>
  <si>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</si>
  <si>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</si>
  <si>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</si>
  <si>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</si>
  <si>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</si>
  <si>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</si>
  <si>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</si>
  <si>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</si>
  <si>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</si>
  <si>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</si>
  <si>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</si>
  <si>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</si>
  <si>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</si>
  <si>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</si>
  <si>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</si>
  <si>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</si>
  <si>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</si>
  <si>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</si>
  <si>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</si>
  <si>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</si>
  <si>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</si>
  <si>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</si>
  <si>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</si>
  <si>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</si>
  <si>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</si>
  <si>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</si>
  <si>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</si>
  <si>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</si>
  <si>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</si>
  <si>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</si>
  <si>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</si>
  <si>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</si>
  <si>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</si>
  <si>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</si>
  <si>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</si>
  <si>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</si>
  <si>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</si>
  <si>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</si>
  <si>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</si>
  <si>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</si>
  <si>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</si>
  <si>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</si>
  <si>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</si>
  <si>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</si>
  <si>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</si>
  <si>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</si>
  <si>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</si>
  <si>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</si>
  <si>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</si>
  <si>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</si>
  <si>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</si>
  <si>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</si>
  <si>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</si>
  <si>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</si>
  <si>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</si>
  <si>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</si>
  <si>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</si>
  <si>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</si>
  <si>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</si>
  <si>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</si>
  <si>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</si>
  <si>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</si>
  <si>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</si>
  <si>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</si>
  <si>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</si>
  <si>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</si>
  <si>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</si>
  <si>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</si>
  <si>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</si>
  <si>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</si>
  <si>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</si>
  <si>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</si>
  <si>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</si>
  <si>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</si>
  <si>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</si>
  <si>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</si>
  <si>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</si>
  <si>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</si>
  <si>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</si>
  <si>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</si>
  <si>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</si>
  <si>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</si>
  <si>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</si>
  <si>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</si>
  <si>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</si>
  <si>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</si>
  <si>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</si>
  <si>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</si>
  <si>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</si>
  <si>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</si>
  <si>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</si>
  <si>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</si>
  <si>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</si>
  <si>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</si>
  <si>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</si>
  <si>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</si>
  <si>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</si>
  <si>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</si>
  <si>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</si>
  <si>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</si>
  <si>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</si>
  <si>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</si>
  <si>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</si>
  <si>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</si>
  <si>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</si>
  <si>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</si>
  <si>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</si>
  <si>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</si>
  <si>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</si>
  <si>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</si>
  <si>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</si>
  <si>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</si>
  <si>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</si>
  <si>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</si>
  <si>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</si>
  <si>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</si>
  <si>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</si>
  <si>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</si>
  <si>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</si>
  <si>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</si>
  <si>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</si>
  <si>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</si>
  <si>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</si>
  <si>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</si>
  <si>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</si>
  <si>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</si>
  <si>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</si>
  <si>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</si>
  <si>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</si>
  <si>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</si>
  <si>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</si>
  <si>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</si>
  <si>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</si>
  <si>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</si>
  <si>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</si>
  <si>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</si>
  <si>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</si>
  <si>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</si>
  <si>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</si>
  <si>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</si>
  <si>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</si>
  <si>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</si>
  <si>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</si>
  <si>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</si>
  <si>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</si>
  <si>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</si>
  <si>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</si>
  <si>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</si>
  <si>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</si>
  <si>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</si>
  <si>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</si>
  <si>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</si>
  <si>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</si>
  <si>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</si>
  <si>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</si>
  <si>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</si>
  <si>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</si>
  <si>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</si>
  <si>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</si>
  <si>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</si>
  <si>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</si>
  <si>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</si>
  <si>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</si>
  <si>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</si>
  <si>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</si>
  <si>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</si>
  <si>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</si>
  <si>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</si>
  <si>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</si>
  <si>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</si>
  <si>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</si>
  <si>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</si>
  <si>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</si>
  <si>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</si>
  <si>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</si>
  <si>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</si>
  <si>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</si>
  <si>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</si>
  <si>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</si>
  <si>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</si>
  <si>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</si>
  <si>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</si>
  <si>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</si>
  <si>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</si>
  <si>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</si>
  <si>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</si>
  <si>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</si>
  <si>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</si>
  <si>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</si>
  <si>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</si>
  <si>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</si>
  <si>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</si>
  <si>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</si>
  <si>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</si>
  <si>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</si>
  <si>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</si>
  <si>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</si>
  <si>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</si>
  <si>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</si>
  <si>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</si>
  <si>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</si>
  <si>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</si>
  <si>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</si>
  <si>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</si>
  <si>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</si>
  <si>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</si>
  <si>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</si>
  <si>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</si>
  <si>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</si>
  <si>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</si>
  <si>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</si>
  <si>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</si>
  <si>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</si>
  <si>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</si>
  <si>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</si>
  <si>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</si>
  <si>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</si>
  <si>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</si>
  <si>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</si>
  <si>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</si>
  <si>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</si>
  <si>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</si>
  <si>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</si>
  <si>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</si>
  <si>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</si>
  <si>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</si>
  <si>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</si>
  <si>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</si>
  <si>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</si>
  <si>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</si>
  <si>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</si>
  <si>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</si>
  <si>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</si>
  <si>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</si>
  <si>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</si>
  <si>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</si>
  <si>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</si>
  <si>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</si>
  <si>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</si>
  <si>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</si>
  <si>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</si>
  <si>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</si>
  <si>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</si>
  <si>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</si>
  <si>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</si>
  <si>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</si>
  <si>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</si>
  <si>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</si>
  <si>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</si>
  <si>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</si>
  <si>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</si>
  <si>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</si>
  <si>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</si>
  <si>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</si>
  <si>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</si>
  <si>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</si>
  <si>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</si>
  <si>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</si>
  <si>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</si>
  <si>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</si>
  <si>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</si>
  <si>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</si>
  <si>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</si>
  <si>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</si>
  <si>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</si>
  <si>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</si>
  <si>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</si>
  <si>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</si>
  <si>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</si>
  <si>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</si>
  <si>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</si>
  <si>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</si>
  <si>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</si>
  <si>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</si>
  <si>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</si>
  <si>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</si>
  <si>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</si>
  <si>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</si>
  <si>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</si>
  <si>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</si>
  <si>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</si>
  <si>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</si>
  <si>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</si>
  <si>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</si>
  <si>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</si>
  <si>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</si>
  <si>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</si>
  <si>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</si>
  <si>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</si>
  <si>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</si>
  <si>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</si>
  <si>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</si>
  <si>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</si>
  <si>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</si>
  <si>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</si>
  <si>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</si>
  <si>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</si>
  <si>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</si>
  <si>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</si>
  <si>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</si>
  <si>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</si>
  <si>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</si>
  <si>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</si>
  <si>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Penyelesaian Ganti Meter</t>
  </si>
  <si>
    <t>ULP
PENCAPAIAN</t>
  </si>
  <si>
    <t>Green</t>
  </si>
  <si>
    <t>Yellow</t>
  </si>
  <si>
    <t>ULP
REALISASI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</si>
</sst>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10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808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4" fillId="0" borderId="66" xfId="0" applyFont="1" applyBorder="1" applyAlignment="1">
      <alignment vertical="center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13" fillId="2" borderId="66" xfId="3" applyNumberFormat="1" applyFont="1" applyFill="1" applyBorder="1" applyAlignment="1">
      <alignment horizontal="center" vertical="center" wrapText="1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80" fillId="55" borderId="0" xfId="0" applyFont="1" applyFill="1" applyAlignment="1">
      <alignment horizontal="left" vertical="center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80" fillId="0" borderId="0" xfId="0" applyFont="1" applyAlignment="1">
      <alignment horizontal="left"/>
    </xf>
    <xf numFmtId="0" fontId="185" fillId="0" borderId="0" xfId="0" applyFont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7" fillId="0" borderId="0" xfId="0" applyFont="1" applyAlignment="1">
      <alignment horizontal="right" vertical="center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0" fontId="0" fillId="0" borderId="0" xfId="0" applyBorder="1"/>
    <xf numFmtId="243" fontId="83" fillId="89" borderId="0" xfId="0" applyNumberFormat="1" applyFont="1" applyFill="1" applyAlignment="1">
      <alignment horizontal="left" vertical="center"/>
    </xf>
    <xf numFmtId="0" fontId="14" fillId="0" borderId="93" xfId="0" applyFont="1" applyBorder="1" applyAlignment="1">
      <alignment horizontal="center" vertical="center"/>
    </xf>
    <xf numFmtId="0" fontId="14" fillId="0" borderId="95" xfId="0" applyFont="1" applyBorder="1" applyAlignment="1">
      <alignment horizontal="center" vertical="center"/>
    </xf>
    <xf numFmtId="242" fontId="0" fillId="0" borderId="0" xfId="0" applyNumberForma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4" fillId="0" borderId="91" xfId="0" applyFont="1" applyBorder="1" applyAlignment="1">
      <alignment horizontal="center" vertical="center" wrapText="1"/>
    </xf>
    <xf numFmtId="0" fontId="14" fillId="4" borderId="17" xfId="0" applyFont="1" applyFill="1" applyBorder="1" applyAlignment="1">
      <alignment horizontal="center"/>
    </xf>
    <xf numFmtId="0" fontId="14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4" fillId="4" borderId="98" xfId="0" applyFont="1" applyFill="1" applyBorder="1" applyAlignment="1">
      <alignment horizontal="center" vertical="center"/>
    </xf>
    <xf numFmtId="243" fontId="14" fillId="0" borderId="100" xfId="0" applyNumberFormat="1" applyFont="1" applyBorder="1" applyAlignment="1">
      <alignment horizontal="center"/>
    </xf>
    <xf numFmtId="0" fontId="14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32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FDE8986-C654-4EA0-8854-CC7F8586DE1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8E6C38E-AA1B-4B6E-92B4-72BB08FCEBF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D06C463-076F-411D-89A0-1FFCE5150E3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3137F76-6616-4F81-BE7F-DE86C2C62C3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197AF22-9184-478C-BCE6-782A80AA28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628CA66-BBF4-4BE0-B9CA-BE4E126F424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B73E96F-BCA0-4E24-99FD-FD92DD3DE66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222CC78-7F2B-4620-A7FE-65E09112070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0CFD2BC-7DE9-4E9F-B934-B366050AE25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0A05D-FAE6-4CEC-A44C-842A1133F23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FF846A-139B-491A-8306-4963EEADF87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FD40902C-DC1F-44DE-AB88-0354B40BA20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156FA7C-8C37-4127-A4E5-EF1CAEC06A6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6E46286-EF4A-47FA-8519-0BA83AF691C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300A5F4-9D2A-485A-9727-35E234483F1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E15419F-10D5-4DF5-BA32-2CCFBBACCDB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5AB4AD2-2A5B-421B-84F8-9D34F5273A2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B31A306-138C-406C-A1AE-6267761FC0D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D51FD931-C7FD-48F6-A4A1-F9F39097822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78F6DCD-EF2A-4003-9B8C-DACF91F247B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EE460FCE-A95A-4C68-9D2E-EA5C0F8F9733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16FE396-FCF9-44C6-AF4E-F2924F886FD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D3EB92B2-8C2A-44EA-95C6-240647DB25EF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0F6938E5-8381-43ED-9C0D-982749299CF8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748D4A64-50BA-4BDE-BE35-2A931C4CCC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33B4122E-6644-498C-8879-7D61DD9CF75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241F7AE4-90E0-4E5C-8489-4CC19C1D7818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C196D694-AFD5-47AA-BD0E-C3859E4B304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393DBC5A-5257-4687-87EA-21C592A3DA1D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E36B3AC-84FE-4DDE-84D7-68310AAB14CE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1B53B8D6-F4A5-4522-B424-E1D57CF2F67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3CCA87A8-6436-4235-B6BD-D71745DCFC3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3BD0079C-53BE-4151-9FDF-4CCFF501CBB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C74743FE-EC16-4B9D-B383-A507067953E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FB49BC85-7CF3-4EE9-ADC0-9911688BAC66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F52079C-F122-4E0F-943E-DC9C58A43F2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0D562FE-67E8-4438-B0EB-F3296E1D9A6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97FF040-1660-4801-BD85-068758FD63E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2A01FA43-F5BA-42EA-A37A-C3083A32830C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97.594078809570888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98.189473684210526</c:v>
                </c:pt>
                <c:pt idx="5">
                  <c:v>#N/A</c:v>
                </c:pt>
                <c:pt idx="6">
                  <c:v>98.181818181818187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55.329833770778656</c:v>
                </c:pt>
                <c:pt idx="2">
                  <c:v>49.556057185854023</c:v>
                </c:pt>
                <c:pt idx="3">
                  <c:v>75.309769841408453</c:v>
                </c:pt>
                <c:pt idx="4">
                  <c:v>#N/A</c:v>
                </c:pt>
                <c:pt idx="5">
                  <c:v>90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2.4059211904291118</c:v>
                </c:pt>
                <c:pt idx="1">
                  <c:v>44.670166229221344</c:v>
                </c:pt>
                <c:pt idx="2">
                  <c:v>50.443942814145977</c:v>
                </c:pt>
                <c:pt idx="3">
                  <c:v>24.690230158591547</c:v>
                </c:pt>
                <c:pt idx="4">
                  <c:v>1.810526315789474</c:v>
                </c:pt>
                <c:pt idx="5">
                  <c:v>10</c:v>
                </c:pt>
                <c:pt idx="6">
                  <c:v>1.818181818181813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7"/>
                <c:pt idx="0">
                  <c:v>Penjualan Tenaga Listrik</c:v>
                </c:pt>
                <c:pt idx="1">
                  <c:v>Penambahan Daya Tersambung</c:v>
                </c:pt>
                <c:pt idx="2">
                  <c:v>Penambahan Jumlah Pelanggan</c:v>
                </c:pt>
                <c:pt idx="3">
                  <c:v>Pencapaian Saldo Rata-Rata Akhir Bulan diluar Konsumen Instansi (Kementerian &amp; Lembaga)</c:v>
                </c:pt>
                <c:pt idx="4">
                  <c:v>Pengendalian Penggunaan Anggaran Investasi sesuai RKAP</c:v>
                </c:pt>
                <c:pt idx="5">
                  <c:v>Produktivitas Unit</c:v>
                </c:pt>
                <c:pt idx="6">
                  <c:v>Maturity Level Gudang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0.33682896666007567</c:v>
                </c:pt>
                <c:pt idx="1">
                  <c:v>0.89340332458442684</c:v>
                </c:pt>
                <c:pt idx="2">
                  <c:v>1.0088788562829196</c:v>
                </c:pt>
                <c:pt idx="3">
                  <c:v>0.49380460317183095</c:v>
                </c:pt>
                <c:pt idx="4">
                  <c:v>3.6210526315789478E-2</c:v>
                </c:pt>
                <c:pt idx="5">
                  <c:v>0.1</c:v>
                </c:pt>
                <c:pt idx="6">
                  <c:v>1.8181818181818129E-2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97.594078809570888</c:v>
                      </c:pt>
                      <c:pt idx="1">
                        <c:v>55.329833770778656</c:v>
                      </c:pt>
                      <c:pt idx="2">
                        <c:v>49.556057185854023</c:v>
                      </c:pt>
                      <c:pt idx="3">
                        <c:v>75.309769841408453</c:v>
                      </c:pt>
                      <c:pt idx="4">
                        <c:v>98.189473684210526</c:v>
                      </c:pt>
                      <c:pt idx="5">
                        <c:v>90</c:v>
                      </c:pt>
                      <c:pt idx="6">
                        <c:v>98.181818181818187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7"/>
                      <c:pt idx="0">
                        <c:v>Penjualan Tenaga Listrik</c:v>
                      </c:pt>
                      <c:pt idx="1">
                        <c:v>Penambahan Daya Tersambung</c:v>
                      </c:pt>
                      <c:pt idx="2">
                        <c:v>Penambahan Jumlah Pelanggan</c:v>
                      </c:pt>
                      <c:pt idx="3">
                        <c:v>Pencapaian Saldo Rata-Rata Akhir Bulan diluar Konsumen Instansi (Kementerian &amp; Lembaga)</c:v>
                      </c:pt>
                      <c:pt idx="4">
                        <c:v>Pengendalian Penggunaan Anggaran Investasi sesuai RKAP</c:v>
                      </c:pt>
                      <c:pt idx="5">
                        <c:v>Produktivitas Unit</c:v>
                      </c:pt>
                      <c:pt idx="6">
                        <c:v>Maturity Level Gudang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14</c:v>
                      </c:pt>
                      <c:pt idx="1">
                        <c:v>2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2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107.28803716608594</c:v>
                </c:pt>
                <c:pt idx="7">
                  <c:v>110</c:v>
                </c:pt>
                <c:pt idx="8">
                  <c:v>110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101.98</c:v>
                </c:pt>
                <c:pt idx="19">
                  <c:v>0</c:v>
                </c:pt>
                <c:pt idx="20">
                  <c:v>0</c:v>
                </c:pt>
                <c:pt idx="21">
                  <c:v>101.63934426229508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  <c:pt idx="30">
                  <c:v>0</c:v>
                </c:pt>
                <c:pt idx="31">
                  <c:v>100</c:v>
                </c:pt>
                <c:pt idx="32">
                  <c:v>100</c:v>
                </c:pt>
                <c:pt idx="33">
                  <c:v>108.55</c:v>
                </c:pt>
                <c:pt idx="34">
                  <c:v>0</c:v>
                </c:pt>
                <c:pt idx="35">
                  <c:v>107.84</c:v>
                </c:pt>
                <c:pt idx="36">
                  <c:v>100</c:v>
                </c:pt>
                <c:pt idx="37">
                  <c:v>100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97.594078809570888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98.189473684210526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98.181818181818187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55.329833770778656</c:v>
                </c:pt>
                <c:pt idx="20">
                  <c:v>49.556057185854023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75.309769841408453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DE8F186-7747-4043-B27F-53B5E327B4D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651647E-21DB-4955-A7A5-EEF97256410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B778B5F-0D31-46F5-BABC-59F4B24BE86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EA55BDD-826C-4BE8-A8DB-D4CE3CA2910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60CE3-6474-44E3-91B3-B219CBD0A6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C6AA070-82F6-451A-BD4F-A0D5119890E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E37FFE0-B2BD-4B75-B741-3217238082B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377B72F-A03F-458A-8E00-5308BE2CA09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F3A4CE9-3383-4F05-A598-746162A284A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95A743A-828B-422C-A172-4060C8EBCF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B5BFFD1-4A7C-47FB-9B06-08E1F065C6F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5F9FE6D-96FF-46AB-941F-39287FAB2CF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2338CB-F627-48CD-A3FF-6820FB55217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CC1982D-3B50-4203-8034-7149F612340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AD85F18A-09B6-4308-B4D8-5F5ADA8D602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79A0CFD-0A44-4244-B956-95955DD4F11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C6F3E31-CF70-43A2-860D-626AE0DFFE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F083FF5-68FC-429D-BC70-2708DC265BD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744E4F63-5FEB-43F6-8F60-6DE3424D2D7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D78713F-0148-4315-9CF9-03B2964E99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A74E644-6ED2-4ABC-BB58-7C5C5720C2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BB8046C0-8198-45F4-9F5E-5BB95A7BBD4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2CF8333-77EC-4182-ABEE-92898EF7BDD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1471143-F714-46F7-8EAA-80F774CD717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31D1DEA-C739-41DE-A80D-B4211422716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0879007-4B43-43B5-B59D-E2EABE2955A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1B26127-E970-4382-8461-0197105CA10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F012F794-FF41-4715-8720-1D0F71809FF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7327A867-A247-4523-A3EB-60FDA7B4E4B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4D8921D-0F46-45F7-941A-044FD33DDB5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FD48FA1-7175-418B-AC65-6DBAC8804FD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A4ABE25-4D56-4156-8985-5801AFCBA18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614DDD5E-E483-410E-A546-9BF16A9609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AA0A4153-D8E2-4C91-B687-791DEEE663A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9688239-02B7-458B-9D65-03E024E5025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79659F8-AC84-4063-BBE4-FBE1283C260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E5ECEE18-A113-47F5-B4AE-D131B9BEF1C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32B0E910-38D8-4A37-8A84-21B4FF85FD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ECB7C8-42CC-4C22-B60D-2515A128B3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0.97594078809570883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1.1000000000000001</c:v>
                </c:pt>
                <c:pt idx="6">
                  <c:v>1.0728803716608595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1.1000000000000001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</c:v>
                </c:pt>
                <c:pt idx="13">
                  <c:v>1.1000000000000001</c:v>
                </c:pt>
                <c:pt idx="14">
                  <c:v>1.1000000000000001</c:v>
                </c:pt>
                <c:pt idx="15">
                  <c:v>1</c:v>
                </c:pt>
                <c:pt idx="16">
                  <c:v>1.1000000000000001</c:v>
                </c:pt>
                <c:pt idx="17">
                  <c:v>1.1000000000000001</c:v>
                </c:pt>
                <c:pt idx="18">
                  <c:v>1.0198</c:v>
                </c:pt>
                <c:pt idx="19">
                  <c:v>0.55329833770778658</c:v>
                </c:pt>
                <c:pt idx="20">
                  <c:v>0.49556057185854024</c:v>
                </c:pt>
                <c:pt idx="21">
                  <c:v>1.0163934426229508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1.1000000000000001</c:v>
                </c:pt>
                <c:pt idx="28">
                  <c:v>0.75309769841408458</c:v>
                </c:pt>
                <c:pt idx="29">
                  <c:v>1.1000000000000001</c:v>
                </c:pt>
                <c:pt idx="30">
                  <c:v>0.98189473684210526</c:v>
                </c:pt>
                <c:pt idx="31">
                  <c:v>1</c:v>
                </c:pt>
                <c:pt idx="32">
                  <c:v>1</c:v>
                </c:pt>
                <c:pt idx="33">
                  <c:v>1.0854999999999999</c:v>
                </c:pt>
                <c:pt idx="34">
                  <c:v>0.9</c:v>
                </c:pt>
                <c:pt idx="35">
                  <c:v>1.0784</c:v>
                </c:pt>
                <c:pt idx="36">
                  <c:v>1</c:v>
                </c:pt>
                <c:pt idx="37">
                  <c:v>1</c:v>
                </c:pt>
                <c:pt idx="38">
                  <c:v>0.98181818181818192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98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110 </c:v>
                  </c:pt>
                  <c:pt idx="6">
                    <c:v> 107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110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110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110 </c:v>
                  </c:pt>
                  <c:pt idx="17">
                    <c:v> 110 </c:v>
                  </c:pt>
                  <c:pt idx="18">
                    <c:v> 102 </c:v>
                  </c:pt>
                  <c:pt idx="19">
                    <c:v> 55 </c:v>
                  </c:pt>
                  <c:pt idx="20">
                    <c:v> 50 </c:v>
                  </c:pt>
                  <c:pt idx="21">
                    <c:v> 102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110 </c:v>
                  </c:pt>
                  <c:pt idx="28">
                    <c:v> 75 </c:v>
                  </c:pt>
                  <c:pt idx="29">
                    <c:v> 110 </c:v>
                  </c:pt>
                  <c:pt idx="30">
                    <c:v> 98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109 </c:v>
                  </c:pt>
                  <c:pt idx="34">
                    <c:v> 90 </c:v>
                  </c:pt>
                  <c:pt idx="35">
                    <c:v> 108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98 </c:v>
                  </c:pt>
                  <c:pt idx="39">
                    <c:v> 110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437</c:v>
                </c:pt>
                <c:pt idx="1">
                  <c:v>869</c:v>
                </c:pt>
                <c:pt idx="2">
                  <c:v>1300</c:v>
                </c:pt>
                <c:pt idx="3">
                  <c:v>1732</c:v>
                </c:pt>
                <c:pt idx="4">
                  <c:v>1947</c:v>
                </c:pt>
                <c:pt idx="5">
                  <c:v>2158</c:v>
                </c:pt>
                <c:pt idx="6">
                  <c:v>2801</c:v>
                </c:pt>
                <c:pt idx="7">
                  <c:v>3444</c:v>
                </c:pt>
                <c:pt idx="8">
                  <c:v>4087</c:v>
                </c:pt>
                <c:pt idx="9">
                  <c:v>4727</c:v>
                </c:pt>
                <c:pt idx="10">
                  <c:v>4727</c:v>
                </c:pt>
                <c:pt idx="11">
                  <c:v>4727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21</c:v>
                </c:pt>
                <c:pt idx="1">
                  <c:v>287</c:v>
                </c:pt>
                <c:pt idx="2">
                  <c:v>1413</c:v>
                </c:pt>
                <c:pt idx="3">
                  <c:v>2172</c:v>
                </c:pt>
                <c:pt idx="4">
                  <c:v>2755</c:v>
                </c:pt>
                <c:pt idx="5">
                  <c:v>3122</c:v>
                </c:pt>
                <c:pt idx="6">
                  <c:v>3533</c:v>
                </c:pt>
                <c:pt idx="7">
                  <c:v>3695</c:v>
                </c:pt>
                <c:pt idx="8">
                  <c:v>3957</c:v>
                </c:pt>
                <c:pt idx="9">
                  <c:v>3957</c:v>
                </c:pt>
                <c:pt idx="10">
                  <c:v>3957</c:v>
                </c:pt>
                <c:pt idx="11">
                  <c:v>3957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0</c:v>
                </c:pt>
                <c:pt idx="5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91.171993911719937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E7EC799-241E-4557-9776-DF8082E2D81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5A5D728-5575-45DB-A53F-480C17599F8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D3E31D9-A4FE-43BB-BF3E-A600FB1A7CB2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AB445AD-8DED-49ED-B1B7-203BE15C521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2132AFE-821D-43A8-B9D9-376AB421C98A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A36E9B0-F35B-4CF2-8BAC-F507A1C86055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18.828006088280063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91 </c:v>
                  </c:pt>
                  <c:pt idx="5">
                    <c:v> 110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#,##0_);_(* \(#,##0\);_(* "-"??_);_(@_)</c:formatCode>
                <c:ptCount val="5"/>
                <c:pt idx="0">
                  <c:v>1049</c:v>
                </c:pt>
                <c:pt idx="1">
                  <c:v>639</c:v>
                </c:pt>
                <c:pt idx="2">
                  <c:v>466</c:v>
                </c:pt>
                <c:pt idx="3">
                  <c:v>599</c:v>
                </c:pt>
                <c:pt idx="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102,54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4">
      <iconSet iconSet="3ArrowsGray" showValue="0">
        <cfvo type="percent" val="0"/>
        <cfvo type="num" val="2"/>
        <cfvo type="num" val="3"/>
      </iconSet>
    </cfRule>
    <cfRule type="iconSet" priority="2015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2">
      <iconSet iconSet="3ArrowsGray" showValue="0">
        <cfvo type="percent" val="0"/>
        <cfvo type="num" val="2"/>
        <cfvo type="num" val="3"/>
      </iconSet>
    </cfRule>
    <cfRule type="iconSet" priority="2013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49">
      <iconSet iconSet="3ArrowsGray" showValue="0">
        <cfvo type="percent" val="0"/>
        <cfvo type="num" val="2"/>
        <cfvo type="num" val="3"/>
      </iconSet>
    </cfRule>
    <cfRule type="iconSet" priority="650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05">
      <iconSet>
        <cfvo type="percent" val="0"/>
        <cfvo type="num" val="70"/>
        <cfvo type="num" val="90"/>
      </iconSet>
    </cfRule>
    <cfRule type="iconSet" priority="2006">
      <iconSet>
        <cfvo type="percent" val="0"/>
        <cfvo type="num" val="95"/>
        <cfvo type="num" val="100"/>
      </iconSet>
    </cfRule>
    <cfRule type="iconSet" priority="2007">
      <iconSet>
        <cfvo type="percent" val="0"/>
        <cfvo type="num" val="95"/>
        <cfvo type="num" val="100"/>
      </iconSet>
    </cfRule>
    <cfRule type="iconSet" priority="2008">
      <iconSet>
        <cfvo type="percent" val="0"/>
        <cfvo type="num" val="95"/>
        <cfvo type="num" val="100"/>
      </iconSet>
    </cfRule>
    <cfRule type="iconSet" priority="2009">
      <iconSet>
        <cfvo type="percent" val="0"/>
        <cfvo type="num" val="70"/>
        <cfvo type="num" val="90"/>
      </iconSet>
    </cfRule>
    <cfRule type="iconSet" priority="2010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</conditionalFormatting>
  <conditionalFormatting sqref="I9">
    <cfRule type="iconSet" priority="1850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2">
      <iconSet>
        <cfvo type="percent" val="0"/>
        <cfvo type="num" val="70"/>
        <cfvo type="num" val="90"/>
      </iconSet>
    </cfRule>
    <cfRule type="iconSet" priority="1853">
      <iconSet>
        <cfvo type="percent" val="0"/>
        <cfvo type="num" val="95"/>
        <cfvo type="num" val="100"/>
      </iconSet>
    </cfRule>
    <cfRule type="iconSet" priority="1854">
      <iconSet>
        <cfvo type="percent" val="0"/>
        <cfvo type="num" val="95"/>
        <cfvo type="num" val="100"/>
      </iconSet>
    </cfRule>
    <cfRule type="iconSet" priority="1855">
      <iconSet>
        <cfvo type="percent" val="0"/>
        <cfvo type="num" val="95"/>
        <cfvo type="num" val="100"/>
      </iconSet>
    </cfRule>
    <cfRule type="iconSet" priority="1856">
      <iconSet>
        <cfvo type="percent" val="0"/>
        <cfvo type="num" val="70"/>
        <cfvo type="num" val="90"/>
      </iconSet>
    </cfRule>
    <cfRule type="iconSet" priority="1857">
      <iconSet>
        <cfvo type="percent" val="0"/>
        <cfvo type="num" val="70"/>
        <cfvo type="num" val="9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1994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8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  <cfRule type="iconSet" priority="2001">
      <iconSet>
        <cfvo type="percent" val="0"/>
        <cfvo type="num" val="70"/>
        <cfvo type="num" val="90"/>
      </iconSet>
    </cfRule>
    <cfRule type="iconSet" priority="2002">
      <iconSet>
        <cfvo type="percent" val="0"/>
        <cfvo type="num" val="95"/>
        <cfvo type="num" val="100"/>
      </iconSet>
    </cfRule>
  </conditionalFormatting>
  <conditionalFormatting sqref="I12">
    <cfRule type="iconSet" priority="1985">
      <iconSet>
        <cfvo type="percent" val="0"/>
        <cfvo type="num" val="95"/>
        <cfvo type="num" val="100"/>
      </iconSet>
    </cfRule>
    <cfRule type="iconSet" priority="1986">
      <iconSet>
        <cfvo type="percent" val="0"/>
        <cfvo type="num" val="70"/>
        <cfvo type="num" val="90"/>
      </iconSet>
    </cfRule>
    <cfRule type="iconSet" priority="1987">
      <iconSet>
        <cfvo type="percent" val="0"/>
        <cfvo type="num" val="70"/>
        <cfvo type="num" val="90"/>
      </iconSet>
    </cfRule>
    <cfRule type="iconSet" priority="1988">
      <iconSet>
        <cfvo type="percent" val="0"/>
        <cfvo type="num" val="95"/>
        <cfvo type="num" val="100"/>
      </iconSet>
    </cfRule>
    <cfRule type="iconSet" priority="1989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  <cfRule type="iconSet" priority="1991">
      <iconSet>
        <cfvo type="percent" val="0"/>
        <cfvo type="num" val="70"/>
        <cfvo type="num" val="90"/>
      </iconSet>
    </cfRule>
    <cfRule type="iconSet" priority="1992">
      <iconSet>
        <cfvo type="percent" val="0"/>
        <cfvo type="num" val="70"/>
        <cfvo type="num" val="90"/>
      </iconSet>
    </cfRule>
    <cfRule type="iconSet" priority="1993">
      <iconSet>
        <cfvo type="percent" val="0"/>
        <cfvo type="num" val="95"/>
        <cfvo type="num" val="100"/>
      </iconSet>
    </cfRule>
  </conditionalFormatting>
  <conditionalFormatting sqref="I13">
    <cfRule type="iconSet" priority="1976">
      <iconSet>
        <cfvo type="percent" val="0"/>
        <cfvo type="num" val="95"/>
        <cfvo type="num" val="100"/>
      </iconSet>
    </cfRule>
    <cfRule type="iconSet" priority="1977">
      <iconSet>
        <cfvo type="percent" val="0"/>
        <cfvo type="num" val="70"/>
        <cfvo type="num" val="90"/>
      </iconSet>
    </cfRule>
    <cfRule type="iconSet" priority="1978">
      <iconSet>
        <cfvo type="percent" val="0"/>
        <cfvo type="num" val="70"/>
        <cfvo type="num" val="90"/>
      </iconSet>
    </cfRule>
    <cfRule type="iconSet" priority="1979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81">
      <iconSet>
        <cfvo type="percent" val="0"/>
        <cfvo type="num" val="95"/>
        <cfvo type="num" val="100"/>
      </iconSet>
    </cfRule>
    <cfRule type="iconSet" priority="1982">
      <iconSet>
        <cfvo type="percent" val="0"/>
        <cfvo type="num" val="70"/>
        <cfvo type="num" val="90"/>
      </iconSet>
    </cfRule>
    <cfRule type="iconSet" priority="1983">
      <iconSet>
        <cfvo type="percent" val="0"/>
        <cfvo type="num" val="70"/>
        <cfvo type="num" val="90"/>
      </iconSet>
    </cfRule>
    <cfRule type="iconSet" priority="1984">
      <iconSet>
        <cfvo type="percent" val="0"/>
        <cfvo type="num" val="95"/>
        <cfvo type="num" val="100"/>
      </iconSet>
    </cfRule>
  </conditionalFormatting>
  <conditionalFormatting sqref="I14">
    <cfRule type="iconSet" priority="1967">
      <iconSet>
        <cfvo type="percent" val="0"/>
        <cfvo type="num" val="95"/>
        <cfvo type="num" val="100"/>
      </iconSet>
    </cfRule>
    <cfRule type="iconSet" priority="1968">
      <iconSet>
        <cfvo type="percent" val="0"/>
        <cfvo type="num" val="70"/>
        <cfvo type="num" val="90"/>
      </iconSet>
    </cfRule>
    <cfRule type="iconSet" priority="1969">
      <iconSet>
        <cfvo type="percent" val="0"/>
        <cfvo type="num" val="70"/>
        <cfvo type="num" val="90"/>
      </iconSet>
    </cfRule>
    <cfRule type="iconSet" priority="1970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2">
      <iconSet>
        <cfvo type="percent" val="0"/>
        <cfvo type="num" val="95"/>
        <cfvo type="num" val="100"/>
      </iconSet>
    </cfRule>
    <cfRule type="iconSet" priority="1973">
      <iconSet>
        <cfvo type="percent" val="0"/>
        <cfvo type="num" val="70"/>
        <cfvo type="num" val="90"/>
      </iconSet>
    </cfRule>
    <cfRule type="iconSet" priority="1974">
      <iconSet>
        <cfvo type="percent" val="0"/>
        <cfvo type="num" val="70"/>
        <cfvo type="num" val="90"/>
      </iconSet>
    </cfRule>
    <cfRule type="iconSet" priority="1975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5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</conditionalFormatting>
  <conditionalFormatting sqref="I17"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56">
      <iconSet>
        <cfvo type="percent" val="0"/>
        <cfvo type="num" val="70"/>
        <cfvo type="num" val="90"/>
      </iconSet>
    </cfRule>
    <cfRule type="iconSet" priority="1957">
      <iconSet>
        <cfvo type="percent" val="0"/>
        <cfvo type="num" val="95"/>
        <cfvo type="num" val="10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79">
      <iconSet>
        <cfvo type="percent" val="0"/>
        <cfvo type="num" val="95"/>
        <cfvo type="num" val="100"/>
      </iconSet>
    </cfRule>
    <cfRule type="iconSet" priority="2080">
      <iconSet>
        <cfvo type="percent" val="0"/>
        <cfvo type="num" val="70"/>
        <cfvo type="num" val="90"/>
      </iconSet>
    </cfRule>
    <cfRule type="iconSet" priority="2081">
      <iconSet>
        <cfvo type="percent" val="0"/>
        <cfvo type="num" val="70"/>
        <cfvo type="num" val="90"/>
      </iconSet>
    </cfRule>
    <cfRule type="iconSet" priority="2082">
      <iconSet>
        <cfvo type="percent" val="0"/>
        <cfvo type="num" val="95"/>
        <cfvo type="num" val="100"/>
      </iconSet>
    </cfRule>
    <cfRule type="iconSet" priority="2083">
      <iconSet>
        <cfvo type="percent" val="0"/>
        <cfvo type="num" val="95"/>
        <cfvo type="num" val="100"/>
      </iconSet>
    </cfRule>
    <cfRule type="iconSet" priority="2084">
      <iconSet>
        <cfvo type="percent" val="0"/>
        <cfvo type="num" val="70"/>
        <cfvo type="num" val="90"/>
      </iconSet>
    </cfRule>
    <cfRule type="iconSet" priority="2085">
      <iconSet>
        <cfvo type="percent" val="0"/>
        <cfvo type="num" val="70"/>
        <cfvo type="num" val="90"/>
      </iconSet>
    </cfRule>
    <cfRule type="iconSet" priority="2086">
      <iconSet>
        <cfvo type="percent" val="0"/>
        <cfvo type="num" val="95"/>
        <cfvo type="num" val="100"/>
      </iconSet>
    </cfRule>
    <cfRule type="iconSet" priority="2087">
      <iconSet>
        <cfvo type="percent" val="0"/>
        <cfvo type="num" val="95"/>
        <cfvo type="num" val="100"/>
      </iconSet>
    </cfRule>
    <cfRule type="iconSet" priority="2088">
      <iconSet>
        <cfvo type="percent" val="0"/>
        <cfvo type="num" val="70"/>
        <cfvo type="num" val="90"/>
      </iconSet>
    </cfRule>
    <cfRule type="iconSet" priority="2089">
      <iconSet>
        <cfvo type="percent" val="0"/>
        <cfvo type="num" val="70"/>
        <cfvo type="num" val="90"/>
      </iconSet>
    </cfRule>
    <cfRule type="iconSet" priority="2090">
      <iconSet>
        <cfvo type="percent" val="0"/>
        <cfvo type="num" val="95"/>
        <cfvo type="num" val="100"/>
      </iconSet>
    </cfRule>
    <cfRule type="iconSet" priority="2091">
      <iconSet>
        <cfvo type="percent" val="0"/>
        <cfvo type="num" val="95"/>
        <cfvo type="num" val="100"/>
      </iconSet>
    </cfRule>
    <cfRule type="iconSet" priority="2092">
      <iconSet>
        <cfvo type="percent" val="0"/>
        <cfvo type="num" val="70"/>
        <cfvo type="num" val="90"/>
      </iconSet>
    </cfRule>
    <cfRule type="iconSet" priority="2093">
      <iconSet>
        <cfvo type="percent" val="0"/>
        <cfvo type="num" val="70"/>
        <cfvo type="num" val="90"/>
      </iconSet>
    </cfRule>
    <cfRule type="iconSet" priority="2094">
      <iconSet>
        <cfvo type="percent" val="0"/>
        <cfvo type="num" val="95"/>
        <cfvo type="num" val="100"/>
      </iconSet>
    </cfRule>
    <cfRule type="iconSet" priority="2095">
      <iconSet>
        <cfvo type="percent" val="0"/>
        <cfvo type="num" val="95"/>
        <cfvo type="num" val="100"/>
      </iconSet>
    </cfRule>
    <cfRule type="iconSet" priority="2096">
      <iconSet>
        <cfvo type="percent" val="0"/>
        <cfvo type="num" val="70"/>
        <cfvo type="num" val="90"/>
      </iconSet>
    </cfRule>
    <cfRule type="iconSet" priority="2097">
      <iconSet>
        <cfvo type="percent" val="0"/>
        <cfvo type="num" val="70"/>
        <cfvo type="num" val="90"/>
      </iconSet>
    </cfRule>
    <cfRule type="iconSet" priority="2098">
      <iconSet>
        <cfvo type="percent" val="0"/>
        <cfvo type="num" val="95"/>
        <cfvo type="num" val="100"/>
      </iconSet>
    </cfRule>
    <cfRule type="iconSet" priority="2099">
      <iconSet>
        <cfvo type="percent" val="0"/>
        <cfvo type="num" val="95"/>
        <cfvo type="num" val="100"/>
      </iconSet>
    </cfRule>
    <cfRule type="iconSet" priority="2100">
      <iconSet>
        <cfvo type="percent" val="0"/>
        <cfvo type="num" val="70"/>
        <cfvo type="num" val="90"/>
      </iconSet>
    </cfRule>
    <cfRule type="iconSet" priority="2101">
      <iconSet>
        <cfvo type="percent" val="0"/>
        <cfvo type="num" val="70"/>
        <cfvo type="num" val="90"/>
      </iconSet>
    </cfRule>
    <cfRule type="iconSet" priority="2102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104">
      <iconSet>
        <cfvo type="percent" val="0"/>
        <cfvo type="num" val="70"/>
        <cfvo type="num" val="90"/>
      </iconSet>
    </cfRule>
    <cfRule type="iconSet" priority="2105">
      <iconSet>
        <cfvo type="percent" val="0"/>
        <cfvo type="num" val="70"/>
        <cfvo type="num" val="90"/>
      </iconSet>
    </cfRule>
    <cfRule type="iconSet" priority="2106">
      <iconSet>
        <cfvo type="percent" val="0"/>
        <cfvo type="num" val="95"/>
        <cfvo type="num" val="100"/>
      </iconSet>
    </cfRule>
    <cfRule type="iconSet" priority="2107">
      <iconSet>
        <cfvo type="percent" val="0"/>
        <cfvo type="num" val="95"/>
        <cfvo type="num" val="100"/>
      </iconSet>
    </cfRule>
  </conditionalFormatting>
  <conditionalFormatting sqref="I20">
    <cfRule type="iconSet" priority="1931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7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9">
      <iconSet>
        <cfvo type="percent" val="0"/>
        <cfvo type="num" val="95"/>
        <cfvo type="num" val="100"/>
      </iconSet>
    </cfRule>
  </conditionalFormatting>
  <conditionalFormatting sqref="I21">
    <cfRule type="iconSet" priority="1922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5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</conditionalFormatting>
  <conditionalFormatting sqref="I22"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6">
      <iconSet>
        <cfvo type="percent" val="0"/>
        <cfvo type="num" val="95"/>
        <cfvo type="num" val="100"/>
      </iconSet>
    </cfRule>
    <cfRule type="iconSet" priority="1917">
      <iconSet>
        <cfvo type="percent" val="0"/>
        <cfvo type="num" val="95"/>
        <cfvo type="num" val="100"/>
      </iconSet>
    </cfRule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20">
      <iconSet>
        <cfvo type="percent" val="0"/>
        <cfvo type="num" val="70"/>
        <cfvo type="num" val="90"/>
      </iconSet>
    </cfRule>
    <cfRule type="iconSet" priority="1921">
      <iconSet>
        <cfvo type="percent" val="0"/>
        <cfvo type="num" val="95"/>
        <cfvo type="num" val="100"/>
      </iconSet>
    </cfRule>
  </conditionalFormatting>
  <conditionalFormatting sqref="I23"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7">
      <iconSet>
        <cfvo type="percent" val="0"/>
        <cfvo type="num" val="95"/>
        <cfvo type="num" val="100"/>
      </iconSet>
    </cfRule>
    <cfRule type="iconSet" priority="1908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</conditionalFormatting>
  <conditionalFormatting sqref="I24">
    <cfRule type="iconSet" priority="1895">
      <iconSet>
        <cfvo type="percent" val="0"/>
        <cfvo type="num" val="95"/>
        <cfvo type="num" val="100"/>
      </iconSet>
    </cfRule>
    <cfRule type="iconSet" priority="1896">
      <iconSet>
        <cfvo type="percent" val="0"/>
        <cfvo type="num" val="70"/>
        <cfvo type="num" val="90"/>
      </iconSet>
    </cfRule>
    <cfRule type="iconSet" priority="1897">
      <iconSet>
        <cfvo type="percent" val="0"/>
        <cfvo type="num" val="70"/>
        <cfvo type="num" val="90"/>
      </iconSet>
    </cfRule>
    <cfRule type="iconSet" priority="1898">
      <iconSet>
        <cfvo type="percent" val="0"/>
        <cfvo type="num" val="95"/>
        <cfvo type="num" val="100"/>
      </iconSet>
    </cfRule>
    <cfRule type="iconSet" priority="1899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903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86">
      <iconSet>
        <cfvo type="percent" val="0"/>
        <cfvo type="num" val="95"/>
        <cfvo type="num" val="100"/>
      </iconSet>
    </cfRule>
    <cfRule type="iconSet" priority="1887">
      <iconSet>
        <cfvo type="percent" val="0"/>
        <cfvo type="num" val="70"/>
        <cfvo type="num" val="90"/>
      </iconSet>
    </cfRule>
    <cfRule type="iconSet" priority="1888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1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93">
      <iconSet>
        <cfvo type="percent" val="0"/>
        <cfvo type="num" val="70"/>
        <cfvo type="num" val="90"/>
      </iconSet>
    </cfRule>
    <cfRule type="iconSet" priority="1894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7">
      <iconSet>
        <cfvo type="percent" val="0"/>
        <cfvo type="num" val="95"/>
        <cfvo type="num" val="100"/>
      </iconSet>
    </cfRule>
    <cfRule type="iconSet" priority="1878">
      <iconSet>
        <cfvo type="percent" val="0"/>
        <cfvo type="num" val="70"/>
        <cfvo type="num" val="90"/>
      </iconSet>
    </cfRule>
    <cfRule type="iconSet" priority="1879">
      <iconSet>
        <cfvo type="percent" val="0"/>
        <cfvo type="num" val="70"/>
        <cfvo type="num" val="90"/>
      </iconSet>
    </cfRule>
    <cfRule type="iconSet" priority="1880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2">
      <iconSet>
        <cfvo type="percent" val="0"/>
        <cfvo type="num" val="95"/>
        <cfvo type="num" val="100"/>
      </iconSet>
    </cfRule>
    <cfRule type="iconSet" priority="1883">
      <iconSet>
        <cfvo type="percent" val="0"/>
        <cfvo type="num" val="70"/>
        <cfvo type="num" val="90"/>
      </iconSet>
    </cfRule>
    <cfRule type="iconSet" priority="1884">
      <iconSet>
        <cfvo type="percent" val="0"/>
        <cfvo type="num" val="70"/>
        <cfvo type="num" val="90"/>
      </iconSet>
    </cfRule>
    <cfRule type="iconSet" priority="1885">
      <iconSet>
        <cfvo type="percent" val="0"/>
        <cfvo type="num" val="95"/>
        <cfvo type="num" val="10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</conditionalFormatting>
  <conditionalFormatting sqref="I37">
    <cfRule type="iconSet" priority="2137">
      <iconSet>
        <cfvo type="percent" val="0"/>
        <cfvo type="num" val="95"/>
        <cfvo type="num" val="100"/>
      </iconSet>
    </cfRule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</conditionalFormatting>
  <conditionalFormatting sqref="I37:I38"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08">
      <iconSet>
        <cfvo type="percent" val="0"/>
        <cfvo type="num" val="95"/>
        <cfvo type="num" val="100"/>
      </iconSet>
    </cfRule>
    <cfRule type="iconSet" priority="2109">
      <iconSet>
        <cfvo type="percent" val="0"/>
        <cfvo type="num" val="70"/>
        <cfvo type="num" val="90"/>
      </iconSet>
    </cfRule>
    <cfRule type="iconSet" priority="2110">
      <iconSet>
        <cfvo type="percent" val="0"/>
        <cfvo type="num" val="70"/>
        <cfvo type="num" val="90"/>
      </iconSet>
    </cfRule>
    <cfRule type="iconSet" priority="2111">
      <iconSet>
        <cfvo type="percent" val="0"/>
        <cfvo type="num" val="95"/>
        <cfvo type="num" val="100"/>
      </iconSet>
    </cfRule>
    <cfRule type="iconSet" priority="2113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15">
      <iconSet>
        <cfvo type="percent" val="0"/>
        <cfvo type="num" val="70"/>
        <cfvo type="num" val="90"/>
      </iconSet>
    </cfRule>
    <cfRule type="iconSet" priority="2116">
      <iconSet>
        <cfvo type="percent" val="0"/>
        <cfvo type="num" val="95"/>
        <cfvo type="num" val="100"/>
      </iconSet>
    </cfRule>
    <cfRule type="iconSet" priority="2117">
      <iconSet>
        <cfvo type="percent" val="0"/>
        <cfvo type="num" val="95"/>
        <cfvo type="num" val="100"/>
      </iconSet>
    </cfRule>
    <cfRule type="iconSet" priority="2118">
      <iconSet>
        <cfvo type="percent" val="0"/>
        <cfvo type="num" val="70"/>
        <cfvo type="num" val="90"/>
      </iconSet>
    </cfRule>
    <cfRule type="iconSet" priority="2119">
      <iconSet>
        <cfvo type="percent" val="0"/>
        <cfvo type="num" val="70"/>
        <cfvo type="num" val="90"/>
      </iconSet>
    </cfRule>
    <cfRule type="iconSet" priority="2120">
      <iconSet>
        <cfvo type="percent" val="0"/>
        <cfvo type="num" val="95"/>
        <cfvo type="num" val="100"/>
      </iconSet>
    </cfRule>
    <cfRule type="iconSet" priority="2121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23">
      <iconSet>
        <cfvo type="percent" val="0"/>
        <cfvo type="num" val="70"/>
        <cfvo type="num" val="90"/>
      </iconSet>
    </cfRule>
    <cfRule type="iconSet" priority="2124">
      <iconSet>
        <cfvo type="percent" val="0"/>
        <cfvo type="num" val="95"/>
        <cfvo type="num" val="100"/>
      </iconSet>
    </cfRule>
    <cfRule type="iconSet" priority="2133">
      <iconSet>
        <cfvo type="percent" val="0"/>
        <cfvo type="num" val="95"/>
        <cfvo type="num" val="100"/>
      </iconSet>
    </cfRule>
    <cfRule type="iconSet" priority="213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</conditionalFormatting>
  <conditionalFormatting sqref="I39">
    <cfRule type="iconSet" priority="2050">
      <iconSet>
        <cfvo type="percent" val="0"/>
        <cfvo type="num" val="95"/>
        <cfvo type="num" val="100"/>
      </iconSet>
    </cfRule>
    <cfRule type="iconSet" priority="2051">
      <iconSet>
        <cfvo type="percent" val="0"/>
        <cfvo type="num" val="70"/>
        <cfvo type="num" val="90"/>
      </iconSet>
    </cfRule>
    <cfRule type="iconSet" priority="2052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4">
      <iconSet>
        <cfvo type="percent" val="0"/>
        <cfvo type="num" val="95"/>
        <cfvo type="num" val="100"/>
      </iconSet>
    </cfRule>
    <cfRule type="iconSet" priority="2055">
      <iconSet>
        <cfvo type="percent" val="0"/>
        <cfvo type="num" val="70"/>
        <cfvo type="num" val="90"/>
      </iconSet>
    </cfRule>
    <cfRule type="iconSet" priority="2056">
      <iconSet>
        <cfvo type="percent" val="0"/>
        <cfvo type="num" val="70"/>
        <cfvo type="num" val="9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60">
      <iconSet>
        <cfvo type="percent" val="0"/>
        <cfvo type="num" val="70"/>
        <cfvo type="num" val="90"/>
      </iconSet>
    </cfRule>
    <cfRule type="iconSet" priority="2061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70">
      <iconSet>
        <cfvo type="percent" val="0"/>
        <cfvo type="num" val="95"/>
        <cfvo type="num" val="100"/>
      </iconSet>
    </cfRule>
    <cfRule type="iconSet" priority="2071">
      <iconSet>
        <cfvo type="percent" val="0"/>
        <cfvo type="num" val="70"/>
        <cfvo type="num" val="90"/>
      </iconSet>
    </cfRule>
    <cfRule type="iconSet" priority="2072">
      <iconSet>
        <cfvo type="percent" val="0"/>
        <cfvo type="num" val="70"/>
        <cfvo type="num" val="90"/>
      </iconSet>
    </cfRule>
    <cfRule type="iconSet" priority="2073">
      <iconSet>
        <cfvo type="percent" val="0"/>
        <cfvo type="num" val="95"/>
        <cfvo type="num" val="100"/>
      </iconSet>
    </cfRule>
    <cfRule type="iconSet" priority="2074">
      <iconSet>
        <cfvo type="percent" val="0"/>
        <cfvo type="num" val="95"/>
        <cfvo type="num" val="100"/>
      </iconSet>
    </cfRule>
    <cfRule type="iconSet" priority="2075">
      <iconSet>
        <cfvo type="percent" val="0"/>
        <cfvo type="num" val="70"/>
        <cfvo type="num" val="90"/>
      </iconSet>
    </cfRule>
    <cfRule type="iconSet" priority="2076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142">
      <iconSet>
        <cfvo type="percent" val="0"/>
        <cfvo type="num" val="95"/>
        <cfvo type="num" val="100"/>
      </iconSet>
    </cfRule>
  </conditionalFormatting>
  <conditionalFormatting sqref="I40"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</conditionalFormatting>
  <conditionalFormatting sqref="O9"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8">
      <iconSet>
        <cfvo type="percent" val="0"/>
        <cfvo type="num" val="95"/>
        <cfvo type="num" val="100"/>
      </iconSet>
    </cfRule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</conditionalFormatting>
  <conditionalFormatting sqref="O12">
    <cfRule type="iconSet" priority="1109">
      <iconSet>
        <cfvo type="percent" val="0"/>
        <cfvo type="num" val="95"/>
        <cfvo type="num" val="100"/>
      </iconSet>
    </cfRule>
    <cfRule type="iconSet" priority="1110">
      <iconSet>
        <cfvo type="percent" val="0"/>
        <cfvo type="num" val="70"/>
        <cfvo type="num" val="90"/>
      </iconSet>
    </cfRule>
    <cfRule type="iconSet" priority="1111">
      <iconSet>
        <cfvo type="percent" val="0"/>
        <cfvo type="num" val="70"/>
        <cfvo type="num" val="90"/>
      </iconSet>
    </cfRule>
    <cfRule type="iconSet" priority="1112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</conditionalFormatting>
  <conditionalFormatting sqref="O13">
    <cfRule type="iconSet" priority="1100">
      <iconSet>
        <cfvo type="percent" val="0"/>
        <cfvo type="num" val="95"/>
        <cfvo type="num" val="100"/>
      </iconSet>
    </cfRule>
    <cfRule type="iconSet" priority="1101">
      <iconSet>
        <cfvo type="percent" val="0"/>
        <cfvo type="num" val="70"/>
        <cfvo type="num" val="90"/>
      </iconSet>
    </cfRule>
    <cfRule type="iconSet" priority="1102">
      <iconSet>
        <cfvo type="percent" val="0"/>
        <cfvo type="num" val="70"/>
        <cfvo type="num" val="9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  <cfRule type="iconSet" priority="1105">
      <iconSet>
        <cfvo type="percent" val="0"/>
        <cfvo type="num" val="95"/>
        <cfvo type="num" val="100"/>
      </iconSet>
    </cfRule>
    <cfRule type="iconSet" priority="1106">
      <iconSet>
        <cfvo type="percent" val="0"/>
        <cfvo type="num" val="70"/>
        <cfvo type="num" val="90"/>
      </iconSet>
    </cfRule>
    <cfRule type="iconSet" priority="1107">
      <iconSet>
        <cfvo type="percent" val="0"/>
        <cfvo type="num" val="70"/>
        <cfvo type="num" val="90"/>
      </iconSet>
    </cfRule>
    <cfRule type="iconSet" priority="1108">
      <iconSet>
        <cfvo type="percent" val="0"/>
        <cfvo type="num" val="95"/>
        <cfvo type="num" val="100"/>
      </iconSet>
    </cfRule>
  </conditionalFormatting>
  <conditionalFormatting sqref="O14">
    <cfRule type="iconSet" priority="1091">
      <iconSet>
        <cfvo type="percent" val="0"/>
        <cfvo type="num" val="95"/>
        <cfvo type="num" val="100"/>
      </iconSet>
    </cfRule>
    <cfRule type="iconSet" priority="1092">
      <iconSet>
        <cfvo type="percent" val="0"/>
        <cfvo type="num" val="70"/>
        <cfvo type="num" val="90"/>
      </iconSet>
    </cfRule>
    <cfRule type="iconSet" priority="1093">
      <iconSet>
        <cfvo type="percent" val="0"/>
        <cfvo type="num" val="70"/>
        <cfvo type="num" val="90"/>
      </iconSet>
    </cfRule>
    <cfRule type="iconSet" priority="1094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6">
      <iconSet>
        <cfvo type="percent" val="0"/>
        <cfvo type="num" val="95"/>
        <cfvo type="num" val="100"/>
      </iconSet>
    </cfRule>
    <cfRule type="iconSet" priority="1097">
      <iconSet>
        <cfvo type="percent" val="0"/>
        <cfvo type="num" val="70"/>
        <cfvo type="num" val="90"/>
      </iconSet>
    </cfRule>
    <cfRule type="iconSet" priority="1098">
      <iconSet>
        <cfvo type="percent" val="0"/>
        <cfvo type="num" val="70"/>
        <cfvo type="num" val="90"/>
      </iconSet>
    </cfRule>
    <cfRule type="iconSet" priority="1099">
      <iconSet>
        <cfvo type="percent" val="0"/>
        <cfvo type="num" val="95"/>
        <cfvo type="num" val="100"/>
      </iconSet>
    </cfRule>
  </conditionalFormatting>
  <conditionalFormatting sqref="O16">
    <cfRule type="iconSet" priority="1082">
      <iconSet>
        <cfvo type="percent" val="0"/>
        <cfvo type="num" val="95"/>
        <cfvo type="num" val="100"/>
      </iconSet>
    </cfRule>
    <cfRule type="iconSet" priority="1083">
      <iconSet>
        <cfvo type="percent" val="0"/>
        <cfvo type="num" val="70"/>
        <cfvo type="num" val="90"/>
      </iconSet>
    </cfRule>
    <cfRule type="iconSet" priority="1084">
      <iconSet>
        <cfvo type="percent" val="0"/>
        <cfvo type="num" val="70"/>
        <cfvo type="num" val="90"/>
      </iconSet>
    </cfRule>
    <cfRule type="iconSet" priority="1085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7">
      <iconSet>
        <cfvo type="percent" val="0"/>
        <cfvo type="num" val="95"/>
        <cfvo type="num" val="100"/>
      </iconSet>
    </cfRule>
    <cfRule type="iconSet" priority="1088">
      <iconSet>
        <cfvo type="percent" val="0"/>
        <cfvo type="num" val="70"/>
        <cfvo type="num" val="90"/>
      </iconSet>
    </cfRule>
    <cfRule type="iconSet" priority="1089">
      <iconSet>
        <cfvo type="percent" val="0"/>
        <cfvo type="num" val="70"/>
        <cfvo type="num" val="90"/>
      </iconSet>
    </cfRule>
    <cfRule type="iconSet" priority="1090">
      <iconSet>
        <cfvo type="percent" val="0"/>
        <cfvo type="num" val="95"/>
        <cfvo type="num" val="100"/>
      </iconSet>
    </cfRule>
  </conditionalFormatting>
  <conditionalFormatting sqref="O17">
    <cfRule type="iconSet" priority="1073">
      <iconSet>
        <cfvo type="percent" val="0"/>
        <cfvo type="num" val="95"/>
        <cfvo type="num" val="100"/>
      </iconSet>
    </cfRule>
    <cfRule type="iconSet" priority="1074">
      <iconSet>
        <cfvo type="percent" val="0"/>
        <cfvo type="num" val="70"/>
        <cfvo type="num" val="90"/>
      </iconSet>
    </cfRule>
    <cfRule type="iconSet" priority="1075">
      <iconSet>
        <cfvo type="percent" val="0"/>
        <cfvo type="num" val="70"/>
        <cfvo type="num" val="90"/>
      </iconSet>
    </cfRule>
    <cfRule type="iconSet" priority="1076">
      <iconSet>
        <cfvo type="percent" val="0"/>
        <cfvo type="num" val="95"/>
        <cfvo type="num" val="100"/>
      </iconSet>
    </cfRule>
    <cfRule type="iconSet" priority="1077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  <cfRule type="iconSet" priority="1079">
      <iconSet>
        <cfvo type="percent" val="0"/>
        <cfvo type="num" val="70"/>
        <cfvo type="num" val="90"/>
      </iconSet>
    </cfRule>
    <cfRule type="iconSet" priority="1080">
      <iconSet>
        <cfvo type="percent" val="0"/>
        <cfvo type="num" val="70"/>
        <cfvo type="num" val="90"/>
      </iconSet>
    </cfRule>
    <cfRule type="iconSet" priority="1081">
      <iconSet>
        <cfvo type="percent" val="0"/>
        <cfvo type="num" val="95"/>
        <cfvo type="num" val="100"/>
      </iconSet>
    </cfRule>
  </conditionalFormatting>
  <conditionalFormatting sqref="O18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70">
      <iconSet>
        <cfvo type="percent" val="0"/>
        <cfvo type="num" val="70"/>
        <cfvo type="num" val="90"/>
      </iconSet>
    </cfRule>
    <cfRule type="iconSet" priority="1071">
      <iconSet>
        <cfvo type="percent" val="0"/>
        <cfvo type="num" val="70"/>
        <cfvo type="num" val="90"/>
      </iconSet>
    </cfRule>
    <cfRule type="iconSet" priority="1072">
      <iconSet>
        <cfvo type="percent" val="0"/>
        <cfvo type="num" val="95"/>
        <cfvo type="num" val="100"/>
      </iconSet>
    </cfRule>
  </conditionalFormatting>
  <conditionalFormatting sqref="O19"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1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</conditionalFormatting>
  <conditionalFormatting sqref="O20"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95"/>
        <cfvo type="num" val="10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43">
      <iconSet>
        <cfvo type="percent" val="0"/>
        <cfvo type="num" val="70"/>
        <cfvo type="num" val="90"/>
      </iconSet>
    </cfRule>
    <cfRule type="iconSet" priority="1044">
      <iconSet>
        <cfvo type="percent" val="0"/>
        <cfvo type="num" val="70"/>
        <cfvo type="num" val="90"/>
      </iconSet>
    </cfRule>
    <cfRule type="iconSet" priority="1045">
      <iconSet>
        <cfvo type="percent" val="0"/>
        <cfvo type="num" val="95"/>
        <cfvo type="num" val="100"/>
      </iconSet>
    </cfRule>
  </conditionalFormatting>
  <conditionalFormatting sqref="O23">
    <cfRule type="iconSet" priority="1028">
      <iconSet>
        <cfvo type="percent" val="0"/>
        <cfvo type="num" val="95"/>
        <cfvo type="num" val="100"/>
      </iconSet>
    </cfRule>
    <cfRule type="iconSet" priority="1029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31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3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70"/>
        <cfvo type="num" val="9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0">
      <iconSet>
        <cfvo type="percent" val="0"/>
        <cfvo type="num" val="70"/>
        <cfvo type="num" val="90"/>
      </iconSet>
    </cfRule>
    <cfRule type="iconSet" priority="1021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  <cfRule type="iconSet" priority="1024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6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0">
      <iconSet>
        <cfvo type="percent" val="0"/>
        <cfvo type="num" val="95"/>
        <cfvo type="num" val="100"/>
      </iconSet>
    </cfRule>
    <cfRule type="iconSet" priority="1011">
      <iconSet>
        <cfvo type="percent" val="0"/>
        <cfvo type="num" val="70"/>
        <cfvo type="num" val="90"/>
      </iconSet>
    </cfRule>
    <cfRule type="iconSet" priority="1012">
      <iconSet>
        <cfvo type="percent" val="0"/>
        <cfvo type="num" val="70"/>
        <cfvo type="num" val="90"/>
      </iconSet>
    </cfRule>
    <cfRule type="iconSet" priority="1013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1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8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</conditionalFormatting>
  <conditionalFormatting sqref="O31:O33">
    <cfRule type="iconSet" priority="992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6">
      <iconSet>
        <cfvo type="percent" val="0"/>
        <cfvo type="num" val="95"/>
        <cfvo type="num" val="100"/>
      </iconSet>
    </cfRule>
    <cfRule type="iconSet" priority="997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1000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70"/>
        <cfvo type="num" val="90"/>
      </iconSet>
    </cfRule>
    <cfRule type="iconSet" priority="986">
      <iconSet>
        <cfvo type="percent" val="0"/>
        <cfvo type="num" val="95"/>
        <cfvo type="num" val="10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9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7">
      <iconSet>
        <cfvo type="percent" val="0"/>
        <cfvo type="num" val="95"/>
        <cfvo type="num" val="100"/>
      </iconSet>
    </cfRule>
    <cfRule type="iconSet" priority="1258">
      <iconSet>
        <cfvo type="percent" val="0"/>
        <cfvo type="num" val="70"/>
        <cfvo type="num" val="90"/>
      </iconSet>
    </cfRule>
    <cfRule type="iconSet" priority="1259">
      <iconSet>
        <cfvo type="percent" val="0"/>
        <cfvo type="num" val="70"/>
        <cfvo type="num" val="90"/>
      </iconSet>
    </cfRule>
    <cfRule type="iconSet" priority="1260">
      <iconSet>
        <cfvo type="percent" val="0"/>
        <cfvo type="num" val="95"/>
        <cfvo type="num" val="100"/>
      </iconSet>
    </cfRule>
  </conditionalFormatting>
  <conditionalFormatting sqref="O37:O38">
    <cfRule type="iconSet" priority="1245">
      <iconSet>
        <cfvo type="percent" val="0"/>
        <cfvo type="num" val="95"/>
        <cfvo type="num" val="100"/>
      </iconSet>
    </cfRule>
    <cfRule type="iconSet" priority="1246">
      <iconSet>
        <cfvo type="percent" val="0"/>
        <cfvo type="num" val="70"/>
        <cfvo type="num" val="90"/>
      </iconSet>
    </cfRule>
    <cfRule type="iconSet" priority="1247">
      <iconSet>
        <cfvo type="percent" val="0"/>
        <cfvo type="num" val="70"/>
        <cfvo type="num" val="90"/>
      </iconSet>
    </cfRule>
    <cfRule type="iconSet" priority="1248">
      <iconSet>
        <cfvo type="percent" val="0"/>
        <cfvo type="num" val="95"/>
        <cfvo type="num" val="100"/>
      </iconSet>
    </cfRule>
    <cfRule type="iconSet" priority="1249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51">
      <iconSet>
        <cfvo type="percent" val="0"/>
        <cfvo type="num" val="70"/>
        <cfvo type="num" val="90"/>
      </iconSet>
    </cfRule>
    <cfRule type="iconSet" priority="1252">
      <iconSet>
        <cfvo type="percent" val="0"/>
        <cfvo type="num" val="95"/>
        <cfvo type="num" val="10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228">
      <iconSet>
        <cfvo type="percent" val="0"/>
        <cfvo type="num" val="95"/>
        <cfvo type="num" val="100"/>
      </iconSet>
    </cfRule>
    <cfRule type="iconSet" priority="1229">
      <iconSet>
        <cfvo type="percent" val="0"/>
        <cfvo type="num" val="70"/>
        <cfvo type="num" val="90"/>
      </iconSet>
    </cfRule>
    <cfRule type="iconSet" priority="1230">
      <iconSet>
        <cfvo type="percent" val="0"/>
        <cfvo type="num" val="70"/>
        <cfvo type="num" val="90"/>
      </iconSet>
    </cfRule>
    <cfRule type="iconSet" priority="1231">
      <iconSet>
        <cfvo type="percent" val="0"/>
        <cfvo type="num" val="95"/>
        <cfvo type="num" val="100"/>
      </iconSet>
    </cfRule>
    <cfRule type="iconSet" priority="1233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  <cfRule type="iconSet" priority="1237">
      <iconSet>
        <cfvo type="percent" val="0"/>
        <cfvo type="num" val="95"/>
        <cfvo type="num" val="100"/>
      </iconSet>
    </cfRule>
    <cfRule type="iconSet" priority="1238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40">
      <iconSet>
        <cfvo type="percent" val="0"/>
        <cfvo type="num" val="95"/>
        <cfvo type="num" val="100"/>
      </iconSet>
    </cfRule>
    <cfRule type="iconSet" priority="1241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43">
      <iconSet>
        <cfvo type="percent" val="0"/>
        <cfvo type="num" val="70"/>
        <cfvo type="num" val="90"/>
      </iconSet>
    </cfRule>
    <cfRule type="iconSet" priority="1244">
      <iconSet>
        <cfvo type="percent" val="0"/>
        <cfvo type="num" val="95"/>
        <cfvo type="num" val="100"/>
      </iconSet>
    </cfRule>
    <cfRule type="iconSet" priority="1253">
      <iconSet>
        <cfvo type="percent" val="0"/>
        <cfvo type="num" val="95"/>
        <cfvo type="num" val="100"/>
      </iconSet>
    </cfRule>
    <cfRule type="iconSet" priority="1254">
      <iconSet>
        <cfvo type="percent" val="0"/>
        <cfvo type="num" val="70"/>
        <cfvo type="num" val="90"/>
      </iconSet>
    </cfRule>
    <cfRule type="iconSet" priority="1255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</conditionalFormatting>
  <conditionalFormatting sqref="O39"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5">
      <iconSet>
        <cfvo type="percent" val="0"/>
        <cfvo type="num" val="95"/>
        <cfvo type="num" val="10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3">
      <iconSet>
        <cfvo type="percent" val="0"/>
        <cfvo type="num" val="95"/>
        <cfvo type="num" val="100"/>
      </iconSet>
    </cfRule>
    <cfRule type="iconSet" priority="1194">
      <iconSet>
        <cfvo type="percent" val="0"/>
        <cfvo type="num" val="95"/>
        <cfvo type="num" val="100"/>
      </iconSet>
    </cfRule>
    <cfRule type="iconSet" priority="1195">
      <iconSet>
        <cfvo type="percent" val="0"/>
        <cfvo type="num" val="70"/>
        <cfvo type="num" val="9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</conditionalFormatting>
  <conditionalFormatting sqref="O40"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7">
      <iconSet>
        <cfvo type="percent" val="0"/>
        <cfvo type="num" val="70"/>
        <cfvo type="num" val="90"/>
      </iconSet>
    </cfRule>
    <cfRule type="iconSet" priority="838">
      <iconSet>
        <cfvo type="percent" val="0"/>
        <cfvo type="num" val="95"/>
        <cfvo type="num" val="100"/>
      </iconSet>
    </cfRule>
    <cfRule type="iconSet" priority="839">
      <iconSet>
        <cfvo type="percent" val="0"/>
        <cfvo type="num" val="95"/>
        <cfvo type="num" val="100"/>
      </iconSet>
    </cfRule>
    <cfRule type="iconSet" priority="840">
      <iconSet>
        <cfvo type="percent" val="0"/>
        <cfvo type="num" val="95"/>
        <cfvo type="num" val="100"/>
      </iconSet>
    </cfRule>
    <cfRule type="iconSet" priority="841">
      <iconSet>
        <cfvo type="percent" val="0"/>
        <cfvo type="num" val="70"/>
        <cfvo type="num" val="90"/>
      </iconSet>
    </cfRule>
    <cfRule type="iconSet" priority="842">
      <iconSet>
        <cfvo type="percent" val="0"/>
        <cfvo type="num" val="70"/>
        <cfvo type="num" val="90"/>
      </iconSet>
    </cfRule>
    <cfRule type="iconSet" priority="843">
      <iconSet>
        <cfvo type="percent" val="0"/>
        <cfvo type="num" val="95"/>
        <cfvo type="num" val="100"/>
      </iconSet>
    </cfRule>
  </conditionalFormatting>
  <conditionalFormatting sqref="U9"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</conditionalFormatting>
  <conditionalFormatting sqref="U10">
    <cfRule type="iconSet" priority="826">
      <iconSet>
        <cfvo type="percent" val="0"/>
        <cfvo type="num" val="95"/>
        <cfvo type="num" val="100"/>
      </iconSet>
    </cfRule>
    <cfRule type="iconSet" priority="827">
      <iconSet>
        <cfvo type="percent" val="0"/>
        <cfvo type="num" val="70"/>
        <cfvo type="num" val="90"/>
      </iconSet>
    </cfRule>
    <cfRule type="iconSet" priority="828">
      <iconSet>
        <cfvo type="percent" val="0"/>
        <cfvo type="num" val="70"/>
        <cfvo type="num" val="90"/>
      </iconSet>
    </cfRule>
    <cfRule type="iconSet" priority="829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  <cfRule type="iconSet" priority="831">
      <iconSet>
        <cfvo type="percent" val="0"/>
        <cfvo type="num" val="95"/>
        <cfvo type="num" val="100"/>
      </iconSet>
    </cfRule>
    <cfRule type="iconSet" priority="832">
      <iconSet>
        <cfvo type="percent" val="0"/>
        <cfvo type="num" val="70"/>
        <cfvo type="num" val="9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95"/>
        <cfvo type="num" val="100"/>
      </iconSet>
    </cfRule>
  </conditionalFormatting>
  <conditionalFormatting sqref="U12"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24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</conditionalFormatting>
  <conditionalFormatting sqref="U13"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</conditionalFormatting>
  <conditionalFormatting sqref="U14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70"/>
        <cfvo type="num" val="90"/>
      </iconSet>
    </cfRule>
    <cfRule type="iconSet" priority="801">
      <iconSet>
        <cfvo type="percent" val="0"/>
        <cfvo type="num" val="70"/>
        <cfvo type="num" val="90"/>
      </iconSet>
    </cfRule>
    <cfRule type="iconSet" priority="802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4">
      <iconSet>
        <cfvo type="percent" val="0"/>
        <cfvo type="num" val="95"/>
        <cfvo type="num" val="100"/>
      </iconSet>
    </cfRule>
    <cfRule type="iconSet" priority="805">
      <iconSet>
        <cfvo type="percent" val="0"/>
        <cfvo type="num" val="70"/>
        <cfvo type="num" val="9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95"/>
        <cfvo type="num" val="100"/>
      </iconSet>
    </cfRule>
  </conditionalFormatting>
  <conditionalFormatting sqref="U16">
    <cfRule type="iconSet" priority="790">
      <iconSet>
        <cfvo type="percent" val="0"/>
        <cfvo type="num" val="95"/>
        <cfvo type="num" val="100"/>
      </iconSet>
    </cfRule>
    <cfRule type="iconSet" priority="791">
      <iconSet>
        <cfvo type="percent" val="0"/>
        <cfvo type="num" val="70"/>
        <cfvo type="num" val="90"/>
      </iconSet>
    </cfRule>
    <cfRule type="iconSet" priority="792">
      <iconSet>
        <cfvo type="percent" val="0"/>
        <cfvo type="num" val="70"/>
        <cfvo type="num" val="90"/>
      </iconSet>
    </cfRule>
    <cfRule type="iconSet" priority="793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5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95"/>
        <cfvo type="num" val="100"/>
      </iconSet>
    </cfRule>
  </conditionalFormatting>
  <conditionalFormatting sqref="U17">
    <cfRule type="iconSet" priority="781">
      <iconSet>
        <cfvo type="percent" val="0"/>
        <cfvo type="num" val="95"/>
        <cfvo type="num" val="100"/>
      </iconSet>
    </cfRule>
    <cfRule type="iconSet" priority="782">
      <iconSet>
        <cfvo type="percent" val="0"/>
        <cfvo type="num" val="70"/>
        <cfvo type="num" val="90"/>
      </iconSet>
    </cfRule>
    <cfRule type="iconSet" priority="783">
      <iconSet>
        <cfvo type="percent" val="0"/>
        <cfvo type="num" val="70"/>
        <cfvo type="num" val="90"/>
      </iconSet>
    </cfRule>
    <cfRule type="iconSet" priority="784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6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</conditionalFormatting>
  <conditionalFormatting sqref="U1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U19">
    <cfRule type="iconSet" priority="907">
      <iconSet>
        <cfvo type="percent" val="0"/>
        <cfvo type="num" val="95"/>
        <cfvo type="num" val="100"/>
      </iconSet>
    </cfRule>
    <cfRule type="iconSet" priority="908">
      <iconSet>
        <cfvo type="percent" val="0"/>
        <cfvo type="num" val="70"/>
        <cfvo type="num" val="90"/>
      </iconSet>
    </cfRule>
    <cfRule type="iconSet" priority="909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</conditionalFormatting>
  <conditionalFormatting sqref="U20">
    <cfRule type="iconSet" priority="763">
      <iconSet>
        <cfvo type="percent" val="0"/>
        <cfvo type="num" val="95"/>
        <cfvo type="num" val="100"/>
      </iconSet>
    </cfRule>
    <cfRule type="iconSet" priority="764">
      <iconSet>
        <cfvo type="percent" val="0"/>
        <cfvo type="num" val="70"/>
        <cfvo type="num" val="90"/>
      </iconSet>
    </cfRule>
    <cfRule type="iconSet" priority="765">
      <iconSet>
        <cfvo type="percent" val="0"/>
        <cfvo type="num" val="70"/>
        <cfvo type="num" val="90"/>
      </iconSet>
    </cfRule>
    <cfRule type="iconSet" priority="766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8">
      <iconSet>
        <cfvo type="percent" val="0"/>
        <cfvo type="num" val="95"/>
        <cfvo type="num" val="100"/>
      </iconSet>
    </cfRule>
    <cfRule type="iconSet" priority="769">
      <iconSet>
        <cfvo type="percent" val="0"/>
        <cfvo type="num" val="70"/>
        <cfvo type="num" val="90"/>
      </iconSet>
    </cfRule>
    <cfRule type="iconSet" priority="770">
      <iconSet>
        <cfvo type="percent" val="0"/>
        <cfvo type="num" val="70"/>
        <cfvo type="num" val="90"/>
      </iconSet>
    </cfRule>
    <cfRule type="iconSet" priority="771">
      <iconSet>
        <cfvo type="percent" val="0"/>
        <cfvo type="num" val="95"/>
        <cfvo type="num" val="100"/>
      </iconSet>
    </cfRule>
  </conditionalFormatting>
  <conditionalFormatting sqref="U21">
    <cfRule type="iconSet" priority="754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70"/>
        <cfvo type="num" val="90"/>
      </iconSet>
    </cfRule>
    <cfRule type="iconSet" priority="757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9">
      <iconSet>
        <cfvo type="percent" val="0"/>
        <cfvo type="num" val="95"/>
        <cfvo type="num" val="100"/>
      </iconSet>
    </cfRule>
    <cfRule type="iconSet" priority="760">
      <iconSet>
        <cfvo type="percent" val="0"/>
        <cfvo type="num" val="70"/>
        <cfvo type="num" val="90"/>
      </iconSet>
    </cfRule>
    <cfRule type="iconSet" priority="761">
      <iconSet>
        <cfvo type="percent" val="0"/>
        <cfvo type="num" val="70"/>
        <cfvo type="num" val="9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51">
      <iconSet>
        <cfvo type="percent" val="0"/>
        <cfvo type="num" val="70"/>
        <cfvo type="num" val="9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</conditionalFormatting>
  <conditionalFormatting sqref="U23">
    <cfRule type="iconSet" priority="736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95"/>
        <cfvo type="num" val="10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</conditionalFormatting>
  <conditionalFormatting sqref="U24"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26">
      <iconSet>
        <cfvo type="percent" val="0"/>
        <cfvo type="num" val="95"/>
        <cfvo type="num" val="10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2">
      <iconSet>
        <cfvo type="percent" val="0"/>
        <cfvo type="num" val="95"/>
        <cfvo type="num" val="10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</conditionalFormatting>
  <conditionalFormatting sqref="U31:U33">
    <cfRule type="iconSet" priority="700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</conditionalFormatting>
  <conditionalFormatting sqref="U37">
    <cfRule type="iconSet" priority="965">
      <iconSet>
        <cfvo type="percent" val="0"/>
        <cfvo type="num" val="95"/>
        <cfvo type="num" val="100"/>
      </iconSet>
    </cfRule>
    <cfRule type="iconSet" priority="966">
      <iconSet>
        <cfvo type="percent" val="0"/>
        <cfvo type="num" val="70"/>
        <cfvo type="num" val="9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53">
      <iconSet>
        <cfvo type="percent" val="0"/>
        <cfvo type="num" val="95"/>
        <cfvo type="num" val="100"/>
      </iconSet>
    </cfRule>
    <cfRule type="iconSet" priority="954">
      <iconSet>
        <cfvo type="percent" val="0"/>
        <cfvo type="num" val="70"/>
        <cfvo type="num" val="9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U39"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</conditionalFormatting>
  <conditionalFormatting sqref="U40">
    <cfRule type="iconSet" priority="587">
      <iconSet>
        <cfvo type="percent" val="0"/>
        <cfvo type="num" val="95"/>
        <cfvo type="num" val="100"/>
      </iconSet>
    </cfRule>
    <cfRule type="iconSet" priority="588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70"/>
        <cfvo type="num" val="9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95"/>
        <cfvo type="num" val="10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70"/>
        <cfvo type="num" val="90"/>
      </iconSet>
    </cfRule>
    <cfRule type="iconSet" priority="594">
      <iconSet>
        <cfvo type="percent" val="0"/>
        <cfvo type="num" val="95"/>
        <cfvo type="num" val="100"/>
      </iconSet>
    </cfRule>
    <cfRule type="iconSet" priority="595">
      <iconSet>
        <cfvo type="percent" val="0"/>
        <cfvo type="num" val="95"/>
        <cfvo type="num" val="100"/>
      </iconSet>
    </cfRule>
    <cfRule type="iconSet" priority="596">
      <iconSet>
        <cfvo type="percent" val="0"/>
        <cfvo type="num" val="70"/>
        <cfvo type="num" val="90"/>
      </iconSet>
    </cfRule>
    <cfRule type="iconSet" priority="597">
      <iconSet>
        <cfvo type="percent" val="0"/>
        <cfvo type="num" val="70"/>
        <cfvo type="num" val="90"/>
      </iconSet>
    </cfRule>
    <cfRule type="iconSet" priority="598">
      <iconSet>
        <cfvo type="percent" val="0"/>
        <cfvo type="num" val="95"/>
        <cfvo type="num" val="100"/>
      </iconSet>
    </cfRule>
    <cfRule type="iconSet" priority="599">
      <iconSet>
        <cfvo type="percent" val="0"/>
        <cfvo type="num" val="95"/>
        <cfvo type="num" val="100"/>
      </iconSet>
    </cfRule>
    <cfRule type="iconSet" priority="600">
      <iconSet>
        <cfvo type="percent" val="0"/>
        <cfvo type="num" val="70"/>
        <cfvo type="num" val="90"/>
      </iconSet>
    </cfRule>
    <cfRule type="iconSet" priority="601">
      <iconSet>
        <cfvo type="percent" val="0"/>
        <cfvo type="num" val="70"/>
        <cfvo type="num" val="90"/>
      </iconSet>
    </cfRule>
    <cfRule type="iconSet" priority="602">
      <iconSet>
        <cfvo type="percent" val="0"/>
        <cfvo type="num" val="95"/>
        <cfvo type="num" val="10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12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6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1">
      <iconSet>
        <cfvo type="percent" val="0"/>
        <cfvo type="num" val="95"/>
        <cfvo type="num" val="10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33">
      <iconSet>
        <cfvo type="percent" val="0"/>
        <cfvo type="num" val="95"/>
        <cfvo type="num" val="100"/>
      </iconSet>
    </cfRule>
  </conditionalFormatting>
  <conditionalFormatting sqref="AA10">
    <cfRule type="iconSet" priority="469">
      <iconSet>
        <cfvo type="percent" val="0"/>
        <cfvo type="num" val="95"/>
        <cfvo type="num" val="100"/>
      </iconSet>
    </cfRule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</conditionalFormatting>
  <conditionalFormatting sqref="AA12"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95"/>
        <cfvo type="num" val="100"/>
      </iconSet>
    </cfRule>
    <cfRule type="iconSet" priority="466">
      <iconSet>
        <cfvo type="percent" val="0"/>
        <cfvo type="num" val="70"/>
        <cfvo type="num" val="9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</conditionalFormatting>
  <conditionalFormatting sqref="AA14"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95"/>
        <cfvo type="num" val="100"/>
      </iconSet>
    </cfRule>
    <cfRule type="iconSet" priority="448">
      <iconSet>
        <cfvo type="percent" val="0"/>
        <cfvo type="num" val="70"/>
        <cfvo type="num" val="9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</conditionalFormatting>
  <conditionalFormatting sqref="AA16"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70"/>
        <cfvo type="num" val="90"/>
      </iconSet>
    </cfRule>
    <cfRule type="iconSet" priority="441">
      <iconSet>
        <cfvo type="percent" val="0"/>
        <cfvo type="num" val="95"/>
        <cfvo type="num" val="100"/>
      </iconSet>
    </cfRule>
  </conditionalFormatting>
  <conditionalFormatting sqref="AA17"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70"/>
        <cfvo type="num" val="9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A18">
    <cfRule type="iconSet" priority="415">
      <iconSet>
        <cfvo type="percent" val="0"/>
        <cfvo type="num" val="95"/>
        <cfvo type="num" val="100"/>
      </iconSet>
    </cfRule>
    <cfRule type="iconSet" priority="416">
      <iconSet>
        <cfvo type="percent" val="0"/>
        <cfvo type="num" val="70"/>
        <cfvo type="num" val="90"/>
      </iconSet>
    </cfRule>
    <cfRule type="iconSet" priority="417">
      <iconSet>
        <cfvo type="percent" val="0"/>
        <cfvo type="num" val="70"/>
        <cfvo type="num" val="90"/>
      </iconSet>
    </cfRule>
    <cfRule type="iconSet" priority="418">
      <iconSet>
        <cfvo type="percent" val="0"/>
        <cfvo type="num" val="95"/>
        <cfvo type="num" val="100"/>
      </iconSet>
    </cfRule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70"/>
        <cfvo type="num" val="90"/>
      </iconSet>
    </cfRule>
    <cfRule type="iconSet" priority="423">
      <iconSet>
        <cfvo type="percent" val="0"/>
        <cfvo type="num" val="95"/>
        <cfvo type="num" val="100"/>
      </iconSet>
    </cfRule>
  </conditionalFormatting>
  <conditionalFormatting sqref="AA19"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29">
      <iconSet>
        <cfvo type="percent" val="0"/>
        <cfvo type="num" val="95"/>
        <cfvo type="num" val="100"/>
      </iconSet>
    </cfRule>
    <cfRule type="iconSet" priority="530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2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4">
      <iconSet>
        <cfvo type="percent" val="0"/>
        <cfvo type="num" val="95"/>
        <cfvo type="num" val="100"/>
      </iconSet>
    </cfRule>
    <cfRule type="iconSet" priority="535">
      <iconSet>
        <cfvo type="percent" val="0"/>
        <cfvo type="num" val="70"/>
        <cfvo type="num" val="90"/>
      </iconSet>
    </cfRule>
    <cfRule type="iconSet" priority="536">
      <iconSet>
        <cfvo type="percent" val="0"/>
        <cfvo type="num" val="70"/>
        <cfvo type="num" val="90"/>
      </iconSet>
    </cfRule>
    <cfRule type="iconSet" priority="537">
      <iconSet>
        <cfvo type="percent" val="0"/>
        <cfvo type="num" val="95"/>
        <cfvo type="num" val="100"/>
      </iconSet>
    </cfRule>
    <cfRule type="iconSet" priority="538">
      <iconSet>
        <cfvo type="percent" val="0"/>
        <cfvo type="num" val="95"/>
        <cfvo type="num" val="100"/>
      </iconSet>
    </cfRule>
    <cfRule type="iconSet" priority="539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70"/>
        <cfvo type="num" val="90"/>
      </iconSet>
    </cfRule>
    <cfRule type="iconSet" priority="544">
      <iconSet>
        <cfvo type="percent" val="0"/>
        <cfvo type="num" val="70"/>
        <cfvo type="num" val="9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95"/>
        <cfvo type="num" val="10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70"/>
        <cfvo type="num" val="90"/>
      </iconSet>
    </cfRule>
    <cfRule type="iconSet" priority="549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</conditionalFormatting>
  <conditionalFormatting sqref="AA20"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11">
      <iconSet>
        <cfvo type="percent" val="0"/>
        <cfvo type="num" val="95"/>
        <cfvo type="num" val="100"/>
      </iconSet>
    </cfRule>
    <cfRule type="iconSet" priority="412">
      <iconSet>
        <cfvo type="percent" val="0"/>
        <cfvo type="num" val="70"/>
        <cfvo type="num" val="90"/>
      </iconSet>
    </cfRule>
    <cfRule type="iconSet" priority="413">
      <iconSet>
        <cfvo type="percent" val="0"/>
        <cfvo type="num" val="70"/>
        <cfvo type="num" val="90"/>
      </iconSet>
    </cfRule>
    <cfRule type="iconSet" priority="414">
      <iconSet>
        <cfvo type="percent" val="0"/>
        <cfvo type="num" val="95"/>
        <cfvo type="num" val="100"/>
      </iconSet>
    </cfRule>
  </conditionalFormatting>
  <conditionalFormatting sqref="AA21">
    <cfRule type="iconSet" priority="397">
      <iconSet>
        <cfvo type="percent" val="0"/>
        <cfvo type="num" val="95"/>
        <cfvo type="num" val="100"/>
      </iconSet>
    </cfRule>
    <cfRule type="iconSet" priority="398">
      <iconSet>
        <cfvo type="percent" val="0"/>
        <cfvo type="num" val="70"/>
        <cfvo type="num" val="90"/>
      </iconSet>
    </cfRule>
    <cfRule type="iconSet" priority="399">
      <iconSet>
        <cfvo type="percent" val="0"/>
        <cfvo type="num" val="70"/>
        <cfvo type="num" val="90"/>
      </iconSet>
    </cfRule>
    <cfRule type="iconSet" priority="400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</conditionalFormatting>
  <conditionalFormatting sqref="AA22">
    <cfRule type="iconSet" priority="388">
      <iconSet>
        <cfvo type="percent" val="0"/>
        <cfvo type="num" val="95"/>
        <cfvo type="num" val="100"/>
      </iconSet>
    </cfRule>
    <cfRule type="iconSet" priority="389">
      <iconSet>
        <cfvo type="percent" val="0"/>
        <cfvo type="num" val="70"/>
        <cfvo type="num" val="90"/>
      </iconSet>
    </cfRule>
    <cfRule type="iconSet" priority="390">
      <iconSet>
        <cfvo type="percent" val="0"/>
        <cfvo type="num" val="70"/>
        <cfvo type="num" val="90"/>
      </iconSet>
    </cfRule>
    <cfRule type="iconSet" priority="391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3">
      <iconSet>
        <cfvo type="percent" val="0"/>
        <cfvo type="num" val="95"/>
        <cfvo type="num" val="100"/>
      </iconSet>
    </cfRule>
    <cfRule type="iconSet" priority="394">
      <iconSet>
        <cfvo type="percent" val="0"/>
        <cfvo type="num" val="70"/>
        <cfvo type="num" val="9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4">
      <iconSet>
        <cfvo type="percent" val="0"/>
        <cfvo type="num" val="95"/>
        <cfvo type="num" val="100"/>
      </iconSet>
    </cfRule>
    <cfRule type="iconSet" priority="385">
      <iconSet>
        <cfvo type="percent" val="0"/>
        <cfvo type="num" val="70"/>
        <cfvo type="num" val="90"/>
      </iconSet>
    </cfRule>
    <cfRule type="iconSet" priority="386">
      <iconSet>
        <cfvo type="percent" val="0"/>
        <cfvo type="num" val="70"/>
        <cfvo type="num" val="90"/>
      </iconSet>
    </cfRule>
    <cfRule type="iconSet" priority="387">
      <iconSet>
        <cfvo type="percent" val="0"/>
        <cfvo type="num" val="95"/>
        <cfvo type="num" val="100"/>
      </iconSet>
    </cfRule>
  </conditionalFormatting>
  <conditionalFormatting sqref="AA24">
    <cfRule type="iconSet" priority="370">
      <iconSet>
        <cfvo type="percent" val="0"/>
        <cfvo type="num" val="95"/>
        <cfvo type="num" val="100"/>
      </iconSet>
    </cfRule>
    <cfRule type="iconSet" priority="371">
      <iconSet>
        <cfvo type="percent" val="0"/>
        <cfvo type="num" val="70"/>
        <cfvo type="num" val="90"/>
      </iconSet>
    </cfRule>
    <cfRule type="iconSet" priority="372">
      <iconSet>
        <cfvo type="percent" val="0"/>
        <cfvo type="num" val="70"/>
        <cfvo type="num" val="90"/>
      </iconSet>
    </cfRule>
    <cfRule type="iconSet" priority="373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6">
      <iconSet>
        <cfvo type="percent" val="0"/>
        <cfvo type="num" val="95"/>
        <cfvo type="num" val="100"/>
      </iconSet>
    </cfRule>
    <cfRule type="iconSet" priority="367">
      <iconSet>
        <cfvo type="percent" val="0"/>
        <cfvo type="num" val="70"/>
        <cfvo type="num" val="90"/>
      </iconSet>
    </cfRule>
    <cfRule type="iconSet" priority="368">
      <iconSet>
        <cfvo type="percent" val="0"/>
        <cfvo type="num" val="70"/>
        <cfvo type="num" val="90"/>
      </iconSet>
    </cfRule>
    <cfRule type="iconSet" priority="369">
      <iconSet>
        <cfvo type="percent" val="0"/>
        <cfvo type="num" val="95"/>
        <cfvo type="num" val="10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95"/>
        <cfvo type="num" val="10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70"/>
        <cfvo type="num" val="90"/>
      </iconSet>
    </cfRule>
    <cfRule type="iconSet" priority="360">
      <iconSet>
        <cfvo type="percent" val="0"/>
        <cfvo type="num" val="95"/>
        <cfvo type="num" val="100"/>
      </iconSet>
    </cfRule>
  </conditionalFormatting>
  <conditionalFormatting sqref="AA31:AA33"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95"/>
        <cfvo type="num" val="10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70"/>
        <cfvo type="num" val="90"/>
      </iconSet>
    </cfRule>
    <cfRule type="iconSet" priority="351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34">
      <iconSet>
        <cfvo type="percent" val="0"/>
        <cfvo type="num" val="95"/>
        <cfvo type="num" val="100"/>
      </iconSet>
    </cfRule>
    <cfRule type="iconSet" priority="335">
      <iconSet>
        <cfvo type="percent" val="0"/>
        <cfvo type="num" val="70"/>
        <cfvo type="num" val="90"/>
      </iconSet>
    </cfRule>
    <cfRule type="iconSet" priority="336">
      <iconSet>
        <cfvo type="percent" val="0"/>
        <cfvo type="num" val="70"/>
        <cfvo type="num" val="90"/>
      </iconSet>
    </cfRule>
    <cfRule type="iconSet" priority="337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70"/>
        <cfvo type="num" val="90"/>
      </iconSet>
    </cfRule>
    <cfRule type="iconSet" priority="342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</conditionalFormatting>
  <conditionalFormatting sqref="AA37:AA38">
    <cfRule type="iconSet" priority="568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1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3">
      <iconSet>
        <cfvo type="percent" val="0"/>
        <cfvo type="num" val="70"/>
        <cfvo type="num" val="90"/>
      </iconSet>
    </cfRule>
    <cfRule type="iconSet" priority="554">
      <iconSet>
        <cfvo type="percent" val="0"/>
        <cfvo type="num" val="95"/>
        <cfvo type="num" val="100"/>
      </iconSet>
    </cfRule>
    <cfRule type="iconSet" priority="556">
      <iconSet>
        <cfvo type="percent" val="0"/>
        <cfvo type="num" val="95"/>
        <cfvo type="num" val="100"/>
      </iconSet>
    </cfRule>
    <cfRule type="iconSet" priority="557">
      <iconSet>
        <cfvo type="percent" val="0"/>
        <cfvo type="num" val="70"/>
        <cfvo type="num" val="90"/>
      </iconSet>
    </cfRule>
    <cfRule type="iconSet" priority="558">
      <iconSet>
        <cfvo type="percent" val="0"/>
        <cfvo type="num" val="70"/>
        <cfvo type="num" val="90"/>
      </iconSet>
    </cfRule>
    <cfRule type="iconSet" priority="559">
      <iconSet>
        <cfvo type="percent" val="0"/>
        <cfvo type="num" val="95"/>
        <cfvo type="num" val="100"/>
      </iconSet>
    </cfRule>
    <cfRule type="iconSet" priority="560">
      <iconSet>
        <cfvo type="percent" val="0"/>
        <cfvo type="num" val="95"/>
        <cfvo type="num" val="100"/>
      </iconSet>
    </cfRule>
    <cfRule type="iconSet" priority="561">
      <iconSet>
        <cfvo type="percent" val="0"/>
        <cfvo type="num" val="70"/>
        <cfvo type="num" val="90"/>
      </iconSet>
    </cfRule>
    <cfRule type="iconSet" priority="562">
      <iconSet>
        <cfvo type="percent" val="0"/>
        <cfvo type="num" val="70"/>
        <cfvo type="num" val="90"/>
      </iconSet>
    </cfRule>
    <cfRule type="iconSet" priority="563">
      <iconSet>
        <cfvo type="percent" val="0"/>
        <cfvo type="num" val="95"/>
        <cfvo type="num" val="100"/>
      </iconSet>
    </cfRule>
    <cfRule type="iconSet" priority="564">
      <iconSet>
        <cfvo type="percent" val="0"/>
        <cfvo type="num" val="95"/>
        <cfvo type="num" val="100"/>
      </iconSet>
    </cfRule>
    <cfRule type="iconSet" priority="565">
      <iconSet>
        <cfvo type="percent" val="0"/>
        <cfvo type="num" val="70"/>
        <cfvo type="num" val="90"/>
      </iconSet>
    </cfRule>
    <cfRule type="iconSet" priority="566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</conditionalFormatting>
  <conditionalFormatting sqref="AA39"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95"/>
        <cfvo type="num" val="100"/>
      </iconSet>
    </cfRule>
    <cfRule type="iconSet" priority="498">
      <iconSet>
        <cfvo type="percent" val="0"/>
        <cfvo type="num" val="70"/>
        <cfvo type="num" val="9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95"/>
        <cfvo type="num" val="100"/>
      </iconSet>
    </cfRule>
    <cfRule type="iconSet" priority="506">
      <iconSet>
        <cfvo type="percent" val="0"/>
        <cfvo type="num" val="70"/>
        <cfvo type="num" val="9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95"/>
        <cfvo type="num" val="100"/>
      </iconSet>
    </cfRule>
    <cfRule type="iconSet" priority="510">
      <iconSet>
        <cfvo type="percent" val="0"/>
        <cfvo type="num" val="70"/>
        <cfvo type="num" val="9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85">
      <iconSet>
        <cfvo type="percent" val="0"/>
        <cfvo type="num" val="95"/>
        <cfvo type="num" val="100"/>
      </iconSet>
    </cfRule>
  </conditionalFormatting>
  <conditionalFormatting sqref="AA40"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70"/>
        <cfvo type="num" val="9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95"/>
        <cfvo type="num" val="100"/>
      </iconSet>
    </cfRule>
    <cfRule type="iconSet" priority="298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70"/>
        <cfvo type="num" val="9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95"/>
        <cfvo type="num" val="10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95"/>
        <cfvo type="num" val="10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</conditionalFormatting>
  <conditionalFormatting sqref="AG9"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</conditionalFormatting>
  <conditionalFormatting sqref="AG12"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</conditionalFormatting>
  <conditionalFormatting sqref="AG13"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</conditionalFormatting>
  <conditionalFormatting sqref="AG16"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70"/>
        <cfvo type="num" val="9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</conditionalFormatting>
  <conditionalFormatting sqref="AG17"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70"/>
        <cfvo type="num" val="9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70"/>
        <cfvo type="num" val="9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</conditionalFormatting>
  <conditionalFormatting sqref="AG19"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</conditionalFormatting>
  <conditionalFormatting sqref="AG20"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</conditionalFormatting>
  <conditionalFormatting sqref="AG21"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</conditionalFormatting>
  <conditionalFormatting sqref="AG22"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AG23"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70"/>
        <cfvo type="num" val="9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</conditionalFormatting>
  <conditionalFormatting sqref="AG24"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70"/>
        <cfvo type="num" val="9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</conditionalFormatting>
  <conditionalFormatting sqref="AG31:AG33"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AG37"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</conditionalFormatting>
  <conditionalFormatting sqref="AG39">
    <cfRule type="iconSet" priority="200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</conditionalFormatting>
  <conditionalFormatting sqref="AG40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70"/>
        <cfvo type="num" val="90"/>
      </iconSet>
    </cfRule>
    <cfRule type="iconSet" priority="23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84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84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84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85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85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85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86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86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86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84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84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84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85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85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85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86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86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86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84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84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84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85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85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85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86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86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86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84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84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84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85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85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85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86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86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86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84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84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84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85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85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85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86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86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86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84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84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84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85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85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85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86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86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86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2" t="s">
        <v>72</v>
      </c>
      <c r="C29" s="683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2" t="s">
        <v>72</v>
      </c>
      <c r="R29" s="683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2" t="s">
        <v>72</v>
      </c>
      <c r="AG29" s="683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80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80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80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80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80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80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80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80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80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80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80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80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80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80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80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80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80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80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80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80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80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80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80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80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80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80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80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80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80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80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80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80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80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80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80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80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80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80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80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80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80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80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80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80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80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80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80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80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80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80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80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80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80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80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2" t="s">
        <v>72</v>
      </c>
      <c r="C51" s="683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2" t="s">
        <v>72</v>
      </c>
      <c r="R51" s="683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2" t="s">
        <v>72</v>
      </c>
      <c r="AG51" s="683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80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80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80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80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80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80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80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80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80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80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80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80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80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80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80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80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80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80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80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80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80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80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80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80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80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80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80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80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80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80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80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80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80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80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80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80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80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80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80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80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80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80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80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80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80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80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80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80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80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80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80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80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80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80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2" t="s">
        <v>72</v>
      </c>
      <c r="C73" s="683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2" t="s">
        <v>72</v>
      </c>
      <c r="R73" s="683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2" t="s">
        <v>72</v>
      </c>
      <c r="AG73" s="683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2" t="s">
        <v>72</v>
      </c>
      <c r="C85" s="683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2" t="s">
        <v>72</v>
      </c>
      <c r="R85" s="683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2" t="s">
        <v>72</v>
      </c>
      <c r="AG85" s="683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80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80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80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80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0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80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80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0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80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80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80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80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80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0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80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80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0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80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80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80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80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80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80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80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80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80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80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80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80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80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80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80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80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80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80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80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80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80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80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80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80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80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80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80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80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80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80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80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80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80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80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80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80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80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80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80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80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80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80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80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81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81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81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81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81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81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81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81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81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81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81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81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2" t="s">
        <v>72</v>
      </c>
      <c r="C113" s="683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90" t="s">
        <v>128</v>
      </c>
      <c r="C114" s="691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90" t="s">
        <v>87</v>
      </c>
      <c r="C116" s="691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90" t="s">
        <v>88</v>
      </c>
      <c r="C118" s="691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90" t="s">
        <v>121</v>
      </c>
      <c r="C120" s="691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90" t="s">
        <v>89</v>
      </c>
      <c r="C122" s="691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94" t="s">
        <v>90</v>
      </c>
      <c r="C124" s="69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94" t="s">
        <v>149</v>
      </c>
      <c r="C125" s="69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7" t="s">
        <v>72</v>
      </c>
      <c r="C129" s="687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7" t="s">
        <v>72</v>
      </c>
      <c r="R129" s="687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7" t="s">
        <v>72</v>
      </c>
      <c r="AG129" s="687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8" t="s">
        <v>128</v>
      </c>
      <c r="C130" s="689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8" t="s">
        <v>87</v>
      </c>
      <c r="C131" s="689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8" t="s">
        <v>88</v>
      </c>
      <c r="C132" s="689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8" t="s">
        <v>121</v>
      </c>
      <c r="C133" s="689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8" t="s">
        <v>89</v>
      </c>
      <c r="C134" s="689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92" t="s">
        <v>90</v>
      </c>
      <c r="C135" s="693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5">
      <iconSet iconSet="3ArrowsGray" showValue="0">
        <cfvo type="percent" val="0"/>
        <cfvo type="num" val="2"/>
        <cfvo type="num" val="3"/>
      </iconSet>
    </cfRule>
    <cfRule type="iconSet" priority="166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10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12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13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14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16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17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18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19"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</conditionalFormatting>
  <conditionalFormatting sqref="I20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1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22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23:I24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2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88">
      <iconSet>
        <cfvo type="percent" val="0"/>
        <cfvo type="num" val="95"/>
        <cfvo type="num" val="10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95"/>
        <cfvo type="num" val="100"/>
      </iconSet>
    </cfRule>
  </conditionalFormatting>
  <conditionalFormatting sqref="I38:I39"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1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3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</conditionalFormatting>
  <conditionalFormatting sqref="I40:I41"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</conditionalFormatting>
  <conditionalFormatting sqref="I41"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90">
      <iconSet>
        <cfvo type="percent" val="0"/>
        <cfvo type="num" val="70"/>
        <cfvo type="num" val="9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95"/>
        <cfvo type="num" val="10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topLeftCell="R1" zoomScale="65"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2" t="s">
        <v>72</v>
      </c>
      <c r="C7" s="683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2" t="s">
        <v>72</v>
      </c>
      <c r="R7" s="683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2" t="s">
        <v>72</v>
      </c>
      <c r="AG7" s="683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710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84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84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711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85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85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712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86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86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710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84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84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711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85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85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712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86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86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710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84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84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711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85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85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712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86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86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710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84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84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711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85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85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712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86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86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713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80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80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713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80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80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713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80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80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80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80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80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80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80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80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7" t="s">
        <v>72</v>
      </c>
      <c r="C30" s="687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7" t="s">
        <v>72</v>
      </c>
      <c r="R30" s="687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7" t="s">
        <v>72</v>
      </c>
      <c r="AG30" s="687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81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81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81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81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81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81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81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81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81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81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81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81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81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81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81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81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81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81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81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81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81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81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81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81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81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81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81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81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81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81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81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81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81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81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81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81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81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81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81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81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81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81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81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81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81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81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81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81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81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81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81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81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81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81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7" t="s">
        <v>72</v>
      </c>
      <c r="C52" s="687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7" t="s">
        <v>72</v>
      </c>
      <c r="R52" s="687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7" t="s">
        <v>72</v>
      </c>
      <c r="AG52" s="687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81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81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81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81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81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81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81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81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81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81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81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81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81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81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81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81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81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81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81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81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81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81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81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81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81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81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81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81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81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81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81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81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81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81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81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81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81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81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81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81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81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81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81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81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81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81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81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81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81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81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81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81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81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81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7" t="s">
        <v>72</v>
      </c>
      <c r="C74" s="687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7" t="s">
        <v>72</v>
      </c>
      <c r="R74" s="687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7" t="s">
        <v>72</v>
      </c>
      <c r="AG74" s="687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81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81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81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81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81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81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81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81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81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81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81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81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81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81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81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81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81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81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81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81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81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81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81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81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81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81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81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81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81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81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81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81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81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81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81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81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81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81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81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81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81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81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81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81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81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81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81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81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81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81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81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81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81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81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7" t="s">
        <v>72</v>
      </c>
      <c r="C96" s="687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7" t="s">
        <v>72</v>
      </c>
      <c r="R96" s="687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7" t="s">
        <v>72</v>
      </c>
      <c r="AG96" s="687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7" t="s">
        <v>72</v>
      </c>
      <c r="C101" s="687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7" t="s">
        <v>72</v>
      </c>
      <c r="R101" s="687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7" t="s">
        <v>72</v>
      </c>
      <c r="AG101" s="687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2" t="s">
        <v>72</v>
      </c>
      <c r="C112" s="683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2" t="s">
        <v>72</v>
      </c>
      <c r="R112" s="683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2" t="s">
        <v>72</v>
      </c>
      <c r="AG112" s="683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81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80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80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81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80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80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81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80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80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81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80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80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81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80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80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81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80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80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81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80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80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81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80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80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81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80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80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81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80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80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81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80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80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81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80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80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2" t="s">
        <v>72</v>
      </c>
      <c r="C128" s="683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2" t="s">
        <v>72</v>
      </c>
      <c r="R128" s="683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2" t="s">
        <v>72</v>
      </c>
      <c r="AG128" s="683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81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80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80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81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80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80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81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80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80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81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80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80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81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80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80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81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80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80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81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80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80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81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80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80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81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80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80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81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80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80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81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80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80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81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80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80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7" t="s">
        <v>72</v>
      </c>
      <c r="C144" s="687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7" t="s">
        <v>72</v>
      </c>
      <c r="R144" s="687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7" t="s">
        <v>72</v>
      </c>
      <c r="AG144" s="687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7" t="s">
        <v>72</v>
      </c>
      <c r="C166" s="687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7" t="s">
        <v>72</v>
      </c>
      <c r="R166" s="687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7" t="s">
        <v>72</v>
      </c>
      <c r="AG166" s="687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2" t="s">
        <v>72</v>
      </c>
      <c r="C188" s="683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2" t="s">
        <v>72</v>
      </c>
      <c r="R188" s="683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2" t="s">
        <v>72</v>
      </c>
      <c r="AG188" s="683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2" t="s">
        <v>72</v>
      </c>
      <c r="C193" s="683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2" t="s">
        <v>72</v>
      </c>
      <c r="R193" s="683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2" t="s">
        <v>72</v>
      </c>
      <c r="AG193" s="683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1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1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1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2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2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2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2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2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2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2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2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2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2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2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2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3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3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3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1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1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1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2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2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2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2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2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2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2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2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2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2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2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2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3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3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3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1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1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1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2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2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2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2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2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2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2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2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2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2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2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2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3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3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3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1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1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1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2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2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2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2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2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2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2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2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2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2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2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2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3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3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3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1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1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1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2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2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2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2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2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2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2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2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2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2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2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2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3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3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3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1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1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1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2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2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2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2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2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2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2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2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2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2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2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2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3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3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3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7" t="s">
        <v>72</v>
      </c>
      <c r="C233" s="687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7" t="s">
        <v>72</v>
      </c>
      <c r="R233" s="687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7" t="s">
        <v>72</v>
      </c>
      <c r="AG233" s="687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7" t="s">
        <v>72</v>
      </c>
      <c r="C243" s="687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7" t="s">
        <v>72</v>
      </c>
      <c r="R243" s="687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7" t="s">
        <v>72</v>
      </c>
      <c r="AG243" s="687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81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81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81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81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81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81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81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81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81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81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81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81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81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81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81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81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81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81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81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81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81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81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81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81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81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81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81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81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81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81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81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81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81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81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81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81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81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81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81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81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81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81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81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81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81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2" t="s">
        <v>72</v>
      </c>
      <c r="C263" s="683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2" t="s">
        <v>72</v>
      </c>
      <c r="R263" s="683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2" t="s">
        <v>72</v>
      </c>
      <c r="AG263" s="683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80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80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80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80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80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80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80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80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80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80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80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80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80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80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80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80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80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80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80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80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80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80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80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80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80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80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80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80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80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80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80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80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80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80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80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80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80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80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80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80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80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80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80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80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80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80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80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80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80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80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80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80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80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80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2" t="s">
        <v>72</v>
      </c>
      <c r="C285" s="683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2" t="s">
        <v>72</v>
      </c>
      <c r="R285" s="683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2" t="s">
        <v>72</v>
      </c>
      <c r="AG285" s="683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80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80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80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80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80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80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80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80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80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84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80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80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85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80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80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86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80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80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84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80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80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85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80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80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86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80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80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84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80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80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85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80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80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86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80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80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84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80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80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85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80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80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86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80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80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84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80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80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85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80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80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86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80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80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2" t="s">
        <v>72</v>
      </c>
      <c r="C307" s="683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2" t="s">
        <v>72</v>
      </c>
      <c r="R307" s="683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2" t="s">
        <v>72</v>
      </c>
      <c r="AG307" s="683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696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84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84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697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85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85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698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86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86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696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696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696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697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697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697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698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698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698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696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696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696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697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697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697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698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698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698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696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696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696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697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697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697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698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698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698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696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696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696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697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697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697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698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698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698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4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07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07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5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08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08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06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09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09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2" t="s">
        <v>72</v>
      </c>
      <c r="C330" s="683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2" t="s">
        <v>72</v>
      </c>
      <c r="R330" s="683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2" t="s">
        <v>72</v>
      </c>
      <c r="AG330" s="683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2" t="s">
        <v>72</v>
      </c>
      <c r="C337" s="683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2" t="s">
        <v>72</v>
      </c>
      <c r="R337" s="683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2" t="s">
        <v>72</v>
      </c>
      <c r="AG337" s="683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80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80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80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80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80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80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80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80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80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80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80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80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2" t="s">
        <v>72</v>
      </c>
      <c r="C345" s="683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2" t="s">
        <v>72</v>
      </c>
      <c r="R345" s="683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2" t="s">
        <v>72</v>
      </c>
      <c r="AG345" s="683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699" t="s">
        <v>90</v>
      </c>
      <c r="C346" s="700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2" t="s">
        <v>72</v>
      </c>
      <c r="C350" s="683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2" t="s">
        <v>72</v>
      </c>
      <c r="R350" s="683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2" t="s">
        <v>72</v>
      </c>
      <c r="AG350" s="683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80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80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80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80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80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80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80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80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80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2" t="s">
        <v>72</v>
      </c>
      <c r="C358" s="683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2" t="s">
        <v>72</v>
      </c>
      <c r="R358" s="683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2" t="s">
        <v>72</v>
      </c>
      <c r="AG358" s="683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699" t="s">
        <v>90</v>
      </c>
      <c r="C359" s="700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2" t="s">
        <v>72</v>
      </c>
      <c r="C363" s="683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2" t="s">
        <v>72</v>
      </c>
      <c r="R363" s="683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2" t="s">
        <v>72</v>
      </c>
      <c r="AG363" s="683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  <cfRule type="iconSet" priority="775">
      <iconSet>
        <cfvo type="percent" val="0"/>
        <cfvo type="num" val="95"/>
        <cfvo type="num" val="100"/>
      </iconSet>
    </cfRule>
    <cfRule type="iconSet" priority="776">
      <iconSet>
        <cfvo type="percent" val="0"/>
        <cfvo type="num" val="95"/>
        <cfvo type="num" val="100"/>
      </iconSet>
    </cfRule>
    <cfRule type="iconSet" priority="777">
      <iconSet>
        <cfvo type="percent" val="0"/>
        <cfvo type="num" val="95"/>
        <cfvo type="num" val="100"/>
      </iconSet>
    </cfRule>
    <cfRule type="iconSet" priority="778">
      <iconSet>
        <cfvo type="percent" val="0"/>
        <cfvo type="num" val="70"/>
        <cfvo type="num" val="90"/>
      </iconSet>
    </cfRule>
    <cfRule type="iconSet" priority="779">
      <iconSet>
        <cfvo type="percent" val="0"/>
        <cfvo type="num" val="70"/>
        <cfvo type="num" val="90"/>
      </iconSet>
    </cfRule>
    <cfRule type="iconSet" priority="780">
      <iconSet>
        <cfvo type="percent" val="0"/>
        <cfvo type="num" val="95"/>
        <cfvo type="num" val="100"/>
      </iconSet>
    </cfRule>
  </conditionalFormatting>
  <conditionalFormatting sqref="I9">
    <cfRule type="iconSet" priority="540">
      <iconSet>
        <cfvo type="percent" val="0"/>
        <cfvo type="num" val="95"/>
        <cfvo type="num" val="100"/>
      </iconSet>
    </cfRule>
    <cfRule type="iconSet" priority="541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06">
      <iconSet>
        <cfvo type="percent" val="0"/>
        <cfvo type="num" val="95"/>
        <cfvo type="num" val="10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10">
      <iconSet>
        <cfvo type="percent" val="0"/>
        <cfvo type="num" val="95"/>
        <cfvo type="num" val="10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99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70"/>
        <cfvo type="num" val="9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95"/>
        <cfvo type="num" val="100"/>
      </iconSet>
    </cfRule>
  </conditionalFormatting>
  <conditionalFormatting sqref="I25:I40"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  <cfRule type="iconSet" priority="48225">
      <iconSet>
        <cfvo type="percent" val="0"/>
        <cfvo type="num" val="95"/>
        <cfvo type="num" val="100"/>
      </iconSet>
    </cfRule>
  </conditionalFormatting>
  <conditionalFormatting sqref="I41:I42">
    <cfRule type="iconSet" priority="63">
      <iconSet>
        <cfvo type="percent" val="0"/>
        <cfvo type="num" val="95"/>
        <cfvo type="num" val="100"/>
      </iconSet>
    </cfRule>
    <cfRule type="iconSet" priority="64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95"/>
        <cfvo type="num" val="100"/>
      </iconSet>
    </cfRule>
  </conditionalFormatting>
  <conditionalFormatting sqref="I43:I45"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</conditionalFormatting>
  <conditionalFormatting sqref="I46:I50">
    <cfRule type="iconSet" priority="45">
      <iconSet>
        <cfvo type="percent" val="0"/>
        <cfvo type="num" val="95"/>
        <cfvo type="num" val="100"/>
      </iconSet>
    </cfRule>
    <cfRule type="iconSet" priority="46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95"/>
        <cfvo type="num" val="100"/>
      </iconSet>
    </cfRule>
  </conditionalFormatting>
  <conditionalFormatting sqref="I51:I54">
    <cfRule type="iconSet" priority="36">
      <iconSet>
        <cfvo type="percent" val="0"/>
        <cfvo type="num" val="95"/>
        <cfvo type="num" val="100"/>
      </iconSet>
    </cfRule>
    <cfRule type="iconSet" priority="37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</conditionalFormatting>
  <conditionalFormatting sqref="I55:I57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I58:I62"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</conditionalFormatting>
  <conditionalFormatting sqref="I63:I65"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0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8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44">
      <iconSet>
        <cfvo type="percent" val="0"/>
        <cfvo type="num" val="70"/>
        <cfvo type="num" val="90"/>
      </iconSet>
    </cfRule>
    <cfRule type="iconSet" priority="1145">
      <iconSet>
        <cfvo type="percent" val="0"/>
        <cfvo type="num" val="95"/>
        <cfvo type="num" val="100"/>
      </iconSet>
    </cfRule>
    <cfRule type="iconSet" priority="1146">
      <iconSet>
        <cfvo type="percent" val="0"/>
        <cfvo type="num" val="95"/>
        <cfvo type="num" val="100"/>
      </iconSet>
    </cfRule>
    <cfRule type="iconSet" priority="1147">
      <iconSet>
        <cfvo type="percent" val="0"/>
        <cfvo type="num" val="70"/>
        <cfvo type="num" val="90"/>
      </iconSet>
    </cfRule>
    <cfRule type="iconSet" priority="1148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256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257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2">
      <iconSet>
        <cfvo type="percent" val="0"/>
        <cfvo type="num" val="95"/>
        <cfvo type="num" val="100"/>
      </iconSet>
    </cfRule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95"/>
        <cfvo type="num" val="100"/>
      </iconSet>
    </cfRule>
  </conditionalFormatting>
  <conditionalFormatting sqref="I9">
    <cfRule type="iconSet" priority="226">
      <iconSet>
        <cfvo type="percent" val="0"/>
        <cfvo type="num" val="95"/>
        <cfvo type="num" val="10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95"/>
        <cfvo type="num" val="100"/>
      </iconSet>
    </cfRule>
  </conditionalFormatting>
  <conditionalFormatting sqref="I10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70"/>
        <cfvo type="num" val="90"/>
      </iconSet>
    </cfRule>
    <cfRule type="iconSet" priority="225">
      <iconSet>
        <cfvo type="percent" val="0"/>
        <cfvo type="num" val="95"/>
        <cfvo type="num" val="100"/>
      </iconSet>
    </cfRule>
  </conditionalFormatting>
  <conditionalFormatting sqref="I11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I12">
    <cfRule type="iconSet" priority="199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95"/>
        <cfvo type="num" val="100"/>
      </iconSet>
    </cfRule>
    <cfRule type="iconSet" priority="204">
      <iconSet>
        <cfvo type="percent" val="0"/>
        <cfvo type="num" val="95"/>
        <cfvo type="num" val="100"/>
      </iconSet>
    </cfRule>
    <cfRule type="iconSet" priority="205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7">
      <iconSet>
        <cfvo type="percent" val="0"/>
        <cfvo type="num" val="95"/>
        <cfvo type="num" val="100"/>
      </iconSet>
    </cfRule>
  </conditionalFormatting>
  <conditionalFormatting sqref="I13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I14">
    <cfRule type="iconSet" priority="190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2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5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</conditionalFormatting>
  <conditionalFormatting sqref="I15">
    <cfRule type="iconSet" priority="181">
      <iconSet>
        <cfvo type="percent" val="0"/>
        <cfvo type="num" val="95"/>
        <cfvo type="num" val="100"/>
      </iconSet>
    </cfRule>
    <cfRule type="iconSet" priority="182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4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6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</conditionalFormatting>
  <conditionalFormatting sqref="I17"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61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18:I20">
    <cfRule type="iconSet" priority="163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5">
      <iconSet>
        <cfvo type="percent" val="0"/>
        <cfvo type="num" val="70"/>
        <cfvo type="num" val="90"/>
      </iconSet>
    </cfRule>
    <cfRule type="iconSet" priority="166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68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70"/>
        <cfvo type="num" val="9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95"/>
        <cfvo type="num" val="10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I22"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</conditionalFormatting>
  <conditionalFormatting sqref="I23:I26">
    <cfRule type="iconSet" priority="136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44">
      <iconSet>
        <cfvo type="percent" val="0"/>
        <cfvo type="num" val="95"/>
        <cfvo type="num" val="100"/>
      </iconSet>
    </cfRule>
  </conditionalFormatting>
  <conditionalFormatting sqref="I27"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</conditionalFormatting>
  <conditionalFormatting sqref="I28"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</conditionalFormatting>
  <conditionalFormatting sqref="I29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I33">
    <cfRule type="iconSet" priority="73">
      <iconSet>
        <cfvo type="percent" val="0"/>
        <cfvo type="num" val="95"/>
        <cfvo type="num" val="100"/>
      </iconSet>
    </cfRule>
    <cfRule type="iconSet" priority="74">
      <iconSet>
        <cfvo type="percent" val="0"/>
        <cfvo type="num" val="70"/>
        <cfvo type="num" val="90"/>
      </iconSet>
    </cfRule>
    <cfRule type="iconSet" priority="75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</conditionalFormatting>
  <conditionalFormatting sqref="I34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I35:I36"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6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</conditionalFormatting>
  <conditionalFormatting sqref="I37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I38"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</conditionalFormatting>
  <conditionalFormatting sqref="I39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I40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I41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70"/>
        <cfvo type="num" val="90"/>
      </iconSet>
    </cfRule>
    <cfRule type="iconSet" priority="40">
      <iconSet>
        <cfvo type="percent" val="0"/>
        <cfvo type="num" val="95"/>
        <cfvo type="num" val="10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I42"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70"/>
        <cfvo type="num" val="90"/>
      </iconSet>
    </cfRule>
    <cfRule type="iconSet" priority="238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95"/>
        <cfvo type="num" val="100"/>
      </iconSet>
    </cfRule>
    <cfRule type="iconSet" priority="241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I43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I45"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258</v>
      </c>
      <c r="U2" s="7" t="s">
        <v>258</v>
      </c>
      <c r="AO2" s="22"/>
    </row>
    <row r="3" spans="1:56" ht="15.75">
      <c r="D3" s="8" t="s">
        <v>259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260</v>
      </c>
      <c r="E4" s="459"/>
      <c r="O4" s="8" t="s">
        <v>261</v>
      </c>
      <c r="P4" s="459"/>
      <c r="V4" s="264"/>
      <c r="Y4" s="7"/>
      <c r="Z4" s="8" t="s">
        <v>262</v>
      </c>
      <c r="AA4" s="459"/>
      <c r="AB4" s="7"/>
      <c r="AC4" s="7"/>
      <c r="AD4" s="7"/>
      <c r="AJ4" s="7"/>
      <c r="AK4" s="8" t="s">
        <v>263</v>
      </c>
      <c r="AL4" s="459"/>
      <c r="AM4" s="7"/>
      <c r="AN4" s="7"/>
      <c r="AO4" s="7"/>
      <c r="AQ4" s="474"/>
      <c r="AU4" s="7"/>
      <c r="AV4" s="8" t="s">
        <v>264</v>
      </c>
      <c r="AW4" s="459"/>
      <c r="AX4" s="7"/>
      <c r="AY4" s="7"/>
      <c r="AZ4" s="7"/>
    </row>
    <row r="5" spans="1:56" ht="26.45" customHeight="1">
      <c r="A5" s="9" t="s">
        <v>265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4" t="s">
        <v>8</v>
      </c>
      <c r="D6" s="717" t="s">
        <v>266</v>
      </c>
      <c r="E6" s="460"/>
      <c r="F6" s="719" t="s">
        <v>93</v>
      </c>
      <c r="G6" s="714" t="s">
        <v>99</v>
      </c>
      <c r="H6" s="714" t="s">
        <v>267</v>
      </c>
      <c r="I6" s="716" t="str">
        <f>VLOOKUP($A$1,$K$74:$L$85,2,FALSE)</f>
        <v>S.D. AGUSTUS</v>
      </c>
      <c r="J6" s="716"/>
      <c r="K6" s="716"/>
      <c r="L6" s="716"/>
      <c r="N6" s="714" t="s">
        <v>8</v>
      </c>
      <c r="O6" s="717" t="s">
        <v>266</v>
      </c>
      <c r="P6" s="460"/>
      <c r="Q6" s="719" t="s">
        <v>93</v>
      </c>
      <c r="R6" s="714" t="s">
        <v>99</v>
      </c>
      <c r="S6" s="714" t="s">
        <v>267</v>
      </c>
      <c r="T6" s="716" t="str">
        <f>VLOOKUP($A$1,$K$74:$L$85,2,FALSE)</f>
        <v>S.D. AGUSTUS</v>
      </c>
      <c r="U6" s="716"/>
      <c r="V6" s="716"/>
      <c r="W6" s="716"/>
      <c r="Y6" s="714" t="s">
        <v>8</v>
      </c>
      <c r="Z6" s="717" t="s">
        <v>266</v>
      </c>
      <c r="AA6" s="460"/>
      <c r="AB6" s="719" t="s">
        <v>93</v>
      </c>
      <c r="AC6" s="714" t="s">
        <v>99</v>
      </c>
      <c r="AD6" s="714" t="s">
        <v>267</v>
      </c>
      <c r="AE6" s="716" t="str">
        <f>VLOOKUP($A$1,$K$74:$L$85,2,FALSE)</f>
        <v>S.D. AGUSTUS</v>
      </c>
      <c r="AF6" s="716"/>
      <c r="AG6" s="716"/>
      <c r="AH6" s="716"/>
      <c r="AJ6" s="714" t="s">
        <v>8</v>
      </c>
      <c r="AK6" s="717" t="s">
        <v>266</v>
      </c>
      <c r="AL6" s="460"/>
      <c r="AM6" s="719" t="s">
        <v>93</v>
      </c>
      <c r="AN6" s="714" t="s">
        <v>99</v>
      </c>
      <c r="AO6" s="714" t="s">
        <v>267</v>
      </c>
      <c r="AP6" s="716" t="str">
        <f>VLOOKUP($A$1,$K$74:$L$85,2,FALSE)</f>
        <v>S.D. AGUSTUS</v>
      </c>
      <c r="AQ6" s="716"/>
      <c r="AR6" s="716"/>
      <c r="AS6" s="716"/>
      <c r="AU6" s="714" t="s">
        <v>8</v>
      </c>
      <c r="AV6" s="717" t="s">
        <v>266</v>
      </c>
      <c r="AW6" s="460"/>
      <c r="AX6" s="719" t="s">
        <v>93</v>
      </c>
      <c r="AY6" s="714" t="s">
        <v>99</v>
      </c>
      <c r="AZ6" s="714" t="s">
        <v>267</v>
      </c>
      <c r="BA6" s="716" t="str">
        <f>VLOOKUP($A$1,$K$74:$L$85,2,FALSE)</f>
        <v>S.D. AGUSTUS</v>
      </c>
      <c r="BB6" s="716"/>
      <c r="BC6" s="716"/>
      <c r="BD6" s="716"/>
    </row>
    <row r="7" spans="1:56" s="11" customFormat="1" ht="30">
      <c r="B7" s="185"/>
      <c r="C7" s="715"/>
      <c r="D7" s="718"/>
      <c r="E7" s="461"/>
      <c r="F7" s="720"/>
      <c r="G7" s="715"/>
      <c r="H7" s="715"/>
      <c r="I7" s="602" t="s">
        <v>100</v>
      </c>
      <c r="J7" s="602" t="s">
        <v>254</v>
      </c>
      <c r="K7" s="602" t="s">
        <v>102</v>
      </c>
      <c r="L7" s="602" t="s">
        <v>103</v>
      </c>
      <c r="N7" s="715"/>
      <c r="O7" s="718"/>
      <c r="P7" s="461"/>
      <c r="Q7" s="720"/>
      <c r="R7" s="715"/>
      <c r="S7" s="715"/>
      <c r="T7" s="602" t="s">
        <v>100</v>
      </c>
      <c r="U7" s="602" t="s">
        <v>254</v>
      </c>
      <c r="V7" s="602" t="s">
        <v>102</v>
      </c>
      <c r="W7" s="602" t="s">
        <v>103</v>
      </c>
      <c r="Y7" s="715"/>
      <c r="Z7" s="718"/>
      <c r="AA7" s="461"/>
      <c r="AB7" s="720"/>
      <c r="AC7" s="715"/>
      <c r="AD7" s="715"/>
      <c r="AE7" s="602" t="s">
        <v>100</v>
      </c>
      <c r="AF7" s="602" t="s">
        <v>254</v>
      </c>
      <c r="AG7" s="602" t="s">
        <v>102</v>
      </c>
      <c r="AH7" s="602" t="s">
        <v>103</v>
      </c>
      <c r="AJ7" s="715"/>
      <c r="AK7" s="718"/>
      <c r="AL7" s="461"/>
      <c r="AM7" s="720"/>
      <c r="AN7" s="715"/>
      <c r="AO7" s="715"/>
      <c r="AP7" s="602" t="s">
        <v>100</v>
      </c>
      <c r="AQ7" s="602" t="s">
        <v>254</v>
      </c>
      <c r="AR7" s="602" t="s">
        <v>102</v>
      </c>
      <c r="AS7" s="602" t="s">
        <v>103</v>
      </c>
      <c r="AU7" s="715"/>
      <c r="AV7" s="718"/>
      <c r="AW7" s="461"/>
      <c r="AX7" s="720"/>
      <c r="AY7" s="715"/>
      <c r="AZ7" s="715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268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268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269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269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269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269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269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270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2">
      <iconSet>
        <cfvo type="percent" val="0"/>
        <cfvo type="num" val="95"/>
        <cfvo type="num" val="100"/>
      </iconSet>
    </cfRule>
    <cfRule type="iconSet" priority="7013">
      <iconSet>
        <cfvo type="percent" val="0"/>
        <cfvo type="num" val="70"/>
        <cfvo type="num" val="90"/>
      </iconSet>
    </cfRule>
    <cfRule type="iconSet" priority="7014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19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</conditionalFormatting>
  <conditionalFormatting sqref="K11">
    <cfRule type="iconSet" priority="2592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7">
      <iconSet>
        <cfvo type="percent" val="0"/>
        <cfvo type="num" val="95"/>
        <cfvo type="num" val="100"/>
      </iconSet>
    </cfRule>
    <cfRule type="iconSet" priority="2598">
      <iconSet>
        <cfvo type="percent" val="0"/>
        <cfvo type="num" val="70"/>
        <cfvo type="num" val="9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</conditionalFormatting>
  <conditionalFormatting sqref="K12:K18">
    <cfRule type="iconSet" priority="48230">
      <iconSet>
        <cfvo type="percent" val="0"/>
        <cfvo type="num" val="95"/>
        <cfvo type="num" val="10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5">
      <iconSet>
        <cfvo type="percent" val="0"/>
        <cfvo type="num" val="95"/>
        <cfvo type="num" val="100"/>
      </iconSet>
    </cfRule>
    <cfRule type="iconSet" priority="48236">
      <iconSet>
        <cfvo type="percent" val="0"/>
        <cfvo type="num" val="70"/>
        <cfvo type="num" val="9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8">
      <iconSet>
        <cfvo type="percent" val="0"/>
        <cfvo type="num" val="95"/>
        <cfvo type="num" val="100"/>
      </iconSet>
    </cfRule>
  </conditionalFormatting>
  <conditionalFormatting sqref="K20">
    <cfRule type="iconSet" priority="6967">
      <iconSet>
        <cfvo type="percent" val="0"/>
        <cfvo type="num" val="95"/>
        <cfvo type="num" val="100"/>
      </iconSet>
    </cfRule>
    <cfRule type="iconSet" priority="6968">
      <iconSet>
        <cfvo type="percent" val="0"/>
        <cfvo type="num" val="70"/>
        <cfvo type="num" val="90"/>
      </iconSet>
    </cfRule>
    <cfRule type="iconSet" priority="6969">
      <iconSet>
        <cfvo type="percent" val="0"/>
        <cfvo type="num" val="70"/>
        <cfvo type="num" val="90"/>
      </iconSet>
    </cfRule>
    <cfRule type="iconSet" priority="6970">
      <iconSet>
        <cfvo type="percent" val="0"/>
        <cfvo type="num" val="95"/>
        <cfvo type="num" val="100"/>
      </iconSet>
    </cfRule>
    <cfRule type="iconSet" priority="6971">
      <iconSet>
        <cfvo type="percent" val="0"/>
        <cfvo type="num" val="95"/>
        <cfvo type="num" val="100"/>
      </iconSet>
    </cfRule>
    <cfRule type="iconSet" priority="6972">
      <iconSet>
        <cfvo type="percent" val="0"/>
        <cfvo type="num" val="95"/>
        <cfvo type="num" val="100"/>
      </iconSet>
    </cfRule>
    <cfRule type="iconSet" priority="6973">
      <iconSet>
        <cfvo type="percent" val="0"/>
        <cfvo type="num" val="70"/>
        <cfvo type="num" val="90"/>
      </iconSet>
    </cfRule>
    <cfRule type="iconSet" priority="6974">
      <iconSet>
        <cfvo type="percent" val="0"/>
        <cfvo type="num" val="70"/>
        <cfvo type="num" val="90"/>
      </iconSet>
    </cfRule>
    <cfRule type="iconSet" priority="6975">
      <iconSet>
        <cfvo type="percent" val="0"/>
        <cfvo type="num" val="95"/>
        <cfvo type="num" val="100"/>
      </iconSet>
    </cfRule>
  </conditionalFormatting>
  <conditionalFormatting sqref="K21:K23"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9">
      <iconSet>
        <cfvo type="percent" val="0"/>
        <cfvo type="num" val="95"/>
        <cfvo type="num" val="100"/>
      </iconSet>
    </cfRule>
  </conditionalFormatting>
  <conditionalFormatting sqref="K24:K28">
    <cfRule type="iconSet" priority="1052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8">
      <iconSet>
        <cfvo type="percent" val="0"/>
        <cfvo type="num" val="70"/>
        <cfvo type="num" val="90"/>
      </iconSet>
    </cfRule>
    <cfRule type="iconSet" priority="1059">
      <iconSet>
        <cfvo type="percent" val="0"/>
        <cfvo type="num" val="70"/>
        <cfvo type="num" val="90"/>
      </iconSet>
    </cfRule>
    <cfRule type="iconSet" priority="1060">
      <iconSet>
        <cfvo type="percent" val="0"/>
        <cfvo type="num" val="95"/>
        <cfvo type="num" val="100"/>
      </iconSet>
    </cfRule>
  </conditionalFormatting>
  <conditionalFormatting sqref="K29:K45">
    <cfRule type="iconSet" priority="47908">
      <iconSet>
        <cfvo type="percent" val="0"/>
        <cfvo type="num" val="95"/>
        <cfvo type="num" val="100"/>
      </iconSet>
    </cfRule>
    <cfRule type="iconSet" priority="47909">
      <iconSet>
        <cfvo type="percent" val="0"/>
        <cfvo type="num" val="70"/>
        <cfvo type="num" val="90"/>
      </iconSet>
    </cfRule>
    <cfRule type="iconSet" priority="47910">
      <iconSet>
        <cfvo type="percent" val="0"/>
        <cfvo type="num" val="70"/>
        <cfvo type="num" val="9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8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</conditionalFormatting>
  <conditionalFormatting sqref="K48:K50"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7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9">
      <iconSet>
        <cfvo type="percent" val="0"/>
        <cfvo type="num" val="95"/>
        <cfvo type="num" val="100"/>
      </iconSet>
    </cfRule>
  </conditionalFormatting>
  <conditionalFormatting sqref="K51:K54">
    <cfRule type="iconSet" priority="48085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90">
      <iconSet>
        <cfvo type="percent" val="0"/>
        <cfvo type="num" val="95"/>
        <cfvo type="num" val="100"/>
      </iconSet>
    </cfRule>
    <cfRule type="iconSet" priority="48091">
      <iconSet>
        <cfvo type="percent" val="0"/>
        <cfvo type="num" val="70"/>
        <cfvo type="num" val="9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3">
      <iconSet>
        <cfvo type="percent" val="0"/>
        <cfvo type="num" val="95"/>
        <cfvo type="num" val="100"/>
      </iconSet>
    </cfRule>
  </conditionalFormatting>
  <conditionalFormatting sqref="K55"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95"/>
        <cfvo type="num" val="100"/>
      </iconSet>
    </cfRule>
    <cfRule type="iconSet" priority="1040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  <cfRule type="iconSet" priority="1042">
      <iconSet>
        <cfvo type="percent" val="0"/>
        <cfvo type="num" val="95"/>
        <cfvo type="num" val="100"/>
      </iconSet>
    </cfRule>
  </conditionalFormatting>
  <conditionalFormatting sqref="K56">
    <cfRule type="iconSet" priority="8970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3">
      <iconSet>
        <cfvo type="percent" val="0"/>
        <cfvo type="num" val="70"/>
        <cfvo type="num" val="90"/>
      </iconSet>
    </cfRule>
    <cfRule type="iconSet" priority="8974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54">
      <iconSet>
        <cfvo type="percent" val="0"/>
        <cfvo type="num" val="70"/>
        <cfvo type="num" val="9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9">
      <iconSet>
        <cfvo type="percent" val="0"/>
        <cfvo type="num" val="70"/>
        <cfvo type="num" val="9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3">
      <iconSet>
        <cfvo type="percent" val="0"/>
        <cfvo type="num" val="70"/>
        <cfvo type="num" val="90"/>
      </iconSet>
    </cfRule>
    <cfRule type="iconSet" priority="14984">
      <iconSet>
        <cfvo type="percent" val="0"/>
        <cfvo type="num" val="95"/>
        <cfvo type="num" val="100"/>
      </iconSet>
    </cfRule>
    <cfRule type="iconSet" priority="15807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895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70"/>
        <cfvo type="num" val="90"/>
      </iconSet>
    </cfRule>
    <cfRule type="iconSet" priority="898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900">
      <iconSet>
        <cfvo type="percent" val="0"/>
        <cfvo type="num" val="95"/>
        <cfvo type="num" val="100"/>
      </iconSet>
    </cfRule>
    <cfRule type="iconSet" priority="901">
      <iconSet>
        <cfvo type="percent" val="0"/>
        <cfvo type="num" val="70"/>
        <cfvo type="num" val="90"/>
      </iconSet>
    </cfRule>
    <cfRule type="iconSet" priority="902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95"/>
        <cfvo type="num" val="100"/>
      </iconSet>
    </cfRule>
  </conditionalFormatting>
  <conditionalFormatting sqref="V11">
    <cfRule type="iconSet" priority="859">
      <iconSet>
        <cfvo type="percent" val="0"/>
        <cfvo type="num" val="95"/>
        <cfvo type="num" val="100"/>
      </iconSet>
    </cfRule>
    <cfRule type="iconSet" priority="860">
      <iconSet>
        <cfvo type="percent" val="0"/>
        <cfvo type="num" val="70"/>
        <cfvo type="num" val="90"/>
      </iconSet>
    </cfRule>
    <cfRule type="iconSet" priority="861">
      <iconSet>
        <cfvo type="percent" val="0"/>
        <cfvo type="num" val="70"/>
        <cfvo type="num" val="90"/>
      </iconSet>
    </cfRule>
    <cfRule type="iconSet" priority="862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4">
      <iconSet>
        <cfvo type="percent" val="0"/>
        <cfvo type="num" val="95"/>
        <cfvo type="num" val="100"/>
      </iconSet>
    </cfRule>
    <cfRule type="iconSet" priority="865">
      <iconSet>
        <cfvo type="percent" val="0"/>
        <cfvo type="num" val="70"/>
        <cfvo type="num" val="90"/>
      </iconSet>
    </cfRule>
    <cfRule type="iconSet" priority="866">
      <iconSet>
        <cfvo type="percent" val="0"/>
        <cfvo type="num" val="70"/>
        <cfvo type="num" val="90"/>
      </iconSet>
    </cfRule>
    <cfRule type="iconSet" priority="867">
      <iconSet>
        <cfvo type="percent" val="0"/>
        <cfvo type="num" val="95"/>
        <cfvo type="num" val="100"/>
      </iconSet>
    </cfRule>
  </conditionalFormatting>
  <conditionalFormatting sqref="V12:V17"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9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95"/>
        <cfvo type="num" val="10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9">
      <iconSet>
        <cfvo type="percent" val="0"/>
        <cfvo type="num" val="95"/>
        <cfvo type="num" val="100"/>
      </iconSet>
    </cfRule>
    <cfRule type="iconSet" priority="820">
      <iconSet>
        <cfvo type="percent" val="0"/>
        <cfvo type="num" val="70"/>
        <cfvo type="num" val="90"/>
      </iconSet>
    </cfRule>
    <cfRule type="iconSet" priority="821">
      <iconSet>
        <cfvo type="percent" val="0"/>
        <cfvo type="num" val="70"/>
        <cfvo type="num" val="90"/>
      </iconSet>
    </cfRule>
    <cfRule type="iconSet" priority="822">
      <iconSet>
        <cfvo type="percent" val="0"/>
        <cfvo type="num" val="95"/>
        <cfvo type="num" val="100"/>
      </iconSet>
    </cfRule>
  </conditionalFormatting>
  <conditionalFormatting sqref="V24:V25">
    <cfRule type="iconSet" priority="805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2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V26">
    <cfRule type="iconSet" priority="910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70"/>
        <cfvo type="num" val="90"/>
      </iconSet>
    </cfRule>
    <cfRule type="iconSet" priority="984">
      <iconSet>
        <cfvo type="percent" val="0"/>
        <cfvo type="num" val="70"/>
        <cfvo type="num" val="90"/>
      </iconSet>
    </cfRule>
    <cfRule type="iconSet" priority="985">
      <iconSet>
        <cfvo type="percent" val="0"/>
        <cfvo type="num" val="95"/>
        <cfvo type="num" val="100"/>
      </iconSet>
    </cfRule>
  </conditionalFormatting>
  <conditionalFormatting sqref="V27:V45">
    <cfRule type="iconSet" priority="47933">
      <iconSet>
        <cfvo type="percent" val="0"/>
        <cfvo type="num" val="95"/>
        <cfvo type="num" val="100"/>
      </iconSet>
    </cfRule>
    <cfRule type="iconSet" priority="47934">
      <iconSet>
        <cfvo type="percent" val="0"/>
        <cfvo type="num" val="70"/>
        <cfvo type="num" val="9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</conditionalFormatting>
  <conditionalFormatting sqref="V46:V47">
    <cfRule type="iconSet" priority="877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70"/>
        <cfvo type="num" val="9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25">
      <iconSet>
        <cfvo type="percent" val="0"/>
        <cfvo type="num" val="70"/>
        <cfvo type="num" val="9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9">
      <iconSet>
        <cfvo type="percent" val="0"/>
        <cfvo type="num" val="70"/>
        <cfvo type="num" val="90"/>
      </iconSet>
    </cfRule>
    <cfRule type="iconSet" priority="48030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</conditionalFormatting>
  <conditionalFormatting sqref="V49:V54">
    <cfRule type="iconSet" priority="48109">
      <iconSet>
        <cfvo type="percent" val="0"/>
        <cfvo type="num" val="95"/>
        <cfvo type="num" val="100"/>
      </iconSet>
    </cfRule>
    <cfRule type="iconSet" priority="48110">
      <iconSet>
        <cfvo type="percent" val="0"/>
        <cfvo type="num" val="70"/>
        <cfvo type="num" val="9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3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5">
      <iconSet>
        <cfvo type="percent" val="0"/>
        <cfvo type="num" val="70"/>
        <cfvo type="num" val="9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7">
      <iconSet>
        <cfvo type="percent" val="0"/>
        <cfvo type="num" val="95"/>
        <cfvo type="num" val="100"/>
      </iconSet>
    </cfRule>
  </conditionalFormatting>
  <conditionalFormatting sqref="V55">
    <cfRule type="iconSet" priority="796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  <cfRule type="iconSet" priority="798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40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6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62">
      <iconSet>
        <cfvo type="percent" val="0"/>
        <cfvo type="num" val="95"/>
        <cfvo type="num" val="10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71">
      <iconSet>
        <cfvo type="percent" val="0"/>
        <cfvo type="num" val="70"/>
        <cfvo type="num" val="90"/>
      </iconSet>
    </cfRule>
    <cfRule type="iconSet" priority="972">
      <iconSet>
        <cfvo type="percent" val="0"/>
        <cfvo type="num" val="70"/>
        <cfvo type="num" val="90"/>
      </iconSet>
    </cfRule>
    <cfRule type="iconSet" priority="973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3">
      <iconSet>
        <cfvo type="percent" val="0"/>
        <cfvo type="num" val="70"/>
        <cfvo type="num" val="9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70"/>
        <cfvo type="num" val="9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</conditionalFormatting>
  <conditionalFormatting sqref="AG11">
    <cfRule type="iconSet" priority="630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0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</conditionalFormatting>
  <conditionalFormatting sqref="AG18"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  <cfRule type="iconSet" priority="605">
      <iconSet>
        <cfvo type="percent" val="0"/>
        <cfvo type="num" val="70"/>
        <cfvo type="num" val="90"/>
      </iconSet>
    </cfRule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  <cfRule type="iconSet" priority="579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</conditionalFormatting>
  <conditionalFormatting sqref="AG26">
    <cfRule type="iconSet" priority="681">
      <iconSet>
        <cfvo type="percent" val="0"/>
        <cfvo type="num" val="95"/>
        <cfvo type="num" val="10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56">
      <iconSet>
        <cfvo type="percent" val="0"/>
        <cfvo type="num" val="95"/>
        <cfvo type="num" val="10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60">
      <iconSet>
        <cfvo type="percent" val="0"/>
        <cfvo type="num" val="95"/>
        <cfvo type="num" val="10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4">
      <iconSet>
        <cfvo type="percent" val="0"/>
        <cfvo type="num" val="95"/>
        <cfvo type="num" val="100"/>
      </iconSet>
    </cfRule>
  </conditionalFormatting>
  <conditionalFormatting sqref="AG46:AG47">
    <cfRule type="iconSet" priority="648">
      <iconSet>
        <cfvo type="percent" val="0"/>
        <cfvo type="num" val="95"/>
        <cfvo type="num" val="100"/>
      </iconSet>
    </cfRule>
    <cfRule type="iconSet" priority="649">
      <iconSet>
        <cfvo type="percent" val="0"/>
        <cfvo type="num" val="70"/>
        <cfvo type="num" val="90"/>
      </iconSet>
    </cfRule>
    <cfRule type="iconSet" priority="650">
      <iconSet>
        <cfvo type="percent" val="0"/>
        <cfvo type="num" val="70"/>
        <cfvo type="num" val="9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4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6">
      <iconSet>
        <cfvo type="percent" val="0"/>
        <cfvo type="num" val="95"/>
        <cfvo type="num" val="10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</conditionalFormatting>
  <conditionalFormatting sqref="AG55">
    <cfRule type="iconSet" priority="567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70"/>
        <cfvo type="num" val="90"/>
      </iconSet>
    </cfRule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90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701">
      <iconSet>
        <cfvo type="percent" val="0"/>
        <cfvo type="num" val="95"/>
        <cfvo type="num" val="100"/>
      </iconSet>
    </cfRule>
    <cfRule type="iconSet" priority="702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2">
      <iconSet>
        <cfvo type="percent" val="0"/>
        <cfvo type="num" val="70"/>
        <cfvo type="num" val="90"/>
      </iconSet>
    </cfRule>
    <cfRule type="iconSet" priority="743">
      <iconSet>
        <cfvo type="percent" val="0"/>
        <cfvo type="num" val="70"/>
        <cfvo type="num" val="90"/>
      </iconSet>
    </cfRule>
    <cfRule type="iconSet" priority="744">
      <iconSet>
        <cfvo type="percent" val="0"/>
        <cfvo type="num" val="95"/>
        <cfvo type="num" val="100"/>
      </iconSet>
    </cfRule>
    <cfRule type="iconSet" priority="745">
      <iconSet>
        <cfvo type="percent" val="0"/>
        <cfvo type="num" val="95"/>
        <cfvo type="num" val="100"/>
      </iconSet>
    </cfRule>
    <cfRule type="iconSet" priority="746">
      <iconSet>
        <cfvo type="percent" val="0"/>
        <cfvo type="num" val="70"/>
        <cfvo type="num" val="90"/>
      </iconSet>
    </cfRule>
    <cfRule type="iconSet" priority="747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  <cfRule type="iconSet" priority="445">
      <iconSet>
        <cfvo type="percent" val="0"/>
        <cfvo type="num" val="95"/>
        <cfvo type="num" val="10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2">
      <iconSet>
        <cfvo type="percent" val="0"/>
        <cfvo type="num" val="70"/>
        <cfvo type="num" val="9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8">
      <iconSet>
        <cfvo type="percent" val="0"/>
        <cfvo type="num" val="70"/>
        <cfvo type="num" val="90"/>
      </iconSet>
    </cfRule>
    <cfRule type="iconSet" priority="409">
      <iconSet>
        <cfvo type="percent" val="0"/>
        <cfvo type="num" val="95"/>
        <cfvo type="num" val="100"/>
      </iconSet>
    </cfRule>
  </conditionalFormatting>
  <conditionalFormatting sqref="AR12:AR17">
    <cfRule type="iconSet" priority="48298">
      <iconSet>
        <cfvo type="percent" val="0"/>
        <cfvo type="num" val="95"/>
        <cfvo type="num" val="100"/>
      </iconSet>
    </cfRule>
    <cfRule type="iconSet" priority="48299">
      <iconSet>
        <cfvo type="percent" val="0"/>
        <cfvo type="num" val="70"/>
        <cfvo type="num" val="90"/>
      </iconSet>
    </cfRule>
    <cfRule type="iconSet" priority="48300">
      <iconSet>
        <cfvo type="percent" val="0"/>
        <cfvo type="num" val="70"/>
        <cfvo type="num" val="9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5">
      <iconSet>
        <cfvo type="percent" val="0"/>
        <cfvo type="num" val="70"/>
        <cfvo type="num" val="9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6">
      <iconSet>
        <cfvo type="percent" val="0"/>
        <cfvo type="num" val="70"/>
        <cfvo type="num" val="90"/>
      </iconSet>
    </cfRule>
    <cfRule type="iconSet" priority="377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9">
      <iconSet>
        <cfvo type="percent" val="0"/>
        <cfvo type="num" val="95"/>
        <cfvo type="num" val="100"/>
      </iconSet>
    </cfRule>
    <cfRule type="iconSet" priority="380">
      <iconSet>
        <cfvo type="percent" val="0"/>
        <cfvo type="num" val="70"/>
        <cfvo type="num" val="90"/>
      </iconSet>
    </cfRule>
    <cfRule type="iconSet" priority="381">
      <iconSet>
        <cfvo type="percent" val="0"/>
        <cfvo type="num" val="70"/>
        <cfvo type="num" val="90"/>
      </iconSet>
    </cfRule>
    <cfRule type="iconSet" priority="382">
      <iconSet>
        <cfvo type="percent" val="0"/>
        <cfvo type="num" val="95"/>
        <cfvo type="num" val="100"/>
      </iconSet>
    </cfRule>
  </conditionalFormatting>
  <conditionalFormatting sqref="AR20"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31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  <cfRule type="iconSet" priority="433">
      <iconSet>
        <cfvo type="percent" val="0"/>
        <cfvo type="num" val="95"/>
        <cfvo type="num" val="100"/>
      </iconSet>
    </cfRule>
    <cfRule type="iconSet" priority="434">
      <iconSet>
        <cfvo type="percent" val="0"/>
        <cfvo type="num" val="70"/>
        <cfvo type="num" val="90"/>
      </iconSet>
    </cfRule>
    <cfRule type="iconSet" priority="435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  <cfRule type="iconSet" priority="363">
      <iconSet>
        <cfvo type="percent" val="0"/>
        <cfvo type="num" val="70"/>
        <cfvo type="num" val="90"/>
      </iconSet>
    </cfRule>
    <cfRule type="iconSet" priority="364">
      <iconSet>
        <cfvo type="percent" val="0"/>
        <cfvo type="num" val="95"/>
        <cfvo type="num" val="10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2">
      <iconSet>
        <cfvo type="percent" val="0"/>
        <cfvo type="num" val="95"/>
        <cfvo type="num" val="100"/>
      </iconSet>
    </cfRule>
    <cfRule type="iconSet" priority="453">
      <iconSet>
        <cfvo type="percent" val="0"/>
        <cfvo type="num" val="70"/>
        <cfvo type="num" val="90"/>
      </iconSet>
    </cfRule>
    <cfRule type="iconSet" priority="454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</conditionalFormatting>
  <conditionalFormatting sqref="AR27:AR45">
    <cfRule type="iconSet" priority="47979">
      <iconSet>
        <cfvo type="percent" val="0"/>
        <cfvo type="num" val="95"/>
        <cfvo type="num" val="100"/>
      </iconSet>
    </cfRule>
    <cfRule type="iconSet" priority="47980">
      <iconSet>
        <cfvo type="percent" val="0"/>
        <cfvo type="num" val="70"/>
        <cfvo type="num" val="90"/>
      </iconSet>
    </cfRule>
    <cfRule type="iconSet" priority="47981">
      <iconSet>
        <cfvo type="percent" val="0"/>
        <cfvo type="num" val="70"/>
        <cfvo type="num" val="9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7">
      <iconSet>
        <cfvo type="percent" val="0"/>
        <cfvo type="num" val="95"/>
        <cfvo type="num" val="100"/>
      </iconSet>
    </cfRule>
  </conditionalFormatting>
  <conditionalFormatting sqref="AR46:AR47">
    <cfRule type="iconSet" priority="419">
      <iconSet>
        <cfvo type="percent" val="0"/>
        <cfvo type="num" val="95"/>
        <cfvo type="num" val="100"/>
      </iconSet>
    </cfRule>
    <cfRule type="iconSet" priority="420">
      <iconSet>
        <cfvo type="percent" val="0"/>
        <cfvo type="num" val="70"/>
        <cfvo type="num" val="90"/>
      </iconSet>
    </cfRule>
    <cfRule type="iconSet" priority="421">
      <iconSet>
        <cfvo type="percent" val="0"/>
        <cfvo type="num" val="70"/>
        <cfvo type="num" val="90"/>
      </iconSet>
    </cfRule>
    <cfRule type="iconSet" priority="422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4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6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3">
      <iconSet>
        <cfvo type="percent" val="0"/>
        <cfvo type="num" val="95"/>
        <cfvo type="num" val="100"/>
      </iconSet>
    </cfRule>
    <cfRule type="iconSet" priority="48044">
      <iconSet>
        <cfvo type="percent" val="0"/>
        <cfvo type="num" val="70"/>
        <cfvo type="num" val="9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7">
      <iconSet>
        <cfvo type="percent" val="0"/>
        <cfvo type="num" val="95"/>
        <cfvo type="num" val="10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50">
      <iconSet>
        <cfvo type="percent" val="0"/>
        <cfvo type="num" val="70"/>
        <cfvo type="num" val="90"/>
      </iconSet>
    </cfRule>
    <cfRule type="iconSet" priority="48051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38">
      <iconSet>
        <cfvo type="percent" val="0"/>
        <cfvo type="num" val="95"/>
        <cfvo type="num" val="100"/>
      </iconSet>
    </cfRule>
    <cfRule type="iconSet" priority="339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41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3">
      <iconSet>
        <cfvo type="percent" val="0"/>
        <cfvo type="num" val="95"/>
        <cfvo type="num" val="100"/>
      </iconSet>
    </cfRule>
    <cfRule type="iconSet" priority="344">
      <iconSet>
        <cfvo type="percent" val="0"/>
        <cfvo type="num" val="70"/>
        <cfvo type="num" val="90"/>
      </iconSet>
    </cfRule>
    <cfRule type="iconSet" priority="345">
      <iconSet>
        <cfvo type="percent" val="0"/>
        <cfvo type="num" val="70"/>
        <cfvo type="num" val="90"/>
      </iconSet>
    </cfRule>
    <cfRule type="iconSet" priority="346">
      <iconSet>
        <cfvo type="percent" val="0"/>
        <cfvo type="num" val="95"/>
        <cfvo type="num" val="10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446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5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70"/>
        <cfvo type="num" val="9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3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95"/>
        <cfvo type="num" val="10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70"/>
        <cfvo type="num" val="9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95"/>
        <cfvo type="num" val="100"/>
      </iconSet>
    </cfRule>
    <cfRule type="iconSet" priority="520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08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0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</conditionalFormatting>
  <conditionalFormatting sqref="BC11"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1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7">
      <iconSet>
        <cfvo type="percent" val="0"/>
        <cfvo type="num" val="70"/>
        <cfvo type="num" val="90"/>
      </iconSet>
    </cfRule>
    <cfRule type="iconSet" priority="48328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</conditionalFormatting>
  <conditionalFormatting sqref="BC18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</conditionalFormatting>
  <conditionalFormatting sqref="BC20"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</conditionalFormatting>
  <conditionalFormatting sqref="BC24:BC25"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</conditionalFormatting>
  <conditionalFormatting sqref="BC26">
    <cfRule type="iconSet" priority="37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4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BC27:BC45">
    <cfRule type="iconSet" priority="46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8">
      <iconSet>
        <cfvo type="percent" val="0"/>
        <cfvo type="num" val="70"/>
        <cfvo type="num" val="90"/>
      </iconSet>
    </cfRule>
    <cfRule type="iconSet" priority="49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51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3">
      <iconSet>
        <cfvo type="percent" val="0"/>
        <cfvo type="num" val="70"/>
        <cfvo type="num" val="90"/>
      </iconSet>
    </cfRule>
    <cfRule type="iconSet" priority="54">
      <iconSet>
        <cfvo type="percent" val="0"/>
        <cfvo type="num" val="95"/>
        <cfvo type="num" val="100"/>
      </iconSet>
    </cfRule>
  </conditionalFormatting>
  <conditionalFormatting sqref="BC46:BC47"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7">
      <iconSet>
        <cfvo type="percent" val="0"/>
        <cfvo type="num" val="95"/>
        <cfvo type="num" val="100"/>
      </iconSet>
    </cfRule>
  </conditionalFormatting>
  <conditionalFormatting sqref="BC48"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70"/>
        <cfvo type="num" val="90"/>
      </iconSet>
    </cfRule>
    <cfRule type="iconSet" priority="58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</conditionalFormatting>
  <conditionalFormatting sqref="BC49:BC50">
    <cfRule type="iconSet" priority="64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  <cfRule type="iconSet" priority="67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9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71">
      <iconSet>
        <cfvo type="percent" val="0"/>
        <cfvo type="num" val="70"/>
        <cfvo type="num" val="90"/>
      </iconSet>
    </cfRule>
    <cfRule type="iconSet" priority="72">
      <iconSet>
        <cfvo type="percent" val="0"/>
        <cfvo type="num" val="95"/>
        <cfvo type="num" val="100"/>
      </iconSet>
    </cfRule>
  </conditionalFormatting>
  <conditionalFormatting sqref="BC51:BC54">
    <cfRule type="iconSet" priority="48178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86">
      <iconSet>
        <cfvo type="percent" val="0"/>
        <cfvo type="num" val="95"/>
        <cfvo type="num" val="100"/>
      </iconSet>
    </cfRule>
  </conditionalFormatting>
  <conditionalFormatting sqref="BC55"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</conditionalFormatting>
  <conditionalFormatting sqref="BC56"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69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268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A4" sqref="A4:A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4" t="s">
        <v>93</v>
      </c>
      <c r="E4" s="719" t="s">
        <v>272</v>
      </c>
      <c r="F4" s="714" t="s">
        <v>99</v>
      </c>
      <c r="G4" s="714" t="s">
        <v>374</v>
      </c>
      <c r="H4" s="714" t="s">
        <v>375</v>
      </c>
      <c r="I4" s="731" t="s">
        <v>378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5"/>
      <c r="E5" s="720"/>
      <c r="F5" s="715"/>
      <c r="G5" s="715"/>
      <c r="H5" s="715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268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>
      <selection activeCell="A4" sqref="A4:A5"/>
    </sheetView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268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379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268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topLeftCell="A42" zoomScaleNormal="100" workbookViewId="0">
      <selection activeCell="H58" sqref="H58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619" t="s">
        <v>90</v>
      </c>
      <c r="AJ1" s="753" t="s">
        <v>452</v>
      </c>
      <c r="AK1" s="753"/>
      <c r="AL1" s="753"/>
      <c r="AM1" s="753"/>
      <c r="AN1" s="753"/>
      <c r="AO1" s="753"/>
      <c r="AP1" s="753"/>
      <c r="AQ1" s="753"/>
      <c r="AR1" s="753"/>
      <c r="AS1" s="753"/>
      <c r="AT1" s="753"/>
      <c r="AU1" s="753"/>
      <c r="AV1" s="753"/>
      <c r="BA1" s="753" t="s">
        <v>452</v>
      </c>
      <c r="BB1" s="753"/>
      <c r="BC1" s="753"/>
      <c r="BD1" s="753"/>
      <c r="BE1" s="753"/>
      <c r="BF1" s="753"/>
      <c r="BG1" s="753"/>
      <c r="BH1" s="753"/>
      <c r="BI1" s="753"/>
      <c r="BJ1" s="753"/>
      <c r="BK1" s="753"/>
      <c r="BL1" s="753"/>
      <c r="BM1" s="753"/>
    </row>
    <row r="2" spans="1:103">
      <c r="A2" t="s">
        <v>453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1" t="s">
        <v>478</v>
      </c>
      <c r="BQ2" s="751"/>
      <c r="BR2" s="751"/>
      <c r="BS2" s="751"/>
      <c r="BT2" s="751"/>
      <c r="BU2" s="751"/>
      <c r="BV2" s="751"/>
      <c r="BW2" s="751"/>
      <c r="BX2" s="751"/>
      <c r="BY2" s="751"/>
      <c r="BZ2" s="751"/>
      <c r="CA2" s="751"/>
      <c r="CB2" s="751"/>
      <c r="CC2" s="751"/>
      <c r="CF2" s="751" t="s">
        <v>479</v>
      </c>
      <c r="CG2" s="751"/>
      <c r="CH2" s="751"/>
      <c r="CI2" s="751"/>
      <c r="CJ2" s="751"/>
      <c r="CK2" s="751"/>
      <c r="CL2" s="751"/>
      <c r="CM2" s="751"/>
      <c r="CN2" s="751"/>
      <c r="CO2" s="751"/>
      <c r="CP2" s="751"/>
      <c r="CQ2" s="751"/>
      <c r="CR2" s="751"/>
      <c r="CS2" s="751"/>
    </row>
    <row r="3" spans="1:103" ht="15.75" thickBot="1">
      <c r="A3" t="s">
        <v>454</v>
      </c>
      <c r="B3" t="s">
        <v>455</v>
      </c>
      <c r="C3" t="s">
        <v>456</v>
      </c>
      <c r="E3" s="21" t="s">
        <v>457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457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457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457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45900</v>
      </c>
      <c r="BQ3" s="105" t="s">
        <v>458</v>
      </c>
      <c r="BR3" s="21"/>
      <c r="BS3" s="105" t="s">
        <v>459</v>
      </c>
      <c r="BT3" s="105" t="s">
        <v>460</v>
      </c>
      <c r="BU3" s="105" t="s">
        <v>461</v>
      </c>
      <c r="BX3" s="754" t="s">
        <v>459</v>
      </c>
      <c r="BY3" s="105" t="s">
        <v>9</v>
      </c>
      <c r="BZ3">
        <f>COUNT(BS4:BS10)</f>
        <v>6</v>
      </c>
      <c r="CB3" t="s">
        <v>459</v>
      </c>
      <c r="CC3">
        <f>SUM(BZ3:BZ4)</f>
        <v>32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462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458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97.594078809570888</v>
      </c>
      <c r="BR4" t="str" cm="1">
        <f t="array" ref="BR4:BR44">_xlfn.ANCHORARRAY(C4)</f>
        <v>Penjualan Tenaga Listrik</v>
      </c>
      <c r="BS4" s="621" t="str" cm="1">
        <f t="array" ref="BS4:BS44">IF(BQ4:BQ44&gt;=100,BQ4:BQ44,"")</f>
        <v/>
      </c>
      <c r="BT4" s="621">
        <f t="shared" ref="BT4:BT44" si="48">IF(BQ4&lt;100,IF(BQ4&gt;=95,BQ4,""),"")</f>
        <v>97.594078809570888</v>
      </c>
      <c r="BU4" s="621" t="str" cm="1">
        <f t="array" ref="BU4:BU42">IF(BQ4:BQ42&lt;95,BQ4:BQ42,"")</f>
        <v/>
      </c>
      <c r="BV4" s="618">
        <f>BQ4/100</f>
        <v>0.97594078809570883</v>
      </c>
      <c r="BX4" s="754"/>
      <c r="BY4" s="105" t="s">
        <v>463</v>
      </c>
      <c r="BZ4">
        <f>COUNT(BS11:BS42)</f>
        <v>26</v>
      </c>
      <c r="CB4" t="s">
        <v>460</v>
      </c>
      <c r="CC4">
        <f>SUM(BZ5:BZ6)</f>
        <v>3</v>
      </c>
      <c r="CF4" s="800" t="s">
        <v>474</v>
      </c>
      <c r="CG4" s="796" t="s">
        <v>458</v>
      </c>
      <c r="CH4" s="797" t="str">
        <f>DBRD!$R$61</f>
        <v>Penyelesaian Ganti Meter</v>
      </c>
      <c r="CI4" s="798"/>
      <c r="CJ4" s="798"/>
      <c r="CK4" s="798"/>
      <c r="CL4" s="798"/>
      <c r="CM4" s="798"/>
      <c r="CN4" s="798"/>
      <c r="CO4" s="798"/>
      <c r="CP4" s="798"/>
      <c r="CQ4" s="798"/>
      <c r="CR4" s="798"/>
      <c r="CS4" s="799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462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458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4" t="s">
        <v>460</v>
      </c>
      <c r="BY5" s="105" t="s">
        <v>9</v>
      </c>
      <c r="BZ5">
        <f>COUNT(BT4:BT10)</f>
        <v>1</v>
      </c>
      <c r="CB5" t="s">
        <v>461</v>
      </c>
      <c r="CC5">
        <f>SUM(BZ7:BZ8)</f>
        <v>4</v>
      </c>
      <c r="CF5" s="611"/>
      <c r="CG5" s="783"/>
      <c r="CH5" s="787">
        <f>DATE(2025,CH3+1,0)</f>
        <v>45688</v>
      </c>
      <c r="CI5" s="787">
        <f>DATE(2025,CI3+1,0)</f>
        <v>45716</v>
      </c>
      <c r="CJ5" s="787">
        <f>DATE(2025,CJ3+1,0)</f>
        <v>45747</v>
      </c>
      <c r="CK5" s="787">
        <f>DATE(2025,CK3+1,0)</f>
        <v>45777</v>
      </c>
      <c r="CL5" s="787">
        <f>DATE(2025,CL3+1,0)</f>
        <v>45808</v>
      </c>
      <c r="CM5" s="787">
        <f>DATE(2025,CM3+1,0)</f>
        <v>45838</v>
      </c>
      <c r="CN5" s="787">
        <f>DATE(2025,CN3+1,0)</f>
        <v>45869</v>
      </c>
      <c r="CO5" s="787">
        <f>DATE(2025,CO3+1,0)</f>
        <v>45900</v>
      </c>
      <c r="CP5" s="787">
        <f>DATE(2025,CP3+1,0)</f>
        <v>45930</v>
      </c>
      <c r="CQ5" s="787">
        <f>DATE(2025,CQ3+1,0)</f>
        <v>45961</v>
      </c>
      <c r="CR5" s="787">
        <f>DATE(2025,CR3+1,0)</f>
        <v>45991</v>
      </c>
      <c r="CS5" s="788">
        <f>DATE(2025,CS3+1,0)</f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462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458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4"/>
      <c r="BY6" s="105" t="s">
        <v>463</v>
      </c>
      <c r="BZ6">
        <f>COUNT(BT11:BT42)</f>
        <v>2</v>
      </c>
      <c r="CF6" s="785" t="s">
        <v>7</v>
      </c>
      <c r="CG6" s="783" t="s">
        <v>100</v>
      </c>
      <c r="CH6" s="789">
        <f>INDEX(_xlfn.ANCHORARRAY(G$4),MATCH($CH$4,_xlfn.ANCHORARRAY($E$4),0))</f>
        <v>437</v>
      </c>
      <c r="CI6" s="789">
        <f t="shared" ref="CI6:CS6" si="54">INDEX(_xlfn.ANCHORARRAY(H$4),MATCH($CH$4,_xlfn.ANCHORARRAY($E$4),0))</f>
        <v>869</v>
      </c>
      <c r="CJ6" s="789">
        <f t="shared" si="54"/>
        <v>1300</v>
      </c>
      <c r="CK6" s="789">
        <f t="shared" si="54"/>
        <v>1732</v>
      </c>
      <c r="CL6" s="789">
        <f t="shared" si="54"/>
        <v>1947</v>
      </c>
      <c r="CM6" s="789">
        <f t="shared" si="54"/>
        <v>2158</v>
      </c>
      <c r="CN6" s="789">
        <f t="shared" si="54"/>
        <v>2801</v>
      </c>
      <c r="CO6" s="789">
        <f t="shared" si="54"/>
        <v>3444</v>
      </c>
      <c r="CP6" s="789">
        <f t="shared" si="54"/>
        <v>4087</v>
      </c>
      <c r="CQ6" s="789">
        <f t="shared" si="54"/>
        <v>4727</v>
      </c>
      <c r="CR6" s="789">
        <f t="shared" si="54"/>
        <v>4727</v>
      </c>
      <c r="CS6" s="790">
        <f t="shared" si="54"/>
        <v>4727</v>
      </c>
    </row>
    <row r="7" spans="1:103">
      <c r="A7" t="str">
        <v>c. ENS</v>
      </c>
      <c r="B7">
        <v>2</v>
      </c>
      <c r="C7" t="str">
        <v>ENS</v>
      </c>
      <c r="D7" s="105" t="s">
        <v>462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5">IF(((H7-(W7-H7))/H7)*100&gt;110,110,((H7-(W7-H7))/H7)*100)</f>
        <v>110</v>
      </c>
      <c r="AM7" s="618">
        <f t="shared" si="55"/>
        <v>110</v>
      </c>
      <c r="AN7" s="618">
        <f t="shared" si="55"/>
        <v>110</v>
      </c>
      <c r="AO7" s="618">
        <f t="shared" si="55"/>
        <v>110</v>
      </c>
      <c r="AP7" s="618">
        <f t="shared" si="55"/>
        <v>110</v>
      </c>
      <c r="AQ7" s="618">
        <f t="shared" si="55"/>
        <v>110</v>
      </c>
      <c r="AR7" s="618">
        <f t="shared" si="55"/>
        <v>110</v>
      </c>
      <c r="AS7" s="618">
        <f t="shared" si="55"/>
        <v>110</v>
      </c>
      <c r="AT7" s="618">
        <f t="shared" si="55"/>
        <v>110</v>
      </c>
      <c r="AU7" s="618">
        <f t="shared" si="55"/>
        <v>110</v>
      </c>
      <c r="AV7" s="618">
        <f t="shared" si="55"/>
        <v>110</v>
      </c>
      <c r="AW7" s="621"/>
      <c r="AX7" t="str">
        <f t="shared" si="36"/>
        <v>ENS</v>
      </c>
      <c r="AY7" s="105" t="s">
        <v>458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4" t="s">
        <v>461</v>
      </c>
      <c r="BY7" s="105" t="s">
        <v>9</v>
      </c>
      <c r="BZ7">
        <f>COUNT(BU4:BU10)</f>
        <v>0</v>
      </c>
      <c r="CF7" s="785"/>
      <c r="CG7" s="783" t="s">
        <v>254</v>
      </c>
      <c r="CH7" s="789">
        <f>INDEX(_xlfn.ANCHORARRAY(V$4),MATCH($CH$4,_xlfn.ANCHORARRAY($T$4),0))</f>
        <v>21</v>
      </c>
      <c r="CI7" s="789">
        <f t="shared" ref="CI7:CS7" si="56">INDEX(_xlfn.ANCHORARRAY(W$4),MATCH($CH$4,_xlfn.ANCHORARRAY($T$4),0))</f>
        <v>287</v>
      </c>
      <c r="CJ7" s="789">
        <f t="shared" si="56"/>
        <v>1413</v>
      </c>
      <c r="CK7" s="789">
        <f t="shared" si="56"/>
        <v>2172</v>
      </c>
      <c r="CL7" s="789">
        <f t="shared" si="56"/>
        <v>2755</v>
      </c>
      <c r="CM7" s="789">
        <f t="shared" si="56"/>
        <v>3122</v>
      </c>
      <c r="CN7" s="789">
        <f t="shared" si="56"/>
        <v>3533</v>
      </c>
      <c r="CO7" s="789">
        <f t="shared" si="56"/>
        <v>3695</v>
      </c>
      <c r="CP7" s="789">
        <f t="shared" si="56"/>
        <v>3957</v>
      </c>
      <c r="CQ7" s="789">
        <f t="shared" si="56"/>
        <v>3957</v>
      </c>
      <c r="CR7" s="789">
        <f t="shared" si="56"/>
        <v>3957</v>
      </c>
      <c r="CS7" s="789">
        <f t="shared" si="56"/>
        <v>3957</v>
      </c>
      <c r="CT7" s="801">
        <f>DBRD!R97</f>
        <v>45838</v>
      </c>
      <c r="CU7" s="802" t="s">
        <v>102</v>
      </c>
      <c r="CV7" t="s">
        <v>483</v>
      </c>
      <c r="CW7" t="s">
        <v>484</v>
      </c>
      <c r="CX7" t="s">
        <v>461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462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7">IF((2-(V8/G8))*100&gt;110,110,(2-(V8/G8))*100)</f>
        <v>110</v>
      </c>
      <c r="AL8" s="618">
        <f t="shared" ref="AL8" si="58">IF((2-(W8/H8))*100&gt;110,110,(2-(W8/H8))*100)</f>
        <v>110</v>
      </c>
      <c r="AM8" s="618">
        <f t="shared" ref="AM8" si="59">IF((2-(X8/I8))*100&gt;110,110,(2-(X8/I8))*100)</f>
        <v>110</v>
      </c>
      <c r="AN8" s="618">
        <f t="shared" ref="AN8" si="60">IF((2-(Y8/J8))*100&gt;110,110,(2-(Y8/J8))*100)</f>
        <v>110</v>
      </c>
      <c r="AO8" s="618">
        <f t="shared" ref="AO8" si="61">IF((2-(Z8/K8))*100&gt;110,110,(2-(Z8/K8))*100)</f>
        <v>110</v>
      </c>
      <c r="AP8" s="618">
        <f t="shared" ref="AP8" si="62">IF((2-(AA8/L8))*100&gt;110,110,(2-(AA8/L8))*100)</f>
        <v>110</v>
      </c>
      <c r="AQ8" s="618">
        <f t="shared" ref="AQ8" si="63">IF((2-(AB8/M8))*100&gt;110,110,(2-(AB8/M8))*100)</f>
        <v>110</v>
      </c>
      <c r="AR8" s="618">
        <f t="shared" ref="AR8" si="64">IF((2-(AC8/N8))*100&gt;110,110,(2-(AC8/N8))*100)</f>
        <v>110</v>
      </c>
      <c r="AS8" s="618">
        <f t="shared" ref="AS8" si="65">IF((2-(AD8/O8))*100&gt;110,110,(2-(AD8/O8))*100)</f>
        <v>110</v>
      </c>
      <c r="AT8" s="618">
        <f t="shared" ref="AT8" si="66">IF((2-(AE8/P8))*100&gt;110,110,(2-(AE8/P8))*100)</f>
        <v>110</v>
      </c>
      <c r="AU8" s="618">
        <f t="shared" ref="AU8" si="67">IF((2-(AF8/Q8))*100&gt;110,110,(2-(AF8/Q8))*100)</f>
        <v>110</v>
      </c>
      <c r="AV8" s="618">
        <f t="shared" ref="AV8" si="68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458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4"/>
      <c r="BY8" s="105" t="s">
        <v>463</v>
      </c>
      <c r="BZ8">
        <f>COUNT(BU11:BU42)</f>
        <v>4</v>
      </c>
      <c r="CF8" s="786"/>
      <c r="CG8" s="614" t="s">
        <v>102</v>
      </c>
      <c r="CH8" s="791">
        <f>INDEX(AK$4:AK$44,MATCH($CH$4,$AI$4:$AI$44,0))</f>
        <v>4.805491990846682</v>
      </c>
      <c r="CI8" s="791">
        <f t="shared" ref="CI8:CS8" si="69">INDEX(AL$4:AL$44,MATCH($CH$4,$AI$4:$AI$44,0))</f>
        <v>33.026467203682394</v>
      </c>
      <c r="CJ8" s="791">
        <f t="shared" si="69"/>
        <v>108.69230769230769</v>
      </c>
      <c r="CK8" s="791">
        <f t="shared" si="69"/>
        <v>110</v>
      </c>
      <c r="CL8" s="791">
        <f t="shared" si="69"/>
        <v>110</v>
      </c>
      <c r="CM8" s="791">
        <f t="shared" si="69"/>
        <v>110</v>
      </c>
      <c r="CN8" s="791">
        <f t="shared" si="69"/>
        <v>110</v>
      </c>
      <c r="CO8" s="791">
        <f t="shared" si="69"/>
        <v>107.28803716608594</v>
      </c>
      <c r="CP8" s="791">
        <f t="shared" si="69"/>
        <v>96.819182774651338</v>
      </c>
      <c r="CQ8" s="791">
        <f t="shared" si="69"/>
        <v>83.710598688385872</v>
      </c>
      <c r="CR8" s="791">
        <f t="shared" si="69"/>
        <v>83.710598688385872</v>
      </c>
      <c r="CS8" s="791">
        <f t="shared" si="69"/>
        <v>83.710598688385872</v>
      </c>
      <c r="CT8" s="803" t="str">
        <f>CF6</f>
        <v>UP3 TOLITOLI</v>
      </c>
      <c r="CU8" s="805" cm="1">
        <f t="array" ref="CU8">INDEX(CH8:CS8,MATCH(MONTH($CT$7),MONTH($CH$5:$CS$5)))</f>
        <v>110</v>
      </c>
      <c r="CV8" s="807">
        <f>IF(CU8&gt;=100,CU8,0)</f>
        <v>110</v>
      </c>
      <c r="CW8" s="618">
        <f t="shared" ref="CW8:CW9" si="70">IF(OR(CV8&lt;&gt;0,CX8&lt;&gt;0)=TRUE,0,CU8)</f>
        <v>0</v>
      </c>
      <c r="CX8" s="621">
        <f>IF(CU8&lt;95,CU8,0)</f>
        <v>0</v>
      </c>
      <c r="CY8" s="807">
        <f>110-SUM(CV8:CX8)</f>
        <v>0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462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71">IF(V9/G9*100&gt;110,110,V9/G9*100)</f>
        <v>87.045070107538209</v>
      </c>
      <c r="AL9" s="618">
        <f t="shared" si="71"/>
        <v>50.638292377684358</v>
      </c>
      <c r="AM9" s="618">
        <f t="shared" si="71"/>
        <v>75.868714141073241</v>
      </c>
      <c r="AN9" s="618">
        <f t="shared" si="71"/>
        <v>81.591471670158683</v>
      </c>
      <c r="AO9" s="618">
        <f t="shared" si="71"/>
        <v>87.283517416878382</v>
      </c>
      <c r="AP9" s="618">
        <f t="shared" si="71"/>
        <v>110</v>
      </c>
      <c r="AQ9" s="618">
        <f t="shared" si="71"/>
        <v>110</v>
      </c>
      <c r="AR9" s="618">
        <f t="shared" si="71"/>
        <v>110</v>
      </c>
      <c r="AS9" s="618">
        <f t="shared" si="71"/>
        <v>110</v>
      </c>
      <c r="AT9" s="618">
        <f t="shared" si="71"/>
        <v>110</v>
      </c>
      <c r="AU9" s="618">
        <f t="shared" si="71"/>
        <v>101.75070311621104</v>
      </c>
      <c r="AV9" s="618">
        <f t="shared" si="71"/>
        <v>91.575632804589944</v>
      </c>
      <c r="AW9" s="621"/>
      <c r="AX9" t="str">
        <f t="shared" si="36"/>
        <v>Penyelesaian Temuan P2TL</v>
      </c>
      <c r="AY9" s="105" t="s">
        <v>458</v>
      </c>
      <c r="AZ9" s="620">
        <f t="shared" ref="AZ9:AZ10" si="72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110</v>
      </c>
      <c r="BR9" t="str">
        <v>Penyelesaian Temuan P2TL</v>
      </c>
      <c r="BS9" s="621">
        <v>110</v>
      </c>
      <c r="BT9" s="621" t="str">
        <f t="shared" si="48"/>
        <v/>
      </c>
      <c r="BU9" s="621" t="str">
        <v/>
      </c>
      <c r="BV9" s="618">
        <f t="shared" si="51"/>
        <v>1.1000000000000001</v>
      </c>
      <c r="CF9" s="795" t="s">
        <v>482</v>
      </c>
      <c r="CG9" s="609" t="s">
        <v>468</v>
      </c>
      <c r="CH9" s="793">
        <f>INDEX(AK$67:AK$96,MATCH($CH$4,_xlfn.ANCHORARRAY($AI$67),0))</f>
        <v>7.18954248366013</v>
      </c>
      <c r="CI9" s="793">
        <f t="shared" ref="CI9:CS9" si="73">INDEX(AL$67:AL$96,MATCH($CH$4,_xlfn.ANCHORARRAY($AI$67),0))</f>
        <v>32.786885245901637</v>
      </c>
      <c r="CJ9" s="793">
        <f t="shared" si="73"/>
        <v>92.560175054704601</v>
      </c>
      <c r="CK9" s="793">
        <f t="shared" si="73"/>
        <v>107.88177339901478</v>
      </c>
      <c r="CL9" s="793">
        <f t="shared" si="73"/>
        <v>110</v>
      </c>
      <c r="CM9" s="793">
        <f t="shared" si="73"/>
        <v>110</v>
      </c>
      <c r="CN9" s="793">
        <f t="shared" si="73"/>
        <v>110</v>
      </c>
      <c r="CO9" s="793">
        <f t="shared" si="73"/>
        <v>108.50869167429093</v>
      </c>
      <c r="CP9" s="793">
        <f t="shared" si="73"/>
        <v>96.627450980392155</v>
      </c>
      <c r="CQ9" s="793">
        <f t="shared" si="73"/>
        <v>84.557309540150996</v>
      </c>
      <c r="CR9" s="793">
        <f t="shared" si="73"/>
        <v>84.557309540150996</v>
      </c>
      <c r="CS9" s="793">
        <f t="shared" si="73"/>
        <v>84.557309540150996</v>
      </c>
      <c r="CT9" s="803" t="str">
        <f>CG9</f>
        <v>KC TOLIS</v>
      </c>
      <c r="CU9" s="805" cm="1">
        <f t="array" ref="CU9">INDEX(CH9:CS9,MATCH(MONTH($CT$7),MONTH($CH$5:$CS$5)))</f>
        <v>110</v>
      </c>
      <c r="CV9" s="807">
        <f t="shared" ref="CV9:CV13" si="74">IF(CU9&gt;=100,CU9,0)</f>
        <v>110</v>
      </c>
      <c r="CW9" s="618">
        <f t="shared" si="70"/>
        <v>0</v>
      </c>
      <c r="CX9" s="621">
        <f t="shared" ref="CX9:CX13" si="75">IF(CU9&lt;95,CU9,0)</f>
        <v>0</v>
      </c>
      <c r="CY9" s="807">
        <f t="shared" ref="CY9:CY13" si="76">110-SUM(CV9:CX9)</f>
        <v>0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462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77">IF(V10/G10*100&gt;110,110,V10/G10*100)</f>
        <v>4.805491990846682</v>
      </c>
      <c r="AL10" s="618">
        <f t="shared" ref="AL10" si="78">IF(W10/H10*100&gt;110,110,W10/H10*100)</f>
        <v>33.026467203682394</v>
      </c>
      <c r="AM10" s="618">
        <f t="shared" ref="AM10" si="79">IF(X10/I10*100&gt;110,110,X10/I10*100)</f>
        <v>108.69230769230769</v>
      </c>
      <c r="AN10" s="618">
        <f t="shared" ref="AN10" si="80">IF(Y10/J10*100&gt;110,110,Y10/J10*100)</f>
        <v>110</v>
      </c>
      <c r="AO10" s="618">
        <f t="shared" ref="AO10" si="81">IF(Z10/K10*100&gt;110,110,Z10/K10*100)</f>
        <v>110</v>
      </c>
      <c r="AP10" s="618">
        <f t="shared" ref="AP10" si="82">IF(AA10/L10*100&gt;110,110,AA10/L10*100)</f>
        <v>110</v>
      </c>
      <c r="AQ10" s="618">
        <f t="shared" ref="AQ10" si="83">IF(AB10/M10*100&gt;110,110,AB10/M10*100)</f>
        <v>110</v>
      </c>
      <c r="AR10" s="618">
        <f t="shared" ref="AR10" si="84">IF(AC10/N10*100&gt;110,110,AC10/N10*100)</f>
        <v>107.28803716608594</v>
      </c>
      <c r="AS10" s="618">
        <f t="shared" ref="AS10" si="85">IF(AD10/O10*100&gt;110,110,AD10/O10*100)</f>
        <v>96.819182774651338</v>
      </c>
      <c r="AT10" s="618">
        <f t="shared" ref="AT10" si="86">IF(AE10/P10*100&gt;110,110,AE10/P10*100)</f>
        <v>83.710598688385872</v>
      </c>
      <c r="AU10" s="618">
        <f t="shared" ref="AU10" si="87">IF(AF10/Q10*100&gt;110,110,AF10/Q10*100)</f>
        <v>83.710598688385872</v>
      </c>
      <c r="AV10" s="618">
        <f t="shared" ref="AV10" si="88">IF(AG10/R10*100&gt;110,110,AG10/R10*100)</f>
        <v>83.710598688385872</v>
      </c>
      <c r="AW10" s="621"/>
      <c r="AX10" t="str">
        <f t="shared" si="36"/>
        <v>Penyelesaian Ganti Meter</v>
      </c>
      <c r="AY10" s="105" t="s">
        <v>458</v>
      </c>
      <c r="AZ10" s="620">
        <f t="shared" si="72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107.28803716608594</v>
      </c>
      <c r="BR10" t="str">
        <v>Penyelesaian Ganti Meter</v>
      </c>
      <c r="BS10" s="621">
        <v>107.28803716608594</v>
      </c>
      <c r="BT10" s="621" t="str">
        <f t="shared" si="48"/>
        <v/>
      </c>
      <c r="BU10" s="621" t="str">
        <v/>
      </c>
      <c r="BV10" s="618">
        <f t="shared" si="51"/>
        <v>1.0728803716608595</v>
      </c>
      <c r="CF10" s="785"/>
      <c r="CG10" s="783" t="s">
        <v>4</v>
      </c>
      <c r="CH10" s="789">
        <f>INDEX(AK$115:AK$144,MATCH($CH$4,_xlfn.ANCHORARRAY($AI$115),0))</f>
        <v>15.555555555555555</v>
      </c>
      <c r="CI10" s="789">
        <f t="shared" ref="CI10:CS10" si="89">INDEX(AL$115:AL$144,MATCH($CH$4,_xlfn.ANCHORARRAY($AI$115),0))</f>
        <v>17.777777777777779</v>
      </c>
      <c r="CJ10" s="789">
        <f t="shared" si="89"/>
        <v>110</v>
      </c>
      <c r="CK10" s="789">
        <f t="shared" si="89"/>
        <v>110</v>
      </c>
      <c r="CL10" s="789">
        <f t="shared" si="89"/>
        <v>110</v>
      </c>
      <c r="CM10" s="789">
        <f t="shared" si="89"/>
        <v>110</v>
      </c>
      <c r="CN10" s="789">
        <f t="shared" si="89"/>
        <v>110</v>
      </c>
      <c r="CO10" s="789">
        <f t="shared" si="89"/>
        <v>110</v>
      </c>
      <c r="CP10" s="789">
        <f t="shared" si="89"/>
        <v>110</v>
      </c>
      <c r="CQ10" s="789">
        <f t="shared" si="89"/>
        <v>91.929382093316519</v>
      </c>
      <c r="CR10" s="789">
        <f t="shared" si="89"/>
        <v>91.929382093316519</v>
      </c>
      <c r="CS10" s="789">
        <f t="shared" si="89"/>
        <v>91.929382093316519</v>
      </c>
      <c r="CT10" s="803" t="str">
        <f t="shared" ref="CT10:CT18" si="90">CG10</f>
        <v>ULP BANGKIR</v>
      </c>
      <c r="CU10" s="805" cm="1">
        <f t="array" ref="CU10">INDEX(CH10:CS10,MATCH(MONTH($CT$7),MONTH($CH$5:$CS$5)))</f>
        <v>110</v>
      </c>
      <c r="CV10" s="807">
        <f t="shared" si="74"/>
        <v>110</v>
      </c>
      <c r="CW10" s="618">
        <f>IF(OR(CV10&lt;&gt;0,CX10&lt;&gt;0)=TRUE,0,CU10)</f>
        <v>0</v>
      </c>
      <c r="CX10" s="621">
        <f t="shared" si="75"/>
        <v>0</v>
      </c>
      <c r="CY10" s="807">
        <f t="shared" si="76"/>
        <v>0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462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91">IF(((G11-(V11-G11))/G11)*100&gt;110,110,((G11-(V11-G11))/G11)*100)</f>
        <v>110</v>
      </c>
      <c r="AL11" s="618">
        <f t="shared" si="91"/>
        <v>110</v>
      </c>
      <c r="AM11" s="618">
        <f t="shared" si="91"/>
        <v>110</v>
      </c>
      <c r="AN11" s="618">
        <f t="shared" si="91"/>
        <v>110</v>
      </c>
      <c r="AO11" s="618">
        <f t="shared" si="91"/>
        <v>110</v>
      </c>
      <c r="AP11" s="618">
        <f t="shared" si="91"/>
        <v>110</v>
      </c>
      <c r="AQ11" s="618">
        <f t="shared" si="91"/>
        <v>110</v>
      </c>
      <c r="AR11" s="618">
        <f t="shared" si="91"/>
        <v>110</v>
      </c>
      <c r="AS11" s="618">
        <f t="shared" si="91"/>
        <v>110</v>
      </c>
      <c r="AT11" s="618">
        <f t="shared" si="91"/>
        <v>110</v>
      </c>
      <c r="AU11" s="618">
        <f t="shared" si="91"/>
        <v>110</v>
      </c>
      <c r="AV11" s="618">
        <f t="shared" si="91"/>
        <v>110</v>
      </c>
      <c r="AW11" s="621"/>
      <c r="AX11" t="str">
        <f t="shared" si="36"/>
        <v>Gangguan TM &gt; 5 Menit</v>
      </c>
      <c r="AY11" s="105" t="s">
        <v>458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1" t="s">
        <v>464</v>
      </c>
      <c r="BY11" s="751"/>
      <c r="BZ11" s="751"/>
      <c r="CA11" s="751"/>
      <c r="CB11" s="751"/>
      <c r="CC11" s="751"/>
      <c r="CD11" s="751"/>
      <c r="CF11" s="785"/>
      <c r="CG11" s="783" t="s">
        <v>6</v>
      </c>
      <c r="CH11" s="789">
        <f>INDEX(AK$205:AK$234,MATCH($CH$4,_xlfn.ANCHORARRAY($AI$205),0))</f>
        <v>6.1224489795918364</v>
      </c>
      <c r="CI11" s="789">
        <f t="shared" ref="CI11:CS11" si="92">INDEX(AL$205:AL$234,MATCH($CH$4,_xlfn.ANCHORARRAY($AI$205),0))</f>
        <v>5.1546391752577314</v>
      </c>
      <c r="CJ11" s="789">
        <f t="shared" si="92"/>
        <v>98.620689655172413</v>
      </c>
      <c r="CK11" s="789">
        <f t="shared" si="92"/>
        <v>110</v>
      </c>
      <c r="CL11" s="789">
        <f t="shared" si="92"/>
        <v>110</v>
      </c>
      <c r="CM11" s="789">
        <f t="shared" si="92"/>
        <v>110</v>
      </c>
      <c r="CN11" s="789">
        <f t="shared" si="92"/>
        <v>110</v>
      </c>
      <c r="CO11" s="789">
        <f t="shared" si="92"/>
        <v>110</v>
      </c>
      <c r="CP11" s="789">
        <f t="shared" si="92"/>
        <v>97.42710120068611</v>
      </c>
      <c r="CQ11" s="789">
        <f t="shared" si="92"/>
        <v>82.558139534883722</v>
      </c>
      <c r="CR11" s="789">
        <f t="shared" si="92"/>
        <v>82.558139534883722</v>
      </c>
      <c r="CS11" s="789">
        <f t="shared" si="92"/>
        <v>82.558139534883722</v>
      </c>
      <c r="CT11" s="803" t="str">
        <f t="shared" si="90"/>
        <v>ULP KOTARAYA</v>
      </c>
      <c r="CU11" s="805" cm="1">
        <f t="array" ref="CU11">INDEX(CH11:CS11,MATCH(MONTH($CT$7),MONTH($CH$5:$CS$5)))</f>
        <v>110</v>
      </c>
      <c r="CV11" s="807">
        <f t="shared" si="74"/>
        <v>110</v>
      </c>
      <c r="CW11" s="618">
        <f t="shared" ref="CW11:CW13" si="93">IF(OR(CV11&lt;&gt;0,CX11&lt;&gt;0)=TRUE,0,CU11)</f>
        <v>0</v>
      </c>
      <c r="CX11" s="621">
        <f t="shared" si="75"/>
        <v>0</v>
      </c>
      <c r="CY11" s="807">
        <f t="shared" si="76"/>
        <v>0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462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94">IF((2-(V12/G12))*100&gt;110,110,(2-(V12/G12))*100)</f>
        <v>110</v>
      </c>
      <c r="AL12" s="618">
        <f t="shared" ref="AL12" si="95">IF((2-(W12/H12))*100&gt;110,110,(2-(W12/H12))*100)</f>
        <v>110</v>
      </c>
      <c r="AM12" s="618">
        <f t="shared" ref="AM12" si="96">IF((2-(X12/I12))*100&gt;110,110,(2-(X12/I12))*100)</f>
        <v>110</v>
      </c>
      <c r="AN12" s="618">
        <f t="shared" ref="AN12" si="97">IF((2-(Y12/J12))*100&gt;110,110,(2-(Y12/J12))*100)</f>
        <v>110</v>
      </c>
      <c r="AO12" s="618">
        <f t="shared" ref="AO12" si="98">IF((2-(Z12/K12))*100&gt;110,110,(2-(Z12/K12))*100)</f>
        <v>110</v>
      </c>
      <c r="AP12" s="618">
        <f t="shared" ref="AP12" si="99">IF((2-(AA12/L12))*100&gt;110,110,(2-(AA12/L12))*100)</f>
        <v>110</v>
      </c>
      <c r="AQ12" s="618">
        <f t="shared" ref="AQ12" si="100">IF((2-(AB12/M12))*100&gt;110,110,(2-(AB12/M12))*100)</f>
        <v>110</v>
      </c>
      <c r="AR12" s="618">
        <f t="shared" ref="AR12" si="101">IF((2-(AC12/N12))*100&gt;110,110,(2-(AC12/N12))*100)</f>
        <v>110</v>
      </c>
      <c r="AS12" s="618">
        <f t="shared" ref="AS12" si="102">IF((2-(AD12/O12))*100&gt;110,110,(2-(AD12/O12))*100)</f>
        <v>110</v>
      </c>
      <c r="AT12" s="618">
        <f t="shared" ref="AT12" si="103">IF((2-(AE12/P12))*100&gt;110,110,(2-(AE12/P12))*100)</f>
        <v>110</v>
      </c>
      <c r="AU12" s="618">
        <f t="shared" ref="AU12" si="104">IF((2-(AF12/Q12))*100&gt;110,110,(2-(AF12/Q12))*100)</f>
        <v>110</v>
      </c>
      <c r="AV12" s="618">
        <f t="shared" ref="AV12" si="105">IF((2-(AG12/R12))*100&gt;110,110,(2-(AG12/R12))*100)</f>
        <v>110</v>
      </c>
      <c r="AW12" s="621"/>
      <c r="AX12" t="str">
        <f t="shared" si="36"/>
        <v>Gangguan TM ≤ 5 Menit</v>
      </c>
      <c r="AY12" s="105" t="s">
        <v>458</v>
      </c>
      <c r="AZ12" s="620">
        <f t="shared" ref="AZ12:AZ13" si="106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460</v>
      </c>
      <c r="BZ12" s="105" t="s">
        <v>461</v>
      </c>
      <c r="CB12" t="s">
        <v>465</v>
      </c>
      <c r="CC12" s="105" t="s">
        <v>99</v>
      </c>
      <c r="CD12" s="105" t="s">
        <v>466</v>
      </c>
      <c r="CF12" s="785"/>
      <c r="CG12" s="783" t="s">
        <v>3</v>
      </c>
      <c r="CH12" s="789">
        <f>INDEX(AK$160:AK$189,MATCH($CH$4,_xlfn.ANCHORARRAY($AI$160),0))</f>
        <v>0</v>
      </c>
      <c r="CI12" s="789">
        <f t="shared" ref="CI12:CS12" si="107">INDEX(AL$160:AL$189,MATCH($CH$4,_xlfn.ANCHORARRAY($AI$160),0))</f>
        <v>31.849315068493151</v>
      </c>
      <c r="CJ12" s="789">
        <f t="shared" si="107"/>
        <v>69.336384439359264</v>
      </c>
      <c r="CK12" s="789">
        <f t="shared" si="107"/>
        <v>67.238421955403084</v>
      </c>
      <c r="CL12" s="789">
        <f t="shared" si="107"/>
        <v>86.268174474959608</v>
      </c>
      <c r="CM12" s="789">
        <f t="shared" si="107"/>
        <v>91.171993911719937</v>
      </c>
      <c r="CN12" s="789">
        <f t="shared" si="107"/>
        <v>95.039164490861623</v>
      </c>
      <c r="CO12" s="789">
        <f t="shared" si="107"/>
        <v>83.2</v>
      </c>
      <c r="CP12" s="789">
        <f t="shared" si="107"/>
        <v>84.146341463414629</v>
      </c>
      <c r="CQ12" s="789">
        <f t="shared" si="107"/>
        <v>75.89367552703942</v>
      </c>
      <c r="CR12" s="789">
        <f t="shared" si="107"/>
        <v>75.89367552703942</v>
      </c>
      <c r="CS12" s="789">
        <f t="shared" si="107"/>
        <v>75.89367552703942</v>
      </c>
      <c r="CT12" s="803" t="str">
        <f t="shared" si="90"/>
        <v>ULP LEOK</v>
      </c>
      <c r="CU12" s="805" cm="1">
        <f t="array" ref="CU12">INDEX(CH12:CS12,MATCH(MONTH($CT$7),MONTH($CH$5:$CS$5)))</f>
        <v>91.171993911719937</v>
      </c>
      <c r="CV12" s="807">
        <f t="shared" si="74"/>
        <v>0</v>
      </c>
      <c r="CW12" s="618">
        <f t="shared" si="93"/>
        <v>0</v>
      </c>
      <c r="CX12" s="621">
        <f t="shared" si="75"/>
        <v>91.171993911719937</v>
      </c>
      <c r="CY12" s="807">
        <f t="shared" si="76"/>
        <v>18.828006088280063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462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108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109">IFERROR(IF((2-(X13/I13))*100&gt;110,110,(2-(X13/I13))*100),100)</f>
        <v>110</v>
      </c>
      <c r="AN13" s="618">
        <f t="shared" si="109"/>
        <v>110</v>
      </c>
      <c r="AO13" s="618">
        <f t="shared" si="109"/>
        <v>110</v>
      </c>
      <c r="AP13" s="618">
        <f t="shared" si="109"/>
        <v>110</v>
      </c>
      <c r="AQ13" s="618">
        <f t="shared" si="109"/>
        <v>110</v>
      </c>
      <c r="AR13" s="618">
        <f t="shared" si="109"/>
        <v>110</v>
      </c>
      <c r="AS13" s="618">
        <f t="shared" si="109"/>
        <v>110</v>
      </c>
      <c r="AT13" s="618">
        <f t="shared" si="109"/>
        <v>110</v>
      </c>
      <c r="AU13" s="618">
        <f t="shared" si="109"/>
        <v>110</v>
      </c>
      <c r="AV13" s="618">
        <f t="shared" si="109"/>
        <v>110</v>
      </c>
      <c r="AW13" s="621"/>
      <c r="AX13" t="str">
        <f t="shared" si="36"/>
        <v>Kerusakan Peralatan Distribusi (PHB TM dan Trafo) Sesuai Kewenangan</v>
      </c>
      <c r="AY13" s="105" t="s">
        <v>458</v>
      </c>
      <c r="AZ13" s="620">
        <f t="shared" si="106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110</v>
      </c>
      <c r="BR13" t="str">
        <v>Kerusakan Peralatan Distribusi (PHB TM dan Trafo) Sesuai Kewenangan</v>
      </c>
      <c r="BS13" s="621">
        <v>110</v>
      </c>
      <c r="BT13" s="621" t="str">
        <f t="shared" si="48"/>
        <v/>
      </c>
      <c r="BU13" s="621" t="str">
        <v/>
      </c>
      <c r="BV13" s="618">
        <f t="shared" si="51"/>
        <v>1.1000000000000001</v>
      </c>
      <c r="BX13" s="194" t="str" cm="1">
        <f t="array" ref="BX13:BX19">_xlfn._xlws.FILTER($BR$4:$BR$42,$BQ$4:$BQ$42&lt;100)</f>
        <v>Penjualan Tenaga Listrik</v>
      </c>
      <c r="BY13" s="618">
        <f>IFERROR(IF(ISNUMBER(INDEX($BT$4:$BT$42,MATCH(BX13,$BR$4:$BR$42,0))) = FALSE, NA(),INDEX($BT$4:$BT$42,MATCH(BX13,$BR$4:$BR$42,0))),NA())</f>
        <v>97.594078809570888</v>
      </c>
      <c r="BZ13" s="618" t="e">
        <f>IFERROR(IF(ISNUMBER(INDEX(_xlfn.ANCHORARRAY($BU$4),MATCH(BX13,$BR$4:$BR$42,0))) = FALSE, NA(),INDEX(_xlfn.ANCHORARRAY($BU$4),MATCH(BX13,$BR$4:$BR$42,0))),NA())</f>
        <v>#N/A</v>
      </c>
      <c r="CA13" s="625">
        <f>IF(ISERROR(BY13),BZ13,BY13)</f>
        <v>97.594078809570888</v>
      </c>
      <c r="CB13" s="626">
        <f>IFERROR(100-CA13,NA())</f>
        <v>2.4059211904291118</v>
      </c>
      <c r="CC13" s="105">
        <f>IFERROR(INDEX($AZ$4:$AZ$44,MATCH(BX13,$AX$4:$AX$44,0)),NA())</f>
        <v>14</v>
      </c>
      <c r="CD13" s="626">
        <f>IFERROR((100-CA13)/100*CC13,NA())</f>
        <v>0.33682896666007567</v>
      </c>
      <c r="CF13" s="786"/>
      <c r="CG13" s="614" t="s">
        <v>5</v>
      </c>
      <c r="CH13" s="791">
        <f>INDEX(AK$250:AK$279,MATCH($CH$4,_xlfn.ANCHORARRAY($AI$250),0))</f>
        <v>0</v>
      </c>
      <c r="CI13" s="791">
        <f t="shared" ref="CI13:CS13" si="110">INDEX(AL$250:AL$279,MATCH($CH$4,_xlfn.ANCHORARRAY($AI$250),0))</f>
        <v>85.882352941176464</v>
      </c>
      <c r="CJ13" s="791">
        <f t="shared" si="110"/>
        <v>110</v>
      </c>
      <c r="CK13" s="791">
        <f t="shared" si="110"/>
        <v>110</v>
      </c>
      <c r="CL13" s="791">
        <f t="shared" si="110"/>
        <v>110</v>
      </c>
      <c r="CM13" s="791">
        <f t="shared" si="110"/>
        <v>110</v>
      </c>
      <c r="CN13" s="791">
        <f t="shared" si="110"/>
        <v>110</v>
      </c>
      <c r="CO13" s="791">
        <f t="shared" si="110"/>
        <v>108.51063829787233</v>
      </c>
      <c r="CP13" s="791">
        <f t="shared" si="110"/>
        <v>102.91595197255575</v>
      </c>
      <c r="CQ13" s="791">
        <f t="shared" si="110"/>
        <v>85.959885386819479</v>
      </c>
      <c r="CR13" s="791">
        <f t="shared" si="110"/>
        <v>85.959885386819479</v>
      </c>
      <c r="CS13" s="791">
        <f t="shared" si="110"/>
        <v>85.959885386819479</v>
      </c>
      <c r="CT13" s="804" t="str">
        <f t="shared" si="90"/>
        <v>ULP MOUTONG</v>
      </c>
      <c r="CU13" s="806" cm="1">
        <f t="array" ref="CU13">INDEX(CH13:CS13,MATCH(MONTH($CT$7),MONTH($CH$5:$CS$5)))</f>
        <v>110</v>
      </c>
      <c r="CV13" s="807">
        <f t="shared" si="74"/>
        <v>110</v>
      </c>
      <c r="CW13" s="618">
        <f t="shared" si="93"/>
        <v>0</v>
      </c>
      <c r="CX13" s="621">
        <f t="shared" si="75"/>
        <v>0</v>
      </c>
      <c r="CY13" s="807">
        <f t="shared" si="76"/>
        <v>0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462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111">IFERROR(IF((2-(V14/G14))*100&gt;110,110,(2-(V14/G14))*100),100)</f>
        <v>110</v>
      </c>
      <c r="AL14" s="618">
        <f t="shared" ref="AL14" si="112">IFERROR(IF((2-(W14/H14))*100&gt;110,110,(2-(W14/H14))*100),100)</f>
        <v>110</v>
      </c>
      <c r="AM14" s="618">
        <f t="shared" si="109"/>
        <v>110</v>
      </c>
      <c r="AN14" s="618">
        <f t="shared" si="109"/>
        <v>110</v>
      </c>
      <c r="AO14" s="618">
        <f t="shared" si="109"/>
        <v>110</v>
      </c>
      <c r="AP14" s="618">
        <f t="shared" si="109"/>
        <v>110</v>
      </c>
      <c r="AQ14" s="618">
        <f t="shared" si="109"/>
        <v>110</v>
      </c>
      <c r="AR14" s="618">
        <f t="shared" si="109"/>
        <v>110</v>
      </c>
      <c r="AS14" s="618">
        <f t="shared" si="109"/>
        <v>110</v>
      </c>
      <c r="AT14" s="618">
        <f t="shared" si="109"/>
        <v>110</v>
      </c>
      <c r="AU14" s="618">
        <f t="shared" si="109"/>
        <v>110</v>
      </c>
      <c r="AV14" s="618">
        <f t="shared" si="109"/>
        <v>110</v>
      </c>
      <c r="AW14" s="621"/>
      <c r="AX14" t="str">
        <f t="shared" si="36"/>
        <v>Feedback Rating Negatif pada PLN Mobile - Gangguan</v>
      </c>
      <c r="AY14" s="105" t="s">
        <v>458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Penambahan Daya Tersambung</v>
      </c>
      <c r="BY14" s="618" t="e">
        <f t="shared" ref="BY14:BY41" si="113">IFERROR(IF(ISNUMBER(INDEX($BT$4:$BT$42,MATCH(BX14,$BR$4:$BR$42,0))) = FALSE, NA(),INDEX($BT$4:$BT$42,MATCH(BX14,$BR$4:$BR$42,0))),NA())</f>
        <v>#N/A</v>
      </c>
      <c r="BZ14" s="618">
        <f t="shared" ref="BZ14:BZ41" si="114">IFERROR(IF(ISNUMBER(INDEX(_xlfn.ANCHORARRAY($BU$4),MATCH(BX14,$BR$4:$BR$42,0))) = FALSE, NA(),INDEX(_xlfn.ANCHORARRAY($BU$4),MATCH(BX14,$BR$4:$BR$42,0))),NA())</f>
        <v>55.329833770778656</v>
      </c>
      <c r="CA14" s="625">
        <f t="shared" ref="CA14:CA41" si="115">IF(ISERROR(BY14),BZ14,BY14)</f>
        <v>55.329833770778656</v>
      </c>
      <c r="CB14" s="626">
        <f t="shared" ref="CB14:CB41" si="116">IFERROR(100-CA14,NA())</f>
        <v>44.670166229221344</v>
      </c>
      <c r="CC14" s="105">
        <f t="shared" ref="CC14:CC41" si="117">IFERROR(INDEX($AZ$4:$AZ$44,MATCH(BX14,$AX$4:$AX$44,0)),NA())</f>
        <v>2</v>
      </c>
      <c r="CD14" s="626">
        <f t="shared" ref="CD14:CD41" si="118">IFERROR((100-CA14)/100*CC14,NA())</f>
        <v>0.89340332458442684</v>
      </c>
      <c r="CF14" s="795" t="s">
        <v>485</v>
      </c>
      <c r="CG14" s="609" t="s">
        <v>468</v>
      </c>
      <c r="CH14" s="793">
        <f>INDEX(_xlfn.ANCHORARRAY(V$67),MATCH($CH$4,_xlfn.ANCHORARRAY($T$67),0))</f>
        <v>11</v>
      </c>
      <c r="CI14" s="793">
        <f t="shared" ref="CI14:CS14" si="119">INDEX(_xlfn.ANCHORARRAY(W$67),MATCH($CH$4,_xlfn.ANCHORARRAY($T$67),0))</f>
        <v>100</v>
      </c>
      <c r="CJ14" s="793">
        <f t="shared" si="119"/>
        <v>423</v>
      </c>
      <c r="CK14" s="793">
        <f t="shared" si="119"/>
        <v>657</v>
      </c>
      <c r="CL14" s="793">
        <f t="shared" si="119"/>
        <v>883</v>
      </c>
      <c r="CM14" s="793">
        <f t="shared" si="119"/>
        <v>1049</v>
      </c>
      <c r="CN14" s="793">
        <f t="shared" si="119"/>
        <v>1140</v>
      </c>
      <c r="CO14" s="793">
        <f t="shared" si="119"/>
        <v>1186</v>
      </c>
      <c r="CP14" s="793">
        <f t="shared" si="119"/>
        <v>1232</v>
      </c>
      <c r="CQ14" s="793">
        <f t="shared" si="119"/>
        <v>1232</v>
      </c>
      <c r="CR14" s="793">
        <f t="shared" si="119"/>
        <v>1232</v>
      </c>
      <c r="CS14" s="794">
        <f t="shared" si="119"/>
        <v>1232</v>
      </c>
      <c r="CT14" s="803" t="str">
        <f>CG14</f>
        <v>KC TOLIS</v>
      </c>
      <c r="CU14" s="805" cm="1">
        <f t="array" ref="CU14">INDEX(CH14:CS14,MATCH(MONTH($CT$7),MONTH($CH$5:$CS$5)))</f>
        <v>1049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462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20">IFERROR(IF((2-(V15/G15))*100&gt;110,110,(2-(V15/G15))*100),100)</f>
        <v>110</v>
      </c>
      <c r="AL15" s="618">
        <f t="shared" ref="AL15" si="121">IFERROR(IF((2-(W15/H15))*100&gt;110,110,(2-(W15/H15))*100),100)</f>
        <v>110</v>
      </c>
      <c r="AM15" s="618">
        <f t="shared" ref="AM15" si="122">IFERROR(IF((2-(X15/I15))*100&gt;110,110,(2-(X15/I15))*100),100)</f>
        <v>110</v>
      </c>
      <c r="AN15" s="618">
        <f t="shared" ref="AN15" si="123">IFERROR(IF((2-(Y15/J15))*100&gt;110,110,(2-(Y15/J15))*100),100)</f>
        <v>110</v>
      </c>
      <c r="AO15" s="618">
        <f t="shared" ref="AO15" si="124">IFERROR(IF((2-(Z15/K15))*100&gt;110,110,(2-(Z15/K15))*100),100)</f>
        <v>110</v>
      </c>
      <c r="AP15" s="618">
        <f t="shared" ref="AP15" si="125">IFERROR(IF((2-(AA15/L15))*100&gt;110,110,(2-(AA15/L15))*100),100)</f>
        <v>110</v>
      </c>
      <c r="AQ15" s="618">
        <f t="shared" ref="AQ15" si="126">IFERROR(IF((2-(AB15/M15))*100&gt;110,110,(2-(AB15/M15))*100),100)</f>
        <v>110</v>
      </c>
      <c r="AR15" s="618">
        <f t="shared" ref="AR15" si="127">IFERROR(IF((2-(AC15/N15))*100&gt;110,110,(2-(AC15/N15))*100),100)</f>
        <v>110</v>
      </c>
      <c r="AS15" s="618">
        <f t="shared" ref="AS15" si="128">IFERROR(IF((2-(AD15/O15))*100&gt;110,110,(2-(AD15/O15))*100),100)</f>
        <v>110</v>
      </c>
      <c r="AT15" s="618">
        <f t="shared" ref="AT15" si="129">IFERROR(IF((2-(AE15/P15))*100&gt;110,110,(2-(AE15/P15))*100),100)</f>
        <v>110</v>
      </c>
      <c r="AU15" s="618">
        <f t="shared" ref="AU15" si="130">IFERROR(IF((2-(AF15/Q15))*100&gt;110,110,(2-(AF15/Q15))*100),100)</f>
        <v>110</v>
      </c>
      <c r="AV15" s="618">
        <f t="shared" ref="AV15" si="131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458</v>
      </c>
      <c r="AZ15" s="620">
        <f t="shared" ref="AZ15:AZ17" si="132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Penambahan Jumlah Pelanggan</v>
      </c>
      <c r="BY15" s="618" t="e">
        <f t="shared" si="113"/>
        <v>#N/A</v>
      </c>
      <c r="BZ15" s="618">
        <f t="shared" si="114"/>
        <v>49.556057185854023</v>
      </c>
      <c r="CA15" s="625">
        <f t="shared" si="115"/>
        <v>49.556057185854023</v>
      </c>
      <c r="CB15" s="626">
        <f t="shared" si="116"/>
        <v>50.443942814145977</v>
      </c>
      <c r="CC15" s="105">
        <f t="shared" si="117"/>
        <v>2</v>
      </c>
      <c r="CD15" s="626">
        <f t="shared" si="118"/>
        <v>1.0088788562829196</v>
      </c>
      <c r="CF15" s="785"/>
      <c r="CG15" s="783" t="s">
        <v>4</v>
      </c>
      <c r="CH15" s="789">
        <f>INDEX(_xlfn.ANCHORARRAY(V$115),MATCH($CH$4,_xlfn.ANCHORARRAY($T$115),0))</f>
        <v>7</v>
      </c>
      <c r="CI15" s="789">
        <f t="shared" ref="CI15:CS15" si="133">INDEX(_xlfn.ANCHORARRAY(W$115),MATCH($CH$4,_xlfn.ANCHORARRAY($T$115),0))</f>
        <v>16</v>
      </c>
      <c r="CJ15" s="789">
        <f t="shared" si="133"/>
        <v>301</v>
      </c>
      <c r="CK15" s="789">
        <f t="shared" si="133"/>
        <v>508</v>
      </c>
      <c r="CL15" s="789">
        <f t="shared" si="133"/>
        <v>609</v>
      </c>
      <c r="CM15" s="789">
        <f t="shared" si="133"/>
        <v>639</v>
      </c>
      <c r="CN15" s="789">
        <f t="shared" si="133"/>
        <v>693</v>
      </c>
      <c r="CO15" s="789">
        <f t="shared" si="133"/>
        <v>711</v>
      </c>
      <c r="CP15" s="789">
        <f t="shared" si="133"/>
        <v>729</v>
      </c>
      <c r="CQ15" s="789">
        <f t="shared" si="133"/>
        <v>729</v>
      </c>
      <c r="CR15" s="789">
        <f t="shared" si="133"/>
        <v>729</v>
      </c>
      <c r="CS15" s="790">
        <f t="shared" si="133"/>
        <v>729</v>
      </c>
      <c r="CT15" s="803" t="str">
        <f t="shared" si="90"/>
        <v>ULP BANGKIR</v>
      </c>
      <c r="CU15" s="805" cm="1">
        <f t="array" ref="CU15">INDEX(CH15:CS15,MATCH(MONTH($CT$7),MONTH($CH$5:$CS$5)))</f>
        <v>639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462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34">IF(V16/G16*100&gt;110,110,V16/G16*100)</f>
        <v>100.20408163265306</v>
      </c>
      <c r="AL16" s="618">
        <f t="shared" si="134"/>
        <v>100.20408163265306</v>
      </c>
      <c r="AM16" s="618">
        <f t="shared" si="134"/>
        <v>100.20408163265306</v>
      </c>
      <c r="AN16" s="618">
        <f t="shared" si="134"/>
        <v>100.20408163265306</v>
      </c>
      <c r="AO16" s="618">
        <f t="shared" si="134"/>
        <v>100</v>
      </c>
      <c r="AP16" s="618">
        <f t="shared" si="134"/>
        <v>100</v>
      </c>
      <c r="AQ16" s="618">
        <f t="shared" si="134"/>
        <v>100</v>
      </c>
      <c r="AR16" s="618">
        <f t="shared" si="134"/>
        <v>100</v>
      </c>
      <c r="AS16" s="618">
        <f t="shared" si="134"/>
        <v>100</v>
      </c>
      <c r="AT16" s="618">
        <f t="shared" si="134"/>
        <v>100</v>
      </c>
      <c r="AU16" s="618">
        <f t="shared" si="134"/>
        <v>100</v>
      </c>
      <c r="AV16" s="618">
        <f t="shared" si="134"/>
        <v>100</v>
      </c>
      <c r="AW16" s="621"/>
      <c r="AX16" t="str">
        <f t="shared" si="36"/>
        <v>Rating PLN Mobile</v>
      </c>
      <c r="AY16" s="105" t="s">
        <v>458</v>
      </c>
      <c r="AZ16" s="620">
        <f t="shared" si="132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</v>
      </c>
      <c r="BR16" t="str">
        <v>Rating PLN Mobile</v>
      </c>
      <c r="BS16" s="621">
        <v>100</v>
      </c>
      <c r="BT16" s="621" t="str">
        <f t="shared" si="48"/>
        <v/>
      </c>
      <c r="BU16" s="621" t="str">
        <v/>
      </c>
      <c r="BV16" s="618">
        <f t="shared" si="51"/>
        <v>1</v>
      </c>
      <c r="BX16" s="194" t="str">
        <v>Pencapaian Saldo Rata-Rata Akhir Bulan diluar Konsumen Instansi (Kementerian &amp; Lembaga)</v>
      </c>
      <c r="BY16" s="618" t="e">
        <f t="shared" si="113"/>
        <v>#N/A</v>
      </c>
      <c r="BZ16" s="618">
        <f t="shared" si="114"/>
        <v>75.309769841408453</v>
      </c>
      <c r="CA16" s="625">
        <f t="shared" si="115"/>
        <v>75.309769841408453</v>
      </c>
      <c r="CB16" s="626">
        <f t="shared" si="116"/>
        <v>24.690230158591547</v>
      </c>
      <c r="CC16" s="105">
        <f t="shared" si="117"/>
        <v>2</v>
      </c>
      <c r="CD16" s="626">
        <f t="shared" si="118"/>
        <v>0.49380460317183095</v>
      </c>
      <c r="CF16" s="785"/>
      <c r="CG16" s="783" t="s">
        <v>6</v>
      </c>
      <c r="CH16" s="789">
        <f>INDEX(_xlfn.ANCHORARRAY(V$205),MATCH($CH$4,_xlfn.ANCHORARRAY($T$205),0))</f>
        <v>3</v>
      </c>
      <c r="CI16" s="789">
        <f t="shared" ref="CI16:CS16" si="135">INDEX(_xlfn.ANCHORARRAY(W$205),MATCH($CH$4,_xlfn.ANCHORARRAY($T$205),0))</f>
        <v>5</v>
      </c>
      <c r="CJ16" s="789">
        <f t="shared" si="135"/>
        <v>143</v>
      </c>
      <c r="CK16" s="789">
        <f t="shared" si="135"/>
        <v>323</v>
      </c>
      <c r="CL16" s="789">
        <f t="shared" si="135"/>
        <v>384</v>
      </c>
      <c r="CM16" s="789">
        <f t="shared" si="135"/>
        <v>466</v>
      </c>
      <c r="CN16" s="789">
        <f t="shared" si="135"/>
        <v>552</v>
      </c>
      <c r="CO16" s="789">
        <f t="shared" si="135"/>
        <v>560</v>
      </c>
      <c r="CP16" s="789">
        <f t="shared" si="135"/>
        <v>568</v>
      </c>
      <c r="CQ16" s="789">
        <f t="shared" si="135"/>
        <v>568</v>
      </c>
      <c r="CR16" s="789">
        <f t="shared" si="135"/>
        <v>568</v>
      </c>
      <c r="CS16" s="790">
        <f t="shared" si="135"/>
        <v>568</v>
      </c>
      <c r="CT16" s="803" t="str">
        <f t="shared" si="90"/>
        <v>ULP KOTARAYA</v>
      </c>
      <c r="CU16" s="805" cm="1">
        <f t="array" ref="CU16">INDEX(CH16:CS16,MATCH(MONTH($CT$7),MONTH($CH$5:$CS$5)))</f>
        <v>466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462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36">IF(V17/G17*100&gt;110,110,V17/G17*100)</f>
        <v>51.633865577422945</v>
      </c>
      <c r="AL17" s="618">
        <f t="shared" ref="AL17" si="137">IF(W17/H17*100&gt;110,110,W17/H17*100)</f>
        <v>60.10923632107675</v>
      </c>
      <c r="AM17" s="618">
        <f t="shared" ref="AM17" si="138">IF(X17/I17*100&gt;110,110,X17/I17*100)</f>
        <v>104.52656479764721</v>
      </c>
      <c r="AN17" s="618">
        <f t="shared" ref="AN17" si="139">IF(Y17/J17*100&gt;110,110,Y17/J17*100)</f>
        <v>110</v>
      </c>
      <c r="AO17" s="618">
        <f t="shared" ref="AO17" si="140">IF(Z17/K17*100&gt;110,110,Z17/K17*100)</f>
        <v>110</v>
      </c>
      <c r="AP17" s="618">
        <f t="shared" ref="AP17" si="141">IF(AA17/L17*100&gt;110,110,AA17/L17*100)</f>
        <v>110</v>
      </c>
      <c r="AQ17" s="618">
        <f t="shared" ref="AQ17" si="142">IF(AB17/M17*100&gt;110,110,AB17/M17*100)</f>
        <v>110</v>
      </c>
      <c r="AR17" s="618">
        <f t="shared" ref="AR17" si="143">IF(AC17/N17*100&gt;110,110,AC17/N17*100)</f>
        <v>110</v>
      </c>
      <c r="AS17" s="618">
        <f t="shared" ref="AS17" si="144">IF(AD17/O17*100&gt;110,110,AD17/O17*100)</f>
        <v>110</v>
      </c>
      <c r="AT17" s="618">
        <f t="shared" ref="AT17" si="145">IF(AE17/P17*100&gt;110,110,AE17/P17*100)</f>
        <v>0</v>
      </c>
      <c r="AU17" s="618">
        <f t="shared" ref="AU17" si="146">IF(AF17/Q17*100&gt;110,110,AF17/Q17*100)</f>
        <v>0</v>
      </c>
      <c r="AV17" s="618">
        <f t="shared" ref="AV17" si="147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458</v>
      </c>
      <c r="AZ17" s="620">
        <f t="shared" si="132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110</v>
      </c>
      <c r="BR17" t="str">
        <v>Jumlah Kali Transaksi Keuangan melalui PLN Mobile</v>
      </c>
      <c r="BS17" s="621">
        <v>110</v>
      </c>
      <c r="BT17" s="621" t="str">
        <f t="shared" si="48"/>
        <v/>
      </c>
      <c r="BU17" s="621" t="str">
        <v/>
      </c>
      <c r="BV17" s="618">
        <f t="shared" si="51"/>
        <v>1.1000000000000001</v>
      </c>
      <c r="BX17" s="194" t="str">
        <v>Pengendalian Penggunaan Anggaran Investasi sesuai RKAP</v>
      </c>
      <c r="BY17" s="618">
        <f t="shared" si="113"/>
        <v>98.189473684210526</v>
      </c>
      <c r="BZ17" s="618" t="e">
        <f t="shared" si="114"/>
        <v>#N/A</v>
      </c>
      <c r="CA17" s="625">
        <f t="shared" si="115"/>
        <v>98.189473684210526</v>
      </c>
      <c r="CB17" s="626">
        <f t="shared" si="116"/>
        <v>1.810526315789474</v>
      </c>
      <c r="CC17" s="105">
        <f t="shared" si="117"/>
        <v>2</v>
      </c>
      <c r="CD17" s="626">
        <f t="shared" si="118"/>
        <v>3.6210526315789478E-2</v>
      </c>
      <c r="CF17" s="785"/>
      <c r="CG17" s="783" t="s">
        <v>3</v>
      </c>
      <c r="CH17" s="789">
        <f>INDEX(_xlfn.ANCHORARRAY(V$160),MATCH($CH$4,_xlfn.ANCHORARRAY($T$160),0))</f>
        <v>0</v>
      </c>
      <c r="CI17" s="789">
        <f t="shared" ref="CI17:CS17" si="148">INDEX(_xlfn.ANCHORARRAY(W$160),MATCH($CH$4,_xlfn.ANCHORARRAY($T$160),0))</f>
        <v>93</v>
      </c>
      <c r="CJ17" s="789">
        <f t="shared" si="148"/>
        <v>303</v>
      </c>
      <c r="CK17" s="789">
        <f t="shared" si="148"/>
        <v>392</v>
      </c>
      <c r="CL17" s="789">
        <f t="shared" si="148"/>
        <v>534</v>
      </c>
      <c r="CM17" s="789">
        <f t="shared" si="148"/>
        <v>599</v>
      </c>
      <c r="CN17" s="789">
        <f t="shared" si="148"/>
        <v>728</v>
      </c>
      <c r="CO17" s="789">
        <f t="shared" si="148"/>
        <v>728</v>
      </c>
      <c r="CP17" s="789">
        <f t="shared" si="148"/>
        <v>828</v>
      </c>
      <c r="CQ17" s="789">
        <f t="shared" si="148"/>
        <v>828</v>
      </c>
      <c r="CR17" s="789">
        <f t="shared" si="148"/>
        <v>828</v>
      </c>
      <c r="CS17" s="790">
        <f t="shared" si="148"/>
        <v>828</v>
      </c>
      <c r="CT17" s="803" t="str">
        <f t="shared" si="90"/>
        <v>ULP LEOK</v>
      </c>
      <c r="CU17" s="805" cm="1">
        <f t="array" ref="CU17">INDEX(CH17:CS17,MATCH(MONTH($CT$7),MONTH($CH$5:$CS$5)))</f>
        <v>599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462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49">IFERROR(IF((2-(V18/G18))*100&gt;110,110,(2-(V18/G18))*100),100)</f>
        <v>110</v>
      </c>
      <c r="AL18" s="618">
        <f t="shared" ref="AL18" si="150">IFERROR(IF((2-(W18/H18))*100&gt;110,110,(2-(W18/H18))*100),100)</f>
        <v>110</v>
      </c>
      <c r="AM18" s="618">
        <f t="shared" ref="AM18" si="151">IFERROR(IF((2-(X18/I18))*100&gt;110,110,(2-(X18/I18))*100),100)</f>
        <v>110</v>
      </c>
      <c r="AN18" s="618">
        <f t="shared" ref="AN18" si="152">IFERROR(IF((2-(Y18/J18))*100&gt;110,110,(2-(Y18/J18))*100),100)</f>
        <v>110</v>
      </c>
      <c r="AO18" s="618">
        <f t="shared" ref="AO18" si="153">IFERROR(IF((2-(Z18/K18))*100&gt;110,110,(2-(Z18/K18))*100),100)</f>
        <v>110</v>
      </c>
      <c r="AP18" s="618">
        <f t="shared" ref="AP18" si="154">IFERROR(IF((2-(AA18/L18))*100&gt;110,110,(2-(AA18/L18))*100),100)</f>
        <v>110</v>
      </c>
      <c r="AQ18" s="618">
        <f t="shared" ref="AQ18" si="155">IFERROR(IF((2-(AB18/M18))*100&gt;110,110,(2-(AB18/M18))*100),100)</f>
        <v>110</v>
      </c>
      <c r="AR18" s="618">
        <f t="shared" ref="AR18" si="156">IFERROR(IF((2-(AC18/N18))*100&gt;110,110,(2-(AC18/N18))*100),100)</f>
        <v>110</v>
      </c>
      <c r="AS18" s="618">
        <f t="shared" ref="AS18" si="157">IFERROR(IF((2-(AD18/O18))*100&gt;110,110,(2-(AD18/O18))*100),100)</f>
        <v>110</v>
      </c>
      <c r="AT18" s="618">
        <f t="shared" ref="AT18" si="158">IFERROR(IF((2-(AE18/P18))*100&gt;110,110,(2-(AE18/P18))*100),100)</f>
        <v>110</v>
      </c>
      <c r="AU18" s="618">
        <f t="shared" ref="AU18" si="159">IFERROR(IF((2-(AF18/Q18))*100&gt;110,110,(2-(AF18/Q18))*100),100)</f>
        <v>110</v>
      </c>
      <c r="AV18" s="618">
        <f t="shared" ref="AV18" si="160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458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Produktivitas Unit</v>
      </c>
      <c r="BY18" s="618" t="e">
        <f t="shared" si="113"/>
        <v>#N/A</v>
      </c>
      <c r="BZ18" s="618">
        <f t="shared" si="114"/>
        <v>90</v>
      </c>
      <c r="CA18" s="625">
        <f t="shared" si="115"/>
        <v>90</v>
      </c>
      <c r="CB18" s="626">
        <f t="shared" si="116"/>
        <v>10</v>
      </c>
      <c r="CC18" s="105">
        <f t="shared" si="117"/>
        <v>1</v>
      </c>
      <c r="CD18" s="626">
        <f t="shared" si="118"/>
        <v>0.1</v>
      </c>
      <c r="CF18" s="786"/>
      <c r="CG18" s="614" t="s">
        <v>5</v>
      </c>
      <c r="CH18" s="791">
        <f>INDEX(_xlfn.ANCHORARRAY(V$250),MATCH($CH$4,_xlfn.ANCHORARRAY($T$250),0))</f>
        <v>0</v>
      </c>
      <c r="CI18" s="791">
        <f t="shared" ref="CI18:CS18" si="161">INDEX(_xlfn.ANCHORARRAY(W$250),MATCH($CH$4,_xlfn.ANCHORARRAY($T$250),0))</f>
        <v>73</v>
      </c>
      <c r="CJ18" s="791">
        <f t="shared" si="161"/>
        <v>243</v>
      </c>
      <c r="CK18" s="791">
        <f t="shared" si="161"/>
        <v>292</v>
      </c>
      <c r="CL18" s="791">
        <f t="shared" si="161"/>
        <v>345</v>
      </c>
      <c r="CM18" s="791">
        <f t="shared" si="161"/>
        <v>369</v>
      </c>
      <c r="CN18" s="791">
        <f t="shared" si="161"/>
        <v>420</v>
      </c>
      <c r="CO18" s="791">
        <f t="shared" si="161"/>
        <v>510</v>
      </c>
      <c r="CP18" s="791">
        <f t="shared" si="161"/>
        <v>600</v>
      </c>
      <c r="CQ18" s="791">
        <f t="shared" si="161"/>
        <v>600</v>
      </c>
      <c r="CR18" s="791">
        <f t="shared" si="161"/>
        <v>600</v>
      </c>
      <c r="CS18" s="792">
        <f t="shared" si="161"/>
        <v>600</v>
      </c>
      <c r="CT18" s="804" t="str">
        <f t="shared" si="90"/>
        <v>ULP MOUTONG</v>
      </c>
      <c r="CU18" s="806" cm="1">
        <f t="array" ref="CU18">INDEX(CH18:CS18,MATCH(MONTH($CT$7),MONTH($CH$5:$CS$5)))</f>
        <v>369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462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62">IFERROR(IF(V19/G19*100&gt;110,110,V19/G19*100),100)</f>
        <v>100</v>
      </c>
      <c r="AL19" s="618">
        <f t="shared" ref="AL19:AV19" si="163">IFERROR(IF(W19/H19*100&gt;110,110,W19/H19*100),100)</f>
        <v>100</v>
      </c>
      <c r="AM19" s="618">
        <f t="shared" si="163"/>
        <v>100</v>
      </c>
      <c r="AN19" s="618">
        <f t="shared" si="163"/>
        <v>100</v>
      </c>
      <c r="AO19" s="618">
        <f t="shared" si="163"/>
        <v>100</v>
      </c>
      <c r="AP19" s="618">
        <f t="shared" si="163"/>
        <v>100</v>
      </c>
      <c r="AQ19" s="618">
        <f t="shared" si="163"/>
        <v>100</v>
      </c>
      <c r="AR19" s="618">
        <f t="shared" si="163"/>
        <v>100</v>
      </c>
      <c r="AS19" s="618">
        <f t="shared" si="163"/>
        <v>100</v>
      </c>
      <c r="AT19" s="618">
        <f t="shared" si="163"/>
        <v>100</v>
      </c>
      <c r="AU19" s="618">
        <f t="shared" si="163"/>
        <v>100</v>
      </c>
      <c r="AV19" s="618">
        <f t="shared" si="163"/>
        <v>100</v>
      </c>
      <c r="AW19" s="621"/>
      <c r="AX19" t="str">
        <f t="shared" si="36"/>
        <v>Success Rate Auto Dispatch Gangguan Individual (diluar Clear Tamper)</v>
      </c>
      <c r="AY19" s="105" t="s">
        <v>458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Maturity Level Gudang</v>
      </c>
      <c r="BY19" s="618">
        <f t="shared" si="113"/>
        <v>98.181818181818187</v>
      </c>
      <c r="BZ19" s="618" t="e">
        <f t="shared" si="114"/>
        <v>#N/A</v>
      </c>
      <c r="CA19" s="625">
        <f t="shared" si="115"/>
        <v>98.181818181818187</v>
      </c>
      <c r="CB19" s="626">
        <f t="shared" si="116"/>
        <v>1.818181818181813</v>
      </c>
      <c r="CC19" s="105">
        <f t="shared" si="117"/>
        <v>1</v>
      </c>
      <c r="CD19" s="626">
        <f t="shared" si="118"/>
        <v>1.8181818181818129E-2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462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62"/>
        <v>92.25</v>
      </c>
      <c r="AL20" s="618">
        <f t="shared" ref="AL20" si="164">IFERROR(IF(W20/H20*100&gt;110,110,W20/H20*100),100)</f>
        <v>90.5</v>
      </c>
      <c r="AM20" s="618">
        <f t="shared" ref="AM20" si="165">IFERROR(IF(X20/I20*100&gt;110,110,X20/I20*100),100)</f>
        <v>110.00000000000001</v>
      </c>
      <c r="AN20" s="618">
        <f t="shared" ref="AN20" si="166">IFERROR(IF(Y20/J20*100&gt;110,110,Y20/J20*100),100)</f>
        <v>110.00000000000001</v>
      </c>
      <c r="AO20" s="618">
        <f t="shared" ref="AO20" si="167">IFERROR(IF(Z20/K20*100&gt;110,110,Z20/K20*100),100)</f>
        <v>110.00000000000001</v>
      </c>
      <c r="AP20" s="618">
        <f t="shared" ref="AP20" si="168">IFERROR(IF(AA20/L20*100&gt;110,110,AA20/L20*100),100)</f>
        <v>110.00000000000001</v>
      </c>
      <c r="AQ20" s="618">
        <f t="shared" ref="AQ20" si="169">IFERROR(IF(AB20/M20*100&gt;110,110,AB20/M20*100),100)</f>
        <v>110.00000000000001</v>
      </c>
      <c r="AR20" s="618">
        <f t="shared" ref="AR20" si="170">IFERROR(IF(AC20/N20*100&gt;110,110,AC20/N20*100),100)</f>
        <v>110.00000000000001</v>
      </c>
      <c r="AS20" s="618">
        <f t="shared" ref="AS20" si="171">IFERROR(IF(AD20/O20*100&gt;110,110,AD20/O20*100),100)</f>
        <v>110.00000000000001</v>
      </c>
      <c r="AT20" s="618">
        <f t="shared" ref="AT20" si="172">IFERROR(IF(AE20/P20*100&gt;110,110,AE20/P20*100),100)</f>
        <v>0</v>
      </c>
      <c r="AU20" s="618">
        <f t="shared" ref="AU20" si="173">IFERROR(IF(AF20/Q20*100&gt;110,110,AF20/Q20*100),100)</f>
        <v>0</v>
      </c>
      <c r="AV20" s="618">
        <f t="shared" ref="AV20" si="174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458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110.00000000000001</v>
      </c>
      <c r="BR20" t="str">
        <v>Recovery Time Gangguan Meluas TM</v>
      </c>
      <c r="BS20" s="621">
        <v>110.00000000000001</v>
      </c>
      <c r="BT20" s="621" t="str">
        <f t="shared" si="48"/>
        <v/>
      </c>
      <c r="BU20" s="621" t="str">
        <v/>
      </c>
      <c r="BV20" s="618">
        <f t="shared" si="51"/>
        <v>1.1000000000000001</v>
      </c>
      <c r="BY20" s="618" t="e">
        <f t="shared" si="113"/>
        <v>#N/A</v>
      </c>
      <c r="BZ20" s="618" t="e">
        <f t="shared" si="114"/>
        <v>#N/A</v>
      </c>
      <c r="CA20" s="625" t="e">
        <f t="shared" si="115"/>
        <v>#N/A</v>
      </c>
      <c r="CB20" s="626" t="e">
        <f t="shared" si="116"/>
        <v>#N/A</v>
      </c>
      <c r="CC20" s="105" t="e">
        <f t="shared" si="117"/>
        <v>#N/A</v>
      </c>
      <c r="CD20" s="626" t="e">
        <f t="shared" si="118"/>
        <v>#N/A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462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62"/>
        <v>110.00000000000001</v>
      </c>
      <c r="AL21" s="618">
        <f t="shared" ref="AL21" si="175">IFERROR(IF(W21/H21*100&gt;110,110,W21/H21*100),100)</f>
        <v>110.00000000000001</v>
      </c>
      <c r="AM21" s="618">
        <f t="shared" ref="AM21" si="176">IFERROR(IF(X21/I21*100&gt;110,110,X21/I21*100),100)</f>
        <v>110.00000000000001</v>
      </c>
      <c r="AN21" s="618">
        <f t="shared" ref="AN21" si="177">IFERROR(IF(Y21/J21*100&gt;110,110,Y21/J21*100),100)</f>
        <v>110.00000000000001</v>
      </c>
      <c r="AO21" s="618">
        <f t="shared" ref="AO21" si="178">IFERROR(IF(Z21/K21*100&gt;110,110,Z21/K21*100),100)</f>
        <v>110.00000000000001</v>
      </c>
      <c r="AP21" s="618">
        <f t="shared" ref="AP21" si="179">IFERROR(IF(AA21/L21*100&gt;110,110,AA21/L21*100),100)</f>
        <v>110.00000000000001</v>
      </c>
      <c r="AQ21" s="618">
        <f t="shared" ref="AQ21" si="180">IFERROR(IF(AB21/M21*100&gt;110,110,AB21/M21*100),100)</f>
        <v>110.00000000000001</v>
      </c>
      <c r="AR21" s="618">
        <f t="shared" ref="AR21" si="181">IFERROR(IF(AC21/N21*100&gt;110,110,AC21/N21*100),100)</f>
        <v>110.00000000000001</v>
      </c>
      <c r="AS21" s="618">
        <f t="shared" ref="AS21" si="182">IFERROR(IF(AD21/O21*100&gt;110,110,AD21/O21*100),100)</f>
        <v>110.00000000000001</v>
      </c>
      <c r="AT21" s="618">
        <f t="shared" ref="AT21" si="183">IFERROR(IF(AE21/P21*100&gt;110,110,AE21/P21*100),100)</f>
        <v>0</v>
      </c>
      <c r="AU21" s="618">
        <f t="shared" ref="AU21" si="184">IFERROR(IF(AF21/Q21*100&gt;110,110,AF21/Q21*100),100)</f>
        <v>0</v>
      </c>
      <c r="AV21" s="618">
        <f t="shared" ref="AV21" si="185">IFERROR(IF(AG21/R21*100&gt;110,110,AG21/R21*100),100)</f>
        <v>0</v>
      </c>
      <c r="AW21" s="621"/>
      <c r="AX21" t="str">
        <f t="shared" si="36"/>
        <v>Penormalan Siaga 1 Gangguan TM</v>
      </c>
      <c r="AY21" s="105" t="s">
        <v>458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Y21" s="618" t="e">
        <f t="shared" si="113"/>
        <v>#N/A</v>
      </c>
      <c r="BZ21" s="618" t="e">
        <f t="shared" si="114"/>
        <v>#N/A</v>
      </c>
      <c r="CA21" s="625" t="e">
        <f t="shared" si="115"/>
        <v>#N/A</v>
      </c>
      <c r="CB21" s="626" t="e">
        <f t="shared" si="116"/>
        <v>#N/A</v>
      </c>
      <c r="CC21" s="105" t="e">
        <f t="shared" si="117"/>
        <v>#N/A</v>
      </c>
      <c r="CD21" s="626" t="e">
        <f t="shared" si="118"/>
        <v>#N/A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462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62"/>
        <v>99.06</v>
      </c>
      <c r="AL22" s="618">
        <f t="shared" ref="AL22" si="186">IFERROR(IF(W22/H22*100&gt;110,110,W22/H22*100),100)</f>
        <v>110</v>
      </c>
      <c r="AM22" s="618">
        <f t="shared" ref="AM22" si="187">IFERROR(IF(X22/I22*100&gt;110,110,X22/I22*100),100)</f>
        <v>110</v>
      </c>
      <c r="AN22" s="618">
        <f t="shared" ref="AN22" si="188">IFERROR(IF(Y22/J22*100&gt;110,110,Y22/J22*100),100)</f>
        <v>110</v>
      </c>
      <c r="AO22" s="618">
        <f t="shared" ref="AO22" si="189">IFERROR(IF(Z22/K22*100&gt;110,110,Z22/K22*100),100)</f>
        <v>110</v>
      </c>
      <c r="AP22" s="618">
        <f t="shared" ref="AP22" si="190">IFERROR(IF(AA22/L22*100&gt;110,110,AA22/L22*100),100)</f>
        <v>110</v>
      </c>
      <c r="AQ22" s="618">
        <f t="shared" ref="AQ22" si="191">IFERROR(IF(AB22/M22*100&gt;110,110,AB22/M22*100),100)</f>
        <v>98.6</v>
      </c>
      <c r="AR22" s="618">
        <f t="shared" ref="AR22" si="192">IFERROR(IF(AC22/N22*100&gt;110,110,AC22/N22*100),100)</f>
        <v>101.98</v>
      </c>
      <c r="AS22" s="618">
        <f t="shared" ref="AS22" si="193">IFERROR(IF(AD22/O22*100&gt;110,110,AD22/O22*100),100)</f>
        <v>101.95</v>
      </c>
      <c r="AT22" s="618">
        <f t="shared" ref="AT22" si="194">IFERROR(IF(AE22/P22*100&gt;110,110,AE22/P22*100),100)</f>
        <v>0</v>
      </c>
      <c r="AU22" s="618">
        <f t="shared" ref="AU22" si="195">IFERROR(IF(AF22/Q22*100&gt;110,110,AF22/Q22*100),100)</f>
        <v>0</v>
      </c>
      <c r="AV22" s="618">
        <f t="shared" ref="AV22" si="196">IFERROR(IF(AG22/R22*100&gt;110,110,AG22/R22*100),100)</f>
        <v>0</v>
      </c>
      <c r="AW22" s="621"/>
      <c r="AX22" t="str">
        <f t="shared" si="36"/>
        <v>Pengembangan EAM Distribusi</v>
      </c>
      <c r="AY22" s="105" t="s">
        <v>458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101.98</v>
      </c>
      <c r="BR22" t="str">
        <v>Pengembangan EAM Distribusi</v>
      </c>
      <c r="BS22" s="621">
        <v>101.98</v>
      </c>
      <c r="BT22" s="621" t="str">
        <f t="shared" si="48"/>
        <v/>
      </c>
      <c r="BU22" s="621" t="str">
        <v/>
      </c>
      <c r="BV22" s="618">
        <f t="shared" si="51"/>
        <v>1.0198</v>
      </c>
      <c r="BY22" s="618" t="e">
        <f t="shared" si="113"/>
        <v>#N/A</v>
      </c>
      <c r="BZ22" s="618" t="e">
        <f t="shared" si="114"/>
        <v>#N/A</v>
      </c>
      <c r="CA22" s="625" t="e">
        <f t="shared" si="115"/>
        <v>#N/A</v>
      </c>
      <c r="CB22" s="626" t="e">
        <f t="shared" si="116"/>
        <v>#N/A</v>
      </c>
      <c r="CC22" s="105" t="e">
        <f t="shared" si="117"/>
        <v>#N/A</v>
      </c>
      <c r="CD22" s="626" t="e">
        <f t="shared" si="118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462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62"/>
        <v>104.77777777777779</v>
      </c>
      <c r="AL23" s="618">
        <f t="shared" ref="AL23" si="197">IFERROR(IF(W23/H23*100&gt;110,110,W23/H23*100),100)</f>
        <v>86.666666666666671</v>
      </c>
      <c r="AM23" s="618">
        <f t="shared" ref="AM23" si="198">IFERROR(IF(X23/I23*100&gt;110,110,X23/I23*100),100)</f>
        <v>80.670353982300895</v>
      </c>
      <c r="AN23" s="618">
        <f t="shared" ref="AN23" si="199">IFERROR(IF(Y23/J23*100&gt;110,110,Y23/J23*100),100)</f>
        <v>77.079180509413064</v>
      </c>
      <c r="AO23" s="618">
        <f t="shared" ref="AO23" si="200">IFERROR(IF(Z23/K23*100&gt;110,110,Z23/K23*100),100)</f>
        <v>58.808213716108462</v>
      </c>
      <c r="AP23" s="618">
        <f t="shared" ref="AP23" si="201">IFERROR(IF(AA23/L23*100&gt;110,110,AA23/L23*100),100)</f>
        <v>55.49874213836479</v>
      </c>
      <c r="AQ23" s="618">
        <f t="shared" ref="AQ23" si="202">IFERROR(IF(AB23/M23*100&gt;110,110,AB23/M23*100),100)</f>
        <v>54.624355005159963</v>
      </c>
      <c r="AR23" s="618">
        <f t="shared" ref="AR23" si="203">IFERROR(IF(AC23/N23*100&gt;110,110,AC23/N23*100),100)</f>
        <v>55.329833770778656</v>
      </c>
      <c r="AS23" s="618">
        <f t="shared" ref="AS23" si="204">IFERROR(IF(AD23/O23*100&gt;110,110,AD23/O23*100),100)</f>
        <v>66.107809523809522</v>
      </c>
      <c r="AT23" s="618">
        <f t="shared" ref="AT23" si="205">IFERROR(IF(AE23/P23*100&gt;110,110,AE23/P23*100),100)</f>
        <v>0</v>
      </c>
      <c r="AU23" s="618">
        <f t="shared" ref="AU23" si="206">IFERROR(IF(AF23/Q23*100&gt;110,110,AF23/Q23*100),100)</f>
        <v>0</v>
      </c>
      <c r="AV23" s="618">
        <f t="shared" ref="AV23" si="207">IFERROR(IF(AG23/R23*100&gt;110,110,AG23/R23*100),100)</f>
        <v>0</v>
      </c>
      <c r="AW23" s="621"/>
      <c r="AX23" t="str">
        <f t="shared" si="36"/>
        <v>Penambahan Daya Tersambung</v>
      </c>
      <c r="AY23" s="105" t="s">
        <v>458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55.329833770778656</v>
      </c>
      <c r="BR23" t="str">
        <v>Penambahan Daya Tersambung</v>
      </c>
      <c r="BS23" s="621" t="str">
        <v/>
      </c>
      <c r="BT23" s="621" t="str">
        <f t="shared" si="48"/>
        <v/>
      </c>
      <c r="BU23" s="621">
        <v>55.329833770778656</v>
      </c>
      <c r="BV23" s="618">
        <f t="shared" si="51"/>
        <v>0.55329833770778658</v>
      </c>
      <c r="BY23" s="618" t="e">
        <f t="shared" si="113"/>
        <v>#N/A</v>
      </c>
      <c r="BZ23" s="618" t="e">
        <f t="shared" si="114"/>
        <v>#N/A</v>
      </c>
      <c r="CA23" s="625" t="e">
        <f t="shared" si="115"/>
        <v>#N/A</v>
      </c>
      <c r="CB23" s="626" t="e">
        <f t="shared" si="116"/>
        <v>#N/A</v>
      </c>
      <c r="CC23" s="105" t="e">
        <f t="shared" si="117"/>
        <v>#N/A</v>
      </c>
      <c r="CD23" s="626" t="e">
        <f t="shared" si="118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462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62"/>
        <v>78.922345483359749</v>
      </c>
      <c r="AL24" s="618">
        <f t="shared" ref="AL24:AV30" si="208">IFERROR(IF(W24/H24*100&gt;110,110,W24/H24*100),100)</f>
        <v>75.214341387373338</v>
      </c>
      <c r="AM24" s="618">
        <f t="shared" si="208"/>
        <v>69.308943089430898</v>
      </c>
      <c r="AN24" s="618">
        <f t="shared" si="208"/>
        <v>68.240670220868239</v>
      </c>
      <c r="AO24" s="618">
        <f t="shared" si="208"/>
        <v>59.164605660895852</v>
      </c>
      <c r="AP24" s="618">
        <f t="shared" si="208"/>
        <v>55.444901493829832</v>
      </c>
      <c r="AQ24" s="618">
        <f t="shared" si="208"/>
        <v>52.024147727272727</v>
      </c>
      <c r="AR24" s="618">
        <f t="shared" si="208"/>
        <v>49.556057185854023</v>
      </c>
      <c r="AS24" s="618">
        <f t="shared" si="208"/>
        <v>49.324590163934431</v>
      </c>
      <c r="AT24" s="618">
        <f t="shared" si="208"/>
        <v>0</v>
      </c>
      <c r="AU24" s="618">
        <f t="shared" si="208"/>
        <v>0</v>
      </c>
      <c r="AV24" s="618">
        <f t="shared" si="208"/>
        <v>0</v>
      </c>
      <c r="AW24" s="621"/>
      <c r="AX24" t="str">
        <f t="shared" si="36"/>
        <v>Penambahan Jumlah Pelanggan</v>
      </c>
      <c r="AY24" s="105" t="s">
        <v>458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49.556057185854023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49.556057185854023</v>
      </c>
      <c r="BV24" s="618">
        <f t="shared" si="51"/>
        <v>0.49556057185854024</v>
      </c>
      <c r="BY24" s="618" t="e">
        <f t="shared" si="113"/>
        <v>#N/A</v>
      </c>
      <c r="BZ24" s="618" t="e">
        <f t="shared" si="114"/>
        <v>#N/A</v>
      </c>
      <c r="CA24" s="625" t="e">
        <f t="shared" si="115"/>
        <v>#N/A</v>
      </c>
      <c r="CB24" s="626" t="e">
        <f t="shared" si="116"/>
        <v>#N/A</v>
      </c>
      <c r="CC24" s="105" t="e">
        <f t="shared" si="117"/>
        <v>#N/A</v>
      </c>
      <c r="CD24" s="626" t="e">
        <f t="shared" si="118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462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62"/>
        <v>110</v>
      </c>
      <c r="AL25" s="618">
        <f t="shared" si="208"/>
        <v>85.5</v>
      </c>
      <c r="AM25" s="618">
        <f t="shared" si="208"/>
        <v>83.666666666666671</v>
      </c>
      <c r="AN25" s="618">
        <f t="shared" si="208"/>
        <v>62.749999999999993</v>
      </c>
      <c r="AO25" s="618">
        <f t="shared" si="208"/>
        <v>69.399999999999991</v>
      </c>
      <c r="AP25" s="618">
        <f t="shared" si="208"/>
        <v>84.5</v>
      </c>
      <c r="AQ25" s="618">
        <f t="shared" si="208"/>
        <v>89.939939939939933</v>
      </c>
      <c r="AR25" s="618">
        <f t="shared" si="208"/>
        <v>101.63934426229508</v>
      </c>
      <c r="AS25" s="618">
        <f t="shared" si="208"/>
        <v>102.00501253132832</v>
      </c>
      <c r="AT25" s="618">
        <f t="shared" si="208"/>
        <v>0</v>
      </c>
      <c r="AU25" s="618">
        <f t="shared" si="208"/>
        <v>0</v>
      </c>
      <c r="AV25" s="618">
        <f t="shared" si="208"/>
        <v>0</v>
      </c>
      <c r="AW25" s="621"/>
      <c r="AX25" t="str">
        <f t="shared" si="36"/>
        <v>Jumlah Penambahan Pelanggan Produk Tematik</v>
      </c>
      <c r="AY25" s="105" t="s">
        <v>458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101.63934426229508</v>
      </c>
      <c r="BR25" t="str">
        <v>Jumlah Penambahan Pelanggan Produk Tematik</v>
      </c>
      <c r="BS25" s="621">
        <v>101.63934426229508</v>
      </c>
      <c r="BT25" s="621" t="str">
        <f t="shared" si="48"/>
        <v/>
      </c>
      <c r="BU25" s="621" t="str">
        <v/>
      </c>
      <c r="BV25" s="618">
        <f t="shared" si="51"/>
        <v>1.0163934426229508</v>
      </c>
      <c r="BY25" s="618" t="e">
        <f t="shared" si="113"/>
        <v>#N/A</v>
      </c>
      <c r="BZ25" s="618" t="e">
        <f t="shared" si="114"/>
        <v>#N/A</v>
      </c>
      <c r="CA25" s="625" t="e">
        <f t="shared" si="115"/>
        <v>#N/A</v>
      </c>
      <c r="CB25" s="626" t="e">
        <f t="shared" si="116"/>
        <v>#N/A</v>
      </c>
      <c r="CC25" s="105" t="e">
        <f t="shared" si="117"/>
        <v>#N/A</v>
      </c>
      <c r="CD25" s="626" t="e">
        <f t="shared" si="118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462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62"/>
        <v>100</v>
      </c>
      <c r="AL26" s="618">
        <f t="shared" si="208"/>
        <v>100</v>
      </c>
      <c r="AM26" s="618">
        <f t="shared" si="208"/>
        <v>100</v>
      </c>
      <c r="AN26" s="618">
        <f t="shared" si="208"/>
        <v>100</v>
      </c>
      <c r="AO26" s="618">
        <f t="shared" si="208"/>
        <v>100</v>
      </c>
      <c r="AP26" s="618">
        <f t="shared" si="208"/>
        <v>100</v>
      </c>
      <c r="AQ26" s="618">
        <f t="shared" si="208"/>
        <v>100</v>
      </c>
      <c r="AR26" s="618">
        <f t="shared" si="208"/>
        <v>100</v>
      </c>
      <c r="AS26" s="618">
        <f t="shared" si="208"/>
        <v>100</v>
      </c>
      <c r="AT26" s="618">
        <f t="shared" si="208"/>
        <v>0</v>
      </c>
      <c r="AU26" s="618">
        <f t="shared" si="208"/>
        <v>0</v>
      </c>
      <c r="AV26" s="618">
        <f t="shared" si="208"/>
        <v>0</v>
      </c>
      <c r="AW26" s="621"/>
      <c r="AX26" t="str">
        <f t="shared" si="36"/>
        <v>Implementasi Kesesuaian Sektor Bisnis sesuai KBLI 2020</v>
      </c>
      <c r="AY26" s="105" t="s">
        <v>458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113"/>
        <v>#N/A</v>
      </c>
      <c r="BZ26" s="618" t="e">
        <f t="shared" si="114"/>
        <v>#N/A</v>
      </c>
      <c r="CA26" s="625" t="e">
        <f t="shared" si="115"/>
        <v>#N/A</v>
      </c>
      <c r="CB26" s="626" t="e">
        <f t="shared" si="116"/>
        <v>#N/A</v>
      </c>
      <c r="CC26" s="105" t="e">
        <f t="shared" si="117"/>
        <v>#N/A</v>
      </c>
      <c r="CD26" s="626" t="e">
        <f t="shared" si="118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462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62"/>
        <v>110</v>
      </c>
      <c r="AL27" s="618">
        <f t="shared" si="208"/>
        <v>110</v>
      </c>
      <c r="AM27" s="618">
        <f t="shared" si="208"/>
        <v>110</v>
      </c>
      <c r="AN27" s="618">
        <f t="shared" si="208"/>
        <v>110</v>
      </c>
      <c r="AO27" s="618">
        <f t="shared" si="208"/>
        <v>110</v>
      </c>
      <c r="AP27" s="618">
        <f t="shared" si="208"/>
        <v>110</v>
      </c>
      <c r="AQ27" s="618">
        <f t="shared" si="208"/>
        <v>110</v>
      </c>
      <c r="AR27" s="618">
        <f t="shared" si="208"/>
        <v>110</v>
      </c>
      <c r="AS27" s="618">
        <f t="shared" si="208"/>
        <v>110</v>
      </c>
      <c r="AT27" s="618">
        <f t="shared" si="208"/>
        <v>0</v>
      </c>
      <c r="AU27" s="618">
        <f t="shared" si="208"/>
        <v>0</v>
      </c>
      <c r="AV27" s="618">
        <f t="shared" si="208"/>
        <v>0</v>
      </c>
      <c r="AW27" s="621"/>
      <c r="AX27" t="str">
        <f t="shared" si="36"/>
        <v>Penambahan Jumlah Pelanggan Rumah Tangga Lisdes</v>
      </c>
      <c r="AY27" s="105" t="s">
        <v>458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113"/>
        <v>#N/A</v>
      </c>
      <c r="BZ27" s="618" t="e">
        <f t="shared" si="114"/>
        <v>#N/A</v>
      </c>
      <c r="CA27" s="625" t="e">
        <f t="shared" si="115"/>
        <v>#N/A</v>
      </c>
      <c r="CB27" s="626" t="e">
        <f t="shared" si="116"/>
        <v>#N/A</v>
      </c>
      <c r="CC27" s="105" t="e">
        <f t="shared" si="117"/>
        <v>#N/A</v>
      </c>
      <c r="CD27" s="626" t="e">
        <f t="shared" si="118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462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62"/>
        <v>110</v>
      </c>
      <c r="AL28" s="618">
        <f t="shared" si="208"/>
        <v>110</v>
      </c>
      <c r="AM28" s="618">
        <f t="shared" si="208"/>
        <v>110</v>
      </c>
      <c r="AN28" s="618">
        <f t="shared" si="208"/>
        <v>110</v>
      </c>
      <c r="AO28" s="618">
        <f t="shared" si="208"/>
        <v>110</v>
      </c>
      <c r="AP28" s="618">
        <f t="shared" si="208"/>
        <v>110</v>
      </c>
      <c r="AQ28" s="618">
        <f t="shared" si="208"/>
        <v>110</v>
      </c>
      <c r="AR28" s="618">
        <f t="shared" si="208"/>
        <v>110</v>
      </c>
      <c r="AS28" s="618">
        <f t="shared" si="208"/>
        <v>110</v>
      </c>
      <c r="AT28" s="618">
        <f t="shared" si="208"/>
        <v>0</v>
      </c>
      <c r="AU28" s="618">
        <f t="shared" si="208"/>
        <v>0</v>
      </c>
      <c r="AV28" s="618">
        <f t="shared" si="208"/>
        <v>0</v>
      </c>
      <c r="AW28" s="621"/>
      <c r="AX28" t="str">
        <f t="shared" si="36"/>
        <v>Peningkatan kWh Penjualan dari Pelanggan Rumah Tangga Lisdes</v>
      </c>
      <c r="AY28" s="105" t="s">
        <v>458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113"/>
        <v>#N/A</v>
      </c>
      <c r="BZ28" s="618" t="e">
        <f t="shared" si="114"/>
        <v>#N/A</v>
      </c>
      <c r="CA28" s="625" t="e">
        <f t="shared" si="115"/>
        <v>#N/A</v>
      </c>
      <c r="CB28" s="626" t="e">
        <f t="shared" si="116"/>
        <v>#N/A</v>
      </c>
      <c r="CC28" s="105" t="e">
        <f t="shared" si="117"/>
        <v>#N/A</v>
      </c>
      <c r="CD28" s="626" t="e">
        <f t="shared" si="118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462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62"/>
        <v>110</v>
      </c>
      <c r="AL29" s="618">
        <f t="shared" si="208"/>
        <v>110</v>
      </c>
      <c r="AM29" s="618">
        <f t="shared" si="208"/>
        <v>110</v>
      </c>
      <c r="AN29" s="618">
        <f t="shared" si="208"/>
        <v>110</v>
      </c>
      <c r="AO29" s="618">
        <f t="shared" si="208"/>
        <v>110</v>
      </c>
      <c r="AP29" s="618">
        <f t="shared" si="208"/>
        <v>110</v>
      </c>
      <c r="AQ29" s="618">
        <f t="shared" si="208"/>
        <v>110</v>
      </c>
      <c r="AR29" s="618">
        <f t="shared" si="208"/>
        <v>110</v>
      </c>
      <c r="AS29" s="618">
        <f t="shared" si="208"/>
        <v>110</v>
      </c>
      <c r="AT29" s="618">
        <f t="shared" si="208"/>
        <v>0</v>
      </c>
      <c r="AU29" s="618">
        <f t="shared" si="208"/>
        <v>0</v>
      </c>
      <c r="AV29" s="618">
        <f t="shared" si="208"/>
        <v>0</v>
      </c>
      <c r="AW29" s="621"/>
      <c r="AX29" t="str">
        <f t="shared" si="36"/>
        <v>Jumlah Pengguna Swa Cam</v>
      </c>
      <c r="AY29" s="105" t="s">
        <v>458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113"/>
        <v>#N/A</v>
      </c>
      <c r="BZ29" s="618" t="e">
        <f t="shared" si="114"/>
        <v>#N/A</v>
      </c>
      <c r="CA29" s="625" t="e">
        <f t="shared" si="115"/>
        <v>#N/A</v>
      </c>
      <c r="CB29" s="626" t="e">
        <f t="shared" si="116"/>
        <v>#N/A</v>
      </c>
      <c r="CC29" s="105" t="e">
        <f t="shared" si="117"/>
        <v>#N/A</v>
      </c>
      <c r="CD29" s="626" t="e">
        <f t="shared" si="118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462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62"/>
        <v>100</v>
      </c>
      <c r="AL30" s="618">
        <f t="shared" si="208"/>
        <v>100</v>
      </c>
      <c r="AM30" s="618">
        <f t="shared" si="208"/>
        <v>100</v>
      </c>
      <c r="AN30" s="618">
        <f t="shared" si="208"/>
        <v>100</v>
      </c>
      <c r="AO30" s="618">
        <f t="shared" si="208"/>
        <v>100</v>
      </c>
      <c r="AP30" s="618">
        <f t="shared" si="208"/>
        <v>100</v>
      </c>
      <c r="AQ30" s="618">
        <f t="shared" si="208"/>
        <v>100</v>
      </c>
      <c r="AR30" s="618">
        <f t="shared" si="208"/>
        <v>100</v>
      </c>
      <c r="AS30" s="618">
        <f t="shared" si="208"/>
        <v>100</v>
      </c>
      <c r="AT30" s="618">
        <f t="shared" si="208"/>
        <v>100</v>
      </c>
      <c r="AU30" s="618">
        <f t="shared" si="208"/>
        <v>100</v>
      </c>
      <c r="AV30" s="618">
        <f t="shared" si="208"/>
        <v>100</v>
      </c>
      <c r="AW30" s="621"/>
      <c r="AX30" t="str">
        <f t="shared" si="36"/>
        <v>Tindak Lanjut LBKB (Laporan Bulanan Kelainan Baca Meter)</v>
      </c>
      <c r="AY30" s="105" t="s">
        <v>458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113"/>
        <v>#N/A</v>
      </c>
      <c r="BZ30" s="618" t="e">
        <f t="shared" si="114"/>
        <v>#N/A</v>
      </c>
      <c r="CA30" s="625" t="e">
        <f t="shared" si="115"/>
        <v>#N/A</v>
      </c>
      <c r="CB30" s="626" t="e">
        <f t="shared" si="116"/>
        <v>#N/A</v>
      </c>
      <c r="CC30" s="105" t="e">
        <f t="shared" si="117"/>
        <v>#N/A</v>
      </c>
      <c r="CD30" s="626" t="e">
        <f t="shared" si="118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462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209">IFERROR(IF((2-(V31/G31))*100&gt;110,110,(2-(V31/G31))*100),100)</f>
        <v>90.903994893617025</v>
      </c>
      <c r="AL31" s="618">
        <f t="shared" si="209"/>
        <v>107.80502625531916</v>
      </c>
      <c r="AM31" s="618">
        <f t="shared" si="209"/>
        <v>110</v>
      </c>
      <c r="AN31" s="618">
        <f t="shared" si="209"/>
        <v>110</v>
      </c>
      <c r="AO31" s="618">
        <f t="shared" si="209"/>
        <v>106.72879788936169</v>
      </c>
      <c r="AP31" s="618">
        <f t="shared" si="209"/>
        <v>105.42061167375887</v>
      </c>
      <c r="AQ31" s="618">
        <f t="shared" si="209"/>
        <v>107.32229463829785</v>
      </c>
      <c r="AR31" s="618">
        <f t="shared" si="209"/>
        <v>110</v>
      </c>
      <c r="AS31" s="618">
        <f t="shared" si="209"/>
        <v>110</v>
      </c>
      <c r="AT31" s="618">
        <f t="shared" si="209"/>
        <v>110</v>
      </c>
      <c r="AU31" s="618">
        <f t="shared" si="209"/>
        <v>110</v>
      </c>
      <c r="AV31" s="618">
        <f t="shared" si="209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458</v>
      </c>
      <c r="AZ31" s="620">
        <f t="shared" ref="AZ31:AZ36" si="210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110</v>
      </c>
      <c r="BR31" t="str">
        <v>Pencapaian Rata-Rata Saldo Tanggal 20 diluar Konsumen Instansi (Kementerian &amp; Lembaga)</v>
      </c>
      <c r="BS31" s="621">
        <v>110</v>
      </c>
      <c r="BT31" s="621" t="str">
        <f t="shared" si="48"/>
        <v/>
      </c>
      <c r="BU31" s="621" t="str">
        <v/>
      </c>
      <c r="BV31" s="618">
        <f t="shared" si="51"/>
        <v>1.1000000000000001</v>
      </c>
      <c r="BY31" s="618" t="e">
        <f t="shared" si="113"/>
        <v>#N/A</v>
      </c>
      <c r="BZ31" s="618" t="e">
        <f t="shared" si="114"/>
        <v>#N/A</v>
      </c>
      <c r="CA31" s="625" t="e">
        <f t="shared" si="115"/>
        <v>#N/A</v>
      </c>
      <c r="CB31" s="626" t="e">
        <f t="shared" si="116"/>
        <v>#N/A</v>
      </c>
      <c r="CC31" s="105" t="e">
        <f t="shared" si="117"/>
        <v>#N/A</v>
      </c>
      <c r="CD31" s="626" t="e">
        <f t="shared" si="118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462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209"/>
        <v>1.3229059978342006</v>
      </c>
      <c r="AL32" s="618">
        <f t="shared" si="209"/>
        <v>7.2213716072239587</v>
      </c>
      <c r="AM32" s="618">
        <f t="shared" si="209"/>
        <v>22.645898510729957</v>
      </c>
      <c r="AN32" s="618">
        <f t="shared" si="209"/>
        <v>17.672282023963383</v>
      </c>
      <c r="AO32" s="618">
        <f t="shared" si="209"/>
        <v>24.46087658504208</v>
      </c>
      <c r="AP32" s="618">
        <f t="shared" si="209"/>
        <v>35.092020470185467</v>
      </c>
      <c r="AQ32" s="618">
        <f t="shared" si="209"/>
        <v>58.012741368039158</v>
      </c>
      <c r="AR32" s="618">
        <f t="shared" si="209"/>
        <v>75.309769841408453</v>
      </c>
      <c r="AS32" s="618">
        <f t="shared" si="209"/>
        <v>87.53546263628354</v>
      </c>
      <c r="AT32" s="618">
        <f t="shared" si="209"/>
        <v>87.53546263628354</v>
      </c>
      <c r="AU32" s="618">
        <f t="shared" si="209"/>
        <v>87.53546263628354</v>
      </c>
      <c r="AV32" s="618">
        <f t="shared" si="209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458</v>
      </c>
      <c r="AZ32" s="620">
        <f t="shared" si="210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75.309769841408453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75.309769841408453</v>
      </c>
      <c r="BV32" s="618">
        <f t="shared" si="51"/>
        <v>0.75309769841408458</v>
      </c>
      <c r="BY32" s="618" t="e">
        <f t="shared" si="113"/>
        <v>#N/A</v>
      </c>
      <c r="BZ32" s="618" t="e">
        <f t="shared" si="114"/>
        <v>#N/A</v>
      </c>
      <c r="CA32" s="625" t="e">
        <f t="shared" si="115"/>
        <v>#N/A</v>
      </c>
      <c r="CB32" s="626" t="e">
        <f t="shared" si="116"/>
        <v>#N/A</v>
      </c>
      <c r="CC32" s="105" t="e">
        <f t="shared" si="117"/>
        <v>#N/A</v>
      </c>
      <c r="CD32" s="626" t="e">
        <f t="shared" si="118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462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211">IFERROR(IF(V33/G33*100&gt;110,110,V33/G33*100),100)</f>
        <v>0</v>
      </c>
      <c r="AL33" s="618">
        <f t="shared" si="211"/>
        <v>0</v>
      </c>
      <c r="AM33" s="618">
        <f t="shared" si="211"/>
        <v>110</v>
      </c>
      <c r="AN33" s="618">
        <f t="shared" si="211"/>
        <v>110</v>
      </c>
      <c r="AO33" s="618">
        <f t="shared" si="211"/>
        <v>110</v>
      </c>
      <c r="AP33" s="618">
        <f t="shared" si="211"/>
        <v>110</v>
      </c>
      <c r="AQ33" s="618">
        <f t="shared" si="211"/>
        <v>110</v>
      </c>
      <c r="AR33" s="618">
        <f t="shared" si="211"/>
        <v>110</v>
      </c>
      <c r="AS33" s="618">
        <f t="shared" si="211"/>
        <v>110</v>
      </c>
      <c r="AT33" s="618">
        <f t="shared" si="211"/>
        <v>0</v>
      </c>
      <c r="AU33" s="618">
        <f t="shared" si="211"/>
        <v>0</v>
      </c>
      <c r="AV33" s="618">
        <f t="shared" si="211"/>
        <v>0</v>
      </c>
      <c r="AW33" s="621"/>
      <c r="AX33" t="str">
        <f t="shared" si="36"/>
        <v>Pencapaian Pelunasan PRR</v>
      </c>
      <c r="AY33" s="105" t="s">
        <v>458</v>
      </c>
      <c r="AZ33" s="620">
        <f t="shared" si="210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110</v>
      </c>
      <c r="BR33" t="str">
        <v>Pencapaian Pelunasan PRR</v>
      </c>
      <c r="BS33" s="621">
        <v>110</v>
      </c>
      <c r="BT33" s="621" t="str">
        <f t="shared" si="48"/>
        <v/>
      </c>
      <c r="BU33" s="621" t="str">
        <v/>
      </c>
      <c r="BV33" s="618">
        <f t="shared" si="51"/>
        <v>1.1000000000000001</v>
      </c>
      <c r="BY33" s="618" t="e">
        <f t="shared" si="113"/>
        <v>#N/A</v>
      </c>
      <c r="BZ33" s="618" t="e">
        <f t="shared" si="114"/>
        <v>#N/A</v>
      </c>
      <c r="CA33" s="625" t="e">
        <f t="shared" si="115"/>
        <v>#N/A</v>
      </c>
      <c r="CB33" s="626" t="e">
        <f t="shared" si="116"/>
        <v>#N/A</v>
      </c>
      <c r="CC33" s="105" t="e">
        <f t="shared" si="117"/>
        <v>#N/A</v>
      </c>
      <c r="CD33" s="626" t="e">
        <f t="shared" si="118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462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212">MAX(0,_xlfn.IFS(V34&lt;95,V34/95,
AND(V34&gt;=95,V34&lt;=100),1+((V34-95)/(100-95))*0.1,V34&gt;
100,1-(V34-100)/(190-100)))*100</f>
        <v>110.00000000000001</v>
      </c>
      <c r="AL34" s="618">
        <f t="shared" si="212"/>
        <v>110.00000000000001</v>
      </c>
      <c r="AM34" s="618">
        <f t="shared" si="212"/>
        <v>41.631578947368418</v>
      </c>
      <c r="AN34" s="618">
        <f t="shared" si="212"/>
        <v>61.9578947368421</v>
      </c>
      <c r="AO34" s="618">
        <f t="shared" si="212"/>
        <v>74.852631578947367</v>
      </c>
      <c r="AP34" s="618">
        <f t="shared" si="212"/>
        <v>108.86000000000003</v>
      </c>
      <c r="AQ34" s="618">
        <f t="shared" si="212"/>
        <v>110.00000000000001</v>
      </c>
      <c r="AR34" s="618">
        <f t="shared" si="212"/>
        <v>98.189473684210526</v>
      </c>
      <c r="AS34" s="618">
        <f t="shared" si="212"/>
        <v>102</v>
      </c>
      <c r="AT34" s="618">
        <f t="shared" si="212"/>
        <v>0</v>
      </c>
      <c r="AU34" s="618">
        <f t="shared" si="212"/>
        <v>0</v>
      </c>
      <c r="AV34" s="618">
        <f t="shared" si="212"/>
        <v>0</v>
      </c>
      <c r="AW34" s="621"/>
      <c r="AX34" t="str">
        <f t="shared" si="36"/>
        <v>Pengendalian Penggunaan Anggaran Investasi sesuai RKAP</v>
      </c>
      <c r="AY34" s="105" t="s">
        <v>458</v>
      </c>
      <c r="AZ34" s="620">
        <f t="shared" si="210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98.189473684210526</v>
      </c>
      <c r="BR34" t="str">
        <v>Pengendalian Penggunaan Anggaran Investasi sesuai RKAP</v>
      </c>
      <c r="BS34" s="621" t="str">
        <v/>
      </c>
      <c r="BT34" s="621">
        <f t="shared" si="48"/>
        <v>98.189473684210526</v>
      </c>
      <c r="BU34" s="621" t="str">
        <v/>
      </c>
      <c r="BV34" s="618">
        <f t="shared" si="51"/>
        <v>0.98189473684210526</v>
      </c>
      <c r="BY34" s="618" t="e">
        <f t="shared" si="113"/>
        <v>#N/A</v>
      </c>
      <c r="BZ34" s="618" t="e">
        <f t="shared" si="114"/>
        <v>#N/A</v>
      </c>
      <c r="CA34" s="625" t="e">
        <f t="shared" si="115"/>
        <v>#N/A</v>
      </c>
      <c r="CB34" s="626" t="e">
        <f t="shared" si="116"/>
        <v>#N/A</v>
      </c>
      <c r="CC34" s="105" t="e">
        <f t="shared" si="117"/>
        <v>#N/A</v>
      </c>
      <c r="CD34" s="626" t="e">
        <f t="shared" si="118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462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213">IFERROR(IF(V35/G35*100&gt;110,110,V35/G35*100),100)</f>
        <v>100</v>
      </c>
      <c r="AL35" s="618">
        <f t="shared" ref="AL35:AL44" si="214">IFERROR(IF(W35/H35*100&gt;110,110,W35/H35*100),100)</f>
        <v>100</v>
      </c>
      <c r="AM35" s="618">
        <f t="shared" ref="AM35:AM44" si="215">IFERROR(IF(X35/I35*100&gt;110,110,X35/I35*100),100)</f>
        <v>100</v>
      </c>
      <c r="AN35" s="618">
        <f t="shared" ref="AN35:AN44" si="216">IFERROR(IF(Y35/J35*100&gt;110,110,Y35/J35*100),100)</f>
        <v>100</v>
      </c>
      <c r="AO35" s="618">
        <f t="shared" ref="AO35:AO44" si="217">IFERROR(IF(Z35/K35*100&gt;110,110,Z35/K35*100),100)</f>
        <v>100</v>
      </c>
      <c r="AP35" s="618">
        <f t="shared" ref="AP35:AP44" si="218">IFERROR(IF(AA35/L35*100&gt;110,110,AA35/L35*100),100)</f>
        <v>100</v>
      </c>
      <c r="AQ35" s="618">
        <f t="shared" ref="AQ35:AQ44" si="219">IFERROR(IF(AB35/M35*100&gt;110,110,AB35/M35*100),100)</f>
        <v>100</v>
      </c>
      <c r="AR35" s="618">
        <f t="shared" ref="AR35:AR44" si="220">IFERROR(IF(AC35/N35*100&gt;110,110,AC35/N35*100),100)</f>
        <v>100</v>
      </c>
      <c r="AS35" s="618">
        <f t="shared" ref="AS35:AS44" si="221">IFERROR(IF(AD35/O35*100&gt;110,110,AD35/O35*100),100)</f>
        <v>100</v>
      </c>
      <c r="AT35" s="618">
        <f t="shared" ref="AT35:AT44" si="222">IFERROR(IF(AE35/P35*100&gt;110,110,AE35/P35*100),100)</f>
        <v>100</v>
      </c>
      <c r="AU35" s="618">
        <f t="shared" ref="AU35:AU44" si="223">IFERROR(IF(AF35/Q35*100&gt;110,110,AF35/Q35*100),100)</f>
        <v>100</v>
      </c>
      <c r="AV35" s="618">
        <f t="shared" ref="AV35:AV44" si="224">IFERROR(IF(AG35/R35*100&gt;110,110,AG35/R35*100),100)</f>
        <v>0</v>
      </c>
      <c r="AW35" s="621"/>
      <c r="AX35" t="str">
        <f t="shared" si="36"/>
        <v>Usulan Penghapusan ATTB</v>
      </c>
      <c r="AY35" s="105" t="s">
        <v>458</v>
      </c>
      <c r="AZ35" s="620">
        <f t="shared" si="210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113"/>
        <v>#N/A</v>
      </c>
      <c r="BZ35" s="618" t="e">
        <f t="shared" si="114"/>
        <v>#N/A</v>
      </c>
      <c r="CA35" s="625" t="e">
        <f t="shared" si="115"/>
        <v>#N/A</v>
      </c>
      <c r="CB35" s="626" t="e">
        <f t="shared" si="116"/>
        <v>#N/A</v>
      </c>
      <c r="CC35" s="105" t="e">
        <f t="shared" si="117"/>
        <v>#N/A</v>
      </c>
      <c r="CD35" s="626" t="e">
        <f t="shared" si="118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462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213"/>
        <v>100</v>
      </c>
      <c r="AL36" s="618">
        <f t="shared" si="214"/>
        <v>100</v>
      </c>
      <c r="AM36" s="618">
        <f t="shared" si="215"/>
        <v>100</v>
      </c>
      <c r="AN36" s="618">
        <f t="shared" si="216"/>
        <v>100</v>
      </c>
      <c r="AO36" s="618">
        <f t="shared" si="217"/>
        <v>100</v>
      </c>
      <c r="AP36" s="618">
        <f t="shared" si="218"/>
        <v>100</v>
      </c>
      <c r="AQ36" s="618">
        <f t="shared" si="219"/>
        <v>100</v>
      </c>
      <c r="AR36" s="618">
        <f t="shared" si="220"/>
        <v>100</v>
      </c>
      <c r="AS36" s="618">
        <f t="shared" si="221"/>
        <v>100</v>
      </c>
      <c r="AT36" s="618">
        <f t="shared" si="222"/>
        <v>100</v>
      </c>
      <c r="AU36" s="618">
        <f t="shared" si="223"/>
        <v>100</v>
      </c>
      <c r="AV36" s="618">
        <f t="shared" si="224"/>
        <v>0</v>
      </c>
      <c r="AW36" s="621"/>
      <c r="AX36" t="str">
        <f t="shared" si="36"/>
        <v>Usulan Penghapusan PRR</v>
      </c>
      <c r="AY36" s="105" t="s">
        <v>458</v>
      </c>
      <c r="AZ36" s="620">
        <f t="shared" si="210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113"/>
        <v>#N/A</v>
      </c>
      <c r="BZ36" s="618" t="e">
        <f t="shared" si="114"/>
        <v>#N/A</v>
      </c>
      <c r="CA36" s="625" t="e">
        <f t="shared" si="115"/>
        <v>#N/A</v>
      </c>
      <c r="CB36" s="626" t="e">
        <f t="shared" si="116"/>
        <v>#N/A</v>
      </c>
      <c r="CC36" s="105" t="e">
        <f t="shared" si="117"/>
        <v>#N/A</v>
      </c>
      <c r="CD36" s="626" t="e">
        <f t="shared" si="118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462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213"/>
        <v>100</v>
      </c>
      <c r="AL37" s="618">
        <f t="shared" si="214"/>
        <v>100</v>
      </c>
      <c r="AM37" s="618">
        <f t="shared" si="215"/>
        <v>100</v>
      </c>
      <c r="AN37" s="618">
        <f t="shared" si="216"/>
        <v>100</v>
      </c>
      <c r="AO37" s="618">
        <f t="shared" si="217"/>
        <v>100</v>
      </c>
      <c r="AP37" s="618">
        <f t="shared" si="218"/>
        <v>108.55</v>
      </c>
      <c r="AQ37" s="618">
        <f t="shared" si="219"/>
        <v>108.55</v>
      </c>
      <c r="AR37" s="618">
        <f t="shared" si="220"/>
        <v>108.55</v>
      </c>
      <c r="AS37" s="618">
        <f t="shared" si="221"/>
        <v>100</v>
      </c>
      <c r="AT37" s="618">
        <f t="shared" si="222"/>
        <v>100</v>
      </c>
      <c r="AU37" s="618">
        <f t="shared" si="223"/>
        <v>100</v>
      </c>
      <c r="AV37" s="618">
        <f t="shared" si="224"/>
        <v>100</v>
      </c>
      <c r="AW37" s="621"/>
      <c r="AX37" t="str">
        <f t="shared" si="36"/>
        <v>HCR, OCR, dan Produktivitas Pegawai</v>
      </c>
      <c r="AY37" s="105" t="s">
        <v>458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108.55</v>
      </c>
      <c r="BR37" t="str">
        <v>HCR, OCR, dan Produktivitas Pegawai</v>
      </c>
      <c r="BS37" s="621">
        <v>108.55</v>
      </c>
      <c r="BT37" s="621" t="str">
        <f t="shared" si="48"/>
        <v/>
      </c>
      <c r="BU37" s="621" t="str">
        <v/>
      </c>
      <c r="BV37" s="618">
        <f t="shared" si="51"/>
        <v>1.0854999999999999</v>
      </c>
      <c r="BY37" s="618" t="e">
        <f t="shared" si="113"/>
        <v>#N/A</v>
      </c>
      <c r="BZ37" s="618" t="e">
        <f t="shared" si="114"/>
        <v>#N/A</v>
      </c>
      <c r="CA37" s="625" t="e">
        <f t="shared" si="115"/>
        <v>#N/A</v>
      </c>
      <c r="CB37" s="626" t="e">
        <f t="shared" si="116"/>
        <v>#N/A</v>
      </c>
      <c r="CC37" s="105" t="e">
        <f t="shared" si="117"/>
        <v>#N/A</v>
      </c>
      <c r="CD37" s="626" t="e">
        <f t="shared" si="118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462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213"/>
        <v>100</v>
      </c>
      <c r="AL38" s="618">
        <f t="shared" si="214"/>
        <v>100</v>
      </c>
      <c r="AM38" s="618">
        <f t="shared" si="215"/>
        <v>100</v>
      </c>
      <c r="AN38" s="618">
        <f t="shared" si="216"/>
        <v>100</v>
      </c>
      <c r="AO38" s="618">
        <f t="shared" si="217"/>
        <v>100</v>
      </c>
      <c r="AP38" s="618">
        <f t="shared" si="218"/>
        <v>90</v>
      </c>
      <c r="AQ38" s="618">
        <f t="shared" si="219"/>
        <v>90</v>
      </c>
      <c r="AR38" s="618">
        <f t="shared" si="220"/>
        <v>90</v>
      </c>
      <c r="AS38" s="618">
        <f t="shared" si="221"/>
        <v>90</v>
      </c>
      <c r="AT38" s="618">
        <f t="shared" si="222"/>
        <v>0</v>
      </c>
      <c r="AU38" s="618">
        <f t="shared" si="223"/>
        <v>0</v>
      </c>
      <c r="AV38" s="618">
        <f t="shared" si="224"/>
        <v>0</v>
      </c>
      <c r="AW38" s="621"/>
      <c r="AX38" t="str">
        <f t="shared" si="36"/>
        <v>Produktivitas Unit</v>
      </c>
      <c r="AY38" s="105" t="s">
        <v>458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90</v>
      </c>
      <c r="BR38" t="str">
        <v>Produktivitas Unit</v>
      </c>
      <c r="BS38" s="621" t="str">
        <v/>
      </c>
      <c r="BT38" s="621" t="str">
        <f t="shared" si="48"/>
        <v/>
      </c>
      <c r="BU38" s="621">
        <v>90</v>
      </c>
      <c r="BV38" s="618">
        <f t="shared" si="51"/>
        <v>0.9</v>
      </c>
      <c r="BY38" s="618" t="e">
        <f t="shared" si="113"/>
        <v>#N/A</v>
      </c>
      <c r="BZ38" s="618" t="e">
        <f t="shared" si="114"/>
        <v>#N/A</v>
      </c>
      <c r="CA38" s="625" t="e">
        <f t="shared" si="115"/>
        <v>#N/A</v>
      </c>
      <c r="CB38" s="626" t="e">
        <f t="shared" si="116"/>
        <v>#N/A</v>
      </c>
      <c r="CC38" s="105" t="e">
        <f t="shared" si="117"/>
        <v>#N/A</v>
      </c>
      <c r="CD38" s="626" t="e">
        <f t="shared" si="118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462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213"/>
        <v>100</v>
      </c>
      <c r="AL39" s="618">
        <f t="shared" si="214"/>
        <v>100</v>
      </c>
      <c r="AM39" s="618">
        <f t="shared" si="215"/>
        <v>100</v>
      </c>
      <c r="AN39" s="618">
        <f t="shared" si="216"/>
        <v>100</v>
      </c>
      <c r="AO39" s="618">
        <f t="shared" si="217"/>
        <v>100</v>
      </c>
      <c r="AP39" s="618">
        <f t="shared" si="218"/>
        <v>107.83500000000001</v>
      </c>
      <c r="AQ39" s="618">
        <f t="shared" si="219"/>
        <v>110.00000000000001</v>
      </c>
      <c r="AR39" s="618">
        <f t="shared" si="220"/>
        <v>107.84</v>
      </c>
      <c r="AS39" s="618">
        <f t="shared" si="221"/>
        <v>110.00000000000001</v>
      </c>
      <c r="AT39" s="618">
        <f t="shared" si="222"/>
        <v>110.00000000000001</v>
      </c>
      <c r="AU39" s="618">
        <f t="shared" si="223"/>
        <v>110.00000000000001</v>
      </c>
      <c r="AV39" s="618">
        <f t="shared" si="224"/>
        <v>110.00000000000001</v>
      </c>
      <c r="AW39" s="621"/>
      <c r="AX39" t="str">
        <f t="shared" si="36"/>
        <v>Pengelolaan Komunikasi dan TJSL</v>
      </c>
      <c r="AY39" s="105" t="s">
        <v>458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107.84</v>
      </c>
      <c r="BR39" t="str">
        <v>Pengelolaan Komunikasi dan TJSL</v>
      </c>
      <c r="BS39" s="621">
        <v>107.84</v>
      </c>
      <c r="BT39" s="621" t="str">
        <f t="shared" si="48"/>
        <v/>
      </c>
      <c r="BU39" s="621" t="str">
        <v/>
      </c>
      <c r="BV39" s="618">
        <f t="shared" si="51"/>
        <v>1.0784</v>
      </c>
      <c r="BY39" s="618" t="e">
        <f t="shared" si="113"/>
        <v>#N/A</v>
      </c>
      <c r="BZ39" s="618" t="e">
        <f t="shared" si="114"/>
        <v>#N/A</v>
      </c>
      <c r="CA39" s="625" t="e">
        <f t="shared" si="115"/>
        <v>#N/A</v>
      </c>
      <c r="CB39" s="626" t="e">
        <f t="shared" si="116"/>
        <v>#N/A</v>
      </c>
      <c r="CC39" s="105" t="e">
        <f t="shared" si="117"/>
        <v>#N/A</v>
      </c>
      <c r="CD39" s="626" t="e">
        <f t="shared" si="118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462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213"/>
        <v>100</v>
      </c>
      <c r="AL40" s="618">
        <f t="shared" si="214"/>
        <v>100</v>
      </c>
      <c r="AM40" s="618">
        <f t="shared" si="215"/>
        <v>100</v>
      </c>
      <c r="AN40" s="618">
        <f t="shared" si="216"/>
        <v>100</v>
      </c>
      <c r="AO40" s="618">
        <f t="shared" si="217"/>
        <v>100</v>
      </c>
      <c r="AP40" s="618">
        <f t="shared" si="218"/>
        <v>100</v>
      </c>
      <c r="AQ40" s="618">
        <f t="shared" si="219"/>
        <v>100</v>
      </c>
      <c r="AR40" s="618">
        <f t="shared" si="220"/>
        <v>100</v>
      </c>
      <c r="AS40" s="618">
        <f t="shared" si="221"/>
        <v>100</v>
      </c>
      <c r="AT40" s="618">
        <f t="shared" si="222"/>
        <v>0</v>
      </c>
      <c r="AU40" s="618">
        <f t="shared" si="223"/>
        <v>0</v>
      </c>
      <c r="AV40" s="618">
        <f t="shared" si="224"/>
        <v>0</v>
      </c>
      <c r="AW40" s="621"/>
      <c r="AX40" t="str">
        <f t="shared" si="36"/>
        <v>Peningkatan Layanan dan Budaya K3</v>
      </c>
      <c r="AY40" s="105" t="s">
        <v>458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113"/>
        <v>#N/A</v>
      </c>
      <c r="BZ40" s="618" t="e">
        <f t="shared" si="114"/>
        <v>#N/A</v>
      </c>
      <c r="CA40" s="625" t="e">
        <f t="shared" si="115"/>
        <v>#N/A</v>
      </c>
      <c r="CB40" s="626" t="e">
        <f t="shared" si="116"/>
        <v>#N/A</v>
      </c>
      <c r="CC40" s="105" t="e">
        <f t="shared" si="117"/>
        <v>#N/A</v>
      </c>
      <c r="CD40" s="626" t="e">
        <f t="shared" si="118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462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213"/>
        <v>100</v>
      </c>
      <c r="AL41" s="618">
        <f t="shared" si="214"/>
        <v>100</v>
      </c>
      <c r="AM41" s="618">
        <f t="shared" si="215"/>
        <v>100</v>
      </c>
      <c r="AN41" s="618">
        <f t="shared" si="216"/>
        <v>100</v>
      </c>
      <c r="AO41" s="618">
        <f t="shared" si="217"/>
        <v>100</v>
      </c>
      <c r="AP41" s="618">
        <f t="shared" si="218"/>
        <v>110</v>
      </c>
      <c r="AQ41" s="618">
        <f t="shared" si="219"/>
        <v>110</v>
      </c>
      <c r="AR41" s="618">
        <f t="shared" si="220"/>
        <v>100</v>
      </c>
      <c r="AS41" s="618">
        <f t="shared" si="221"/>
        <v>100</v>
      </c>
      <c r="AT41" s="618">
        <f t="shared" si="222"/>
        <v>0</v>
      </c>
      <c r="AU41" s="618">
        <f t="shared" si="223"/>
        <v>0</v>
      </c>
      <c r="AV41" s="618">
        <f t="shared" si="224"/>
        <v>0</v>
      </c>
      <c r="AW41" s="621"/>
      <c r="AX41" t="str">
        <f t="shared" si="36"/>
        <v>Implementasi PLN Bisnis Ekselen</v>
      </c>
      <c r="AY41" s="105" t="s">
        <v>458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113"/>
        <v>#N/A</v>
      </c>
      <c r="BZ41" s="618" t="e">
        <f t="shared" si="114"/>
        <v>#N/A</v>
      </c>
      <c r="CA41" s="625" t="e">
        <f t="shared" si="115"/>
        <v>#N/A</v>
      </c>
      <c r="CB41" s="626" t="e">
        <f t="shared" si="116"/>
        <v>#N/A</v>
      </c>
      <c r="CC41" s="105" t="e">
        <f t="shared" si="117"/>
        <v>#N/A</v>
      </c>
      <c r="CD41" s="626" t="e">
        <f t="shared" si="118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462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213"/>
        <v>100</v>
      </c>
      <c r="AL42" s="618">
        <f t="shared" si="214"/>
        <v>63</v>
      </c>
      <c r="AM42" s="618">
        <f t="shared" si="215"/>
        <v>100.19999999999997</v>
      </c>
      <c r="AN42" s="618">
        <f t="shared" si="216"/>
        <v>110</v>
      </c>
      <c r="AO42" s="618">
        <f t="shared" si="217"/>
        <v>104.28571428571429</v>
      </c>
      <c r="AP42" s="618">
        <f t="shared" si="218"/>
        <v>100.77777777777777</v>
      </c>
      <c r="AQ42" s="618">
        <f t="shared" si="219"/>
        <v>107.3015873015873</v>
      </c>
      <c r="AR42" s="618">
        <f t="shared" si="220"/>
        <v>98.181818181818187</v>
      </c>
      <c r="AS42" s="618">
        <f t="shared" si="221"/>
        <v>100</v>
      </c>
      <c r="AT42" s="618">
        <f t="shared" si="222"/>
        <v>0</v>
      </c>
      <c r="AU42" s="618">
        <f t="shared" si="223"/>
        <v>0</v>
      </c>
      <c r="AV42" s="618">
        <f t="shared" si="224"/>
        <v>0</v>
      </c>
      <c r="AW42" s="621"/>
      <c r="AX42" t="str">
        <f t="shared" si="36"/>
        <v>Maturity Level Gudang</v>
      </c>
      <c r="AY42" s="105" t="s">
        <v>458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98.181818181818187</v>
      </c>
      <c r="BR42" t="str">
        <v>Maturity Level Gudang</v>
      </c>
      <c r="BS42" s="621" t="str">
        <v/>
      </c>
      <c r="BT42" s="621">
        <f t="shared" si="48"/>
        <v>98.181818181818187</v>
      </c>
      <c r="BU42" s="621" t="str">
        <v/>
      </c>
      <c r="BV42" s="618">
        <f t="shared" si="51"/>
        <v>0.98181818181818192</v>
      </c>
      <c r="BX42" s="649" t="s">
        <v>462</v>
      </c>
      <c r="BY42" s="649" t="s">
        <v>462</v>
      </c>
      <c r="BZ42" s="649" t="s">
        <v>462</v>
      </c>
      <c r="CA42" s="649" t="s">
        <v>462</v>
      </c>
      <c r="CB42" s="649" t="s">
        <v>462</v>
      </c>
      <c r="CC42" s="649" t="s">
        <v>462</v>
      </c>
      <c r="CD42" s="649" t="s">
        <v>462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462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213"/>
        <v>100</v>
      </c>
      <c r="AL43" s="618">
        <f t="shared" si="214"/>
        <v>100</v>
      </c>
      <c r="AM43" s="618">
        <f t="shared" si="215"/>
        <v>100</v>
      </c>
      <c r="AN43" s="618">
        <f t="shared" si="216"/>
        <v>100</v>
      </c>
      <c r="AO43" s="618">
        <f t="shared" si="217"/>
        <v>100</v>
      </c>
      <c r="AP43" s="618">
        <f t="shared" si="218"/>
        <v>110.00000000000001</v>
      </c>
      <c r="AQ43" s="618">
        <f t="shared" si="219"/>
        <v>110.00000000000001</v>
      </c>
      <c r="AR43" s="618">
        <f t="shared" si="220"/>
        <v>110.00000000000001</v>
      </c>
      <c r="AS43" s="618">
        <f t="shared" si="221"/>
        <v>110.00000000000001</v>
      </c>
      <c r="AT43" s="618">
        <f t="shared" si="222"/>
        <v>0</v>
      </c>
      <c r="AU43" s="618">
        <f t="shared" si="223"/>
        <v>0</v>
      </c>
      <c r="AV43" s="618">
        <f t="shared" si="224"/>
        <v>0</v>
      </c>
      <c r="AX43" t="str">
        <f t="shared" si="36"/>
        <v>Maturity Level Sustainbility</v>
      </c>
      <c r="AY43" s="105" t="s">
        <v>458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110.00000000000001</v>
      </c>
      <c r="BR43" t="str">
        <v>Maturity Level Sustainbility</v>
      </c>
      <c r="BS43" s="621">
        <v>110.00000000000001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462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213"/>
        <v>100</v>
      </c>
      <c r="AL44" s="618">
        <f t="shared" si="214"/>
        <v>100</v>
      </c>
      <c r="AM44" s="618">
        <f t="shared" si="215"/>
        <v>100</v>
      </c>
      <c r="AN44" s="618">
        <f t="shared" si="216"/>
        <v>100</v>
      </c>
      <c r="AO44" s="618">
        <f t="shared" si="217"/>
        <v>100</v>
      </c>
      <c r="AP44" s="618">
        <f t="shared" si="218"/>
        <v>100</v>
      </c>
      <c r="AQ44" s="618">
        <f t="shared" si="219"/>
        <v>100</v>
      </c>
      <c r="AR44" s="618">
        <f t="shared" si="220"/>
        <v>100</v>
      </c>
      <c r="AS44" s="618">
        <f t="shared" si="221"/>
        <v>100</v>
      </c>
      <c r="AT44" s="618">
        <f t="shared" si="222"/>
        <v>0</v>
      </c>
      <c r="AU44" s="618">
        <f t="shared" si="223"/>
        <v>0</v>
      </c>
      <c r="AV44" s="618">
        <f t="shared" si="224"/>
        <v>0</v>
      </c>
      <c r="AX44" t="str">
        <f t="shared" si="36"/>
        <v>Implementasi Roadmap Perbaikan Penerapan Manajemen Risiko dan Pencapaian Perlakuan Risiko</v>
      </c>
      <c r="AY44" s="105" t="s">
        <v>458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81" t="s">
        <v>467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2" t="s">
        <v>107</v>
      </c>
      <c r="BQ46" s="752"/>
      <c r="BR46" s="752"/>
    </row>
    <row r="47" spans="1:82">
      <c r="AX47" s="681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458</v>
      </c>
      <c r="BR47" cm="1">
        <f t="array" ref="BR47">INDEX($BA$49:$BL$49,MATCH(MONTH(BP3),MONTH($BA$46:$BL$46),0))</f>
        <v>102.54</v>
      </c>
    </row>
    <row r="48" spans="1:82">
      <c r="AX48" s="681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81"/>
      <c r="AY49" s="489"/>
      <c r="AZ49" s="489" t="s">
        <v>254</v>
      </c>
      <c r="BA49" s="623">
        <f t="shared" ref="BA49:BI49" si="225">SUM(BA4:BA44)</f>
        <v>95.300000000000011</v>
      </c>
      <c r="BB49" s="623">
        <f t="shared" si="225"/>
        <v>95.020000000000024</v>
      </c>
      <c r="BC49" s="623">
        <f t="shared" si="225"/>
        <v>101.31000000000003</v>
      </c>
      <c r="BD49" s="623">
        <f t="shared" si="225"/>
        <v>100.72000000000001</v>
      </c>
      <c r="BE49" s="623">
        <f t="shared" si="225"/>
        <v>100.41000000000004</v>
      </c>
      <c r="BF49" s="623">
        <f t="shared" si="225"/>
        <v>102.5</v>
      </c>
      <c r="BG49" s="623">
        <f t="shared" si="225"/>
        <v>102.41000000000003</v>
      </c>
      <c r="BH49" s="623">
        <f t="shared" si="225"/>
        <v>102.54</v>
      </c>
      <c r="BI49" s="623">
        <f t="shared" si="225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0" t="s">
        <v>468</v>
      </c>
      <c r="B62" s="750"/>
      <c r="C62" s="750"/>
      <c r="D62" s="750"/>
    </row>
    <row r="63" spans="1:64" ht="15" customHeight="1">
      <c r="A63" s="750"/>
      <c r="B63" s="750"/>
      <c r="C63" s="750"/>
      <c r="D63" s="750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0"/>
      <c r="B64" s="750"/>
      <c r="C64" s="750"/>
      <c r="D64" s="750"/>
      <c r="AZ64" t="s">
        <v>254</v>
      </c>
      <c r="BA64" s="625">
        <f>SUM(BA67:BA96)</f>
        <v>72.37</v>
      </c>
      <c r="BB64" s="625">
        <f t="shared" ref="BB64:BI64" si="226">SUM(BB67:BB96)</f>
        <v>87.880000000000038</v>
      </c>
      <c r="BC64" s="625">
        <f t="shared" si="226"/>
        <v>98.72999999999999</v>
      </c>
      <c r="BD64" s="625">
        <f t="shared" si="226"/>
        <v>99.18</v>
      </c>
      <c r="BE64" s="625">
        <f t="shared" si="226"/>
        <v>98.450000000000017</v>
      </c>
      <c r="BF64" s="625">
        <f t="shared" si="226"/>
        <v>95.890000000000015</v>
      </c>
      <c r="BG64" s="625">
        <f t="shared" si="226"/>
        <v>98.030000000000015</v>
      </c>
      <c r="BH64" s="625">
        <f t="shared" si="226"/>
        <v>98.940000000000012</v>
      </c>
      <c r="BI64" s="625">
        <f t="shared" si="226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454</v>
      </c>
      <c r="B66" t="s">
        <v>455</v>
      </c>
      <c r="C66" t="s">
        <v>456</v>
      </c>
      <c r="E66" s="21" t="s">
        <v>457</v>
      </c>
      <c r="G66" s="616">
        <f>DATE(2025,G65+1,0)</f>
        <v>45688</v>
      </c>
      <c r="H66" s="616">
        <f t="shared" ref="H66:R66" si="227">DATE(2025,H65+1,0)</f>
        <v>45716</v>
      </c>
      <c r="I66" s="616">
        <f t="shared" si="227"/>
        <v>45747</v>
      </c>
      <c r="J66" s="616">
        <f t="shared" si="227"/>
        <v>45777</v>
      </c>
      <c r="K66" s="616">
        <f t="shared" si="227"/>
        <v>45808</v>
      </c>
      <c r="L66" s="616">
        <f t="shared" si="227"/>
        <v>45838</v>
      </c>
      <c r="M66" s="616">
        <f t="shared" si="227"/>
        <v>45869</v>
      </c>
      <c r="N66" s="616">
        <f t="shared" si="227"/>
        <v>45900</v>
      </c>
      <c r="O66" s="616">
        <f t="shared" si="227"/>
        <v>45930</v>
      </c>
      <c r="P66" s="616">
        <f t="shared" si="227"/>
        <v>45961</v>
      </c>
      <c r="Q66" s="616">
        <f t="shared" si="227"/>
        <v>45991</v>
      </c>
      <c r="R66" s="616">
        <f t="shared" si="227"/>
        <v>46022</v>
      </c>
      <c r="T66" s="21" t="s">
        <v>457</v>
      </c>
      <c r="V66" s="616">
        <f>DATE(2025,V65+1,0)</f>
        <v>45688</v>
      </c>
      <c r="W66" s="616">
        <f t="shared" ref="W66:AG66" si="228">DATE(2025,W65+1,0)</f>
        <v>45716</v>
      </c>
      <c r="X66" s="616">
        <f t="shared" si="228"/>
        <v>45747</v>
      </c>
      <c r="Y66" s="616">
        <f t="shared" si="228"/>
        <v>45777</v>
      </c>
      <c r="Z66" s="616">
        <f t="shared" si="228"/>
        <v>45808</v>
      </c>
      <c r="AA66" s="616">
        <f t="shared" si="228"/>
        <v>45838</v>
      </c>
      <c r="AB66" s="616">
        <f t="shared" si="228"/>
        <v>45869</v>
      </c>
      <c r="AC66" s="616">
        <f t="shared" si="228"/>
        <v>45900</v>
      </c>
      <c r="AD66" s="616">
        <f t="shared" si="228"/>
        <v>45930</v>
      </c>
      <c r="AE66" s="616">
        <f t="shared" si="228"/>
        <v>45961</v>
      </c>
      <c r="AF66" s="616">
        <f t="shared" si="228"/>
        <v>45991</v>
      </c>
      <c r="AG66" s="616">
        <f t="shared" si="228"/>
        <v>46022</v>
      </c>
      <c r="AI66" s="21" t="s">
        <v>457</v>
      </c>
      <c r="AK66" s="616">
        <f>DATE(2025,AK65+1,0)</f>
        <v>45688</v>
      </c>
      <c r="AL66" s="616">
        <f t="shared" ref="AL66:AV66" si="229">DATE(2025,AL65+1,0)</f>
        <v>45716</v>
      </c>
      <c r="AM66" s="616">
        <f t="shared" si="229"/>
        <v>45747</v>
      </c>
      <c r="AN66" s="616">
        <f t="shared" si="229"/>
        <v>45777</v>
      </c>
      <c r="AO66" s="616">
        <f t="shared" si="229"/>
        <v>45808</v>
      </c>
      <c r="AP66" s="616">
        <f t="shared" si="229"/>
        <v>45838</v>
      </c>
      <c r="AQ66" s="616">
        <f t="shared" si="229"/>
        <v>45869</v>
      </c>
      <c r="AR66" s="616">
        <f t="shared" si="229"/>
        <v>45900</v>
      </c>
      <c r="AS66" s="616">
        <f t="shared" si="229"/>
        <v>45930</v>
      </c>
      <c r="AT66" s="616">
        <f t="shared" si="229"/>
        <v>45961</v>
      </c>
      <c r="AU66" s="616">
        <f t="shared" si="229"/>
        <v>45991</v>
      </c>
      <c r="AV66" s="616">
        <f t="shared" si="229"/>
        <v>46022</v>
      </c>
      <c r="AX66" s="21" t="s">
        <v>457</v>
      </c>
      <c r="BA66" s="616">
        <f>DATE(2025,BA65+1,0)</f>
        <v>45688</v>
      </c>
      <c r="BB66" s="616">
        <f t="shared" ref="BB66:BL66" si="230">DATE(2025,BB65+1,0)</f>
        <v>45716</v>
      </c>
      <c r="BC66" s="616">
        <f t="shared" si="230"/>
        <v>45747</v>
      </c>
      <c r="BD66" s="616">
        <f t="shared" si="230"/>
        <v>45777</v>
      </c>
      <c r="BE66" s="616">
        <f t="shared" si="230"/>
        <v>45808</v>
      </c>
      <c r="BF66" s="616">
        <f t="shared" si="230"/>
        <v>45838</v>
      </c>
      <c r="BG66" s="616">
        <f t="shared" si="230"/>
        <v>45869</v>
      </c>
      <c r="BH66" s="616">
        <f t="shared" si="230"/>
        <v>45900</v>
      </c>
      <c r="BI66" s="616">
        <f t="shared" si="230"/>
        <v>45930</v>
      </c>
      <c r="BJ66" s="616">
        <f t="shared" si="230"/>
        <v>45961</v>
      </c>
      <c r="BK66" s="616">
        <f t="shared" si="230"/>
        <v>45991</v>
      </c>
      <c r="BL66" s="616">
        <f t="shared" si="230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462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31">IF(W67/H67*100&gt;110,110,W67/H67*100)</f>
        <v>110</v>
      </c>
      <c r="AM67" s="618">
        <f t="shared" si="231"/>
        <v>103.69954787093496</v>
      </c>
      <c r="AN67" s="618">
        <f t="shared" si="231"/>
        <v>97.59348462646949</v>
      </c>
      <c r="AO67" s="618">
        <f t="shared" si="231"/>
        <v>95.706790204572812</v>
      </c>
      <c r="AP67" s="618">
        <f t="shared" si="231"/>
        <v>94.800144375314872</v>
      </c>
      <c r="AQ67" s="618">
        <f t="shared" si="231"/>
        <v>94.540403220155724</v>
      </c>
      <c r="AR67" s="618">
        <f t="shared" si="231"/>
        <v>93.986157490558924</v>
      </c>
      <c r="AS67" s="618">
        <f t="shared" si="231"/>
        <v>93.513850952460658</v>
      </c>
      <c r="AT67" s="618">
        <f t="shared" si="231"/>
        <v>0</v>
      </c>
      <c r="AU67" s="618">
        <f t="shared" si="231"/>
        <v>0</v>
      </c>
      <c r="AV67" s="618">
        <f t="shared" si="231"/>
        <v>0</v>
      </c>
      <c r="AX67" t="str" cm="1">
        <f t="array" ref="AX67:AX96">_xlfn.ANCHORARRAY($C$67)</f>
        <v>Penjualan Tenaga Listrik</v>
      </c>
      <c r="AY67" s="105" t="s">
        <v>458</v>
      </c>
      <c r="AZ67">
        <v>14</v>
      </c>
      <c r="BA67" s="618">
        <f t="shared" ref="BA67:BA96" si="232">ROUNDDOWN(AK67/100*$AZ67,2)</f>
        <v>15.4</v>
      </c>
      <c r="BB67" s="618">
        <f t="shared" ref="BB67:BB96" si="233">ROUNDDOWN(AL67/100*$AZ67,2)</f>
        <v>15.4</v>
      </c>
      <c r="BC67" s="618">
        <f t="shared" ref="BC67:BC96" si="234">ROUNDDOWN(AM67/100*$AZ67,2)</f>
        <v>14.51</v>
      </c>
      <c r="BD67" s="618">
        <f t="shared" ref="BD67:BD96" si="235">ROUNDDOWN(AN67/100*$AZ67,2)</f>
        <v>13.66</v>
      </c>
      <c r="BE67" s="618">
        <f t="shared" ref="BE67:BE96" si="236">ROUNDDOWN(AO67/100*$AZ67,2)</f>
        <v>13.39</v>
      </c>
      <c r="BF67" s="618">
        <f t="shared" ref="BF67:BF96" si="237">ROUNDDOWN(AP67/100*$AZ67,2)</f>
        <v>13.27</v>
      </c>
      <c r="BG67" s="618">
        <f t="shared" ref="BG67:BG96" si="238">ROUNDDOWN(AQ67/100*$AZ67,2)</f>
        <v>13.23</v>
      </c>
      <c r="BH67" s="618">
        <f t="shared" ref="BH67:BH96" si="239">ROUNDDOWN(AR67/100*$AZ67,2)</f>
        <v>13.15</v>
      </c>
      <c r="BI67" s="618">
        <f t="shared" ref="BI67:BI96" si="240">ROUNDDOWN(AS67/100*$AZ67,2)</f>
        <v>13.09</v>
      </c>
      <c r="BJ67" s="618">
        <f t="shared" ref="BJ67:BJ96" si="241">ROUNDDOWN(AT67/100*$AZ67,2)</f>
        <v>0</v>
      </c>
      <c r="BK67" s="618">
        <f t="shared" ref="BK67:BK96" si="242">ROUNDDOWN(AU67/100*$AZ67,2)</f>
        <v>0</v>
      </c>
      <c r="BL67" s="618">
        <f t="shared" ref="BL67:BL96" si="243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462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44">IF((2-(V68/G68))*100&gt;110,110,(2-(V68/G68))*100)</f>
        <v>110</v>
      </c>
      <c r="AL68" s="618">
        <f t="shared" si="244"/>
        <v>110</v>
      </c>
      <c r="AM68" s="618">
        <f t="shared" si="244"/>
        <v>110</v>
      </c>
      <c r="AN68" s="618">
        <f t="shared" si="244"/>
        <v>110</v>
      </c>
      <c r="AO68" s="618">
        <f t="shared" si="244"/>
        <v>110</v>
      </c>
      <c r="AP68" s="618">
        <f t="shared" si="244"/>
        <v>91.942093097986643</v>
      </c>
      <c r="AQ68" s="618">
        <f t="shared" si="244"/>
        <v>101.61743413124762</v>
      </c>
      <c r="AR68" s="618">
        <f t="shared" si="244"/>
        <v>110</v>
      </c>
      <c r="AS68" s="618">
        <f t="shared" si="244"/>
        <v>110</v>
      </c>
      <c r="AT68" s="618">
        <f t="shared" si="244"/>
        <v>110</v>
      </c>
      <c r="AU68" s="618">
        <f t="shared" si="244"/>
        <v>110</v>
      </c>
      <c r="AV68" s="618">
        <f t="shared" si="244"/>
        <v>110</v>
      </c>
      <c r="AX68" t="str">
        <v>SAIDI (sesuai kewenangan)</v>
      </c>
      <c r="AY68" s="105" t="s">
        <v>458</v>
      </c>
      <c r="AZ68">
        <v>6</v>
      </c>
      <c r="BA68" s="618">
        <f t="shared" si="232"/>
        <v>6.6</v>
      </c>
      <c r="BB68" s="618">
        <f t="shared" si="233"/>
        <v>6.6</v>
      </c>
      <c r="BC68" s="618">
        <f t="shared" si="234"/>
        <v>6.6</v>
      </c>
      <c r="BD68" s="618">
        <f t="shared" si="235"/>
        <v>6.6</v>
      </c>
      <c r="BE68" s="618">
        <f t="shared" si="236"/>
        <v>6.6</v>
      </c>
      <c r="BF68" s="618">
        <f t="shared" si="237"/>
        <v>5.51</v>
      </c>
      <c r="BG68" s="618">
        <f t="shared" si="238"/>
        <v>6.09</v>
      </c>
      <c r="BH68" s="618">
        <f t="shared" si="239"/>
        <v>6.6</v>
      </c>
      <c r="BI68" s="618">
        <f t="shared" si="240"/>
        <v>6.6</v>
      </c>
      <c r="BJ68" s="618">
        <f t="shared" si="241"/>
        <v>6.6</v>
      </c>
      <c r="BK68" s="618">
        <f t="shared" si="242"/>
        <v>6.6</v>
      </c>
      <c r="BL68" s="618">
        <f t="shared" si="243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462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44"/>
        <v>110</v>
      </c>
      <c r="AL69" s="618">
        <f t="shared" si="244"/>
        <v>110</v>
      </c>
      <c r="AM69" s="618">
        <f t="shared" si="244"/>
        <v>110</v>
      </c>
      <c r="AN69" s="618">
        <f t="shared" si="244"/>
        <v>110</v>
      </c>
      <c r="AO69" s="618">
        <f t="shared" si="244"/>
        <v>110</v>
      </c>
      <c r="AP69" s="618">
        <f t="shared" si="244"/>
        <v>103.56541606541607</v>
      </c>
      <c r="AQ69" s="618">
        <f t="shared" si="244"/>
        <v>104.48747682317203</v>
      </c>
      <c r="AR69" s="618">
        <f t="shared" si="244"/>
        <v>110</v>
      </c>
      <c r="AS69" s="618">
        <f t="shared" si="244"/>
        <v>110</v>
      </c>
      <c r="AT69" s="618">
        <f t="shared" si="244"/>
        <v>110</v>
      </c>
      <c r="AU69" s="618">
        <f t="shared" si="244"/>
        <v>110</v>
      </c>
      <c r="AV69" s="618">
        <f t="shared" si="244"/>
        <v>110</v>
      </c>
      <c r="AX69" t="str">
        <v>SAIFI (sesuai kewenangan)</v>
      </c>
      <c r="AY69" s="105" t="s">
        <v>458</v>
      </c>
      <c r="AZ69">
        <v>6</v>
      </c>
      <c r="BA69" s="618">
        <f t="shared" si="232"/>
        <v>6.6</v>
      </c>
      <c r="BB69" s="618">
        <f t="shared" si="233"/>
        <v>6.6</v>
      </c>
      <c r="BC69" s="618">
        <f t="shared" si="234"/>
        <v>6.6</v>
      </c>
      <c r="BD69" s="618">
        <f t="shared" si="235"/>
        <v>6.6</v>
      </c>
      <c r="BE69" s="618">
        <f t="shared" si="236"/>
        <v>6.6</v>
      </c>
      <c r="BF69" s="618">
        <f t="shared" si="237"/>
        <v>6.21</v>
      </c>
      <c r="BG69" s="618">
        <f t="shared" si="238"/>
        <v>6.26</v>
      </c>
      <c r="BH69" s="618">
        <f t="shared" si="239"/>
        <v>6.6</v>
      </c>
      <c r="BI69" s="618">
        <f t="shared" si="240"/>
        <v>6.6</v>
      </c>
      <c r="BJ69" s="618">
        <f t="shared" si="241"/>
        <v>6.6</v>
      </c>
      <c r="BK69" s="618">
        <f t="shared" si="242"/>
        <v>6.6</v>
      </c>
      <c r="BL69" s="618">
        <f t="shared" si="243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462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45">IF(((G70-(V70-G70))/G70)*100&gt;110,110,((G70-(V70-G70))/G70)*100)</f>
        <v>110</v>
      </c>
      <c r="AL70" s="618">
        <f t="shared" si="245"/>
        <v>110</v>
      </c>
      <c r="AM70" s="618">
        <f t="shared" si="245"/>
        <v>110</v>
      </c>
      <c r="AN70" s="618">
        <f t="shared" si="245"/>
        <v>110</v>
      </c>
      <c r="AO70" s="618">
        <f t="shared" si="245"/>
        <v>110</v>
      </c>
      <c r="AP70" s="618">
        <f t="shared" si="245"/>
        <v>110</v>
      </c>
      <c r="AQ70" s="618">
        <f t="shared" si="245"/>
        <v>110</v>
      </c>
      <c r="AR70" s="618">
        <f t="shared" si="245"/>
        <v>110</v>
      </c>
      <c r="AS70" s="618">
        <f t="shared" si="245"/>
        <v>110</v>
      </c>
      <c r="AT70" s="618">
        <f t="shared" si="245"/>
        <v>110</v>
      </c>
      <c r="AU70" s="618">
        <f t="shared" si="245"/>
        <v>110</v>
      </c>
      <c r="AV70" s="618">
        <f t="shared" si="245"/>
        <v>110</v>
      </c>
      <c r="AX70" t="str">
        <v>ENS (sesuai kewenangan)</v>
      </c>
      <c r="AY70" s="105" t="s">
        <v>458</v>
      </c>
      <c r="AZ70">
        <v>2</v>
      </c>
      <c r="BA70" s="618">
        <f t="shared" si="232"/>
        <v>2.2000000000000002</v>
      </c>
      <c r="BB70" s="618">
        <f t="shared" si="233"/>
        <v>2.2000000000000002</v>
      </c>
      <c r="BC70" s="618">
        <f t="shared" si="234"/>
        <v>2.2000000000000002</v>
      </c>
      <c r="BD70" s="618">
        <f t="shared" si="235"/>
        <v>2.2000000000000002</v>
      </c>
      <c r="BE70" s="618">
        <f t="shared" si="236"/>
        <v>2.2000000000000002</v>
      </c>
      <c r="BF70" s="618">
        <f t="shared" si="237"/>
        <v>2.2000000000000002</v>
      </c>
      <c r="BG70" s="618">
        <f t="shared" si="238"/>
        <v>2.2000000000000002</v>
      </c>
      <c r="BH70" s="618">
        <f t="shared" si="239"/>
        <v>2.2000000000000002</v>
      </c>
      <c r="BI70" s="618">
        <f t="shared" si="240"/>
        <v>2.2000000000000002</v>
      </c>
      <c r="BJ70" s="618">
        <f t="shared" si="241"/>
        <v>2.2000000000000002</v>
      </c>
      <c r="BK70" s="618">
        <f t="shared" si="242"/>
        <v>2.2000000000000002</v>
      </c>
      <c r="BL70" s="618">
        <f t="shared" si="243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462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46">IF((2-(V71/G71))*100&gt;110,110,(2-(V71/G71))*100)</f>
        <v>110</v>
      </c>
      <c r="AL71" s="618">
        <f t="shared" ref="AL71" si="247">IF((2-(W71/H71))*100&gt;110,110,(2-(W71/H71))*100)</f>
        <v>110</v>
      </c>
      <c r="AM71" s="618">
        <f t="shared" ref="AM71" si="248">IF((2-(X71/I71))*100&gt;110,110,(2-(X71/I71))*100)</f>
        <v>110</v>
      </c>
      <c r="AN71" s="618">
        <f t="shared" ref="AN71" si="249">IF((2-(Y71/J71))*100&gt;110,110,(2-(Y71/J71))*100)</f>
        <v>110</v>
      </c>
      <c r="AO71" s="618">
        <f t="shared" ref="AO71" si="250">IF((2-(Z71/K71))*100&gt;110,110,(2-(Z71/K71))*100)</f>
        <v>110</v>
      </c>
      <c r="AP71" s="618">
        <f t="shared" ref="AP71" si="251">IF((2-(AA71/L71))*100&gt;110,110,(2-(AA71/L71))*100)</f>
        <v>110</v>
      </c>
      <c r="AQ71" s="618">
        <f t="shared" ref="AQ71" si="252">IF((2-(AB71/M71))*100&gt;110,110,(2-(AB71/M71))*100)</f>
        <v>110</v>
      </c>
      <c r="AR71" s="618">
        <f t="shared" ref="AR71" si="253">IF((2-(AC71/N71))*100&gt;110,110,(2-(AC71/N71))*100)</f>
        <v>110</v>
      </c>
      <c r="AS71" s="618">
        <f t="shared" ref="AS71" si="254">IF((2-(AD71/O71))*100&gt;110,110,(2-(AD71/O71))*100)</f>
        <v>110</v>
      </c>
      <c r="AT71" s="618">
        <f t="shared" ref="AT71" si="255">IF((2-(AE71/P71))*100&gt;110,110,(2-(AE71/P71))*100)</f>
        <v>110</v>
      </c>
      <c r="AU71" s="618">
        <f t="shared" ref="AU71" si="256">IF((2-(AF71/Q71))*100&gt;110,110,(2-(AF71/Q71))*100)</f>
        <v>110</v>
      </c>
      <c r="AV71" s="618">
        <f t="shared" ref="AV71" si="257">IF((2-(AG71/R71))*100&gt;110,110,(2-(AG71/R71))*100)</f>
        <v>110</v>
      </c>
      <c r="AX71" t="str">
        <v>Susut Distribusi Tanpa E-min (sesuai kewenangan)</v>
      </c>
      <c r="AY71" s="105" t="s">
        <v>458</v>
      </c>
      <c r="AZ71">
        <v>4</v>
      </c>
      <c r="BA71" s="618">
        <f t="shared" si="232"/>
        <v>4.4000000000000004</v>
      </c>
      <c r="BB71" s="618">
        <f t="shared" si="233"/>
        <v>4.4000000000000004</v>
      </c>
      <c r="BC71" s="618">
        <f t="shared" si="234"/>
        <v>4.4000000000000004</v>
      </c>
      <c r="BD71" s="618">
        <f t="shared" si="235"/>
        <v>4.4000000000000004</v>
      </c>
      <c r="BE71" s="618">
        <f t="shared" si="236"/>
        <v>4.4000000000000004</v>
      </c>
      <c r="BF71" s="618">
        <f t="shared" si="237"/>
        <v>4.4000000000000004</v>
      </c>
      <c r="BG71" s="618">
        <f t="shared" si="238"/>
        <v>4.4000000000000004</v>
      </c>
      <c r="BH71" s="618">
        <f t="shared" si="239"/>
        <v>4.4000000000000004</v>
      </c>
      <c r="BI71" s="618">
        <f t="shared" si="240"/>
        <v>4.4000000000000004</v>
      </c>
      <c r="BJ71" s="618">
        <f t="shared" si="241"/>
        <v>4.4000000000000004</v>
      </c>
      <c r="BK71" s="618">
        <f t="shared" si="242"/>
        <v>4.4000000000000004</v>
      </c>
      <c r="BL71" s="618">
        <f t="shared" si="243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462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58">IF(V72/G72*100&gt;110,110,V72/G72*100)</f>
        <v>48.723028204759132</v>
      </c>
      <c r="AL72" s="618">
        <f t="shared" ref="AL72:AL73" si="259">IF(W72/H72*100&gt;110,110,W72/H72*100)</f>
        <v>40.298845067008088</v>
      </c>
      <c r="AM72" s="618">
        <f t="shared" ref="AM72:AM73" si="260">IF(X72/I72*100&gt;110,110,X72/I72*100)</f>
        <v>83.280091137054072</v>
      </c>
      <c r="AN72" s="618">
        <f t="shared" ref="AN72:AN73" si="261">IF(Y72/J72*100&gt;110,110,Y72/J72*100)</f>
        <v>80.99161783422602</v>
      </c>
      <c r="AO72" s="618">
        <f t="shared" ref="AO72:AO73" si="262">IF(Z72/K72*100&gt;110,110,Z72/K72*100)</f>
        <v>82.647602254562528</v>
      </c>
      <c r="AP72" s="618">
        <f t="shared" ref="AP72:AP73" si="263">IF(AA72/L72*100&gt;110,110,AA72/L72*100)</f>
        <v>110</v>
      </c>
      <c r="AQ72" s="618">
        <f t="shared" ref="AQ72:AQ73" si="264">IF(AB72/M72*100&gt;110,110,AB72/M72*100)</f>
        <v>110</v>
      </c>
      <c r="AR72" s="618">
        <f t="shared" ref="AR72:AR73" si="265">IF(AC72/N72*100&gt;110,110,AC72/N72*100)</f>
        <v>110</v>
      </c>
      <c r="AS72" s="618">
        <f t="shared" ref="AS72:AS73" si="266">IF(AD72/O72*100&gt;110,110,AD72/O72*100)</f>
        <v>110</v>
      </c>
      <c r="AT72" s="618">
        <f t="shared" ref="AT72:AT73" si="267">IF(AE72/P72*100&gt;110,110,AE72/P72*100)</f>
        <v>110</v>
      </c>
      <c r="AU72" s="618">
        <f t="shared" ref="AU72:AU73" si="268">IF(AF72/Q72*100&gt;110,110,AF72/Q72*100)</f>
        <v>110</v>
      </c>
      <c r="AV72" s="618">
        <f t="shared" ref="AV72:AV73" si="269">IF(AG72/R72*100&gt;110,110,AG72/R72*100)</f>
        <v>101.83328964613368</v>
      </c>
      <c r="AX72" t="str">
        <v>Penyelesaian Temuan P2TL</v>
      </c>
      <c r="AY72" s="105" t="s">
        <v>458</v>
      </c>
      <c r="AZ72">
        <v>4</v>
      </c>
      <c r="BA72" s="618">
        <f t="shared" si="232"/>
        <v>1.94</v>
      </c>
      <c r="BB72" s="618">
        <f t="shared" si="233"/>
        <v>1.61</v>
      </c>
      <c r="BC72" s="618">
        <f t="shared" si="234"/>
        <v>3.33</v>
      </c>
      <c r="BD72" s="618">
        <f t="shared" si="235"/>
        <v>3.23</v>
      </c>
      <c r="BE72" s="618">
        <f t="shared" si="236"/>
        <v>3.3</v>
      </c>
      <c r="BF72" s="618">
        <f t="shared" si="237"/>
        <v>4.4000000000000004</v>
      </c>
      <c r="BG72" s="618">
        <f t="shared" si="238"/>
        <v>4.4000000000000004</v>
      </c>
      <c r="BH72" s="618">
        <f t="shared" si="239"/>
        <v>4.4000000000000004</v>
      </c>
      <c r="BI72" s="618">
        <f t="shared" si="240"/>
        <v>4.4000000000000004</v>
      </c>
      <c r="BJ72" s="618">
        <f t="shared" si="241"/>
        <v>4.4000000000000004</v>
      </c>
      <c r="BK72" s="618">
        <f t="shared" si="242"/>
        <v>4.4000000000000004</v>
      </c>
      <c r="BL72" s="618">
        <f t="shared" si="243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462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58"/>
        <v>7.18954248366013</v>
      </c>
      <c r="AL73" s="618">
        <f t="shared" si="259"/>
        <v>32.786885245901637</v>
      </c>
      <c r="AM73" s="618">
        <f t="shared" si="260"/>
        <v>92.560175054704601</v>
      </c>
      <c r="AN73" s="618">
        <f t="shared" si="261"/>
        <v>107.88177339901478</v>
      </c>
      <c r="AO73" s="618">
        <f t="shared" si="262"/>
        <v>110</v>
      </c>
      <c r="AP73" s="618">
        <f t="shared" si="263"/>
        <v>110</v>
      </c>
      <c r="AQ73" s="618">
        <f t="shared" si="264"/>
        <v>110</v>
      </c>
      <c r="AR73" s="618">
        <f t="shared" si="265"/>
        <v>108.50869167429093</v>
      </c>
      <c r="AS73" s="618">
        <f t="shared" si="266"/>
        <v>96.627450980392155</v>
      </c>
      <c r="AT73" s="618">
        <f t="shared" si="267"/>
        <v>84.557309540150996</v>
      </c>
      <c r="AU73" s="618">
        <f t="shared" si="268"/>
        <v>84.557309540150996</v>
      </c>
      <c r="AV73" s="618">
        <f t="shared" si="269"/>
        <v>84.557309540150996</v>
      </c>
      <c r="AX73" t="str">
        <v>Penyelesaian Ganti Meter</v>
      </c>
      <c r="AY73" s="105" t="s">
        <v>458</v>
      </c>
      <c r="AZ73">
        <v>4</v>
      </c>
      <c r="BA73" s="618">
        <f t="shared" si="232"/>
        <v>0.28000000000000003</v>
      </c>
      <c r="BB73" s="618">
        <f t="shared" si="233"/>
        <v>1.31</v>
      </c>
      <c r="BC73" s="618">
        <f t="shared" si="234"/>
        <v>3.7</v>
      </c>
      <c r="BD73" s="618">
        <f t="shared" si="235"/>
        <v>4.3099999999999996</v>
      </c>
      <c r="BE73" s="618">
        <f t="shared" si="236"/>
        <v>4.4000000000000004</v>
      </c>
      <c r="BF73" s="618">
        <f t="shared" si="237"/>
        <v>4.4000000000000004</v>
      </c>
      <c r="BG73" s="618">
        <f t="shared" si="238"/>
        <v>4.4000000000000004</v>
      </c>
      <c r="BH73" s="618">
        <f t="shared" si="239"/>
        <v>4.34</v>
      </c>
      <c r="BI73" s="618">
        <f t="shared" si="240"/>
        <v>3.86</v>
      </c>
      <c r="BJ73" s="618">
        <f t="shared" si="241"/>
        <v>3.38</v>
      </c>
      <c r="BK73" s="618">
        <f t="shared" si="242"/>
        <v>3.38</v>
      </c>
      <c r="BL73" s="618">
        <f t="shared" si="243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462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70">IF(((G74-(V74-G74))/G74)*100&gt;110,110,((G74-(V74-G74))/G74)*100)</f>
        <v>110</v>
      </c>
      <c r="AL74" s="618">
        <f t="shared" ref="AL74" si="271">IF(((H74-(W74-H74))/H74)*100&gt;110,110,((H74-(W74-H74))/H74)*100)</f>
        <v>110</v>
      </c>
      <c r="AM74" s="618">
        <f t="shared" ref="AM74" si="272">IF(((I74-(X74-I74))/I74)*100&gt;110,110,((I74-(X74-I74))/I74)*100)</f>
        <v>110</v>
      </c>
      <c r="AN74" s="618">
        <f t="shared" ref="AN74" si="273">IF(((J74-(Y74-J74))/J74)*100&gt;110,110,((J74-(Y74-J74))/J74)*100)</f>
        <v>110</v>
      </c>
      <c r="AO74" s="618">
        <f t="shared" ref="AO74" si="274">IF(((K74-(Z74-K74))/K74)*100&gt;110,110,((K74-(Z74-K74))/K74)*100)</f>
        <v>96.428571428571431</v>
      </c>
      <c r="AP74" s="618">
        <f t="shared" ref="AP74" si="275">IF(((L74-(AA74-L74))/L74)*100&gt;110,110,((L74-(AA74-L74))/L74)*100)</f>
        <v>106.06060606060606</v>
      </c>
      <c r="AQ74" s="618">
        <f t="shared" ref="AQ74" si="276">IF(((M74-(AB74-M74))/M74)*100&gt;110,110,((M74-(AB74-M74))/M74)*100)</f>
        <v>102.56410256410255</v>
      </c>
      <c r="AR74" s="618">
        <f t="shared" ref="AR74" si="277">IF(((N74-(AC74-N74))/N74)*100&gt;110,110,((N74-(AC74-N74))/N74)*100)</f>
        <v>110</v>
      </c>
      <c r="AS74" s="618">
        <f t="shared" ref="AS74" si="278">IF(((O74-(AD74-O74))/O74)*100&gt;110,110,((O74-(AD74-O74))/O74)*100)</f>
        <v>108</v>
      </c>
      <c r="AT74" s="618">
        <f t="shared" ref="AT74" si="279">IF(((P74-(AE74-P74))/P74)*100&gt;110,110,((P74-(AE74-P74))/P74)*100)</f>
        <v>110</v>
      </c>
      <c r="AU74" s="618">
        <f t="shared" ref="AU74" si="280">IF(((Q74-(AF74-Q74))/Q74)*100&gt;110,110,((Q74-(AF74-Q74))/Q74)*100)</f>
        <v>110</v>
      </c>
      <c r="AV74" s="618">
        <f t="shared" ref="AV74" si="281">IF(((R74-(AG74-R74))/R74)*100&gt;110,110,((R74-(AG74-R74))/R74)*100)</f>
        <v>110</v>
      </c>
      <c r="AX74" t="str">
        <v>Gangguan TM &gt; 5 Menit</v>
      </c>
      <c r="AY74" s="105" t="s">
        <v>458</v>
      </c>
      <c r="AZ74">
        <v>3</v>
      </c>
      <c r="BA74" s="618">
        <f t="shared" si="232"/>
        <v>3.3</v>
      </c>
      <c r="BB74" s="618">
        <f t="shared" si="233"/>
        <v>3.3</v>
      </c>
      <c r="BC74" s="618">
        <f t="shared" si="234"/>
        <v>3.3</v>
      </c>
      <c r="BD74" s="618">
        <f t="shared" si="235"/>
        <v>3.3</v>
      </c>
      <c r="BE74" s="618">
        <f t="shared" si="236"/>
        <v>2.89</v>
      </c>
      <c r="BF74" s="618">
        <f t="shared" si="237"/>
        <v>3.18</v>
      </c>
      <c r="BG74" s="618">
        <f t="shared" si="238"/>
        <v>3.07</v>
      </c>
      <c r="BH74" s="618">
        <f t="shared" si="239"/>
        <v>3.3</v>
      </c>
      <c r="BI74" s="618">
        <f t="shared" si="240"/>
        <v>3.24</v>
      </c>
      <c r="BJ74" s="618">
        <f t="shared" si="241"/>
        <v>3.3</v>
      </c>
      <c r="BK74" s="618">
        <f t="shared" si="242"/>
        <v>3.3</v>
      </c>
      <c r="BL74" s="618">
        <f t="shared" si="243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462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82">IF((2-(V75/G75))*100&gt;110,110,(2-(V75/G75))*100)</f>
        <v>110</v>
      </c>
      <c r="AL75" s="618">
        <f t="shared" ref="AL75" si="283">IF((2-(W75/H75))*100&gt;110,110,(2-(W75/H75))*100)</f>
        <v>110</v>
      </c>
      <c r="AM75" s="618">
        <f t="shared" ref="AM75" si="284">IF((2-(X75/I75))*100&gt;110,110,(2-(X75/I75))*100)</f>
        <v>110</v>
      </c>
      <c r="AN75" s="618">
        <f t="shared" ref="AN75" si="285">IF((2-(Y75/J75))*100&gt;110,110,(2-(Y75/J75))*100)</f>
        <v>110</v>
      </c>
      <c r="AO75" s="618">
        <f t="shared" ref="AO75" si="286">IF((2-(Z75/K75))*100&gt;110,110,(2-(Z75/K75))*100)</f>
        <v>110</v>
      </c>
      <c r="AP75" s="618">
        <f t="shared" ref="AP75" si="287">IF((2-(AA75/L75))*100&gt;110,110,(2-(AA75/L75))*100)</f>
        <v>110</v>
      </c>
      <c r="AQ75" s="618">
        <f t="shared" ref="AQ75" si="288">IF((2-(AB75/M75))*100&gt;110,110,(2-(AB75/M75))*100)</f>
        <v>110</v>
      </c>
      <c r="AR75" s="618">
        <f t="shared" ref="AR75" si="289">IF((2-(AC75/N75))*100&gt;110,110,(2-(AC75/N75))*100)</f>
        <v>110</v>
      </c>
      <c r="AS75" s="618">
        <f t="shared" ref="AS75" si="290">IF((2-(AD75/O75))*100&gt;110,110,(2-(AD75/O75))*100)</f>
        <v>110</v>
      </c>
      <c r="AT75" s="618">
        <f t="shared" ref="AT75" si="291">IF((2-(AE75/P75))*100&gt;110,110,(2-(AE75/P75))*100)</f>
        <v>110</v>
      </c>
      <c r="AU75" s="618">
        <f t="shared" ref="AU75" si="292">IF((2-(AF75/Q75))*100&gt;110,110,(2-(AF75/Q75))*100)</f>
        <v>110</v>
      </c>
      <c r="AV75" s="618">
        <f t="shared" ref="AV75" si="293">IF((2-(AG75/R75))*100&gt;110,110,(2-(AG75/R75))*100)</f>
        <v>110</v>
      </c>
      <c r="AX75" t="str">
        <v>Gangguan TM ≤ 5 Menit</v>
      </c>
      <c r="AY75" s="105" t="s">
        <v>458</v>
      </c>
      <c r="AZ75">
        <v>3</v>
      </c>
      <c r="BA75" s="618">
        <f t="shared" si="232"/>
        <v>3.3</v>
      </c>
      <c r="BB75" s="618">
        <f t="shared" si="233"/>
        <v>3.3</v>
      </c>
      <c r="BC75" s="618">
        <f t="shared" si="234"/>
        <v>3.3</v>
      </c>
      <c r="BD75" s="618">
        <f t="shared" si="235"/>
        <v>3.3</v>
      </c>
      <c r="BE75" s="618">
        <f t="shared" si="236"/>
        <v>3.3</v>
      </c>
      <c r="BF75" s="618">
        <f t="shared" si="237"/>
        <v>3.3</v>
      </c>
      <c r="BG75" s="618">
        <f t="shared" si="238"/>
        <v>3.3</v>
      </c>
      <c r="BH75" s="618">
        <f t="shared" si="239"/>
        <v>3.3</v>
      </c>
      <c r="BI75" s="618">
        <f t="shared" si="240"/>
        <v>3.3</v>
      </c>
      <c r="BJ75" s="618">
        <f t="shared" si="241"/>
        <v>3.3</v>
      </c>
      <c r="BK75" s="618">
        <f t="shared" si="242"/>
        <v>3.3</v>
      </c>
      <c r="BL75" s="618">
        <f t="shared" si="243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462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94">IFERROR(IF((2-(V76/G76))*100&gt;110,110,(2-(V76/G76))*100),100)</f>
        <v>100</v>
      </c>
      <c r="AL76" s="618">
        <f t="shared" ref="AL76:AL78" si="295">IFERROR(IF((2-(W76/H76))*100&gt;110,110,(2-(W76/H76))*100),100)</f>
        <v>100</v>
      </c>
      <c r="AM76" s="618">
        <f t="shared" ref="AM76:AM78" si="296">IFERROR(IF((2-(X76/I76))*100&gt;110,110,(2-(X76/I76))*100),100)</f>
        <v>110</v>
      </c>
      <c r="AN76" s="618">
        <f t="shared" ref="AN76:AN78" si="297">IFERROR(IF((2-(Y76/J76))*100&gt;110,110,(2-(Y76/J76))*100),100)</f>
        <v>110</v>
      </c>
      <c r="AO76" s="618">
        <f t="shared" ref="AO76:AO78" si="298">IFERROR(IF((2-(Z76/K76))*100&gt;110,110,(2-(Z76/K76))*100),100)</f>
        <v>100</v>
      </c>
      <c r="AP76" s="618">
        <f t="shared" ref="AP76:AP78" si="299">IFERROR(IF((2-(AA76/L76))*100&gt;110,110,(2-(AA76/L76))*100),100)</f>
        <v>0</v>
      </c>
      <c r="AQ76" s="618">
        <f t="shared" ref="AQ76:AQ78" si="300">IFERROR(IF((2-(AB76/M76))*100&gt;110,110,(2-(AB76/M76))*100),100)</f>
        <v>50</v>
      </c>
      <c r="AR76" s="618">
        <f t="shared" ref="AR76:AR78" si="301">IFERROR(IF((2-(AC76/N76))*100&gt;110,110,(2-(AC76/N76))*100),100)</f>
        <v>50</v>
      </c>
      <c r="AS76" s="618">
        <f t="shared" ref="AS76:AS78" si="302">IFERROR(IF((2-(AD76/O76))*100&gt;110,110,(2-(AD76/O76))*100),100)</f>
        <v>50</v>
      </c>
      <c r="AT76" s="618">
        <f t="shared" ref="AT76:AT78" si="303">IFERROR(IF((2-(AE76/P76))*100&gt;110,110,(2-(AE76/P76))*100),100)</f>
        <v>50</v>
      </c>
      <c r="AU76" s="618">
        <f t="shared" ref="AU76:AU78" si="304">IFERROR(IF((2-(AF76/Q76))*100&gt;110,110,(2-(AF76/Q76))*100),100)</f>
        <v>50</v>
      </c>
      <c r="AV76" s="618">
        <f t="shared" ref="AV76:AV78" si="305">IFERROR(IF((2-(AG76/R76))*100&gt;110,110,(2-(AG76/R76))*100),100)</f>
        <v>50</v>
      </c>
      <c r="AX76" t="str">
        <v>Kerusakan Peralatan Distribusi (PHB TM dan Trafo) Sesuai Kewenangan</v>
      </c>
      <c r="AY76" s="105" t="s">
        <v>458</v>
      </c>
      <c r="AZ76">
        <v>3</v>
      </c>
      <c r="BA76" s="618">
        <f t="shared" si="232"/>
        <v>3</v>
      </c>
      <c r="BB76" s="618">
        <f t="shared" si="233"/>
        <v>3</v>
      </c>
      <c r="BC76" s="618">
        <f t="shared" si="234"/>
        <v>3.3</v>
      </c>
      <c r="BD76" s="618">
        <f t="shared" si="235"/>
        <v>3.3</v>
      </c>
      <c r="BE76" s="618">
        <f t="shared" si="236"/>
        <v>3</v>
      </c>
      <c r="BF76" s="618">
        <f t="shared" si="237"/>
        <v>0</v>
      </c>
      <c r="BG76" s="618">
        <f t="shared" si="238"/>
        <v>1.5</v>
      </c>
      <c r="BH76" s="618">
        <f t="shared" si="239"/>
        <v>1.5</v>
      </c>
      <c r="BI76" s="618">
        <f t="shared" si="240"/>
        <v>1.5</v>
      </c>
      <c r="BJ76" s="618">
        <f t="shared" si="241"/>
        <v>1.5</v>
      </c>
      <c r="BK76" s="618">
        <f t="shared" si="242"/>
        <v>1.5</v>
      </c>
      <c r="BL76" s="618">
        <f t="shared" si="243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462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94"/>
        <v>110</v>
      </c>
      <c r="AL77" s="618">
        <f t="shared" si="295"/>
        <v>110</v>
      </c>
      <c r="AM77" s="618">
        <f t="shared" si="296"/>
        <v>110</v>
      </c>
      <c r="AN77" s="618">
        <f t="shared" si="297"/>
        <v>110</v>
      </c>
      <c r="AO77" s="618">
        <f t="shared" si="298"/>
        <v>110</v>
      </c>
      <c r="AP77" s="618">
        <f t="shared" si="299"/>
        <v>110</v>
      </c>
      <c r="AQ77" s="618">
        <f t="shared" si="300"/>
        <v>110</v>
      </c>
      <c r="AR77" s="618">
        <f t="shared" si="301"/>
        <v>110</v>
      </c>
      <c r="AS77" s="618">
        <f t="shared" si="302"/>
        <v>110</v>
      </c>
      <c r="AT77" s="618">
        <f t="shared" si="303"/>
        <v>110</v>
      </c>
      <c r="AU77" s="618">
        <f t="shared" si="304"/>
        <v>110</v>
      </c>
      <c r="AV77" s="618">
        <f t="shared" si="305"/>
        <v>110</v>
      </c>
      <c r="AX77" t="str">
        <v>Feedback Rating Negatif pada PLN Mobile - Gangguan</v>
      </c>
      <c r="AY77" s="105" t="s">
        <v>458</v>
      </c>
      <c r="AZ77">
        <v>2</v>
      </c>
      <c r="BA77" s="618">
        <f t="shared" si="232"/>
        <v>2.2000000000000002</v>
      </c>
      <c r="BB77" s="618">
        <f t="shared" si="233"/>
        <v>2.2000000000000002</v>
      </c>
      <c r="BC77" s="618">
        <f t="shared" si="234"/>
        <v>2.2000000000000002</v>
      </c>
      <c r="BD77" s="618">
        <f t="shared" si="235"/>
        <v>2.2000000000000002</v>
      </c>
      <c r="BE77" s="618">
        <f t="shared" si="236"/>
        <v>2.2000000000000002</v>
      </c>
      <c r="BF77" s="618">
        <f t="shared" si="237"/>
        <v>2.2000000000000002</v>
      </c>
      <c r="BG77" s="618">
        <f t="shared" si="238"/>
        <v>2.2000000000000002</v>
      </c>
      <c r="BH77" s="618">
        <f t="shared" si="239"/>
        <v>2.2000000000000002</v>
      </c>
      <c r="BI77" s="618">
        <f t="shared" si="240"/>
        <v>2.2000000000000002</v>
      </c>
      <c r="BJ77" s="618">
        <f t="shared" si="241"/>
        <v>2.2000000000000002</v>
      </c>
      <c r="BK77" s="618">
        <f t="shared" si="242"/>
        <v>2.2000000000000002</v>
      </c>
      <c r="BL77" s="618">
        <f t="shared" si="243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462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94"/>
        <v>110</v>
      </c>
      <c r="AL78" s="618">
        <f t="shared" si="295"/>
        <v>110</v>
      </c>
      <c r="AM78" s="618">
        <f t="shared" si="296"/>
        <v>110</v>
      </c>
      <c r="AN78" s="618">
        <f t="shared" si="297"/>
        <v>110</v>
      </c>
      <c r="AO78" s="618">
        <f t="shared" si="298"/>
        <v>110</v>
      </c>
      <c r="AP78" s="618">
        <f t="shared" si="299"/>
        <v>110</v>
      </c>
      <c r="AQ78" s="618">
        <f t="shared" si="300"/>
        <v>110</v>
      </c>
      <c r="AR78" s="618">
        <f t="shared" si="301"/>
        <v>110</v>
      </c>
      <c r="AS78" s="618">
        <f t="shared" si="302"/>
        <v>110</v>
      </c>
      <c r="AT78" s="618">
        <f t="shared" si="303"/>
        <v>110</v>
      </c>
      <c r="AU78" s="618">
        <f t="shared" si="304"/>
        <v>110</v>
      </c>
      <c r="AV78" s="618">
        <f t="shared" si="305"/>
        <v>110</v>
      </c>
      <c r="AX78" t="str">
        <v>Pengaduan Gangguan Berulang pada PLN Mobile</v>
      </c>
      <c r="AY78" s="105" t="s">
        <v>458</v>
      </c>
      <c r="AZ78">
        <v>2</v>
      </c>
      <c r="BA78" s="618">
        <f t="shared" si="232"/>
        <v>2.2000000000000002</v>
      </c>
      <c r="BB78" s="618">
        <f t="shared" si="233"/>
        <v>2.2000000000000002</v>
      </c>
      <c r="BC78" s="618">
        <f t="shared" si="234"/>
        <v>2.2000000000000002</v>
      </c>
      <c r="BD78" s="618">
        <f t="shared" si="235"/>
        <v>2.2000000000000002</v>
      </c>
      <c r="BE78" s="618">
        <f t="shared" si="236"/>
        <v>2.2000000000000002</v>
      </c>
      <c r="BF78" s="618">
        <f t="shared" si="237"/>
        <v>2.2000000000000002</v>
      </c>
      <c r="BG78" s="618">
        <f t="shared" si="238"/>
        <v>2.2000000000000002</v>
      </c>
      <c r="BH78" s="618">
        <f t="shared" si="239"/>
        <v>2.2000000000000002</v>
      </c>
      <c r="BI78" s="618">
        <f t="shared" si="240"/>
        <v>2.2000000000000002</v>
      </c>
      <c r="BJ78" s="618">
        <f t="shared" si="241"/>
        <v>2.2000000000000002</v>
      </c>
      <c r="BK78" s="618">
        <f t="shared" si="242"/>
        <v>2.2000000000000002</v>
      </c>
      <c r="BL78" s="618">
        <f t="shared" si="243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462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306">IF(V79/G79*100&gt;110,110,V79/G79*100)</f>
        <v>100.20408163265306</v>
      </c>
      <c r="AL79" s="618">
        <f t="shared" ref="AL79:AL80" si="307">IF(W79/H79*100&gt;110,110,W79/H79*100)</f>
        <v>100.20408163265306</v>
      </c>
      <c r="AM79" s="618">
        <f t="shared" ref="AM79:AM80" si="308">IF(X79/I79*100&gt;110,110,X79/I79*100)</f>
        <v>100.20408163265306</v>
      </c>
      <c r="AN79" s="618">
        <f t="shared" ref="AN79:AN80" si="309">IF(Y79/J79*100&gt;110,110,Y79/J79*100)</f>
        <v>100.20408163265306</v>
      </c>
      <c r="AO79" s="618">
        <f t="shared" ref="AO79:AO80" si="310">IF(Z79/K79*100&gt;110,110,Z79/K79*100)</f>
        <v>100</v>
      </c>
      <c r="AP79" s="618">
        <f t="shared" ref="AP79:AP80" si="311">IF(AA79/L79*100&gt;110,110,AA79/L79*100)</f>
        <v>100</v>
      </c>
      <c r="AQ79" s="618">
        <f t="shared" ref="AQ79:AQ80" si="312">IF(AB79/M79*100&gt;110,110,AB79/M79*100)</f>
        <v>100</v>
      </c>
      <c r="AR79" s="618">
        <f t="shared" ref="AR79:AR80" si="313">IF(AC79/N79*100&gt;110,110,AC79/N79*100)</f>
        <v>100</v>
      </c>
      <c r="AS79" s="618">
        <f t="shared" ref="AS79:AS80" si="314">IF(AD79/O79*100&gt;110,110,AD79/O79*100)</f>
        <v>100</v>
      </c>
      <c r="AT79" s="618">
        <f t="shared" ref="AT79:AT80" si="315">IF(AE79/P79*100&gt;110,110,AE79/P79*100)</f>
        <v>100</v>
      </c>
      <c r="AU79" s="618">
        <f t="shared" ref="AU79:AU80" si="316">IF(AF79/Q79*100&gt;110,110,AF79/Q79*100)</f>
        <v>100</v>
      </c>
      <c r="AV79" s="618">
        <f t="shared" ref="AV79:AV80" si="317">IF(AG79/R79*100&gt;110,110,AG79/R79*100)</f>
        <v>100</v>
      </c>
      <c r="AX79" t="str">
        <v>Rating PLN Mobile</v>
      </c>
      <c r="AY79" s="105" t="s">
        <v>458</v>
      </c>
      <c r="AZ79">
        <v>2</v>
      </c>
      <c r="BA79" s="618">
        <f t="shared" si="232"/>
        <v>2</v>
      </c>
      <c r="BB79" s="618">
        <f t="shared" si="233"/>
        <v>2</v>
      </c>
      <c r="BC79" s="618">
        <f t="shared" si="234"/>
        <v>2</v>
      </c>
      <c r="BD79" s="618">
        <f t="shared" si="235"/>
        <v>2</v>
      </c>
      <c r="BE79" s="618">
        <f t="shared" si="236"/>
        <v>2</v>
      </c>
      <c r="BF79" s="618">
        <f t="shared" si="237"/>
        <v>2</v>
      </c>
      <c r="BG79" s="618">
        <f t="shared" si="238"/>
        <v>2</v>
      </c>
      <c r="BH79" s="618">
        <f t="shared" si="239"/>
        <v>2</v>
      </c>
      <c r="BI79" s="618">
        <f t="shared" si="240"/>
        <v>2</v>
      </c>
      <c r="BJ79" s="618">
        <f t="shared" si="241"/>
        <v>2</v>
      </c>
      <c r="BK79" s="618">
        <f t="shared" si="242"/>
        <v>2</v>
      </c>
      <c r="BL79" s="618">
        <f t="shared" si="243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462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306"/>
        <v>53.754693366708381</v>
      </c>
      <c r="AL80" s="618">
        <f t="shared" si="307"/>
        <v>66.206443129520054</v>
      </c>
      <c r="AM80" s="618">
        <f t="shared" si="308"/>
        <v>82.870071105365227</v>
      </c>
      <c r="AN80" s="618">
        <f t="shared" si="309"/>
        <v>102.71493212669682</v>
      </c>
      <c r="AO80" s="618">
        <f t="shared" si="310"/>
        <v>110</v>
      </c>
      <c r="AP80" s="618">
        <f t="shared" si="311"/>
        <v>110</v>
      </c>
      <c r="AQ80" s="618">
        <f t="shared" si="312"/>
        <v>110</v>
      </c>
      <c r="AR80" s="618">
        <f t="shared" si="313"/>
        <v>110</v>
      </c>
      <c r="AS80" s="618">
        <f t="shared" si="314"/>
        <v>110</v>
      </c>
      <c r="AT80" s="618">
        <f t="shared" si="315"/>
        <v>0</v>
      </c>
      <c r="AU80" s="618">
        <f t="shared" si="316"/>
        <v>0</v>
      </c>
      <c r="AV80" s="618">
        <f t="shared" si="317"/>
        <v>0</v>
      </c>
      <c r="AX80" t="str">
        <v>Jumlah Kali Transaksi Keuangan melalui PLN Mobile</v>
      </c>
      <c r="AY80" s="105" t="s">
        <v>458</v>
      </c>
      <c r="AZ80">
        <v>2</v>
      </c>
      <c r="BA80" s="618">
        <f t="shared" si="232"/>
        <v>1.07</v>
      </c>
      <c r="BB80" s="618">
        <f t="shared" si="233"/>
        <v>1.32</v>
      </c>
      <c r="BC80" s="618">
        <f t="shared" si="234"/>
        <v>1.65</v>
      </c>
      <c r="BD80" s="618">
        <f t="shared" si="235"/>
        <v>2.0499999999999998</v>
      </c>
      <c r="BE80" s="618">
        <f t="shared" si="236"/>
        <v>2.2000000000000002</v>
      </c>
      <c r="BF80" s="618">
        <f t="shared" si="237"/>
        <v>2.2000000000000002</v>
      </c>
      <c r="BG80" s="618">
        <f t="shared" si="238"/>
        <v>2.2000000000000002</v>
      </c>
      <c r="BH80" s="618">
        <f t="shared" si="239"/>
        <v>2.2000000000000002</v>
      </c>
      <c r="BI80" s="618">
        <f t="shared" si="240"/>
        <v>2.2000000000000002</v>
      </c>
      <c r="BJ80" s="618">
        <f t="shared" si="241"/>
        <v>0</v>
      </c>
      <c r="BK80" s="618">
        <f t="shared" si="242"/>
        <v>0</v>
      </c>
      <c r="BL80" s="618">
        <f t="shared" si="243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462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318">IFERROR(IF((2-(V81/G81))*100&gt;110,110,(2-(V81/G81))*100),100)</f>
        <v>110</v>
      </c>
      <c r="AL81" s="618">
        <f t="shared" ref="AL81" si="319">IFERROR(IF((2-(W81/H81))*100&gt;110,110,(2-(W81/H81))*100),100)</f>
        <v>110</v>
      </c>
      <c r="AM81" s="618">
        <f t="shared" ref="AM81" si="320">IFERROR(IF((2-(X81/I81))*100&gt;110,110,(2-(X81/I81))*100),100)</f>
        <v>110</v>
      </c>
      <c r="AN81" s="618">
        <f t="shared" ref="AN81" si="321">IFERROR(IF((2-(Y81/J81))*100&gt;110,110,(2-(Y81/J81))*100),100)</f>
        <v>110</v>
      </c>
      <c r="AO81" s="618">
        <f t="shared" ref="AO81" si="322">IFERROR(IF((2-(Z81/K81))*100&gt;110,110,(2-(Z81/K81))*100),100)</f>
        <v>110</v>
      </c>
      <c r="AP81" s="618">
        <f t="shared" ref="AP81" si="323">IFERROR(IF((2-(AA81/L81))*100&gt;110,110,(2-(AA81/L81))*100),100)</f>
        <v>110</v>
      </c>
      <c r="AQ81" s="618">
        <f t="shared" ref="AQ81" si="324">IFERROR(IF((2-(AB81/M81))*100&gt;110,110,(2-(AB81/M81))*100),100)</f>
        <v>110</v>
      </c>
      <c r="AR81" s="618">
        <f t="shared" ref="AR81" si="325">IFERROR(IF((2-(AC81/N81))*100&gt;110,110,(2-(AC81/N81))*100),100)</f>
        <v>110</v>
      </c>
      <c r="AS81" s="618">
        <f t="shared" ref="AS81" si="326">IFERROR(IF((2-(AD81/O81))*100&gt;110,110,(2-(AD81/O81))*100),100)</f>
        <v>110</v>
      </c>
      <c r="AT81" s="618">
        <f t="shared" ref="AT81" si="327">IFERROR(IF((2-(AE81/P81))*100&gt;110,110,(2-(AE81/P81))*100),100)</f>
        <v>110</v>
      </c>
      <c r="AU81" s="618">
        <f t="shared" ref="AU81" si="328">IFERROR(IF((2-(AF81/Q81))*100&gt;110,110,(2-(AF81/Q81))*100),100)</f>
        <v>110</v>
      </c>
      <c r="AV81" s="618">
        <f t="shared" ref="AV81" si="329">IFERROR(IF((2-(AG81/R81))*100&gt;110,110,(2-(AG81/R81))*100),100)</f>
        <v>110</v>
      </c>
      <c r="AX81" t="str">
        <v>Response Time atas Gangguan (diluar Clear Tamper)</v>
      </c>
      <c r="AY81" s="105" t="s">
        <v>458</v>
      </c>
      <c r="AZ81">
        <v>1.5</v>
      </c>
      <c r="BA81" s="618">
        <f t="shared" si="232"/>
        <v>1.65</v>
      </c>
      <c r="BB81" s="618">
        <f t="shared" si="233"/>
        <v>1.65</v>
      </c>
      <c r="BC81" s="618">
        <f t="shared" si="234"/>
        <v>1.65</v>
      </c>
      <c r="BD81" s="618">
        <f t="shared" si="235"/>
        <v>1.65</v>
      </c>
      <c r="BE81" s="618">
        <f t="shared" si="236"/>
        <v>1.65</v>
      </c>
      <c r="BF81" s="618">
        <f t="shared" si="237"/>
        <v>1.65</v>
      </c>
      <c r="BG81" s="618">
        <f t="shared" si="238"/>
        <v>1.65</v>
      </c>
      <c r="BH81" s="618">
        <f t="shared" si="239"/>
        <v>1.65</v>
      </c>
      <c r="BI81" s="618">
        <f t="shared" si="240"/>
        <v>1.65</v>
      </c>
      <c r="BJ81" s="618">
        <f t="shared" si="241"/>
        <v>1.65</v>
      </c>
      <c r="BK81" s="618">
        <f t="shared" si="242"/>
        <v>1.65</v>
      </c>
      <c r="BL81" s="618">
        <f t="shared" si="243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462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30">IFERROR(IF(V82/G82*100&gt;110,110,V82/G82*100),100)</f>
        <v>100</v>
      </c>
      <c r="AL82" s="618">
        <f t="shared" ref="AL82:AL93" si="331">IFERROR(IF(W82/H82*100&gt;110,110,W82/H82*100),100)</f>
        <v>100</v>
      </c>
      <c r="AM82" s="618">
        <f t="shared" ref="AM82:AM93" si="332">IFERROR(IF(X82/I82*100&gt;110,110,X82/I82*100),100)</f>
        <v>100</v>
      </c>
      <c r="AN82" s="618">
        <f t="shared" ref="AN82:AN93" si="333">IFERROR(IF(Y82/J82*100&gt;110,110,Y82/J82*100),100)</f>
        <v>100</v>
      </c>
      <c r="AO82" s="618">
        <f t="shared" ref="AO82:AO93" si="334">IFERROR(IF(Z82/K82*100&gt;110,110,Z82/K82*100),100)</f>
        <v>100</v>
      </c>
      <c r="AP82" s="618">
        <f t="shared" ref="AP82:AP93" si="335">IFERROR(IF(AA82/L82*100&gt;110,110,AA82/L82*100),100)</f>
        <v>100</v>
      </c>
      <c r="AQ82" s="618">
        <f t="shared" ref="AQ82:AQ93" si="336">IFERROR(IF(AB82/M82*100&gt;110,110,AB82/M82*100),100)</f>
        <v>100</v>
      </c>
      <c r="AR82" s="618">
        <f t="shared" ref="AR82:AR93" si="337">IFERROR(IF(AC82/N82*100&gt;110,110,AC82/N82*100),100)</f>
        <v>100</v>
      </c>
      <c r="AS82" s="618">
        <f t="shared" ref="AS82:AS93" si="338">IFERROR(IF(AD82/O82*100&gt;110,110,AD82/O82*100),100)</f>
        <v>100</v>
      </c>
      <c r="AT82" s="618">
        <f t="shared" ref="AT82:AT93" si="339">IFERROR(IF(AE82/P82*100&gt;110,110,AE82/P82*100),100)</f>
        <v>100</v>
      </c>
      <c r="AU82" s="618">
        <f t="shared" ref="AU82:AU93" si="340">IFERROR(IF(AF82/Q82*100&gt;110,110,AF82/Q82*100),100)</f>
        <v>100</v>
      </c>
      <c r="AV82" s="618">
        <f t="shared" ref="AV82:AV93" si="341">IFERROR(IF(AG82/R82*100&gt;110,110,AG82/R82*100),100)</f>
        <v>100</v>
      </c>
      <c r="AX82" t="str">
        <v>Success Rate Auto Dispatch Gangguan Individual (diluar Clear Tamper)</v>
      </c>
      <c r="AY82" s="105" t="s">
        <v>458</v>
      </c>
      <c r="AZ82">
        <v>1.5</v>
      </c>
      <c r="BA82" s="618">
        <f t="shared" si="232"/>
        <v>1.5</v>
      </c>
      <c r="BB82" s="618">
        <f t="shared" si="233"/>
        <v>1.5</v>
      </c>
      <c r="BC82" s="618">
        <f t="shared" si="234"/>
        <v>1.5</v>
      </c>
      <c r="BD82" s="618">
        <f t="shared" si="235"/>
        <v>1.5</v>
      </c>
      <c r="BE82" s="618">
        <f t="shared" si="236"/>
        <v>1.5</v>
      </c>
      <c r="BF82" s="618">
        <f t="shared" si="237"/>
        <v>1.5</v>
      </c>
      <c r="BG82" s="618">
        <f t="shared" si="238"/>
        <v>1.5</v>
      </c>
      <c r="BH82" s="618">
        <f t="shared" si="239"/>
        <v>1.5</v>
      </c>
      <c r="BI82" s="618">
        <f t="shared" si="240"/>
        <v>1.5</v>
      </c>
      <c r="BJ82" s="618">
        <f t="shared" si="241"/>
        <v>1.5</v>
      </c>
      <c r="BK82" s="618">
        <f t="shared" si="242"/>
        <v>1.5</v>
      </c>
      <c r="BL82" s="618">
        <f t="shared" si="243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462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30"/>
        <v>60.750000000000007</v>
      </c>
      <c r="AL83" s="618">
        <f t="shared" si="331"/>
        <v>76.5</v>
      </c>
      <c r="AM83" s="618">
        <f t="shared" si="332"/>
        <v>107.25</v>
      </c>
      <c r="AN83" s="618">
        <f t="shared" si="333"/>
        <v>109.25</v>
      </c>
      <c r="AO83" s="618">
        <f t="shared" si="334"/>
        <v>110.00000000000001</v>
      </c>
      <c r="AP83" s="618">
        <f t="shared" si="335"/>
        <v>110.00000000000001</v>
      </c>
      <c r="AQ83" s="618">
        <f t="shared" si="336"/>
        <v>110.00000000000001</v>
      </c>
      <c r="AR83" s="618">
        <f t="shared" si="337"/>
        <v>110.00000000000001</v>
      </c>
      <c r="AS83" s="618">
        <f t="shared" si="338"/>
        <v>110.00000000000001</v>
      </c>
      <c r="AT83" s="618">
        <f t="shared" si="339"/>
        <v>0</v>
      </c>
      <c r="AU83" s="618">
        <f t="shared" si="340"/>
        <v>0</v>
      </c>
      <c r="AV83" s="618">
        <f t="shared" si="341"/>
        <v>0</v>
      </c>
      <c r="AX83" t="str">
        <v>Recovery Time Gangguan Meluas TM</v>
      </c>
      <c r="AY83" s="105" t="s">
        <v>458</v>
      </c>
      <c r="AZ83">
        <v>3</v>
      </c>
      <c r="BA83" s="618">
        <f t="shared" si="232"/>
        <v>1.82</v>
      </c>
      <c r="BB83" s="618">
        <f t="shared" si="233"/>
        <v>2.29</v>
      </c>
      <c r="BC83" s="618">
        <f t="shared" si="234"/>
        <v>3.21</v>
      </c>
      <c r="BD83" s="618">
        <f t="shared" si="235"/>
        <v>3.27</v>
      </c>
      <c r="BE83" s="618">
        <f t="shared" si="236"/>
        <v>3.3</v>
      </c>
      <c r="BF83" s="618">
        <f t="shared" si="237"/>
        <v>3.3</v>
      </c>
      <c r="BG83" s="618">
        <f t="shared" si="238"/>
        <v>3.3</v>
      </c>
      <c r="BH83" s="618">
        <f t="shared" si="239"/>
        <v>3.3</v>
      </c>
      <c r="BI83" s="618">
        <f t="shared" si="240"/>
        <v>3.3</v>
      </c>
      <c r="BJ83" s="618">
        <f t="shared" si="241"/>
        <v>0</v>
      </c>
      <c r="BK83" s="618">
        <f t="shared" si="242"/>
        <v>0</v>
      </c>
      <c r="BL83" s="618">
        <f t="shared" si="243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462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30"/>
        <v>110.00000000000001</v>
      </c>
      <c r="AL84" s="618">
        <f t="shared" si="331"/>
        <v>110.00000000000001</v>
      </c>
      <c r="AM84" s="618">
        <f t="shared" si="332"/>
        <v>110.00000000000001</v>
      </c>
      <c r="AN84" s="618">
        <f t="shared" si="333"/>
        <v>110.00000000000001</v>
      </c>
      <c r="AO84" s="618">
        <f t="shared" si="334"/>
        <v>110.00000000000001</v>
      </c>
      <c r="AP84" s="618">
        <f t="shared" si="335"/>
        <v>110.00000000000001</v>
      </c>
      <c r="AQ84" s="618">
        <f t="shared" si="336"/>
        <v>110.00000000000001</v>
      </c>
      <c r="AR84" s="618">
        <f t="shared" si="337"/>
        <v>110.00000000000001</v>
      </c>
      <c r="AS84" s="618">
        <f t="shared" si="338"/>
        <v>110.00000000000001</v>
      </c>
      <c r="AT84" s="618">
        <f t="shared" si="339"/>
        <v>0</v>
      </c>
      <c r="AU84" s="618">
        <f t="shared" si="340"/>
        <v>0</v>
      </c>
      <c r="AV84" s="618">
        <f t="shared" si="341"/>
        <v>0</v>
      </c>
      <c r="AX84" t="str">
        <v>Penormalan Siaga 1 Gangguan TM</v>
      </c>
      <c r="AY84" s="105" t="s">
        <v>458</v>
      </c>
      <c r="AZ84">
        <v>3</v>
      </c>
      <c r="BA84" s="618">
        <f t="shared" si="232"/>
        <v>3.3</v>
      </c>
      <c r="BB84" s="618">
        <f t="shared" si="233"/>
        <v>3.3</v>
      </c>
      <c r="BC84" s="618">
        <f t="shared" si="234"/>
        <v>3.3</v>
      </c>
      <c r="BD84" s="618">
        <f t="shared" si="235"/>
        <v>3.3</v>
      </c>
      <c r="BE84" s="618">
        <f t="shared" si="236"/>
        <v>3.3</v>
      </c>
      <c r="BF84" s="618">
        <f t="shared" si="237"/>
        <v>3.3</v>
      </c>
      <c r="BG84" s="618">
        <f t="shared" si="238"/>
        <v>3.3</v>
      </c>
      <c r="BH84" s="618">
        <f t="shared" si="239"/>
        <v>3.3</v>
      </c>
      <c r="BI84" s="618">
        <f t="shared" si="240"/>
        <v>3.3</v>
      </c>
      <c r="BJ84" s="618">
        <f t="shared" si="241"/>
        <v>0</v>
      </c>
      <c r="BK84" s="618">
        <f t="shared" si="242"/>
        <v>0</v>
      </c>
      <c r="BL84" s="618">
        <f t="shared" si="243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462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30"/>
        <v>89.74</v>
      </c>
      <c r="AL85" s="618">
        <f t="shared" si="331"/>
        <v>76.382352941176464</v>
      </c>
      <c r="AM85" s="618">
        <f t="shared" si="332"/>
        <v>71.961538461538467</v>
      </c>
      <c r="AN85" s="618">
        <f t="shared" si="333"/>
        <v>54.63942307692308</v>
      </c>
      <c r="AO85" s="618">
        <f t="shared" si="334"/>
        <v>22.702797202797203</v>
      </c>
      <c r="AP85" s="618">
        <f t="shared" si="335"/>
        <v>23.662087912087909</v>
      </c>
      <c r="AQ85" s="618">
        <f t="shared" si="336"/>
        <v>26.186936936936938</v>
      </c>
      <c r="AR85" s="618">
        <f t="shared" si="337"/>
        <v>29.368320610687022</v>
      </c>
      <c r="AS85" s="618">
        <f t="shared" si="338"/>
        <v>60.45348837209302</v>
      </c>
      <c r="AT85" s="618">
        <f t="shared" si="339"/>
        <v>0</v>
      </c>
      <c r="AU85" s="618">
        <f t="shared" si="340"/>
        <v>0</v>
      </c>
      <c r="AV85" s="618">
        <f t="shared" si="341"/>
        <v>0</v>
      </c>
      <c r="AX85" t="str">
        <v>Penambahan Daya Tersambung</v>
      </c>
      <c r="AY85" s="105" t="s">
        <v>458</v>
      </c>
      <c r="AZ85">
        <v>3</v>
      </c>
      <c r="BA85" s="618">
        <f t="shared" si="232"/>
        <v>2.69</v>
      </c>
      <c r="BB85" s="618">
        <f t="shared" si="233"/>
        <v>2.29</v>
      </c>
      <c r="BC85" s="618">
        <f t="shared" si="234"/>
        <v>2.15</v>
      </c>
      <c r="BD85" s="618">
        <f t="shared" si="235"/>
        <v>1.63</v>
      </c>
      <c r="BE85" s="618">
        <f t="shared" si="236"/>
        <v>0.68</v>
      </c>
      <c r="BF85" s="618">
        <f t="shared" si="237"/>
        <v>0.7</v>
      </c>
      <c r="BG85" s="618">
        <f t="shared" si="238"/>
        <v>0.78</v>
      </c>
      <c r="BH85" s="618">
        <f t="shared" si="239"/>
        <v>0.88</v>
      </c>
      <c r="BI85" s="618">
        <f t="shared" si="240"/>
        <v>1.81</v>
      </c>
      <c r="BJ85" s="618">
        <f t="shared" si="241"/>
        <v>0</v>
      </c>
      <c r="BK85" s="618">
        <f t="shared" si="242"/>
        <v>0</v>
      </c>
      <c r="BL85" s="618">
        <f t="shared" si="243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462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30"/>
        <v>46.666666666666664</v>
      </c>
      <c r="AL86" s="618">
        <f t="shared" si="331"/>
        <v>64.473684210526315</v>
      </c>
      <c r="AM86" s="618">
        <f t="shared" si="332"/>
        <v>64.882226980728049</v>
      </c>
      <c r="AN86" s="618">
        <f t="shared" si="333"/>
        <v>63.563402889245587</v>
      </c>
      <c r="AO86" s="618">
        <f t="shared" si="334"/>
        <v>56.546929316338357</v>
      </c>
      <c r="AP86" s="618">
        <f t="shared" si="335"/>
        <v>53.242009132420087</v>
      </c>
      <c r="AQ86" s="618">
        <f t="shared" si="336"/>
        <v>50.861423220973776</v>
      </c>
      <c r="AR86" s="618">
        <f t="shared" si="337"/>
        <v>49.460317460317462</v>
      </c>
      <c r="AS86" s="618">
        <f t="shared" si="338"/>
        <v>48.94911504424779</v>
      </c>
      <c r="AT86" s="618">
        <f t="shared" si="339"/>
        <v>0</v>
      </c>
      <c r="AU86" s="618">
        <f t="shared" si="340"/>
        <v>0</v>
      </c>
      <c r="AV86" s="618">
        <f t="shared" si="341"/>
        <v>0</v>
      </c>
      <c r="AX86" t="str">
        <v>Penambahan Jumlah Pelanggan</v>
      </c>
      <c r="AY86" s="105" t="s">
        <v>458</v>
      </c>
      <c r="AZ86">
        <v>3</v>
      </c>
      <c r="BA86" s="618">
        <f t="shared" si="232"/>
        <v>1.4</v>
      </c>
      <c r="BB86" s="618">
        <f t="shared" si="233"/>
        <v>1.93</v>
      </c>
      <c r="BC86" s="618">
        <f t="shared" si="234"/>
        <v>1.94</v>
      </c>
      <c r="BD86" s="618">
        <f t="shared" si="235"/>
        <v>1.9</v>
      </c>
      <c r="BE86" s="618">
        <f t="shared" si="236"/>
        <v>1.69</v>
      </c>
      <c r="BF86" s="618">
        <f t="shared" si="237"/>
        <v>1.59</v>
      </c>
      <c r="BG86" s="618">
        <f t="shared" si="238"/>
        <v>1.52</v>
      </c>
      <c r="BH86" s="618">
        <f t="shared" si="239"/>
        <v>1.48</v>
      </c>
      <c r="BI86" s="618">
        <f t="shared" si="240"/>
        <v>1.46</v>
      </c>
      <c r="BJ86" s="618">
        <f t="shared" si="241"/>
        <v>0</v>
      </c>
      <c r="BK86" s="618">
        <f t="shared" si="242"/>
        <v>0</v>
      </c>
      <c r="BL86" s="618">
        <f t="shared" si="243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462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30"/>
        <v>110</v>
      </c>
      <c r="AL87" s="618">
        <f t="shared" si="331"/>
        <v>110</v>
      </c>
      <c r="AM87" s="618">
        <f t="shared" si="332"/>
        <v>92.857142857142861</v>
      </c>
      <c r="AN87" s="618">
        <f t="shared" si="333"/>
        <v>69.642857142857139</v>
      </c>
      <c r="AO87" s="618">
        <f t="shared" si="334"/>
        <v>71.428571428571431</v>
      </c>
      <c r="AP87" s="618">
        <f t="shared" si="335"/>
        <v>95.238095238095227</v>
      </c>
      <c r="AQ87" s="618">
        <f t="shared" si="336"/>
        <v>110</v>
      </c>
      <c r="AR87" s="618">
        <f t="shared" si="337"/>
        <v>110</v>
      </c>
      <c r="AS87" s="618">
        <f t="shared" si="338"/>
        <v>110</v>
      </c>
      <c r="AT87" s="618">
        <f t="shared" si="339"/>
        <v>0</v>
      </c>
      <c r="AU87" s="618">
        <f t="shared" si="340"/>
        <v>0</v>
      </c>
      <c r="AV87" s="618">
        <f t="shared" si="341"/>
        <v>0</v>
      </c>
      <c r="AX87" t="str">
        <v>Jumlah Penambahan Pelanggan Produk Tematik</v>
      </c>
      <c r="AY87" s="105" t="s">
        <v>458</v>
      </c>
      <c r="AZ87">
        <v>2</v>
      </c>
      <c r="BA87" s="618">
        <f t="shared" si="232"/>
        <v>2.2000000000000002</v>
      </c>
      <c r="BB87" s="618">
        <f t="shared" si="233"/>
        <v>2.2000000000000002</v>
      </c>
      <c r="BC87" s="618">
        <f t="shared" si="234"/>
        <v>1.85</v>
      </c>
      <c r="BD87" s="618">
        <f t="shared" si="235"/>
        <v>1.39</v>
      </c>
      <c r="BE87" s="618">
        <f t="shared" si="236"/>
        <v>1.42</v>
      </c>
      <c r="BF87" s="618">
        <f t="shared" si="237"/>
        <v>1.9</v>
      </c>
      <c r="BG87" s="618">
        <f t="shared" si="238"/>
        <v>2.2000000000000002</v>
      </c>
      <c r="BH87" s="618">
        <f t="shared" si="239"/>
        <v>2.2000000000000002</v>
      </c>
      <c r="BI87" s="618">
        <f t="shared" si="240"/>
        <v>2.2000000000000002</v>
      </c>
      <c r="BJ87" s="618">
        <f t="shared" si="241"/>
        <v>0</v>
      </c>
      <c r="BK87" s="618">
        <f t="shared" si="242"/>
        <v>0</v>
      </c>
      <c r="BL87" s="618">
        <f t="shared" si="243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462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30"/>
        <v>100</v>
      </c>
      <c r="AL88" s="618">
        <f t="shared" si="331"/>
        <v>100</v>
      </c>
      <c r="AM88" s="618">
        <f t="shared" si="332"/>
        <v>100</v>
      </c>
      <c r="AN88" s="618">
        <f t="shared" si="333"/>
        <v>110</v>
      </c>
      <c r="AO88" s="618">
        <f t="shared" si="334"/>
        <v>110</v>
      </c>
      <c r="AP88" s="618">
        <f t="shared" si="335"/>
        <v>110</v>
      </c>
      <c r="AQ88" s="618">
        <f t="shared" si="336"/>
        <v>110</v>
      </c>
      <c r="AR88" s="618">
        <f t="shared" si="337"/>
        <v>110</v>
      </c>
      <c r="AS88" s="618">
        <f t="shared" si="338"/>
        <v>110</v>
      </c>
      <c r="AT88" s="618">
        <f t="shared" si="339"/>
        <v>0</v>
      </c>
      <c r="AU88" s="618">
        <f t="shared" si="340"/>
        <v>0</v>
      </c>
      <c r="AV88" s="618">
        <f t="shared" si="341"/>
        <v>0</v>
      </c>
      <c r="AX88" t="str">
        <v>Implementasi Kesesuaian Sektor Bisnis sesuai KBLI 2020</v>
      </c>
      <c r="AY88" s="105" t="s">
        <v>458</v>
      </c>
      <c r="AZ88">
        <v>2</v>
      </c>
      <c r="BA88" s="618">
        <f t="shared" si="232"/>
        <v>2</v>
      </c>
      <c r="BB88" s="618">
        <f t="shared" si="233"/>
        <v>2</v>
      </c>
      <c r="BC88" s="618">
        <f t="shared" si="234"/>
        <v>2</v>
      </c>
      <c r="BD88" s="618">
        <f t="shared" si="235"/>
        <v>2.2000000000000002</v>
      </c>
      <c r="BE88" s="618">
        <f t="shared" si="236"/>
        <v>2.2000000000000002</v>
      </c>
      <c r="BF88" s="618">
        <f t="shared" si="237"/>
        <v>2.2000000000000002</v>
      </c>
      <c r="BG88" s="618">
        <f t="shared" si="238"/>
        <v>2.2000000000000002</v>
      </c>
      <c r="BH88" s="618">
        <f t="shared" si="239"/>
        <v>2.2000000000000002</v>
      </c>
      <c r="BI88" s="618">
        <f t="shared" si="240"/>
        <v>2.2000000000000002</v>
      </c>
      <c r="BJ88" s="618">
        <f t="shared" si="241"/>
        <v>0</v>
      </c>
      <c r="BK88" s="618">
        <f t="shared" si="242"/>
        <v>0</v>
      </c>
      <c r="BL88" s="618">
        <f t="shared" si="243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462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30"/>
        <v>0</v>
      </c>
      <c r="AL89" s="618">
        <f t="shared" si="331"/>
        <v>110</v>
      </c>
      <c r="AM89" s="618">
        <f t="shared" si="332"/>
        <v>110</v>
      </c>
      <c r="AN89" s="618">
        <f t="shared" si="333"/>
        <v>110</v>
      </c>
      <c r="AO89" s="618">
        <f t="shared" si="334"/>
        <v>110</v>
      </c>
      <c r="AP89" s="618">
        <f t="shared" si="335"/>
        <v>110</v>
      </c>
      <c r="AQ89" s="618">
        <f t="shared" si="336"/>
        <v>76.923076923076934</v>
      </c>
      <c r="AR89" s="618">
        <f t="shared" si="337"/>
        <v>52.380952380952387</v>
      </c>
      <c r="AS89" s="618">
        <f t="shared" si="338"/>
        <v>31.428571428571427</v>
      </c>
      <c r="AT89" s="618">
        <f t="shared" si="339"/>
        <v>0</v>
      </c>
      <c r="AU89" s="618">
        <f t="shared" si="340"/>
        <v>0</v>
      </c>
      <c r="AV89" s="618">
        <f t="shared" si="341"/>
        <v>0</v>
      </c>
      <c r="AX89" t="str">
        <v>Penambahan Jumlah Pelanggan Rumah Tangga Lisdes</v>
      </c>
      <c r="AY89" s="105" t="s">
        <v>458</v>
      </c>
      <c r="AZ89">
        <v>2</v>
      </c>
      <c r="BA89" s="618">
        <f t="shared" si="232"/>
        <v>0</v>
      </c>
      <c r="BB89" s="618">
        <f t="shared" si="233"/>
        <v>2.2000000000000002</v>
      </c>
      <c r="BC89" s="618">
        <f t="shared" si="234"/>
        <v>2.2000000000000002</v>
      </c>
      <c r="BD89" s="618">
        <f t="shared" si="235"/>
        <v>2.2000000000000002</v>
      </c>
      <c r="BE89" s="618">
        <f t="shared" si="236"/>
        <v>2.2000000000000002</v>
      </c>
      <c r="BF89" s="618">
        <f t="shared" si="237"/>
        <v>2.2000000000000002</v>
      </c>
      <c r="BG89" s="618">
        <f t="shared" si="238"/>
        <v>1.53</v>
      </c>
      <c r="BH89" s="618">
        <f t="shared" si="239"/>
        <v>1.04</v>
      </c>
      <c r="BI89" s="618">
        <f t="shared" si="240"/>
        <v>0.62</v>
      </c>
      <c r="BJ89" s="618">
        <f t="shared" si="241"/>
        <v>0</v>
      </c>
      <c r="BK89" s="618">
        <f t="shared" si="242"/>
        <v>0</v>
      </c>
      <c r="BL89" s="618">
        <f t="shared" si="243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462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30"/>
        <v>0</v>
      </c>
      <c r="AL90" s="618">
        <f t="shared" si="331"/>
        <v>110</v>
      </c>
      <c r="AM90" s="618">
        <f t="shared" si="332"/>
        <v>110</v>
      </c>
      <c r="AN90" s="618">
        <f t="shared" si="333"/>
        <v>110</v>
      </c>
      <c r="AO90" s="618">
        <f t="shared" si="334"/>
        <v>110</v>
      </c>
      <c r="AP90" s="618">
        <f t="shared" si="335"/>
        <v>110</v>
      </c>
      <c r="AQ90" s="618">
        <f t="shared" si="336"/>
        <v>110</v>
      </c>
      <c r="AR90" s="618">
        <f t="shared" si="337"/>
        <v>110</v>
      </c>
      <c r="AS90" s="618">
        <f t="shared" si="338"/>
        <v>83.77630299338486</v>
      </c>
      <c r="AT90" s="618">
        <f t="shared" si="339"/>
        <v>0</v>
      </c>
      <c r="AU90" s="618">
        <f t="shared" si="340"/>
        <v>0</v>
      </c>
      <c r="AV90" s="618">
        <f t="shared" si="341"/>
        <v>0</v>
      </c>
      <c r="AX90" t="str">
        <v>Peningkatan kWh Penjualan dari Pelanggan Rumah Tangga Lisdes</v>
      </c>
      <c r="AY90" s="105" t="s">
        <v>458</v>
      </c>
      <c r="AZ90">
        <v>2</v>
      </c>
      <c r="BA90" s="618">
        <f t="shared" si="232"/>
        <v>0</v>
      </c>
      <c r="BB90" s="618">
        <f t="shared" si="233"/>
        <v>2.2000000000000002</v>
      </c>
      <c r="BC90" s="618">
        <f t="shared" si="234"/>
        <v>2.2000000000000002</v>
      </c>
      <c r="BD90" s="618">
        <f t="shared" si="235"/>
        <v>2.2000000000000002</v>
      </c>
      <c r="BE90" s="618">
        <f t="shared" si="236"/>
        <v>2.2000000000000002</v>
      </c>
      <c r="BF90" s="618">
        <f t="shared" si="237"/>
        <v>2.2000000000000002</v>
      </c>
      <c r="BG90" s="618">
        <f t="shared" si="238"/>
        <v>2.2000000000000002</v>
      </c>
      <c r="BH90" s="618">
        <f t="shared" si="239"/>
        <v>2.2000000000000002</v>
      </c>
      <c r="BI90" s="618">
        <f t="shared" si="240"/>
        <v>1.67</v>
      </c>
      <c r="BJ90" s="618">
        <f t="shared" si="241"/>
        <v>0</v>
      </c>
      <c r="BK90" s="618">
        <f t="shared" si="242"/>
        <v>0</v>
      </c>
      <c r="BL90" s="618">
        <f t="shared" si="243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462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30"/>
        <v>110</v>
      </c>
      <c r="AL91" s="618">
        <f t="shared" si="331"/>
        <v>110</v>
      </c>
      <c r="AM91" s="618">
        <f t="shared" si="332"/>
        <v>110</v>
      </c>
      <c r="AN91" s="618">
        <f t="shared" si="333"/>
        <v>110</v>
      </c>
      <c r="AO91" s="618">
        <f t="shared" si="334"/>
        <v>110</v>
      </c>
      <c r="AP91" s="618">
        <f t="shared" si="335"/>
        <v>110</v>
      </c>
      <c r="AQ91" s="618">
        <f t="shared" si="336"/>
        <v>110</v>
      </c>
      <c r="AR91" s="618">
        <f t="shared" si="337"/>
        <v>110</v>
      </c>
      <c r="AS91" s="618">
        <f t="shared" si="338"/>
        <v>110</v>
      </c>
      <c r="AT91" s="618">
        <f t="shared" si="339"/>
        <v>110</v>
      </c>
      <c r="AU91" s="618">
        <f t="shared" si="340"/>
        <v>110</v>
      </c>
      <c r="AV91" s="618">
        <f t="shared" si="341"/>
        <v>110</v>
      </c>
      <c r="AX91" t="str">
        <v>Jumlah Pengguna Swa Cam</v>
      </c>
      <c r="AY91" s="105" t="s">
        <v>458</v>
      </c>
      <c r="AZ91">
        <v>4</v>
      </c>
      <c r="BA91" s="618">
        <f t="shared" si="232"/>
        <v>4.4000000000000004</v>
      </c>
      <c r="BB91" s="618">
        <f t="shared" si="233"/>
        <v>4.4000000000000004</v>
      </c>
      <c r="BC91" s="618">
        <f t="shared" si="234"/>
        <v>4.4000000000000004</v>
      </c>
      <c r="BD91" s="618">
        <f t="shared" si="235"/>
        <v>4.4000000000000004</v>
      </c>
      <c r="BE91" s="618">
        <f t="shared" si="236"/>
        <v>4.4000000000000004</v>
      </c>
      <c r="BF91" s="618">
        <f t="shared" si="237"/>
        <v>4.4000000000000004</v>
      </c>
      <c r="BG91" s="618">
        <f t="shared" si="238"/>
        <v>4.4000000000000004</v>
      </c>
      <c r="BH91" s="618">
        <f t="shared" si="239"/>
        <v>4.4000000000000004</v>
      </c>
      <c r="BI91" s="618">
        <f t="shared" si="240"/>
        <v>4.4000000000000004</v>
      </c>
      <c r="BJ91" s="618">
        <f t="shared" si="241"/>
        <v>4.4000000000000004</v>
      </c>
      <c r="BK91" s="618">
        <f t="shared" si="242"/>
        <v>4.4000000000000004</v>
      </c>
      <c r="BL91" s="618">
        <f t="shared" si="243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462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30"/>
        <v>100</v>
      </c>
      <c r="AL92" s="618">
        <f t="shared" si="331"/>
        <v>100</v>
      </c>
      <c r="AM92" s="618">
        <f t="shared" si="332"/>
        <v>100</v>
      </c>
      <c r="AN92" s="618">
        <f t="shared" si="333"/>
        <v>100</v>
      </c>
      <c r="AO92" s="618">
        <f t="shared" si="334"/>
        <v>100</v>
      </c>
      <c r="AP92" s="618">
        <f t="shared" si="335"/>
        <v>100</v>
      </c>
      <c r="AQ92" s="618">
        <f t="shared" si="336"/>
        <v>100</v>
      </c>
      <c r="AR92" s="618">
        <f t="shared" si="337"/>
        <v>100</v>
      </c>
      <c r="AS92" s="618">
        <f t="shared" si="338"/>
        <v>100</v>
      </c>
      <c r="AT92" s="618">
        <f t="shared" si="339"/>
        <v>100</v>
      </c>
      <c r="AU92" s="618">
        <f t="shared" si="340"/>
        <v>100</v>
      </c>
      <c r="AV92" s="618">
        <f t="shared" si="341"/>
        <v>100</v>
      </c>
      <c r="AX92" t="str">
        <v>Tindak Lanjut LBKB (Laporan Bulanan Kelainan Baca Meter)</v>
      </c>
      <c r="AY92" s="105" t="s">
        <v>458</v>
      </c>
      <c r="AZ92">
        <v>4</v>
      </c>
      <c r="BA92" s="618">
        <f t="shared" si="232"/>
        <v>4</v>
      </c>
      <c r="BB92" s="618">
        <f t="shared" si="233"/>
        <v>4</v>
      </c>
      <c r="BC92" s="618">
        <f t="shared" si="234"/>
        <v>4</v>
      </c>
      <c r="BD92" s="618">
        <f t="shared" si="235"/>
        <v>4</v>
      </c>
      <c r="BE92" s="618">
        <f t="shared" si="236"/>
        <v>4</v>
      </c>
      <c r="BF92" s="618">
        <f t="shared" si="237"/>
        <v>4</v>
      </c>
      <c r="BG92" s="618">
        <f t="shared" si="238"/>
        <v>4</v>
      </c>
      <c r="BH92" s="618">
        <f t="shared" si="239"/>
        <v>4</v>
      </c>
      <c r="BI92" s="618">
        <f t="shared" si="240"/>
        <v>4</v>
      </c>
      <c r="BJ92" s="618">
        <f t="shared" si="241"/>
        <v>4</v>
      </c>
      <c r="BK92" s="618">
        <f t="shared" si="242"/>
        <v>4</v>
      </c>
      <c r="BL92" s="618">
        <f t="shared" si="243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462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42">IFERROR(IF(V93/G93*100&gt;110,110,V93/G93*100),100)</f>
        <v>100</v>
      </c>
      <c r="AL93" s="618">
        <f t="shared" si="331"/>
        <v>100</v>
      </c>
      <c r="AM93" s="618">
        <f t="shared" si="332"/>
        <v>100</v>
      </c>
      <c r="AN93" s="618">
        <f t="shared" si="333"/>
        <v>100</v>
      </c>
      <c r="AO93" s="618">
        <f t="shared" si="334"/>
        <v>100</v>
      </c>
      <c r="AP93" s="618">
        <f t="shared" si="335"/>
        <v>100</v>
      </c>
      <c r="AQ93" s="618">
        <f t="shared" si="336"/>
        <v>100</v>
      </c>
      <c r="AR93" s="618">
        <f t="shared" si="337"/>
        <v>100</v>
      </c>
      <c r="AS93" s="618">
        <f t="shared" si="338"/>
        <v>100</v>
      </c>
      <c r="AT93" s="618">
        <f t="shared" si="339"/>
        <v>100</v>
      </c>
      <c r="AU93" s="618">
        <f t="shared" si="340"/>
        <v>100</v>
      </c>
      <c r="AV93" s="618">
        <f t="shared" si="341"/>
        <v>100</v>
      </c>
      <c r="AX93" t="str">
        <v>Sisa Stand Bongkar Migrasi</v>
      </c>
      <c r="AY93" s="105" t="s">
        <v>458</v>
      </c>
      <c r="AZ93">
        <v>3</v>
      </c>
      <c r="BA93" s="618">
        <f t="shared" si="232"/>
        <v>3</v>
      </c>
      <c r="BB93" s="618">
        <f t="shared" si="233"/>
        <v>3</v>
      </c>
      <c r="BC93" s="618">
        <f t="shared" si="234"/>
        <v>3</v>
      </c>
      <c r="BD93" s="618">
        <f t="shared" si="235"/>
        <v>3</v>
      </c>
      <c r="BE93" s="618">
        <f t="shared" si="236"/>
        <v>3</v>
      </c>
      <c r="BF93" s="618">
        <f t="shared" si="237"/>
        <v>3</v>
      </c>
      <c r="BG93" s="618">
        <f t="shared" si="238"/>
        <v>3</v>
      </c>
      <c r="BH93" s="618">
        <f t="shared" si="239"/>
        <v>3</v>
      </c>
      <c r="BI93" s="618">
        <f t="shared" si="240"/>
        <v>3</v>
      </c>
      <c r="BJ93" s="618">
        <f t="shared" si="241"/>
        <v>3</v>
      </c>
      <c r="BK93" s="618">
        <f t="shared" si="242"/>
        <v>3</v>
      </c>
      <c r="BL93" s="618">
        <f t="shared" si="243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462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43">IFERROR(IF((2-(V94/G94))*100&gt;110,110,(2-(V94/G94))*100),100)</f>
        <v>103.46186105610559</v>
      </c>
      <c r="AL94" s="618">
        <f t="shared" ref="AL94:AL95" si="344">IFERROR(IF((2-(W94/H94))*100&gt;110,110,(2-(W94/H94))*100),100)</f>
        <v>110</v>
      </c>
      <c r="AM94" s="618">
        <f t="shared" ref="AM94:AM95" si="345">IFERROR(IF((2-(X94/I94))*100&gt;110,110,(2-(X94/I94))*100),100)</f>
        <v>110</v>
      </c>
      <c r="AN94" s="618">
        <f t="shared" ref="AN94:AN95" si="346">IFERROR(IF((2-(Y94/J94))*100&gt;110,110,(2-(Y94/J94))*100),100)</f>
        <v>110</v>
      </c>
      <c r="AO94" s="618">
        <f t="shared" ref="AO94:AO95" si="347">IFERROR(IF((2-(Z94/K94))*100&gt;110,110,(2-(Z94/K94))*100),100)</f>
        <v>110</v>
      </c>
      <c r="AP94" s="618">
        <f t="shared" ref="AP94:AP95" si="348">IFERROR(IF((2-(AA94/L94))*100&gt;110,110,(2-(AA94/L94))*100),100)</f>
        <v>110</v>
      </c>
      <c r="AQ94" s="618">
        <f t="shared" ref="AQ94:AQ95" si="349">IFERROR(IF((2-(AB94/M94))*100&gt;110,110,(2-(AB94/M94))*100),100)</f>
        <v>110</v>
      </c>
      <c r="AR94" s="618">
        <f t="shared" ref="AR94:AR95" si="350">IFERROR(IF((2-(AC94/N94))*100&gt;110,110,(2-(AC94/N94))*100),100)</f>
        <v>110</v>
      </c>
      <c r="AS94" s="618">
        <f t="shared" ref="AS94:AS95" si="351">IFERROR(IF((2-(AD94/O94))*100&gt;110,110,(2-(AD94/O94))*100),100)</f>
        <v>110</v>
      </c>
      <c r="AT94" s="618">
        <f t="shared" ref="AT94:AT95" si="352">IFERROR(IF((2-(AE94/P94))*100&gt;110,110,(2-(AE94/P94))*100),100)</f>
        <v>110</v>
      </c>
      <c r="AU94" s="618">
        <f t="shared" ref="AU94:AU95" si="353">IFERROR(IF((2-(AF94/Q94))*100&gt;110,110,(2-(AF94/Q94))*100),100)</f>
        <v>110</v>
      </c>
      <c r="AV94" s="618">
        <f t="shared" ref="AV94:AV95" si="354">IFERROR(IF((2-(AG94/R94))*100&gt;110,110,(2-(AG94/R94))*100),100)</f>
        <v>110</v>
      </c>
      <c r="AX94" t="str">
        <v>Persentase Rata-Rata Saldo Tanggal 20 Non Kogol 1 dan Non Kogol 2</v>
      </c>
      <c r="AY94" s="105" t="s">
        <v>458</v>
      </c>
      <c r="AZ94">
        <v>3</v>
      </c>
      <c r="BA94" s="618">
        <f t="shared" si="232"/>
        <v>3.1</v>
      </c>
      <c r="BB94" s="618">
        <f t="shared" si="233"/>
        <v>3.3</v>
      </c>
      <c r="BC94" s="618">
        <f t="shared" si="234"/>
        <v>3.3</v>
      </c>
      <c r="BD94" s="618">
        <f t="shared" si="235"/>
        <v>3.3</v>
      </c>
      <c r="BE94" s="618">
        <f t="shared" si="236"/>
        <v>3.3</v>
      </c>
      <c r="BF94" s="618">
        <f t="shared" si="237"/>
        <v>3.3</v>
      </c>
      <c r="BG94" s="618">
        <f t="shared" si="238"/>
        <v>3.3</v>
      </c>
      <c r="BH94" s="618">
        <f t="shared" si="239"/>
        <v>3.3</v>
      </c>
      <c r="BI94" s="618">
        <f t="shared" si="240"/>
        <v>3.3</v>
      </c>
      <c r="BJ94" s="618">
        <f t="shared" si="241"/>
        <v>3.3</v>
      </c>
      <c r="BK94" s="618">
        <f t="shared" si="242"/>
        <v>3.3</v>
      </c>
      <c r="BL94" s="618">
        <f t="shared" si="243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462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43"/>
        <v>-439.49406434073398</v>
      </c>
      <c r="AL95" s="618">
        <f t="shared" si="344"/>
        <v>-127.52828500226548</v>
      </c>
      <c r="AM95" s="618">
        <f t="shared" si="345"/>
        <v>-18.717693701857698</v>
      </c>
      <c r="AN95" s="618">
        <f t="shared" si="346"/>
        <v>19.704826687811551</v>
      </c>
      <c r="AO95" s="618">
        <f t="shared" si="347"/>
        <v>54.625227004984154</v>
      </c>
      <c r="AP95" s="618">
        <f t="shared" si="348"/>
        <v>62.747951971001356</v>
      </c>
      <c r="AQ95" s="618">
        <f t="shared" si="349"/>
        <v>80.228348113146495</v>
      </c>
      <c r="AR95" s="618">
        <f t="shared" si="350"/>
        <v>93.472631400090634</v>
      </c>
      <c r="AS95" s="618">
        <f t="shared" si="351"/>
        <v>87.808336102300771</v>
      </c>
      <c r="AT95" s="618">
        <f t="shared" si="352"/>
        <v>87.808336102300771</v>
      </c>
      <c r="AU95" s="618">
        <f t="shared" si="353"/>
        <v>87.808336102300771</v>
      </c>
      <c r="AV95" s="618">
        <f t="shared" si="354"/>
        <v>87.808336102300771</v>
      </c>
      <c r="AX95" t="str">
        <v>Pencapaian Saldo Rata-Rata Akhir Bulan Non Kogol 1 dan Non Kogol 2</v>
      </c>
      <c r="AY95" s="105" t="s">
        <v>458</v>
      </c>
      <c r="AZ95">
        <v>3</v>
      </c>
      <c r="BA95" s="618">
        <f t="shared" si="232"/>
        <v>-13.18</v>
      </c>
      <c r="BB95" s="618">
        <f t="shared" si="233"/>
        <v>-3.82</v>
      </c>
      <c r="BC95" s="618">
        <f t="shared" si="234"/>
        <v>-0.56000000000000005</v>
      </c>
      <c r="BD95" s="618">
        <f t="shared" si="235"/>
        <v>0.59</v>
      </c>
      <c r="BE95" s="618">
        <f t="shared" si="236"/>
        <v>1.63</v>
      </c>
      <c r="BF95" s="618">
        <f t="shared" si="237"/>
        <v>1.88</v>
      </c>
      <c r="BG95" s="618">
        <f t="shared" si="238"/>
        <v>2.4</v>
      </c>
      <c r="BH95" s="618">
        <f t="shared" si="239"/>
        <v>2.8</v>
      </c>
      <c r="BI95" s="618">
        <f t="shared" si="240"/>
        <v>2.63</v>
      </c>
      <c r="BJ95" s="618">
        <f t="shared" si="241"/>
        <v>2.63</v>
      </c>
      <c r="BK95" s="618">
        <f t="shared" si="242"/>
        <v>2.63</v>
      </c>
      <c r="BL95" s="618">
        <f t="shared" si="243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462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55">IFERROR(IF(V96/G96*100&gt;110,110,V96/G96*100),100)</f>
        <v>0</v>
      </c>
      <c r="AL96" s="618">
        <f t="shared" ref="AL96" si="356">IFERROR(IF(W96/H96*100&gt;110,110,W96/H96*100),100)</f>
        <v>0</v>
      </c>
      <c r="AM96" s="618">
        <f t="shared" ref="AM96" si="357">IFERROR(IF(X96/I96*100&gt;110,110,X96/I96*100),100)</f>
        <v>110</v>
      </c>
      <c r="AN96" s="618">
        <f t="shared" ref="AN96" si="358">IFERROR(IF(Y96/J96*100&gt;110,110,Y96/J96*100),100)</f>
        <v>110</v>
      </c>
      <c r="AO96" s="618">
        <f t="shared" ref="AO96" si="359">IFERROR(IF(Z96/K96*100&gt;110,110,Z96/K96*100),100)</f>
        <v>110</v>
      </c>
      <c r="AP96" s="618">
        <f t="shared" ref="AP96" si="360">IFERROR(IF(AA96/L96*100&gt;110,110,AA96/L96*100),100)</f>
        <v>110</v>
      </c>
      <c r="AQ96" s="618">
        <f t="shared" ref="AQ96" si="361">IFERROR(IF(AB96/M96*100&gt;110,110,AB96/M96*100),100)</f>
        <v>110</v>
      </c>
      <c r="AR96" s="618">
        <f t="shared" ref="AR96" si="362">IFERROR(IF(AC96/N96*100&gt;110,110,AC96/N96*100),100)</f>
        <v>110</v>
      </c>
      <c r="AS96" s="618">
        <f t="shared" ref="AS96" si="363">IFERROR(IF(AD96/O96*100&gt;110,110,AD96/O96*100),100)</f>
        <v>110</v>
      </c>
      <c r="AT96" s="618">
        <f t="shared" ref="AT96" si="364">IFERROR(IF(AE96/P96*100&gt;110,110,AE96/P96*100),100)</f>
        <v>0</v>
      </c>
      <c r="AU96" s="618">
        <f t="shared" ref="AU96" si="365">IFERROR(IF(AF96/Q96*100&gt;110,110,AF96/Q96*100),100)</f>
        <v>0</v>
      </c>
      <c r="AV96" s="618">
        <f t="shared" ref="AV96" si="366">IFERROR(IF(AG96/R96*100&gt;110,110,AG96/R96*100),100)</f>
        <v>0</v>
      </c>
      <c r="AX96" t="str">
        <v>Pencapaian Pelunasan PRR</v>
      </c>
      <c r="AY96" s="105" t="s">
        <v>458</v>
      </c>
      <c r="AZ96">
        <v>3</v>
      </c>
      <c r="BA96" s="618">
        <f t="shared" si="232"/>
        <v>0</v>
      </c>
      <c r="BB96" s="618">
        <f t="shared" si="233"/>
        <v>0</v>
      </c>
      <c r="BC96" s="618">
        <f t="shared" si="234"/>
        <v>3.3</v>
      </c>
      <c r="BD96" s="618">
        <f t="shared" si="235"/>
        <v>3.3</v>
      </c>
      <c r="BE96" s="618">
        <f t="shared" si="236"/>
        <v>3.3</v>
      </c>
      <c r="BF96" s="618">
        <f t="shared" si="237"/>
        <v>3.3</v>
      </c>
      <c r="BG96" s="618">
        <f t="shared" si="238"/>
        <v>3.3</v>
      </c>
      <c r="BH96" s="618">
        <f t="shared" si="239"/>
        <v>3.3</v>
      </c>
      <c r="BI96" s="618">
        <f t="shared" si="240"/>
        <v>3.3</v>
      </c>
      <c r="BJ96" s="618">
        <f t="shared" si="241"/>
        <v>0</v>
      </c>
      <c r="BK96" s="618">
        <f t="shared" si="242"/>
        <v>0</v>
      </c>
      <c r="BL96" s="618">
        <f t="shared" si="243"/>
        <v>0</v>
      </c>
    </row>
    <row r="100" spans="1:64">
      <c r="B100" t="s">
        <v>469</v>
      </c>
      <c r="D100" t="str" cm="1">
        <f t="array" ref="D100:D103">_xlfn._xlws.SORT(B100:B103)</f>
        <v>BANGKIR</v>
      </c>
    </row>
    <row r="101" spans="1:64">
      <c r="B101" t="s">
        <v>470</v>
      </c>
      <c r="D101" t="str">
        <v>KOTARAYA</v>
      </c>
    </row>
    <row r="102" spans="1:64">
      <c r="B102" t="s">
        <v>471</v>
      </c>
      <c r="D102" t="str">
        <v>LEOK</v>
      </c>
    </row>
    <row r="103" spans="1:64">
      <c r="B103" t="s">
        <v>472</v>
      </c>
      <c r="D103" t="str">
        <v>MOUTONH</v>
      </c>
    </row>
    <row r="110" spans="1:64">
      <c r="A110" s="750" t="s">
        <v>4</v>
      </c>
      <c r="B110" s="750"/>
      <c r="C110" s="750"/>
      <c r="D110" s="750"/>
    </row>
    <row r="111" spans="1:64">
      <c r="A111" s="750"/>
      <c r="B111" s="750"/>
      <c r="C111" s="750"/>
      <c r="D111" s="750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0"/>
      <c r="B112" s="750"/>
      <c r="C112" s="750"/>
      <c r="D112" s="750"/>
      <c r="AZ112" t="s">
        <v>254</v>
      </c>
      <c r="BA112" s="625">
        <f>SUM(BA115:BA144)</f>
        <v>96.929999999999993</v>
      </c>
      <c r="BB112" s="625">
        <f t="shared" ref="BB112:BI112" si="367">SUM(BB115:BB144)</f>
        <v>97.68</v>
      </c>
      <c r="BC112" s="625">
        <f t="shared" si="367"/>
        <v>106.96</v>
      </c>
      <c r="BD112" s="625">
        <f t="shared" si="367"/>
        <v>107.03999999999999</v>
      </c>
      <c r="BE112" s="625">
        <f t="shared" si="367"/>
        <v>105.94</v>
      </c>
      <c r="BF112" s="625">
        <f t="shared" si="367"/>
        <v>105.89</v>
      </c>
      <c r="BG112" s="625">
        <f t="shared" si="367"/>
        <v>104.99000000000001</v>
      </c>
      <c r="BH112" s="625">
        <f t="shared" si="367"/>
        <v>104.95</v>
      </c>
      <c r="BI112" s="625">
        <f t="shared" si="367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454</v>
      </c>
      <c r="B114" t="s">
        <v>455</v>
      </c>
      <c r="C114" t="s">
        <v>456</v>
      </c>
      <c r="E114" s="21" t="s">
        <v>457</v>
      </c>
      <c r="G114" s="616">
        <f>DATE(2025,G113+1,0)</f>
        <v>45688</v>
      </c>
      <c r="H114" s="616">
        <f t="shared" ref="H114:R114" si="368">DATE(2025,H113+1,0)</f>
        <v>45716</v>
      </c>
      <c r="I114" s="616">
        <f t="shared" si="368"/>
        <v>45747</v>
      </c>
      <c r="J114" s="616">
        <f t="shared" si="368"/>
        <v>45777</v>
      </c>
      <c r="K114" s="616">
        <f t="shared" si="368"/>
        <v>45808</v>
      </c>
      <c r="L114" s="616">
        <f t="shared" si="368"/>
        <v>45838</v>
      </c>
      <c r="M114" s="616">
        <f t="shared" si="368"/>
        <v>45869</v>
      </c>
      <c r="N114" s="616">
        <f t="shared" si="368"/>
        <v>45900</v>
      </c>
      <c r="O114" s="616">
        <f t="shared" si="368"/>
        <v>45930</v>
      </c>
      <c r="P114" s="616">
        <f t="shared" si="368"/>
        <v>45961</v>
      </c>
      <c r="Q114" s="616">
        <f t="shared" si="368"/>
        <v>45991</v>
      </c>
      <c r="R114" s="616">
        <f t="shared" si="368"/>
        <v>46022</v>
      </c>
      <c r="T114" s="21" t="s">
        <v>457</v>
      </c>
      <c r="V114" s="616">
        <f>DATE(2025,V113+1,0)</f>
        <v>45688</v>
      </c>
      <c r="W114" s="616">
        <f t="shared" ref="W114:AG114" si="369">DATE(2025,W113+1,0)</f>
        <v>45716</v>
      </c>
      <c r="X114" s="616">
        <f t="shared" si="369"/>
        <v>45747</v>
      </c>
      <c r="Y114" s="616">
        <f t="shared" si="369"/>
        <v>45777</v>
      </c>
      <c r="Z114" s="616">
        <f t="shared" si="369"/>
        <v>45808</v>
      </c>
      <c r="AA114" s="616">
        <f t="shared" si="369"/>
        <v>45838</v>
      </c>
      <c r="AB114" s="616">
        <f t="shared" si="369"/>
        <v>45869</v>
      </c>
      <c r="AC114" s="616">
        <f t="shared" si="369"/>
        <v>45900</v>
      </c>
      <c r="AD114" s="616">
        <f t="shared" si="369"/>
        <v>45930</v>
      </c>
      <c r="AE114" s="616">
        <f t="shared" si="369"/>
        <v>45961</v>
      </c>
      <c r="AF114" s="616">
        <f t="shared" si="369"/>
        <v>45991</v>
      </c>
      <c r="AG114" s="616">
        <f t="shared" si="369"/>
        <v>46022</v>
      </c>
      <c r="AI114" s="21" t="s">
        <v>457</v>
      </c>
      <c r="AK114" s="616">
        <f>DATE(2025,AK113+1,0)</f>
        <v>45688</v>
      </c>
      <c r="AL114" s="616">
        <f t="shared" ref="AL114:AV114" si="370">DATE(2025,AL113+1,0)</f>
        <v>45716</v>
      </c>
      <c r="AM114" s="616">
        <f t="shared" si="370"/>
        <v>45747</v>
      </c>
      <c r="AN114" s="616">
        <f t="shared" si="370"/>
        <v>45777</v>
      </c>
      <c r="AO114" s="616">
        <f t="shared" si="370"/>
        <v>45808</v>
      </c>
      <c r="AP114" s="616">
        <f t="shared" si="370"/>
        <v>45838</v>
      </c>
      <c r="AQ114" s="616">
        <f t="shared" si="370"/>
        <v>45869</v>
      </c>
      <c r="AR114" s="616">
        <f t="shared" si="370"/>
        <v>45900</v>
      </c>
      <c r="AS114" s="616">
        <f t="shared" si="370"/>
        <v>45930</v>
      </c>
      <c r="AT114" s="616">
        <f t="shared" si="370"/>
        <v>45961</v>
      </c>
      <c r="AU114" s="616">
        <f t="shared" si="370"/>
        <v>45991</v>
      </c>
      <c r="AV114" s="616">
        <f t="shared" si="370"/>
        <v>46022</v>
      </c>
      <c r="AX114" s="21" t="s">
        <v>457</v>
      </c>
      <c r="BA114" s="616">
        <f>DATE(2025,BA113+1,0)</f>
        <v>45688</v>
      </c>
      <c r="BB114" s="616">
        <f t="shared" ref="BB114:BL114" si="371">DATE(2025,BB113+1,0)</f>
        <v>45716</v>
      </c>
      <c r="BC114" s="616">
        <f t="shared" si="371"/>
        <v>45747</v>
      </c>
      <c r="BD114" s="616">
        <f t="shared" si="371"/>
        <v>45777</v>
      </c>
      <c r="BE114" s="616">
        <f t="shared" si="371"/>
        <v>45808</v>
      </c>
      <c r="BF114" s="616">
        <f t="shared" si="371"/>
        <v>45838</v>
      </c>
      <c r="BG114" s="616">
        <f t="shared" si="371"/>
        <v>45869</v>
      </c>
      <c r="BH114" s="616">
        <f t="shared" si="371"/>
        <v>45900</v>
      </c>
      <c r="BI114" s="616">
        <f t="shared" si="371"/>
        <v>45930</v>
      </c>
      <c r="BJ114" s="616">
        <f t="shared" si="371"/>
        <v>45961</v>
      </c>
      <c r="BK114" s="616">
        <f t="shared" si="371"/>
        <v>45991</v>
      </c>
      <c r="BL114" s="616">
        <f t="shared" si="371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462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72">IF(W115/H115*100&gt;110,110,W115/H115*100)</f>
        <v>110</v>
      </c>
      <c r="AM115" s="618">
        <f t="shared" ref="AM115" si="373">IF(X115/I115*100&gt;110,110,X115/I115*100)</f>
        <v>110</v>
      </c>
      <c r="AN115" s="618">
        <f t="shared" ref="AN115" si="374">IF(Y115/J115*100&gt;110,110,Y115/J115*100)</f>
        <v>110</v>
      </c>
      <c r="AO115" s="618">
        <f t="shared" ref="AO115" si="375">IF(Z115/K115*100&gt;110,110,Z115/K115*100)</f>
        <v>104.77548335426007</v>
      </c>
      <c r="AP115" s="618">
        <f t="shared" ref="AP115" si="376">IF(AA115/L115*100&gt;110,110,AA115/L115*100)</f>
        <v>102.47261430503379</v>
      </c>
      <c r="AQ115" s="618">
        <f t="shared" ref="AQ115" si="377">IF(AB115/M115*100&gt;110,110,AB115/M115*100)</f>
        <v>100.99708281108961</v>
      </c>
      <c r="AR115" s="618">
        <f t="shared" ref="AR115" si="378">IF(AC115/N115*100&gt;110,110,AC115/N115*100)</f>
        <v>100.32909991554051</v>
      </c>
      <c r="AS115" s="618">
        <f t="shared" ref="AS115" si="379">IF(AD115/O115*100&gt;110,110,AD115/O115*100)</f>
        <v>100.02421332335329</v>
      </c>
      <c r="AT115" s="618">
        <f t="shared" ref="AT115" si="380">IF(AE115/P115*100&gt;110,110,AE115/P115*100)</f>
        <v>0</v>
      </c>
      <c r="AU115" s="618">
        <f t="shared" ref="AU115" si="381">IF(AF115/Q115*100&gt;110,110,AF115/Q115*100)</f>
        <v>0</v>
      </c>
      <c r="AV115" s="618">
        <f t="shared" ref="AV115" si="382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458</v>
      </c>
      <c r="AZ115">
        <v>14</v>
      </c>
      <c r="BA115" s="618">
        <f t="shared" ref="BA115:BA144" si="383">ROUNDDOWN(AK115/100*$AZ115,2)</f>
        <v>15.4</v>
      </c>
      <c r="BB115" s="618">
        <f t="shared" ref="BB115:BB144" si="384">ROUNDDOWN(AL115/100*$AZ115,2)</f>
        <v>15.4</v>
      </c>
      <c r="BC115" s="618">
        <f t="shared" ref="BC115:BC144" si="385">ROUNDDOWN(AM115/100*$AZ115,2)</f>
        <v>15.4</v>
      </c>
      <c r="BD115" s="618">
        <f t="shared" ref="BD115:BD144" si="386">ROUNDDOWN(AN115/100*$AZ115,2)</f>
        <v>15.4</v>
      </c>
      <c r="BE115" s="618">
        <f t="shared" ref="BE115:BE144" si="387">ROUNDDOWN(AO115/100*$AZ115,2)</f>
        <v>14.66</v>
      </c>
      <c r="BF115" s="618">
        <f t="shared" ref="BF115:BF144" si="388">ROUNDDOWN(AP115/100*$AZ115,2)</f>
        <v>14.34</v>
      </c>
      <c r="BG115" s="618">
        <f t="shared" ref="BG115:BG144" si="389">ROUNDDOWN(AQ115/100*$AZ115,2)</f>
        <v>14.13</v>
      </c>
      <c r="BH115" s="618">
        <f t="shared" ref="BH115:BH144" si="390">ROUNDDOWN(AR115/100*$AZ115,2)</f>
        <v>14.04</v>
      </c>
      <c r="BI115" s="618">
        <f t="shared" ref="BI115:BI144" si="391">ROUNDDOWN(AS115/100*$AZ115,2)</f>
        <v>14</v>
      </c>
      <c r="BJ115" s="618">
        <f t="shared" ref="BJ115:BJ144" si="392">ROUNDDOWN(AT115/100*$AZ115,2)</f>
        <v>0</v>
      </c>
      <c r="BK115" s="618">
        <f t="shared" ref="BK115:BK144" si="393">ROUNDDOWN(AU115/100*$AZ115,2)</f>
        <v>0</v>
      </c>
      <c r="BL115" s="618">
        <f t="shared" ref="BL115:BL144" si="394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462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95">IF((2-(V116/G116))*100&gt;110,110,(2-(V116/G116))*100)</f>
        <v>96.385177288069229</v>
      </c>
      <c r="AL116" s="618">
        <f t="shared" ref="AL116:AL117" si="396">IF((2-(W116/H116))*100&gt;110,110,(2-(W116/H116))*100)</f>
        <v>110</v>
      </c>
      <c r="AM116" s="618">
        <f t="shared" ref="AM116:AM117" si="397">IF((2-(X116/I116))*100&gt;110,110,(2-(X116/I116))*100)</f>
        <v>110</v>
      </c>
      <c r="AN116" s="618">
        <f t="shared" ref="AN116:AN117" si="398">IF((2-(Y116/J116))*100&gt;110,110,(2-(Y116/J116))*100)</f>
        <v>110</v>
      </c>
      <c r="AO116" s="618">
        <f t="shared" ref="AO116:AO117" si="399">IF((2-(Z116/K116))*100&gt;110,110,(2-(Z116/K116))*100)</f>
        <v>110</v>
      </c>
      <c r="AP116" s="618">
        <f t="shared" ref="AP116:AP117" si="400">IF((2-(AA116/L116))*100&gt;110,110,(2-(AA116/L116))*100)</f>
        <v>110</v>
      </c>
      <c r="AQ116" s="618">
        <f t="shared" ref="AQ116:AQ117" si="401">IF((2-(AB116/M116))*100&gt;110,110,(2-(AB116/M116))*100)</f>
        <v>110</v>
      </c>
      <c r="AR116" s="618">
        <f t="shared" ref="AR116:AR117" si="402">IF((2-(AC116/N116))*100&gt;110,110,(2-(AC116/N116))*100)</f>
        <v>110</v>
      </c>
      <c r="AS116" s="618">
        <f t="shared" ref="AS116:AS117" si="403">IF((2-(AD116/O116))*100&gt;110,110,(2-(AD116/O116))*100)</f>
        <v>110</v>
      </c>
      <c r="AT116" s="618">
        <f t="shared" ref="AT116:AT117" si="404">IF((2-(AE116/P116))*100&gt;110,110,(2-(AE116/P116))*100)</f>
        <v>110</v>
      </c>
      <c r="AU116" s="618">
        <f t="shared" ref="AU116:AU117" si="405">IF((2-(AF116/Q116))*100&gt;110,110,(2-(AF116/Q116))*100)</f>
        <v>110</v>
      </c>
      <c r="AV116" s="618">
        <f t="shared" ref="AV116:AV117" si="406">IF((2-(AG116/R116))*100&gt;110,110,(2-(AG116/R116))*100)</f>
        <v>110</v>
      </c>
      <c r="AX116" t="str">
        <v>SAIDI (sesuai kewenangan)</v>
      </c>
      <c r="AY116" s="105" t="s">
        <v>458</v>
      </c>
      <c r="AZ116">
        <v>6</v>
      </c>
      <c r="BA116" s="618">
        <f t="shared" si="383"/>
        <v>5.78</v>
      </c>
      <c r="BB116" s="618">
        <f t="shared" si="384"/>
        <v>6.6</v>
      </c>
      <c r="BC116" s="618">
        <f t="shared" si="385"/>
        <v>6.6</v>
      </c>
      <c r="BD116" s="618">
        <f t="shared" si="386"/>
        <v>6.6</v>
      </c>
      <c r="BE116" s="618">
        <f t="shared" si="387"/>
        <v>6.6</v>
      </c>
      <c r="BF116" s="618">
        <f t="shared" si="388"/>
        <v>6.6</v>
      </c>
      <c r="BG116" s="618">
        <f t="shared" si="389"/>
        <v>6.6</v>
      </c>
      <c r="BH116" s="618">
        <f t="shared" si="390"/>
        <v>6.6</v>
      </c>
      <c r="BI116" s="618">
        <f t="shared" si="391"/>
        <v>6.6</v>
      </c>
      <c r="BJ116" s="618">
        <f t="shared" si="392"/>
        <v>6.6</v>
      </c>
      <c r="BK116" s="618">
        <f t="shared" si="393"/>
        <v>6.6</v>
      </c>
      <c r="BL116" s="618">
        <f t="shared" si="394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462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95"/>
        <v>110</v>
      </c>
      <c r="AL117" s="618">
        <f t="shared" si="396"/>
        <v>110</v>
      </c>
      <c r="AM117" s="618">
        <f t="shared" si="397"/>
        <v>110</v>
      </c>
      <c r="AN117" s="618">
        <f t="shared" si="398"/>
        <v>110</v>
      </c>
      <c r="AO117" s="618">
        <f t="shared" si="399"/>
        <v>110</v>
      </c>
      <c r="AP117" s="618">
        <f t="shared" si="400"/>
        <v>110</v>
      </c>
      <c r="AQ117" s="618">
        <f t="shared" si="401"/>
        <v>110</v>
      </c>
      <c r="AR117" s="618">
        <f t="shared" si="402"/>
        <v>110</v>
      </c>
      <c r="AS117" s="618">
        <f t="shared" si="403"/>
        <v>110</v>
      </c>
      <c r="AT117" s="618">
        <f t="shared" si="404"/>
        <v>110</v>
      </c>
      <c r="AU117" s="618">
        <f t="shared" si="405"/>
        <v>110</v>
      </c>
      <c r="AV117" s="618">
        <f t="shared" si="406"/>
        <v>110</v>
      </c>
      <c r="AX117" t="str">
        <v>SAIFI (sesuai kewenangan)</v>
      </c>
      <c r="AY117" s="105" t="s">
        <v>458</v>
      </c>
      <c r="AZ117">
        <v>6</v>
      </c>
      <c r="BA117" s="618">
        <f t="shared" si="383"/>
        <v>6.6</v>
      </c>
      <c r="BB117" s="618">
        <f t="shared" si="384"/>
        <v>6.6</v>
      </c>
      <c r="BC117" s="618">
        <f t="shared" si="385"/>
        <v>6.6</v>
      </c>
      <c r="BD117" s="618">
        <f t="shared" si="386"/>
        <v>6.6</v>
      </c>
      <c r="BE117" s="618">
        <f t="shared" si="387"/>
        <v>6.6</v>
      </c>
      <c r="BF117" s="618">
        <f t="shared" si="388"/>
        <v>6.6</v>
      </c>
      <c r="BG117" s="618">
        <f t="shared" si="389"/>
        <v>6.6</v>
      </c>
      <c r="BH117" s="618">
        <f t="shared" si="390"/>
        <v>6.6</v>
      </c>
      <c r="BI117" s="618">
        <f t="shared" si="391"/>
        <v>6.6</v>
      </c>
      <c r="BJ117" s="618">
        <f t="shared" si="392"/>
        <v>6.6</v>
      </c>
      <c r="BK117" s="618">
        <f t="shared" si="393"/>
        <v>6.6</v>
      </c>
      <c r="BL117" s="618">
        <f t="shared" si="394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462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407">IF(((G118-(V118-G118))/G118)*100&gt;110,110,((G118-(V118-G118))/G118)*100)</f>
        <v>65.084745762711847</v>
      </c>
      <c r="AL118" s="618">
        <f t="shared" ref="AL118" si="408">IF(((H118-(W118-H118))/H118)*100&gt;110,110,((H118-(W118-H118))/H118)*100)</f>
        <v>110</v>
      </c>
      <c r="AM118" s="618">
        <f t="shared" ref="AM118" si="409">IF(((I118-(X118-I118))/I118)*100&gt;110,110,((I118-(X118-I118))/I118)*100)</f>
        <v>110</v>
      </c>
      <c r="AN118" s="618">
        <f t="shared" ref="AN118" si="410">IF(((J118-(Y118-J118))/J118)*100&gt;110,110,((J118-(Y118-J118))/J118)*100)</f>
        <v>110</v>
      </c>
      <c r="AO118" s="618">
        <f t="shared" ref="AO118" si="411">IF(((K118-(Z118-K118))/K118)*100&gt;110,110,((K118-(Z118-K118))/K118)*100)</f>
        <v>110</v>
      </c>
      <c r="AP118" s="618">
        <f t="shared" ref="AP118" si="412">IF(((L118-(AA118-L118))/L118)*100&gt;110,110,((L118-(AA118-L118))/L118)*100)</f>
        <v>110</v>
      </c>
      <c r="AQ118" s="618">
        <f t="shared" ref="AQ118" si="413">IF(((M118-(AB118-M118))/M118)*100&gt;110,110,((M118-(AB118-M118))/M118)*100)</f>
        <v>110</v>
      </c>
      <c r="AR118" s="618">
        <f t="shared" ref="AR118" si="414">IF(((N118-(AC118-N118))/N118)*100&gt;110,110,((N118-(AC118-N118))/N118)*100)</f>
        <v>110</v>
      </c>
      <c r="AS118" s="618">
        <f t="shared" ref="AS118" si="415">IF(((O118-(AD118-O118))/O118)*100&gt;110,110,((O118-(AD118-O118))/O118)*100)</f>
        <v>110</v>
      </c>
      <c r="AT118" s="618">
        <f t="shared" ref="AT118" si="416">IF(((P118-(AE118-P118))/P118)*100&gt;110,110,((P118-(AE118-P118))/P118)*100)</f>
        <v>110</v>
      </c>
      <c r="AU118" s="618">
        <f t="shared" ref="AU118" si="417">IF(((Q118-(AF118-Q118))/Q118)*100&gt;110,110,((Q118-(AF118-Q118))/Q118)*100)</f>
        <v>110</v>
      </c>
      <c r="AV118" s="618">
        <f t="shared" ref="AV118" si="418">IF(((R118-(AG118-R118))/R118)*100&gt;110,110,((R118-(AG118-R118))/R118)*100)</f>
        <v>110</v>
      </c>
      <c r="AX118" t="str">
        <v>ENS (sesuai kewenangan)</v>
      </c>
      <c r="AY118" s="105" t="s">
        <v>458</v>
      </c>
      <c r="AZ118">
        <v>2</v>
      </c>
      <c r="BA118" s="618">
        <f t="shared" si="383"/>
        <v>1.3</v>
      </c>
      <c r="BB118" s="618">
        <f t="shared" si="384"/>
        <v>2.2000000000000002</v>
      </c>
      <c r="BC118" s="618">
        <f t="shared" si="385"/>
        <v>2.2000000000000002</v>
      </c>
      <c r="BD118" s="618">
        <f t="shared" si="386"/>
        <v>2.2000000000000002</v>
      </c>
      <c r="BE118" s="618">
        <f t="shared" si="387"/>
        <v>2.2000000000000002</v>
      </c>
      <c r="BF118" s="618">
        <f t="shared" si="388"/>
        <v>2.2000000000000002</v>
      </c>
      <c r="BG118" s="618">
        <f t="shared" si="389"/>
        <v>2.2000000000000002</v>
      </c>
      <c r="BH118" s="618">
        <f t="shared" si="390"/>
        <v>2.2000000000000002</v>
      </c>
      <c r="BI118" s="618">
        <f t="shared" si="391"/>
        <v>2.2000000000000002</v>
      </c>
      <c r="BJ118" s="618">
        <f t="shared" si="392"/>
        <v>2.2000000000000002</v>
      </c>
      <c r="BK118" s="618">
        <f t="shared" si="393"/>
        <v>2.2000000000000002</v>
      </c>
      <c r="BL118" s="618">
        <f t="shared" si="394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462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19">IF((2-(V119/G119))*100&gt;110,110,(2-(V119/G119))*100)</f>
        <v>110</v>
      </c>
      <c r="AL119" s="618">
        <f t="shared" ref="AL119" si="420">IF((2-(W119/H119))*100&gt;110,110,(2-(W119/H119))*100)</f>
        <v>110</v>
      </c>
      <c r="AM119" s="618">
        <f t="shared" ref="AM119" si="421">IF((2-(X119/I119))*100&gt;110,110,(2-(X119/I119))*100)</f>
        <v>110</v>
      </c>
      <c r="AN119" s="618">
        <f t="shared" ref="AN119" si="422">IF((2-(Y119/J119))*100&gt;110,110,(2-(Y119/J119))*100)</f>
        <v>110</v>
      </c>
      <c r="AO119" s="618">
        <f t="shared" ref="AO119" si="423">IF((2-(Z119/K119))*100&gt;110,110,(2-(Z119/K119))*100)</f>
        <v>110</v>
      </c>
      <c r="AP119" s="618">
        <f t="shared" ref="AP119" si="424">IF((2-(AA119/L119))*100&gt;110,110,(2-(AA119/L119))*100)</f>
        <v>110</v>
      </c>
      <c r="AQ119" s="618">
        <f t="shared" ref="AQ119" si="425">IF((2-(AB119/M119))*100&gt;110,110,(2-(AB119/M119))*100)</f>
        <v>110</v>
      </c>
      <c r="AR119" s="618">
        <f t="shared" ref="AR119" si="426">IF((2-(AC119/N119))*100&gt;110,110,(2-(AC119/N119))*100)</f>
        <v>110</v>
      </c>
      <c r="AS119" s="618">
        <f t="shared" ref="AS119" si="427">IF((2-(AD119/O119))*100&gt;110,110,(2-(AD119/O119))*100)</f>
        <v>110</v>
      </c>
      <c r="AT119" s="618">
        <f t="shared" ref="AT119" si="428">IF((2-(AE119/P119))*100&gt;110,110,(2-(AE119/P119))*100)</f>
        <v>110</v>
      </c>
      <c r="AU119" s="618">
        <f t="shared" ref="AU119" si="429">IF((2-(AF119/Q119))*100&gt;110,110,(2-(AF119/Q119))*100)</f>
        <v>110</v>
      </c>
      <c r="AV119" s="618">
        <f t="shared" ref="AV119" si="430">IF((2-(AG119/R119))*100&gt;110,110,(2-(AG119/R119))*100)</f>
        <v>110</v>
      </c>
      <c r="AX119" t="str">
        <v>Susut Distribusi Tanpa E-min (sesuai kewenangan)</v>
      </c>
      <c r="AY119" s="105" t="s">
        <v>458</v>
      </c>
      <c r="AZ119">
        <v>4</v>
      </c>
      <c r="BA119" s="618">
        <f t="shared" si="383"/>
        <v>4.4000000000000004</v>
      </c>
      <c r="BB119" s="618">
        <f t="shared" si="384"/>
        <v>4.4000000000000004</v>
      </c>
      <c r="BC119" s="618">
        <f t="shared" si="385"/>
        <v>4.4000000000000004</v>
      </c>
      <c r="BD119" s="618">
        <f t="shared" si="386"/>
        <v>4.4000000000000004</v>
      </c>
      <c r="BE119" s="618">
        <f t="shared" si="387"/>
        <v>4.4000000000000004</v>
      </c>
      <c r="BF119" s="618">
        <f t="shared" si="388"/>
        <v>4.4000000000000004</v>
      </c>
      <c r="BG119" s="618">
        <f t="shared" si="389"/>
        <v>4.4000000000000004</v>
      </c>
      <c r="BH119" s="618">
        <f t="shared" si="390"/>
        <v>4.4000000000000004</v>
      </c>
      <c r="BI119" s="618">
        <f t="shared" si="391"/>
        <v>4.4000000000000004</v>
      </c>
      <c r="BJ119" s="618">
        <f t="shared" si="392"/>
        <v>4.4000000000000004</v>
      </c>
      <c r="BK119" s="618">
        <f t="shared" si="393"/>
        <v>4.4000000000000004</v>
      </c>
      <c r="BL119" s="618">
        <f t="shared" si="394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462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31">IF(V120/G120*100&gt;110,110,V120/G120*100)</f>
        <v>14.9925</v>
      </c>
      <c r="AL120" s="618">
        <f t="shared" ref="AL120:AL121" si="432">IF(W120/H120*100&gt;110,110,W120/H120*100)</f>
        <v>12.224999999999998</v>
      </c>
      <c r="AM120" s="618">
        <f t="shared" ref="AM120:AM121" si="433">IF(X120/I120*100&gt;110,110,X120/I120*100)</f>
        <v>101.83</v>
      </c>
      <c r="AN120" s="618">
        <f t="shared" ref="AN120:AN121" si="434">IF(Y120/J120*100&gt;110,110,Y120/J120*100)</f>
        <v>110</v>
      </c>
      <c r="AO120" s="618">
        <f t="shared" ref="AO120:AO121" si="435">IF(Z120/K120*100&gt;110,110,Z120/K120*100)</f>
        <v>110</v>
      </c>
      <c r="AP120" s="618">
        <f t="shared" ref="AP120:AP121" si="436">IF(AA120/L120*100&gt;110,110,AA120/L120*100)</f>
        <v>110</v>
      </c>
      <c r="AQ120" s="618">
        <f t="shared" ref="AQ120:AQ121" si="437">IF(AB120/M120*100&gt;110,110,AB120/M120*100)</f>
        <v>110</v>
      </c>
      <c r="AR120" s="618">
        <f t="shared" ref="AR120:AR121" si="438">IF(AC120/N120*100&gt;110,110,AC120/N120*100)</f>
        <v>110</v>
      </c>
      <c r="AS120" s="618">
        <f t="shared" ref="AS120:AS121" si="439">IF(AD120/O120*100&gt;110,110,AD120/O120*100)</f>
        <v>110</v>
      </c>
      <c r="AT120" s="618">
        <f t="shared" ref="AT120:AT121" si="440">IF(AE120/P120*100&gt;110,110,AE120/P120*100)</f>
        <v>110</v>
      </c>
      <c r="AU120" s="618">
        <f t="shared" ref="AU120:AU121" si="441">IF(AF120/Q120*100&gt;110,110,AF120/Q120*100)</f>
        <v>110</v>
      </c>
      <c r="AV120" s="618">
        <f t="shared" ref="AV120:AV121" si="442">IF(AG120/R120*100&gt;110,110,AG120/R120*100)</f>
        <v>110</v>
      </c>
      <c r="AX120" t="str">
        <v>Penyelesaian Temuan P2TL</v>
      </c>
      <c r="AY120" s="105" t="s">
        <v>458</v>
      </c>
      <c r="AZ120">
        <v>4</v>
      </c>
      <c r="BA120" s="618">
        <f t="shared" si="383"/>
        <v>0.59</v>
      </c>
      <c r="BB120" s="618">
        <f t="shared" si="384"/>
        <v>0.48</v>
      </c>
      <c r="BC120" s="618">
        <f t="shared" si="385"/>
        <v>4.07</v>
      </c>
      <c r="BD120" s="618">
        <f t="shared" si="386"/>
        <v>4.4000000000000004</v>
      </c>
      <c r="BE120" s="618">
        <f t="shared" si="387"/>
        <v>4.4000000000000004</v>
      </c>
      <c r="BF120" s="618">
        <f t="shared" si="388"/>
        <v>4.4000000000000004</v>
      </c>
      <c r="BG120" s="618">
        <f t="shared" si="389"/>
        <v>4.4000000000000004</v>
      </c>
      <c r="BH120" s="618">
        <f t="shared" si="390"/>
        <v>4.4000000000000004</v>
      </c>
      <c r="BI120" s="618">
        <f t="shared" si="391"/>
        <v>4.4000000000000004</v>
      </c>
      <c r="BJ120" s="618">
        <f t="shared" si="392"/>
        <v>4.4000000000000004</v>
      </c>
      <c r="BK120" s="618">
        <f t="shared" si="393"/>
        <v>4.4000000000000004</v>
      </c>
      <c r="BL120" s="618">
        <f t="shared" si="394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462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31"/>
        <v>15.555555555555555</v>
      </c>
      <c r="AL121" s="618">
        <f t="shared" si="432"/>
        <v>17.777777777777779</v>
      </c>
      <c r="AM121" s="618">
        <f t="shared" si="433"/>
        <v>110</v>
      </c>
      <c r="AN121" s="618">
        <f t="shared" si="434"/>
        <v>110</v>
      </c>
      <c r="AO121" s="618">
        <f t="shared" si="435"/>
        <v>110</v>
      </c>
      <c r="AP121" s="618">
        <f t="shared" si="436"/>
        <v>110</v>
      </c>
      <c r="AQ121" s="618">
        <f t="shared" si="437"/>
        <v>110</v>
      </c>
      <c r="AR121" s="618">
        <f t="shared" si="438"/>
        <v>110</v>
      </c>
      <c r="AS121" s="618">
        <f t="shared" si="439"/>
        <v>110</v>
      </c>
      <c r="AT121" s="618">
        <f t="shared" si="440"/>
        <v>91.929382093316519</v>
      </c>
      <c r="AU121" s="618">
        <f t="shared" si="441"/>
        <v>91.929382093316519</v>
      </c>
      <c r="AV121" s="618">
        <f t="shared" si="442"/>
        <v>91.929382093316519</v>
      </c>
      <c r="AX121" t="str">
        <v>Penyelesaian Ganti Meter</v>
      </c>
      <c r="AY121" s="105" t="s">
        <v>458</v>
      </c>
      <c r="AZ121">
        <v>4</v>
      </c>
      <c r="BA121" s="618">
        <f t="shared" si="383"/>
        <v>0.62</v>
      </c>
      <c r="BB121" s="618">
        <f t="shared" si="384"/>
        <v>0.71</v>
      </c>
      <c r="BC121" s="618">
        <f t="shared" si="385"/>
        <v>4.4000000000000004</v>
      </c>
      <c r="BD121" s="618">
        <f t="shared" si="386"/>
        <v>4.4000000000000004</v>
      </c>
      <c r="BE121" s="618">
        <f t="shared" si="387"/>
        <v>4.4000000000000004</v>
      </c>
      <c r="BF121" s="618">
        <f t="shared" si="388"/>
        <v>4.4000000000000004</v>
      </c>
      <c r="BG121" s="618">
        <f t="shared" si="389"/>
        <v>4.4000000000000004</v>
      </c>
      <c r="BH121" s="618">
        <f t="shared" si="390"/>
        <v>4.4000000000000004</v>
      </c>
      <c r="BI121" s="618">
        <f t="shared" si="391"/>
        <v>4.4000000000000004</v>
      </c>
      <c r="BJ121" s="618">
        <f t="shared" si="392"/>
        <v>3.67</v>
      </c>
      <c r="BK121" s="618">
        <f t="shared" si="393"/>
        <v>3.67</v>
      </c>
      <c r="BL121" s="618">
        <f t="shared" si="394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462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43">IF(((G122-(V122-G122))/G122)*100&gt;110,110,((G122-(V122-G122))/G122)*100)</f>
        <v>110</v>
      </c>
      <c r="AL122" s="618">
        <f t="shared" ref="AL122" si="444">IF(((H122-(W122-H122))/H122)*100&gt;110,110,((H122-(W122-H122))/H122)*100)</f>
        <v>110</v>
      </c>
      <c r="AM122" s="618">
        <f t="shared" ref="AM122" si="445">IF(((I122-(X122-I122))/I122)*100&gt;110,110,((I122-(X122-I122))/I122)*100)</f>
        <v>110</v>
      </c>
      <c r="AN122" s="618">
        <f t="shared" ref="AN122" si="446">IF(((J122-(Y122-J122))/J122)*100&gt;110,110,((J122-(Y122-J122))/J122)*100)</f>
        <v>110</v>
      </c>
      <c r="AO122" s="618">
        <f t="shared" ref="AO122" si="447">IF(((K122-(Z122-K122))/K122)*100&gt;110,110,((K122-(Z122-K122))/K122)*100)</f>
        <v>110</v>
      </c>
      <c r="AP122" s="618">
        <f t="shared" ref="AP122" si="448">IF(((L122-(AA122-L122))/L122)*100&gt;110,110,((L122-(AA122-L122))/L122)*100)</f>
        <v>110</v>
      </c>
      <c r="AQ122" s="618">
        <f t="shared" ref="AQ122" si="449">IF(((M122-(AB122-M122))/M122)*100&gt;110,110,((M122-(AB122-M122))/M122)*100)</f>
        <v>110</v>
      </c>
      <c r="AR122" s="618">
        <f t="shared" ref="AR122" si="450">IF(((N122-(AC122-N122))/N122)*100&gt;110,110,((N122-(AC122-N122))/N122)*100)</f>
        <v>110</v>
      </c>
      <c r="AS122" s="618">
        <f t="shared" ref="AS122" si="451">IF(((O122-(AD122-O122))/O122)*100&gt;110,110,((O122-(AD122-O122))/O122)*100)</f>
        <v>110</v>
      </c>
      <c r="AT122" s="618">
        <f t="shared" ref="AT122" si="452">IF(((P122-(AE122-P122))/P122)*100&gt;110,110,((P122-(AE122-P122))/P122)*100)</f>
        <v>110</v>
      </c>
      <c r="AU122" s="618">
        <f t="shared" ref="AU122" si="453">IF(((Q122-(AF122-Q122))/Q122)*100&gt;110,110,((Q122-(AF122-Q122))/Q122)*100)</f>
        <v>110</v>
      </c>
      <c r="AV122" s="618">
        <f t="shared" ref="AV122" si="454">IF(((R122-(AG122-R122))/R122)*100&gt;110,110,((R122-(AG122-R122))/R122)*100)</f>
        <v>110</v>
      </c>
      <c r="AX122" t="str">
        <v>Gangguan TM &gt; 5 Menit</v>
      </c>
      <c r="AY122" s="105" t="s">
        <v>458</v>
      </c>
      <c r="AZ122">
        <v>3</v>
      </c>
      <c r="BA122" s="618">
        <f t="shared" si="383"/>
        <v>3.3</v>
      </c>
      <c r="BB122" s="618">
        <f t="shared" si="384"/>
        <v>3.3</v>
      </c>
      <c r="BC122" s="618">
        <f t="shared" si="385"/>
        <v>3.3</v>
      </c>
      <c r="BD122" s="618">
        <f t="shared" si="386"/>
        <v>3.3</v>
      </c>
      <c r="BE122" s="618">
        <f t="shared" si="387"/>
        <v>3.3</v>
      </c>
      <c r="BF122" s="618">
        <f t="shared" si="388"/>
        <v>3.3</v>
      </c>
      <c r="BG122" s="618">
        <f t="shared" si="389"/>
        <v>3.3</v>
      </c>
      <c r="BH122" s="618">
        <f t="shared" si="390"/>
        <v>3.3</v>
      </c>
      <c r="BI122" s="618">
        <f t="shared" si="391"/>
        <v>3.3</v>
      </c>
      <c r="BJ122" s="618">
        <f t="shared" si="392"/>
        <v>3.3</v>
      </c>
      <c r="BK122" s="618">
        <f t="shared" si="393"/>
        <v>3.3</v>
      </c>
      <c r="BL122" s="618">
        <f t="shared" si="394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462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55">IF((2-(V123/G123))*100&gt;110,110,(2-(V123/G123))*100)</f>
        <v>110</v>
      </c>
      <c r="AL123" s="618">
        <f t="shared" ref="AL123" si="456">IF((2-(W123/H123))*100&gt;110,110,(2-(W123/H123))*100)</f>
        <v>100</v>
      </c>
      <c r="AM123" s="618">
        <f t="shared" ref="AM123" si="457">IF((2-(X123/I123))*100&gt;110,110,(2-(X123/I123))*100)</f>
        <v>110</v>
      </c>
      <c r="AN123" s="618">
        <f t="shared" ref="AN123" si="458">IF((2-(Y123/J123))*100&gt;110,110,(2-(Y123/J123))*100)</f>
        <v>110</v>
      </c>
      <c r="AO123" s="618">
        <f t="shared" ref="AO123" si="459">IF((2-(Z123/K123))*100&gt;110,110,(2-(Z123/K123))*100)</f>
        <v>110</v>
      </c>
      <c r="AP123" s="618">
        <f t="shared" ref="AP123" si="460">IF((2-(AA123/L123))*100&gt;110,110,(2-(AA123/L123))*100)</f>
        <v>110</v>
      </c>
      <c r="AQ123" s="618">
        <f t="shared" ref="AQ123" si="461">IF((2-(AB123/M123))*100&gt;110,110,(2-(AB123/M123))*100)</f>
        <v>110</v>
      </c>
      <c r="AR123" s="618">
        <f t="shared" ref="AR123" si="462">IF((2-(AC123/N123))*100&gt;110,110,(2-(AC123/N123))*100)</f>
        <v>110</v>
      </c>
      <c r="AS123" s="618">
        <f t="shared" ref="AS123" si="463">IF((2-(AD123/O123))*100&gt;110,110,(2-(AD123/O123))*100)</f>
        <v>110</v>
      </c>
      <c r="AT123" s="618">
        <f t="shared" ref="AT123" si="464">IF((2-(AE123/P123))*100&gt;110,110,(2-(AE123/P123))*100)</f>
        <v>110</v>
      </c>
      <c r="AU123" s="618">
        <f t="shared" ref="AU123" si="465">IF((2-(AF123/Q123))*100&gt;110,110,(2-(AF123/Q123))*100)</f>
        <v>110</v>
      </c>
      <c r="AV123" s="618">
        <f t="shared" ref="AV123" si="466">IF((2-(AG123/R123))*100&gt;110,110,(2-(AG123/R123))*100)</f>
        <v>110</v>
      </c>
      <c r="AX123" t="str">
        <v>Gangguan TM ≤ 5 Menit</v>
      </c>
      <c r="AY123" s="105" t="s">
        <v>458</v>
      </c>
      <c r="AZ123">
        <v>3</v>
      </c>
      <c r="BA123" s="618">
        <f t="shared" si="383"/>
        <v>3.3</v>
      </c>
      <c r="BB123" s="618">
        <f t="shared" si="384"/>
        <v>3</v>
      </c>
      <c r="BC123" s="618">
        <f t="shared" si="385"/>
        <v>3.3</v>
      </c>
      <c r="BD123" s="618">
        <f t="shared" si="386"/>
        <v>3.3</v>
      </c>
      <c r="BE123" s="618">
        <f t="shared" si="387"/>
        <v>3.3</v>
      </c>
      <c r="BF123" s="618">
        <f t="shared" si="388"/>
        <v>3.3</v>
      </c>
      <c r="BG123" s="618">
        <f t="shared" si="389"/>
        <v>3.3</v>
      </c>
      <c r="BH123" s="618">
        <f t="shared" si="390"/>
        <v>3.3</v>
      </c>
      <c r="BI123" s="618">
        <f t="shared" si="391"/>
        <v>3.3</v>
      </c>
      <c r="BJ123" s="618">
        <f t="shared" si="392"/>
        <v>3.3</v>
      </c>
      <c r="BK123" s="618">
        <f t="shared" si="393"/>
        <v>3.3</v>
      </c>
      <c r="BL123" s="618">
        <f t="shared" si="394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462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67">IFERROR(IF((2-(V124/G124))*100&gt;110,110,(2-(V124/G124))*100),100)</f>
        <v>100</v>
      </c>
      <c r="AL124" s="618">
        <f t="shared" ref="AL124:AL126" si="468">IFERROR(IF((2-(W124/H124))*100&gt;110,110,(2-(W124/H124))*100),100)</f>
        <v>100</v>
      </c>
      <c r="AM124" s="618">
        <f t="shared" ref="AM124:AM126" si="469">IFERROR(IF((2-(X124/I124))*100&gt;110,110,(2-(X124/I124))*100),100)</f>
        <v>110</v>
      </c>
      <c r="AN124" s="618">
        <f t="shared" ref="AN124:AN126" si="470">IFERROR(IF((2-(Y124/J124))*100&gt;110,110,(2-(Y124/J124))*100),100)</f>
        <v>110</v>
      </c>
      <c r="AO124" s="618">
        <f t="shared" ref="AO124:AO126" si="471">IFERROR(IF((2-(Z124/K124))*100&gt;110,110,(2-(Z124/K124))*100),100)</f>
        <v>110</v>
      </c>
      <c r="AP124" s="618">
        <f t="shared" ref="AP124:AP126" si="472">IFERROR(IF((2-(AA124/L124))*100&gt;110,110,(2-(AA124/L124))*100),100)</f>
        <v>110</v>
      </c>
      <c r="AQ124" s="618">
        <f t="shared" ref="AQ124:AQ126" si="473">IFERROR(IF((2-(AB124/M124))*100&gt;110,110,(2-(AB124/M124))*100),100)</f>
        <v>110</v>
      </c>
      <c r="AR124" s="618">
        <f t="shared" ref="AR124:AR126" si="474">IFERROR(IF((2-(AC124/N124))*100&gt;110,110,(2-(AC124/N124))*100),100)</f>
        <v>110</v>
      </c>
      <c r="AS124" s="618">
        <f t="shared" ref="AS124:AS126" si="475">IFERROR(IF((2-(AD124/O124))*100&gt;110,110,(2-(AD124/O124))*100),100)</f>
        <v>110</v>
      </c>
      <c r="AT124" s="618">
        <f t="shared" ref="AT124:AT126" si="476">IFERROR(IF((2-(AE124/P124))*100&gt;110,110,(2-(AE124/P124))*100),100)</f>
        <v>110</v>
      </c>
      <c r="AU124" s="618">
        <f t="shared" ref="AU124:AU126" si="477">IFERROR(IF((2-(AF124/Q124))*100&gt;110,110,(2-(AF124/Q124))*100),100)</f>
        <v>110</v>
      </c>
      <c r="AV124" s="618">
        <f t="shared" ref="AV124:AV126" si="478">IFERROR(IF((2-(AG124/R124))*100&gt;110,110,(2-(AG124/R124))*100),100)</f>
        <v>110</v>
      </c>
      <c r="AX124" t="str">
        <v>Kerusakan Peralatan Distribusi (PHB TM dan Trafo) Sesuai Kewenangan</v>
      </c>
      <c r="AY124" s="105" t="s">
        <v>458</v>
      </c>
      <c r="AZ124">
        <v>3</v>
      </c>
      <c r="BA124" s="618">
        <f t="shared" si="383"/>
        <v>3</v>
      </c>
      <c r="BB124" s="618">
        <f t="shared" si="384"/>
        <v>3</v>
      </c>
      <c r="BC124" s="618">
        <f t="shared" si="385"/>
        <v>3.3</v>
      </c>
      <c r="BD124" s="618">
        <f t="shared" si="386"/>
        <v>3.3</v>
      </c>
      <c r="BE124" s="618">
        <f t="shared" si="387"/>
        <v>3.3</v>
      </c>
      <c r="BF124" s="618">
        <f t="shared" si="388"/>
        <v>3.3</v>
      </c>
      <c r="BG124" s="618">
        <f t="shared" si="389"/>
        <v>3.3</v>
      </c>
      <c r="BH124" s="618">
        <f t="shared" si="390"/>
        <v>3.3</v>
      </c>
      <c r="BI124" s="618">
        <f t="shared" si="391"/>
        <v>3.3</v>
      </c>
      <c r="BJ124" s="618">
        <f t="shared" si="392"/>
        <v>3.3</v>
      </c>
      <c r="BK124" s="618">
        <f t="shared" si="393"/>
        <v>3.3</v>
      </c>
      <c r="BL124" s="618">
        <f t="shared" si="394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462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67"/>
        <v>110</v>
      </c>
      <c r="AL125" s="618">
        <f t="shared" si="468"/>
        <v>110</v>
      </c>
      <c r="AM125" s="618">
        <f t="shared" si="469"/>
        <v>110</v>
      </c>
      <c r="AN125" s="618">
        <f t="shared" si="470"/>
        <v>110</v>
      </c>
      <c r="AO125" s="618">
        <f t="shared" si="471"/>
        <v>110</v>
      </c>
      <c r="AP125" s="618">
        <f t="shared" si="472"/>
        <v>110</v>
      </c>
      <c r="AQ125" s="618">
        <f t="shared" si="473"/>
        <v>110</v>
      </c>
      <c r="AR125" s="618">
        <f t="shared" si="474"/>
        <v>110</v>
      </c>
      <c r="AS125" s="618">
        <f t="shared" si="475"/>
        <v>110</v>
      </c>
      <c r="AT125" s="618">
        <f t="shared" si="476"/>
        <v>110</v>
      </c>
      <c r="AU125" s="618">
        <f t="shared" si="477"/>
        <v>110</v>
      </c>
      <c r="AV125" s="618">
        <f t="shared" si="478"/>
        <v>110</v>
      </c>
      <c r="AX125" t="str">
        <v>Feedback Rating Negatif pada PLN Mobile - Gangguan</v>
      </c>
      <c r="AY125" s="105" t="s">
        <v>458</v>
      </c>
      <c r="AZ125">
        <v>2</v>
      </c>
      <c r="BA125" s="618">
        <f t="shared" si="383"/>
        <v>2.2000000000000002</v>
      </c>
      <c r="BB125" s="618">
        <f t="shared" si="384"/>
        <v>2.2000000000000002</v>
      </c>
      <c r="BC125" s="618">
        <f t="shared" si="385"/>
        <v>2.2000000000000002</v>
      </c>
      <c r="BD125" s="618">
        <f t="shared" si="386"/>
        <v>2.2000000000000002</v>
      </c>
      <c r="BE125" s="618">
        <f t="shared" si="387"/>
        <v>2.2000000000000002</v>
      </c>
      <c r="BF125" s="618">
        <f t="shared" si="388"/>
        <v>2.2000000000000002</v>
      </c>
      <c r="BG125" s="618">
        <f t="shared" si="389"/>
        <v>2.2000000000000002</v>
      </c>
      <c r="BH125" s="618">
        <f t="shared" si="390"/>
        <v>2.2000000000000002</v>
      </c>
      <c r="BI125" s="618">
        <f t="shared" si="391"/>
        <v>2.2000000000000002</v>
      </c>
      <c r="BJ125" s="618">
        <f t="shared" si="392"/>
        <v>2.2000000000000002</v>
      </c>
      <c r="BK125" s="618">
        <f t="shared" si="393"/>
        <v>2.2000000000000002</v>
      </c>
      <c r="BL125" s="618">
        <f t="shared" si="394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462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67"/>
        <v>110</v>
      </c>
      <c r="AL126" s="618">
        <f t="shared" si="468"/>
        <v>110</v>
      </c>
      <c r="AM126" s="618">
        <f t="shared" si="469"/>
        <v>110</v>
      </c>
      <c r="AN126" s="618">
        <f t="shared" si="470"/>
        <v>110</v>
      </c>
      <c r="AO126" s="618">
        <f t="shared" si="471"/>
        <v>110</v>
      </c>
      <c r="AP126" s="618">
        <f t="shared" si="472"/>
        <v>110</v>
      </c>
      <c r="AQ126" s="618">
        <f t="shared" si="473"/>
        <v>110</v>
      </c>
      <c r="AR126" s="618">
        <f t="shared" si="474"/>
        <v>110</v>
      </c>
      <c r="AS126" s="618">
        <f t="shared" si="475"/>
        <v>110</v>
      </c>
      <c r="AT126" s="618">
        <f t="shared" si="476"/>
        <v>110</v>
      </c>
      <c r="AU126" s="618">
        <f t="shared" si="477"/>
        <v>110</v>
      </c>
      <c r="AV126" s="618">
        <f t="shared" si="478"/>
        <v>110</v>
      </c>
      <c r="AX126" t="str">
        <v>Pengaduan Gangguan Berulang pada PLN Mobile</v>
      </c>
      <c r="AY126" s="105" t="s">
        <v>458</v>
      </c>
      <c r="AZ126">
        <v>2</v>
      </c>
      <c r="BA126" s="618">
        <f t="shared" si="383"/>
        <v>2.2000000000000002</v>
      </c>
      <c r="BB126" s="618">
        <f t="shared" si="384"/>
        <v>2.2000000000000002</v>
      </c>
      <c r="BC126" s="618">
        <f t="shared" si="385"/>
        <v>2.2000000000000002</v>
      </c>
      <c r="BD126" s="618">
        <f t="shared" si="386"/>
        <v>2.2000000000000002</v>
      </c>
      <c r="BE126" s="618">
        <f t="shared" si="387"/>
        <v>2.2000000000000002</v>
      </c>
      <c r="BF126" s="618">
        <f t="shared" si="388"/>
        <v>2.2000000000000002</v>
      </c>
      <c r="BG126" s="618">
        <f t="shared" si="389"/>
        <v>2.2000000000000002</v>
      </c>
      <c r="BH126" s="618">
        <f t="shared" si="390"/>
        <v>2.2000000000000002</v>
      </c>
      <c r="BI126" s="618">
        <f t="shared" si="391"/>
        <v>2.2000000000000002</v>
      </c>
      <c r="BJ126" s="618">
        <f t="shared" si="392"/>
        <v>2.2000000000000002</v>
      </c>
      <c r="BK126" s="618">
        <f t="shared" si="393"/>
        <v>2.2000000000000002</v>
      </c>
      <c r="BL126" s="618">
        <f t="shared" si="394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462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79">IF(V127/G127*100&gt;110,110,V127/G127*100)</f>
        <v>100.20408163265306</v>
      </c>
      <c r="AL127" s="618">
        <f t="shared" ref="AL127:AL128" si="480">IF(W127/H127*100&gt;110,110,W127/H127*100)</f>
        <v>100.20408163265306</v>
      </c>
      <c r="AM127" s="618">
        <f t="shared" ref="AM127:AM128" si="481">IF(X127/I127*100&gt;110,110,X127/I127*100)</f>
        <v>100.20408163265306</v>
      </c>
      <c r="AN127" s="618">
        <f t="shared" ref="AN127:AN128" si="482">IF(Y127/J127*100&gt;110,110,Y127/J127*100)</f>
        <v>100.20408163265306</v>
      </c>
      <c r="AO127" s="618">
        <f t="shared" ref="AO127:AO128" si="483">IF(Z127/K127*100&gt;110,110,Z127/K127*100)</f>
        <v>100</v>
      </c>
      <c r="AP127" s="618">
        <f t="shared" ref="AP127:AP128" si="484">IF(AA127/L127*100&gt;110,110,AA127/L127*100)</f>
        <v>100</v>
      </c>
      <c r="AQ127" s="618">
        <f t="shared" ref="AQ127:AQ128" si="485">IF(AB127/M127*100&gt;110,110,AB127/M127*100)</f>
        <v>100</v>
      </c>
      <c r="AR127" s="618">
        <f t="shared" ref="AR127:AR128" si="486">IF(AC127/N127*100&gt;110,110,AC127/N127*100)</f>
        <v>100</v>
      </c>
      <c r="AS127" s="618">
        <f t="shared" ref="AS127:AS128" si="487">IF(AD127/O127*100&gt;110,110,AD127/O127*100)</f>
        <v>100</v>
      </c>
      <c r="AT127" s="618">
        <f t="shared" ref="AT127:AT128" si="488">IF(AE127/P127*100&gt;110,110,AE127/P127*100)</f>
        <v>100</v>
      </c>
      <c r="AU127" s="618">
        <f t="shared" ref="AU127:AU128" si="489">IF(AF127/Q127*100&gt;110,110,AF127/Q127*100)</f>
        <v>100</v>
      </c>
      <c r="AV127" s="618">
        <f t="shared" ref="AV127:AV128" si="490">IF(AG127/R127*100&gt;110,110,AG127/R127*100)</f>
        <v>100</v>
      </c>
      <c r="AX127" t="str">
        <v>Rating PLN Mobile</v>
      </c>
      <c r="AY127" s="105" t="s">
        <v>458</v>
      </c>
      <c r="AZ127">
        <v>2</v>
      </c>
      <c r="BA127" s="618">
        <f t="shared" si="383"/>
        <v>2</v>
      </c>
      <c r="BB127" s="618">
        <f t="shared" si="384"/>
        <v>2</v>
      </c>
      <c r="BC127" s="618">
        <f t="shared" si="385"/>
        <v>2</v>
      </c>
      <c r="BD127" s="618">
        <f t="shared" si="386"/>
        <v>2</v>
      </c>
      <c r="BE127" s="618">
        <f t="shared" si="387"/>
        <v>2</v>
      </c>
      <c r="BF127" s="618">
        <f t="shared" si="388"/>
        <v>2</v>
      </c>
      <c r="BG127" s="618">
        <f t="shared" si="389"/>
        <v>2</v>
      </c>
      <c r="BH127" s="618">
        <f t="shared" si="390"/>
        <v>2</v>
      </c>
      <c r="BI127" s="618">
        <f t="shared" si="391"/>
        <v>2</v>
      </c>
      <c r="BJ127" s="618">
        <f t="shared" si="392"/>
        <v>2</v>
      </c>
      <c r="BK127" s="618">
        <f t="shared" si="393"/>
        <v>2</v>
      </c>
      <c r="BL127" s="618">
        <f t="shared" si="394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462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79"/>
        <v>34.839476813317475</v>
      </c>
      <c r="AL128" s="618">
        <f t="shared" si="480"/>
        <v>32.167395377888816</v>
      </c>
      <c r="AM128" s="618">
        <f t="shared" si="481"/>
        <v>86.977886977886982</v>
      </c>
      <c r="AN128" s="618">
        <f t="shared" si="482"/>
        <v>110</v>
      </c>
      <c r="AO128" s="618">
        <f t="shared" si="483"/>
        <v>110</v>
      </c>
      <c r="AP128" s="618">
        <f t="shared" si="484"/>
        <v>110</v>
      </c>
      <c r="AQ128" s="618">
        <f t="shared" si="485"/>
        <v>110</v>
      </c>
      <c r="AR128" s="618">
        <f t="shared" si="486"/>
        <v>110</v>
      </c>
      <c r="AS128" s="618">
        <f t="shared" si="487"/>
        <v>110</v>
      </c>
      <c r="AT128" s="618">
        <f t="shared" si="488"/>
        <v>0</v>
      </c>
      <c r="AU128" s="618">
        <f t="shared" si="489"/>
        <v>0</v>
      </c>
      <c r="AV128" s="618">
        <f t="shared" si="490"/>
        <v>0</v>
      </c>
      <c r="AX128" t="str">
        <v>Jumlah Kali Transaksi Keuangan melalui PLN Mobile</v>
      </c>
      <c r="AY128" s="105" t="s">
        <v>458</v>
      </c>
      <c r="AZ128">
        <v>2</v>
      </c>
      <c r="BA128" s="618">
        <f t="shared" si="383"/>
        <v>0.69</v>
      </c>
      <c r="BB128" s="618">
        <f t="shared" si="384"/>
        <v>0.64</v>
      </c>
      <c r="BC128" s="618">
        <f t="shared" si="385"/>
        <v>1.73</v>
      </c>
      <c r="BD128" s="618">
        <f t="shared" si="386"/>
        <v>2.2000000000000002</v>
      </c>
      <c r="BE128" s="618">
        <f t="shared" si="387"/>
        <v>2.2000000000000002</v>
      </c>
      <c r="BF128" s="618">
        <f t="shared" si="388"/>
        <v>2.2000000000000002</v>
      </c>
      <c r="BG128" s="618">
        <f t="shared" si="389"/>
        <v>2.2000000000000002</v>
      </c>
      <c r="BH128" s="618">
        <f t="shared" si="390"/>
        <v>2.2000000000000002</v>
      </c>
      <c r="BI128" s="618">
        <f t="shared" si="391"/>
        <v>2.2000000000000002</v>
      </c>
      <c r="BJ128" s="618">
        <f t="shared" si="392"/>
        <v>0</v>
      </c>
      <c r="BK128" s="618">
        <f t="shared" si="393"/>
        <v>0</v>
      </c>
      <c r="BL128" s="618">
        <f t="shared" si="394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462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91">IFERROR(IF((2-(V129/G129))*100&gt;110,110,(2-(V129/G129))*100),100)</f>
        <v>110</v>
      </c>
      <c r="AL129" s="618">
        <f t="shared" ref="AL129" si="492">IFERROR(IF((2-(W129/H129))*100&gt;110,110,(2-(W129/H129))*100),100)</f>
        <v>110</v>
      </c>
      <c r="AM129" s="618">
        <f t="shared" ref="AM129" si="493">IFERROR(IF((2-(X129/I129))*100&gt;110,110,(2-(X129/I129))*100),100)</f>
        <v>110</v>
      </c>
      <c r="AN129" s="618">
        <f t="shared" ref="AN129" si="494">IFERROR(IF((2-(Y129/J129))*100&gt;110,110,(2-(Y129/J129))*100),100)</f>
        <v>110</v>
      </c>
      <c r="AO129" s="618">
        <f t="shared" ref="AO129" si="495">IFERROR(IF((2-(Z129/K129))*100&gt;110,110,(2-(Z129/K129))*100),100)</f>
        <v>110</v>
      </c>
      <c r="AP129" s="618">
        <f t="shared" ref="AP129" si="496">IFERROR(IF((2-(AA129/L129))*100&gt;110,110,(2-(AA129/L129))*100),100)</f>
        <v>110</v>
      </c>
      <c r="AQ129" s="618">
        <f t="shared" ref="AQ129" si="497">IFERROR(IF((2-(AB129/M129))*100&gt;110,110,(2-(AB129/M129))*100),100)</f>
        <v>110</v>
      </c>
      <c r="AR129" s="618">
        <f t="shared" ref="AR129" si="498">IFERROR(IF((2-(AC129/N129))*100&gt;110,110,(2-(AC129/N129))*100),100)</f>
        <v>110</v>
      </c>
      <c r="AS129" s="618">
        <f t="shared" ref="AS129" si="499">IFERROR(IF((2-(AD129/O129))*100&gt;110,110,(2-(AD129/O129))*100),100)</f>
        <v>110</v>
      </c>
      <c r="AT129" s="618">
        <f t="shared" ref="AT129" si="500">IFERROR(IF((2-(AE129/P129))*100&gt;110,110,(2-(AE129/P129))*100),100)</f>
        <v>110</v>
      </c>
      <c r="AU129" s="618">
        <f t="shared" ref="AU129" si="501">IFERROR(IF((2-(AF129/Q129))*100&gt;110,110,(2-(AF129/Q129))*100),100)</f>
        <v>110</v>
      </c>
      <c r="AV129" s="618">
        <f t="shared" ref="AV129" si="502">IFERROR(IF((2-(AG129/R129))*100&gt;110,110,(2-(AG129/R129))*100),100)</f>
        <v>110</v>
      </c>
      <c r="AX129" t="str">
        <v>Response Time atas Gangguan (diluar Clear Tamper)</v>
      </c>
      <c r="AY129" s="105" t="s">
        <v>458</v>
      </c>
      <c r="AZ129">
        <v>1.5</v>
      </c>
      <c r="BA129" s="618">
        <f t="shared" si="383"/>
        <v>1.65</v>
      </c>
      <c r="BB129" s="618">
        <f t="shared" si="384"/>
        <v>1.65</v>
      </c>
      <c r="BC129" s="618">
        <f t="shared" si="385"/>
        <v>1.65</v>
      </c>
      <c r="BD129" s="618">
        <f t="shared" si="386"/>
        <v>1.65</v>
      </c>
      <c r="BE129" s="618">
        <f t="shared" si="387"/>
        <v>1.65</v>
      </c>
      <c r="BF129" s="618">
        <f t="shared" si="388"/>
        <v>1.65</v>
      </c>
      <c r="BG129" s="618">
        <f t="shared" si="389"/>
        <v>1.65</v>
      </c>
      <c r="BH129" s="618">
        <f t="shared" si="390"/>
        <v>1.65</v>
      </c>
      <c r="BI129" s="618">
        <f t="shared" si="391"/>
        <v>1.65</v>
      </c>
      <c r="BJ129" s="618">
        <f t="shared" si="392"/>
        <v>1.65</v>
      </c>
      <c r="BK129" s="618">
        <f t="shared" si="393"/>
        <v>1.65</v>
      </c>
      <c r="BL129" s="618">
        <f t="shared" si="394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462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503">IFERROR(IF(V130/G130*100&gt;110,110,V130/G130*100),100)</f>
        <v>100</v>
      </c>
      <c r="AL130" s="618">
        <f t="shared" ref="AL130:AL141" si="504">IFERROR(IF(W130/H130*100&gt;110,110,W130/H130*100),100)</f>
        <v>100</v>
      </c>
      <c r="AM130" s="618">
        <f t="shared" ref="AM130:AM141" si="505">IFERROR(IF(X130/I130*100&gt;110,110,X130/I130*100),100)</f>
        <v>100</v>
      </c>
      <c r="AN130" s="618">
        <f t="shared" ref="AN130:AN141" si="506">IFERROR(IF(Y130/J130*100&gt;110,110,Y130/J130*100),100)</f>
        <v>100</v>
      </c>
      <c r="AO130" s="618">
        <f t="shared" ref="AO130:AO141" si="507">IFERROR(IF(Z130/K130*100&gt;110,110,Z130/K130*100),100)</f>
        <v>100</v>
      </c>
      <c r="AP130" s="618">
        <f t="shared" ref="AP130:AP141" si="508">IFERROR(IF(AA130/L130*100&gt;110,110,AA130/L130*100),100)</f>
        <v>100</v>
      </c>
      <c r="AQ130" s="618">
        <f t="shared" ref="AQ130:AQ141" si="509">IFERROR(IF(AB130/M130*100&gt;110,110,AB130/M130*100),100)</f>
        <v>100</v>
      </c>
      <c r="AR130" s="618">
        <f t="shared" ref="AR130:AR141" si="510">IFERROR(IF(AC130/N130*100&gt;110,110,AC130/N130*100),100)</f>
        <v>100</v>
      </c>
      <c r="AS130" s="618">
        <f t="shared" ref="AS130:AS141" si="511">IFERROR(IF(AD130/O130*100&gt;110,110,AD130/O130*100),100)</f>
        <v>100</v>
      </c>
      <c r="AT130" s="618">
        <f t="shared" ref="AT130:AT141" si="512">IFERROR(IF(AE130/P130*100&gt;110,110,AE130/P130*100),100)</f>
        <v>100</v>
      </c>
      <c r="AU130" s="618">
        <f t="shared" ref="AU130:AU141" si="513">IFERROR(IF(AF130/Q130*100&gt;110,110,AF130/Q130*100),100)</f>
        <v>100</v>
      </c>
      <c r="AV130" s="618">
        <f t="shared" ref="AV130:AV141" si="514">IFERROR(IF(AG130/R130*100&gt;110,110,AG130/R130*100),100)</f>
        <v>100</v>
      </c>
      <c r="AX130" t="str">
        <v>Success Rate Auto Dispatch Gangguan Individual (diluar Clear Tamper)</v>
      </c>
      <c r="AY130" s="105" t="s">
        <v>458</v>
      </c>
      <c r="AZ130">
        <v>1.5</v>
      </c>
      <c r="BA130" s="618">
        <f t="shared" si="383"/>
        <v>1.5</v>
      </c>
      <c r="BB130" s="618">
        <f t="shared" si="384"/>
        <v>1.5</v>
      </c>
      <c r="BC130" s="618">
        <f t="shared" si="385"/>
        <v>1.5</v>
      </c>
      <c r="BD130" s="618">
        <f t="shared" si="386"/>
        <v>1.5</v>
      </c>
      <c r="BE130" s="618">
        <f t="shared" si="387"/>
        <v>1.5</v>
      </c>
      <c r="BF130" s="618">
        <f t="shared" si="388"/>
        <v>1.5</v>
      </c>
      <c r="BG130" s="618">
        <f t="shared" si="389"/>
        <v>1.5</v>
      </c>
      <c r="BH130" s="618">
        <f t="shared" si="390"/>
        <v>1.5</v>
      </c>
      <c r="BI130" s="618">
        <f t="shared" si="391"/>
        <v>1.5</v>
      </c>
      <c r="BJ130" s="618">
        <f t="shared" si="392"/>
        <v>1.5</v>
      </c>
      <c r="BK130" s="618">
        <f t="shared" si="393"/>
        <v>1.5</v>
      </c>
      <c r="BL130" s="618">
        <f t="shared" si="394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462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503"/>
        <v>110.00000000000001</v>
      </c>
      <c r="AL131" s="618">
        <f t="shared" si="504"/>
        <v>110.00000000000001</v>
      </c>
      <c r="AM131" s="618">
        <f t="shared" si="505"/>
        <v>110.00000000000001</v>
      </c>
      <c r="AN131" s="618">
        <f t="shared" si="506"/>
        <v>110.00000000000001</v>
      </c>
      <c r="AO131" s="618">
        <f t="shared" si="507"/>
        <v>110.00000000000001</v>
      </c>
      <c r="AP131" s="618">
        <f t="shared" si="508"/>
        <v>110.00000000000001</v>
      </c>
      <c r="AQ131" s="618">
        <f t="shared" si="509"/>
        <v>110.00000000000001</v>
      </c>
      <c r="AR131" s="618">
        <f t="shared" si="510"/>
        <v>110.00000000000001</v>
      </c>
      <c r="AS131" s="618">
        <f t="shared" si="511"/>
        <v>110.00000000000001</v>
      </c>
      <c r="AT131" s="618">
        <f t="shared" si="512"/>
        <v>0</v>
      </c>
      <c r="AU131" s="618">
        <f t="shared" si="513"/>
        <v>0</v>
      </c>
      <c r="AV131" s="618">
        <f t="shared" si="514"/>
        <v>0</v>
      </c>
      <c r="AX131" t="str">
        <v>Recovery Time Gangguan Meluas TM</v>
      </c>
      <c r="AY131" s="105" t="s">
        <v>458</v>
      </c>
      <c r="AZ131">
        <v>3</v>
      </c>
      <c r="BA131" s="618">
        <f t="shared" si="383"/>
        <v>3.3</v>
      </c>
      <c r="BB131" s="618">
        <f t="shared" si="384"/>
        <v>3.3</v>
      </c>
      <c r="BC131" s="618">
        <f t="shared" si="385"/>
        <v>3.3</v>
      </c>
      <c r="BD131" s="618">
        <f t="shared" si="386"/>
        <v>3.3</v>
      </c>
      <c r="BE131" s="618">
        <f t="shared" si="387"/>
        <v>3.3</v>
      </c>
      <c r="BF131" s="618">
        <f t="shared" si="388"/>
        <v>3.3</v>
      </c>
      <c r="BG131" s="618">
        <f t="shared" si="389"/>
        <v>3.3</v>
      </c>
      <c r="BH131" s="618">
        <f t="shared" si="390"/>
        <v>3.3</v>
      </c>
      <c r="BI131" s="618">
        <f t="shared" si="391"/>
        <v>3.3</v>
      </c>
      <c r="BJ131" s="618">
        <f t="shared" si="392"/>
        <v>0</v>
      </c>
      <c r="BK131" s="618">
        <f t="shared" si="393"/>
        <v>0</v>
      </c>
      <c r="BL131" s="618">
        <f t="shared" si="394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462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503"/>
        <v>110.00000000000001</v>
      </c>
      <c r="AL132" s="618">
        <f t="shared" si="504"/>
        <v>110.00000000000001</v>
      </c>
      <c r="AM132" s="618">
        <f t="shared" si="505"/>
        <v>110.00000000000001</v>
      </c>
      <c r="AN132" s="618">
        <f t="shared" si="506"/>
        <v>110.00000000000001</v>
      </c>
      <c r="AO132" s="618">
        <f t="shared" si="507"/>
        <v>110.00000000000001</v>
      </c>
      <c r="AP132" s="618">
        <f t="shared" si="508"/>
        <v>110.00000000000001</v>
      </c>
      <c r="AQ132" s="618">
        <f t="shared" si="509"/>
        <v>110.00000000000001</v>
      </c>
      <c r="AR132" s="618">
        <f t="shared" si="510"/>
        <v>110.00000000000001</v>
      </c>
      <c r="AS132" s="618">
        <f t="shared" si="511"/>
        <v>110.00000000000001</v>
      </c>
      <c r="AT132" s="618">
        <f t="shared" si="512"/>
        <v>0</v>
      </c>
      <c r="AU132" s="618">
        <f t="shared" si="513"/>
        <v>0</v>
      </c>
      <c r="AV132" s="618">
        <f t="shared" si="514"/>
        <v>0</v>
      </c>
      <c r="AX132" t="str">
        <v>Penormalan Siaga 1 Gangguan TM</v>
      </c>
      <c r="AY132" s="105" t="s">
        <v>458</v>
      </c>
      <c r="AZ132">
        <v>3</v>
      </c>
      <c r="BA132" s="618">
        <f t="shared" si="383"/>
        <v>3.3</v>
      </c>
      <c r="BB132" s="618">
        <f t="shared" si="384"/>
        <v>3.3</v>
      </c>
      <c r="BC132" s="618">
        <f t="shared" si="385"/>
        <v>3.3</v>
      </c>
      <c r="BD132" s="618">
        <f t="shared" si="386"/>
        <v>3.3</v>
      </c>
      <c r="BE132" s="618">
        <f t="shared" si="387"/>
        <v>3.3</v>
      </c>
      <c r="BF132" s="618">
        <f t="shared" si="388"/>
        <v>3.3</v>
      </c>
      <c r="BG132" s="618">
        <f t="shared" si="389"/>
        <v>3.3</v>
      </c>
      <c r="BH132" s="618">
        <f t="shared" si="390"/>
        <v>3.3</v>
      </c>
      <c r="BI132" s="618">
        <f t="shared" si="391"/>
        <v>3.3</v>
      </c>
      <c r="BJ132" s="618">
        <f t="shared" si="392"/>
        <v>0</v>
      </c>
      <c r="BK132" s="618">
        <f t="shared" si="393"/>
        <v>0</v>
      </c>
      <c r="BL132" s="618">
        <f t="shared" si="394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462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503"/>
        <v>110</v>
      </c>
      <c r="AL133" s="618">
        <f t="shared" si="504"/>
        <v>110</v>
      </c>
      <c r="AM133" s="618">
        <f t="shared" si="505"/>
        <v>110</v>
      </c>
      <c r="AN133" s="618">
        <f t="shared" si="506"/>
        <v>110</v>
      </c>
      <c r="AO133" s="618">
        <f t="shared" si="507"/>
        <v>106.94897959183673</v>
      </c>
      <c r="AP133" s="618">
        <f t="shared" si="508"/>
        <v>94.137096774193552</v>
      </c>
      <c r="AQ133" s="618">
        <f t="shared" si="509"/>
        <v>86.60526315789474</v>
      </c>
      <c r="AR133" s="618">
        <f t="shared" si="510"/>
        <v>86.460674157303359</v>
      </c>
      <c r="AS133" s="618">
        <f t="shared" si="511"/>
        <v>83.786407766990294</v>
      </c>
      <c r="AT133" s="618">
        <f t="shared" si="512"/>
        <v>0</v>
      </c>
      <c r="AU133" s="618">
        <f t="shared" si="513"/>
        <v>0</v>
      </c>
      <c r="AV133" s="618">
        <f t="shared" si="514"/>
        <v>0</v>
      </c>
      <c r="AX133" t="str">
        <v>Penambahan Daya Tersambung</v>
      </c>
      <c r="AY133" s="105" t="s">
        <v>458</v>
      </c>
      <c r="AZ133">
        <v>3</v>
      </c>
      <c r="BA133" s="618">
        <f t="shared" si="383"/>
        <v>3.3</v>
      </c>
      <c r="BB133" s="618">
        <f t="shared" si="384"/>
        <v>3.3</v>
      </c>
      <c r="BC133" s="618">
        <f t="shared" si="385"/>
        <v>3.3</v>
      </c>
      <c r="BD133" s="618">
        <f t="shared" si="386"/>
        <v>3.3</v>
      </c>
      <c r="BE133" s="618">
        <f t="shared" si="387"/>
        <v>3.2</v>
      </c>
      <c r="BF133" s="618">
        <f t="shared" si="388"/>
        <v>2.82</v>
      </c>
      <c r="BG133" s="618">
        <f t="shared" si="389"/>
        <v>2.59</v>
      </c>
      <c r="BH133" s="618">
        <f t="shared" si="390"/>
        <v>2.59</v>
      </c>
      <c r="BI133" s="618">
        <f t="shared" si="391"/>
        <v>2.5099999999999998</v>
      </c>
      <c r="BJ133" s="618">
        <f t="shared" si="392"/>
        <v>0</v>
      </c>
      <c r="BK133" s="618">
        <f t="shared" si="393"/>
        <v>0</v>
      </c>
      <c r="BL133" s="618">
        <f t="shared" si="394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462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503"/>
        <v>110</v>
      </c>
      <c r="AL134" s="618">
        <f t="shared" si="504"/>
        <v>110</v>
      </c>
      <c r="AM134" s="618">
        <f t="shared" si="505"/>
        <v>110</v>
      </c>
      <c r="AN134" s="618">
        <f t="shared" si="506"/>
        <v>98.734177215189874</v>
      </c>
      <c r="AO134" s="618">
        <f t="shared" si="507"/>
        <v>83.333333333333343</v>
      </c>
      <c r="AP134" s="618">
        <f t="shared" si="508"/>
        <v>76.258992805755398</v>
      </c>
      <c r="AQ134" s="618">
        <f t="shared" si="509"/>
        <v>68.141592920353972</v>
      </c>
      <c r="AR134" s="618">
        <f t="shared" si="510"/>
        <v>62.5</v>
      </c>
      <c r="AS134" s="618">
        <f t="shared" si="511"/>
        <v>60.675381263616558</v>
      </c>
      <c r="AT134" s="618">
        <f t="shared" si="512"/>
        <v>0</v>
      </c>
      <c r="AU134" s="618">
        <f t="shared" si="513"/>
        <v>0</v>
      </c>
      <c r="AV134" s="618">
        <f t="shared" si="514"/>
        <v>0</v>
      </c>
      <c r="AX134" t="str">
        <v>Penambahan Jumlah Pelanggan</v>
      </c>
      <c r="AY134" s="105" t="s">
        <v>458</v>
      </c>
      <c r="AZ134">
        <v>3</v>
      </c>
      <c r="BA134" s="618">
        <f t="shared" si="383"/>
        <v>3.3</v>
      </c>
      <c r="BB134" s="618">
        <f t="shared" si="384"/>
        <v>3.3</v>
      </c>
      <c r="BC134" s="618">
        <f t="shared" si="385"/>
        <v>3.3</v>
      </c>
      <c r="BD134" s="618">
        <f t="shared" si="386"/>
        <v>2.96</v>
      </c>
      <c r="BE134" s="618">
        <f t="shared" si="387"/>
        <v>2.5</v>
      </c>
      <c r="BF134" s="618">
        <f t="shared" si="388"/>
        <v>2.2799999999999998</v>
      </c>
      <c r="BG134" s="618">
        <f t="shared" si="389"/>
        <v>2.04</v>
      </c>
      <c r="BH134" s="618">
        <f t="shared" si="390"/>
        <v>1.87</v>
      </c>
      <c r="BI134" s="618">
        <f t="shared" si="391"/>
        <v>1.82</v>
      </c>
      <c r="BJ134" s="618">
        <f t="shared" si="392"/>
        <v>0</v>
      </c>
      <c r="BK134" s="618">
        <f t="shared" si="393"/>
        <v>0</v>
      </c>
      <c r="BL134" s="618">
        <f t="shared" si="394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462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503"/>
        <v>110</v>
      </c>
      <c r="AL135" s="618">
        <f t="shared" si="504"/>
        <v>60</v>
      </c>
      <c r="AM135" s="618">
        <f t="shared" si="505"/>
        <v>75.555555555555557</v>
      </c>
      <c r="AN135" s="618">
        <f t="shared" si="506"/>
        <v>56.666666666666664</v>
      </c>
      <c r="AO135" s="618">
        <f t="shared" si="507"/>
        <v>66.666666666666657</v>
      </c>
      <c r="AP135" s="618">
        <f t="shared" si="508"/>
        <v>110.00000000000001</v>
      </c>
      <c r="AQ135" s="618">
        <f t="shared" si="509"/>
        <v>99</v>
      </c>
      <c r="AR135" s="618">
        <f t="shared" si="510"/>
        <v>110</v>
      </c>
      <c r="AS135" s="618">
        <f t="shared" si="511"/>
        <v>110</v>
      </c>
      <c r="AT135" s="618">
        <f t="shared" si="512"/>
        <v>0</v>
      </c>
      <c r="AU135" s="618">
        <f t="shared" si="513"/>
        <v>0</v>
      </c>
      <c r="AV135" s="618">
        <f t="shared" si="514"/>
        <v>0</v>
      </c>
      <c r="AX135" t="str">
        <v>Jumlah Penambahan Pelanggan Produk Tematik</v>
      </c>
      <c r="AY135" s="105" t="s">
        <v>458</v>
      </c>
      <c r="AZ135">
        <v>2</v>
      </c>
      <c r="BA135" s="618">
        <f t="shared" si="383"/>
        <v>2.2000000000000002</v>
      </c>
      <c r="BB135" s="618">
        <f t="shared" si="384"/>
        <v>1.2</v>
      </c>
      <c r="BC135" s="618">
        <f t="shared" si="385"/>
        <v>1.51</v>
      </c>
      <c r="BD135" s="618">
        <f t="shared" si="386"/>
        <v>1.1299999999999999</v>
      </c>
      <c r="BE135" s="618">
        <f t="shared" si="387"/>
        <v>1.33</v>
      </c>
      <c r="BF135" s="618">
        <f t="shared" si="388"/>
        <v>2.2000000000000002</v>
      </c>
      <c r="BG135" s="618">
        <f t="shared" si="389"/>
        <v>1.98</v>
      </c>
      <c r="BH135" s="618">
        <f t="shared" si="390"/>
        <v>2.2000000000000002</v>
      </c>
      <c r="BI135" s="618">
        <f t="shared" si="391"/>
        <v>2.2000000000000002</v>
      </c>
      <c r="BJ135" s="618">
        <f t="shared" si="392"/>
        <v>0</v>
      </c>
      <c r="BK135" s="618">
        <f t="shared" si="393"/>
        <v>0</v>
      </c>
      <c r="BL135" s="618">
        <f t="shared" si="394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462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503"/>
        <v>100</v>
      </c>
      <c r="AL136" s="618">
        <f t="shared" si="504"/>
        <v>100</v>
      </c>
      <c r="AM136" s="618">
        <f t="shared" si="505"/>
        <v>100</v>
      </c>
      <c r="AN136" s="618">
        <f t="shared" si="506"/>
        <v>100</v>
      </c>
      <c r="AO136" s="618">
        <f t="shared" si="507"/>
        <v>100</v>
      </c>
      <c r="AP136" s="618">
        <f t="shared" si="508"/>
        <v>100</v>
      </c>
      <c r="AQ136" s="618">
        <f t="shared" si="509"/>
        <v>100</v>
      </c>
      <c r="AR136" s="618">
        <f t="shared" si="510"/>
        <v>100</v>
      </c>
      <c r="AS136" s="618">
        <f t="shared" si="511"/>
        <v>100</v>
      </c>
      <c r="AT136" s="618">
        <f t="shared" si="512"/>
        <v>100</v>
      </c>
      <c r="AU136" s="618">
        <f t="shared" si="513"/>
        <v>100</v>
      </c>
      <c r="AV136" s="618">
        <f t="shared" si="514"/>
        <v>100</v>
      </c>
      <c r="AX136" t="str">
        <v>Implementasi Kesesuaian Sektor Bisnis sesuai KBLI 2020</v>
      </c>
      <c r="AY136" s="105" t="s">
        <v>458</v>
      </c>
      <c r="AZ136">
        <v>2</v>
      </c>
      <c r="BA136" s="618">
        <f t="shared" si="383"/>
        <v>2</v>
      </c>
      <c r="BB136" s="618">
        <f t="shared" si="384"/>
        <v>2</v>
      </c>
      <c r="BC136" s="618">
        <f t="shared" si="385"/>
        <v>2</v>
      </c>
      <c r="BD136" s="618">
        <f t="shared" si="386"/>
        <v>2</v>
      </c>
      <c r="BE136" s="618">
        <f t="shared" si="387"/>
        <v>2</v>
      </c>
      <c r="BF136" s="618">
        <f t="shared" si="388"/>
        <v>2</v>
      </c>
      <c r="BG136" s="618">
        <f t="shared" si="389"/>
        <v>2</v>
      </c>
      <c r="BH136" s="618">
        <f t="shared" si="390"/>
        <v>2</v>
      </c>
      <c r="BI136" s="618">
        <f t="shared" si="391"/>
        <v>2</v>
      </c>
      <c r="BJ136" s="618">
        <f t="shared" si="392"/>
        <v>2</v>
      </c>
      <c r="BK136" s="618">
        <f t="shared" si="393"/>
        <v>2</v>
      </c>
      <c r="BL136" s="618">
        <f t="shared" si="394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462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503"/>
        <v>100</v>
      </c>
      <c r="AL137" s="618">
        <f t="shared" si="504"/>
        <v>110</v>
      </c>
      <c r="AM137" s="618">
        <f t="shared" si="505"/>
        <v>110</v>
      </c>
      <c r="AN137" s="618">
        <f t="shared" si="506"/>
        <v>110</v>
      </c>
      <c r="AO137" s="618">
        <f t="shared" si="507"/>
        <v>110</v>
      </c>
      <c r="AP137" s="618">
        <f t="shared" si="508"/>
        <v>110</v>
      </c>
      <c r="AQ137" s="618">
        <f t="shared" si="509"/>
        <v>110</v>
      </c>
      <c r="AR137" s="618">
        <f t="shared" si="510"/>
        <v>110</v>
      </c>
      <c r="AS137" s="618">
        <f t="shared" si="511"/>
        <v>110</v>
      </c>
      <c r="AT137" s="618">
        <f t="shared" si="512"/>
        <v>0</v>
      </c>
      <c r="AU137" s="618">
        <f t="shared" si="513"/>
        <v>0</v>
      </c>
      <c r="AV137" s="618">
        <f t="shared" si="514"/>
        <v>0</v>
      </c>
      <c r="AX137" t="str">
        <v>Penambahan Jumlah Pelanggan Rumah Tangga Lisdes</v>
      </c>
      <c r="AY137" s="105" t="s">
        <v>458</v>
      </c>
      <c r="AZ137">
        <v>2</v>
      </c>
      <c r="BA137" s="618">
        <f t="shared" si="383"/>
        <v>2</v>
      </c>
      <c r="BB137" s="618">
        <f t="shared" si="384"/>
        <v>2.2000000000000002</v>
      </c>
      <c r="BC137" s="618">
        <f t="shared" si="385"/>
        <v>2.2000000000000002</v>
      </c>
      <c r="BD137" s="618">
        <f t="shared" si="386"/>
        <v>2.2000000000000002</v>
      </c>
      <c r="BE137" s="618">
        <f t="shared" si="387"/>
        <v>2.2000000000000002</v>
      </c>
      <c r="BF137" s="618">
        <f t="shared" si="388"/>
        <v>2.2000000000000002</v>
      </c>
      <c r="BG137" s="618">
        <f t="shared" si="389"/>
        <v>2.2000000000000002</v>
      </c>
      <c r="BH137" s="618">
        <f t="shared" si="390"/>
        <v>2.2000000000000002</v>
      </c>
      <c r="BI137" s="618">
        <f t="shared" si="391"/>
        <v>2.2000000000000002</v>
      </c>
      <c r="BJ137" s="618">
        <f t="shared" si="392"/>
        <v>0</v>
      </c>
      <c r="BK137" s="618">
        <f t="shared" si="393"/>
        <v>0</v>
      </c>
      <c r="BL137" s="618">
        <f t="shared" si="394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462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503"/>
        <v>100</v>
      </c>
      <c r="AL138" s="618">
        <f t="shared" si="504"/>
        <v>110</v>
      </c>
      <c r="AM138" s="618">
        <f t="shared" si="505"/>
        <v>110</v>
      </c>
      <c r="AN138" s="618">
        <f t="shared" si="506"/>
        <v>110</v>
      </c>
      <c r="AO138" s="618">
        <f t="shared" si="507"/>
        <v>110</v>
      </c>
      <c r="AP138" s="618">
        <f t="shared" si="508"/>
        <v>110</v>
      </c>
      <c r="AQ138" s="618">
        <f t="shared" si="509"/>
        <v>110</v>
      </c>
      <c r="AR138" s="618">
        <f t="shared" si="510"/>
        <v>110</v>
      </c>
      <c r="AS138" s="618">
        <f t="shared" si="511"/>
        <v>110</v>
      </c>
      <c r="AT138" s="618">
        <f t="shared" si="512"/>
        <v>0</v>
      </c>
      <c r="AU138" s="618">
        <f t="shared" si="513"/>
        <v>0</v>
      </c>
      <c r="AV138" s="618">
        <f t="shared" si="514"/>
        <v>0</v>
      </c>
      <c r="AX138" t="str">
        <v>Peningkatan kWh Penjualan dari Pelanggan Rumah Tangga Lisdes</v>
      </c>
      <c r="AY138" s="105" t="s">
        <v>458</v>
      </c>
      <c r="AZ138">
        <v>2</v>
      </c>
      <c r="BA138" s="618">
        <f t="shared" si="383"/>
        <v>2</v>
      </c>
      <c r="BB138" s="618">
        <f t="shared" si="384"/>
        <v>2.2000000000000002</v>
      </c>
      <c r="BC138" s="618">
        <f t="shared" si="385"/>
        <v>2.2000000000000002</v>
      </c>
      <c r="BD138" s="618">
        <f t="shared" si="386"/>
        <v>2.2000000000000002</v>
      </c>
      <c r="BE138" s="618">
        <f t="shared" si="387"/>
        <v>2.2000000000000002</v>
      </c>
      <c r="BF138" s="618">
        <f t="shared" si="388"/>
        <v>2.2000000000000002</v>
      </c>
      <c r="BG138" s="618">
        <f t="shared" si="389"/>
        <v>2.2000000000000002</v>
      </c>
      <c r="BH138" s="618">
        <f t="shared" si="390"/>
        <v>2.2000000000000002</v>
      </c>
      <c r="BI138" s="618">
        <f t="shared" si="391"/>
        <v>2.2000000000000002</v>
      </c>
      <c r="BJ138" s="618">
        <f t="shared" si="392"/>
        <v>0</v>
      </c>
      <c r="BK138" s="618">
        <f t="shared" si="393"/>
        <v>0</v>
      </c>
      <c r="BL138" s="618">
        <f t="shared" si="394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462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503"/>
        <v>110</v>
      </c>
      <c r="AL139" s="618">
        <f t="shared" si="504"/>
        <v>110</v>
      </c>
      <c r="AM139" s="618">
        <f t="shared" si="505"/>
        <v>110</v>
      </c>
      <c r="AN139" s="618">
        <f t="shared" si="506"/>
        <v>110</v>
      </c>
      <c r="AO139" s="618">
        <f t="shared" si="507"/>
        <v>110</v>
      </c>
      <c r="AP139" s="618">
        <f t="shared" si="508"/>
        <v>110</v>
      </c>
      <c r="AQ139" s="618">
        <f t="shared" si="509"/>
        <v>110</v>
      </c>
      <c r="AR139" s="618">
        <f t="shared" si="510"/>
        <v>110</v>
      </c>
      <c r="AS139" s="618">
        <f t="shared" si="511"/>
        <v>110</v>
      </c>
      <c r="AT139" s="618">
        <f t="shared" si="512"/>
        <v>110</v>
      </c>
      <c r="AU139" s="618">
        <f t="shared" si="513"/>
        <v>110</v>
      </c>
      <c r="AV139" s="618">
        <f t="shared" si="514"/>
        <v>110</v>
      </c>
      <c r="AX139" t="str">
        <v>Jumlah Pengguna Swa Cam</v>
      </c>
      <c r="AY139" s="105" t="s">
        <v>458</v>
      </c>
      <c r="AZ139">
        <v>4</v>
      </c>
      <c r="BA139" s="618">
        <f t="shared" si="383"/>
        <v>4.4000000000000004</v>
      </c>
      <c r="BB139" s="618">
        <f t="shared" si="384"/>
        <v>4.4000000000000004</v>
      </c>
      <c r="BC139" s="618">
        <f t="shared" si="385"/>
        <v>4.4000000000000004</v>
      </c>
      <c r="BD139" s="618">
        <f t="shared" si="386"/>
        <v>4.4000000000000004</v>
      </c>
      <c r="BE139" s="618">
        <f t="shared" si="387"/>
        <v>4.4000000000000004</v>
      </c>
      <c r="BF139" s="618">
        <f t="shared" si="388"/>
        <v>4.4000000000000004</v>
      </c>
      <c r="BG139" s="618">
        <f t="shared" si="389"/>
        <v>4.4000000000000004</v>
      </c>
      <c r="BH139" s="618">
        <f t="shared" si="390"/>
        <v>4.4000000000000004</v>
      </c>
      <c r="BI139" s="618">
        <f t="shared" si="391"/>
        <v>4.4000000000000004</v>
      </c>
      <c r="BJ139" s="618">
        <f t="shared" si="392"/>
        <v>4.4000000000000004</v>
      </c>
      <c r="BK139" s="618">
        <f t="shared" si="393"/>
        <v>4.4000000000000004</v>
      </c>
      <c r="BL139" s="618">
        <f t="shared" si="394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462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503"/>
        <v>100</v>
      </c>
      <c r="AL140" s="618">
        <f t="shared" si="504"/>
        <v>100</v>
      </c>
      <c r="AM140" s="618">
        <f t="shared" si="505"/>
        <v>100</v>
      </c>
      <c r="AN140" s="618">
        <f t="shared" si="506"/>
        <v>100</v>
      </c>
      <c r="AO140" s="618">
        <f t="shared" si="507"/>
        <v>100</v>
      </c>
      <c r="AP140" s="618">
        <f t="shared" si="508"/>
        <v>100</v>
      </c>
      <c r="AQ140" s="618">
        <f t="shared" si="509"/>
        <v>100</v>
      </c>
      <c r="AR140" s="618">
        <f t="shared" si="510"/>
        <v>100</v>
      </c>
      <c r="AS140" s="618">
        <f t="shared" si="511"/>
        <v>100</v>
      </c>
      <c r="AT140" s="618">
        <f t="shared" si="512"/>
        <v>100</v>
      </c>
      <c r="AU140" s="618">
        <f t="shared" si="513"/>
        <v>100</v>
      </c>
      <c r="AV140" s="618">
        <f t="shared" si="514"/>
        <v>100</v>
      </c>
      <c r="AX140" t="str">
        <v>Tindak Lanjut LBKB (Laporan Bulanan Kelainan Baca Meter)</v>
      </c>
      <c r="AY140" s="105" t="s">
        <v>458</v>
      </c>
      <c r="AZ140">
        <v>4</v>
      </c>
      <c r="BA140" s="618">
        <f t="shared" si="383"/>
        <v>4</v>
      </c>
      <c r="BB140" s="618">
        <f t="shared" si="384"/>
        <v>4</v>
      </c>
      <c r="BC140" s="618">
        <f t="shared" si="385"/>
        <v>4</v>
      </c>
      <c r="BD140" s="618">
        <f t="shared" si="386"/>
        <v>4</v>
      </c>
      <c r="BE140" s="618">
        <f t="shared" si="387"/>
        <v>4</v>
      </c>
      <c r="BF140" s="618">
        <f t="shared" si="388"/>
        <v>4</v>
      </c>
      <c r="BG140" s="618">
        <f t="shared" si="389"/>
        <v>4</v>
      </c>
      <c r="BH140" s="618">
        <f t="shared" si="390"/>
        <v>4</v>
      </c>
      <c r="BI140" s="618">
        <f t="shared" si="391"/>
        <v>4</v>
      </c>
      <c r="BJ140" s="618">
        <f t="shared" si="392"/>
        <v>4</v>
      </c>
      <c r="BK140" s="618">
        <f t="shared" si="393"/>
        <v>4</v>
      </c>
      <c r="BL140" s="618">
        <f t="shared" si="394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462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503"/>
        <v>100</v>
      </c>
      <c r="AL141" s="618">
        <f t="shared" si="504"/>
        <v>100</v>
      </c>
      <c r="AM141" s="618">
        <f t="shared" si="505"/>
        <v>100</v>
      </c>
      <c r="AN141" s="618">
        <f t="shared" si="506"/>
        <v>100</v>
      </c>
      <c r="AO141" s="618">
        <f t="shared" si="507"/>
        <v>100</v>
      </c>
      <c r="AP141" s="618">
        <f t="shared" si="508"/>
        <v>100</v>
      </c>
      <c r="AQ141" s="618">
        <f t="shared" si="509"/>
        <v>100</v>
      </c>
      <c r="AR141" s="618">
        <f t="shared" si="510"/>
        <v>100</v>
      </c>
      <c r="AS141" s="618">
        <f t="shared" si="511"/>
        <v>100</v>
      </c>
      <c r="AT141" s="618">
        <f t="shared" si="512"/>
        <v>100</v>
      </c>
      <c r="AU141" s="618">
        <f t="shared" si="513"/>
        <v>100</v>
      </c>
      <c r="AV141" s="618">
        <f t="shared" si="514"/>
        <v>100</v>
      </c>
      <c r="AX141" t="str">
        <v>Sisa Stand Bongkar Migrasi</v>
      </c>
      <c r="AY141" s="105" t="s">
        <v>458</v>
      </c>
      <c r="AZ141">
        <v>3</v>
      </c>
      <c r="BA141" s="618">
        <f t="shared" si="383"/>
        <v>3</v>
      </c>
      <c r="BB141" s="618">
        <f t="shared" si="384"/>
        <v>3</v>
      </c>
      <c r="BC141" s="618">
        <f t="shared" si="385"/>
        <v>3</v>
      </c>
      <c r="BD141" s="618">
        <f t="shared" si="386"/>
        <v>3</v>
      </c>
      <c r="BE141" s="618">
        <f t="shared" si="387"/>
        <v>3</v>
      </c>
      <c r="BF141" s="618">
        <f t="shared" si="388"/>
        <v>3</v>
      </c>
      <c r="BG141" s="618">
        <f t="shared" si="389"/>
        <v>3</v>
      </c>
      <c r="BH141" s="618">
        <f t="shared" si="390"/>
        <v>3</v>
      </c>
      <c r="BI141" s="618">
        <f t="shared" si="391"/>
        <v>3</v>
      </c>
      <c r="BJ141" s="618">
        <f t="shared" si="392"/>
        <v>3</v>
      </c>
      <c r="BK141" s="618">
        <f t="shared" si="393"/>
        <v>3</v>
      </c>
      <c r="BL141" s="618">
        <f t="shared" si="394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462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515">IFERROR(IF((2-(V142/G142))*100&gt;110,110,(2-(V142/G142))*100),100)</f>
        <v>110</v>
      </c>
      <c r="AL142" s="618">
        <f t="shared" ref="AL142:AL143" si="516">IFERROR(IF((2-(W142/H142))*100&gt;110,110,(2-(W142/H142))*100),100)</f>
        <v>110</v>
      </c>
      <c r="AM142" s="618">
        <f t="shared" ref="AM142:AM143" si="517">IFERROR(IF((2-(X142/I142))*100&gt;110,110,(2-(X142/I142))*100),100)</f>
        <v>110</v>
      </c>
      <c r="AN142" s="618">
        <f t="shared" ref="AN142:AN143" si="518">IFERROR(IF((2-(Y142/J142))*100&gt;110,110,(2-(Y142/J142))*100),100)</f>
        <v>110</v>
      </c>
      <c r="AO142" s="618">
        <f t="shared" ref="AO142:AO143" si="519">IFERROR(IF((2-(Z142/K142))*100&gt;110,110,(2-(Z142/K142))*100),100)</f>
        <v>110</v>
      </c>
      <c r="AP142" s="618">
        <f t="shared" ref="AP142:AP143" si="520">IFERROR(IF((2-(AA142/L142))*100&gt;110,110,(2-(AA142/L142))*100),100)</f>
        <v>110</v>
      </c>
      <c r="AQ142" s="618">
        <f t="shared" ref="AQ142:AQ143" si="521">IFERROR(IF((2-(AB142/M142))*100&gt;110,110,(2-(AB142/M142))*100),100)</f>
        <v>110</v>
      </c>
      <c r="AR142" s="618">
        <f t="shared" ref="AR142:AR143" si="522">IFERROR(IF((2-(AC142/N142))*100&gt;110,110,(2-(AC142/N142))*100),100)</f>
        <v>110</v>
      </c>
      <c r="AS142" s="618">
        <f t="shared" ref="AS142:AS143" si="523">IFERROR(IF((2-(AD142/O142))*100&gt;110,110,(2-(AD142/O142))*100),100)</f>
        <v>110</v>
      </c>
      <c r="AT142" s="618">
        <f t="shared" ref="AT142:AT143" si="524">IFERROR(IF((2-(AE142/P142))*100&gt;110,110,(2-(AE142/P142))*100),100)</f>
        <v>110</v>
      </c>
      <c r="AU142" s="618">
        <f t="shared" ref="AU142:AU143" si="525">IFERROR(IF((2-(AF142/Q142))*100&gt;110,110,(2-(AF142/Q142))*100),100)</f>
        <v>110</v>
      </c>
      <c r="AV142" s="618">
        <f t="shared" ref="AV142:AV143" si="526">IFERROR(IF((2-(AG142/R142))*100&gt;110,110,(2-(AG142/R142))*100),100)</f>
        <v>110</v>
      </c>
      <c r="AX142" t="str">
        <v>Persentase Rata-Rata Saldo Tanggal 20 Non Kogol 1 dan Non Kogol 2</v>
      </c>
      <c r="AY142" s="105" t="s">
        <v>458</v>
      </c>
      <c r="AZ142">
        <v>3</v>
      </c>
      <c r="BA142" s="618">
        <f t="shared" si="383"/>
        <v>3.3</v>
      </c>
      <c r="BB142" s="618">
        <f t="shared" si="384"/>
        <v>3.3</v>
      </c>
      <c r="BC142" s="618">
        <f t="shared" si="385"/>
        <v>3.3</v>
      </c>
      <c r="BD142" s="618">
        <f t="shared" si="386"/>
        <v>3.3</v>
      </c>
      <c r="BE142" s="618">
        <f t="shared" si="387"/>
        <v>3.3</v>
      </c>
      <c r="BF142" s="618">
        <f t="shared" si="388"/>
        <v>3.3</v>
      </c>
      <c r="BG142" s="618">
        <f t="shared" si="389"/>
        <v>3.3</v>
      </c>
      <c r="BH142" s="618">
        <f t="shared" si="390"/>
        <v>3.3</v>
      </c>
      <c r="BI142" s="618">
        <f t="shared" si="391"/>
        <v>3.3</v>
      </c>
      <c r="BJ142" s="618">
        <f t="shared" si="392"/>
        <v>3.3</v>
      </c>
      <c r="BK142" s="618">
        <f t="shared" si="393"/>
        <v>3.3</v>
      </c>
      <c r="BL142" s="618">
        <f t="shared" si="394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462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515"/>
        <v>110</v>
      </c>
      <c r="AL143" s="618">
        <f t="shared" si="516"/>
        <v>110</v>
      </c>
      <c r="AM143" s="618">
        <f t="shared" si="517"/>
        <v>110</v>
      </c>
      <c r="AN143" s="618">
        <f t="shared" si="518"/>
        <v>110</v>
      </c>
      <c r="AO143" s="618">
        <f t="shared" si="519"/>
        <v>110</v>
      </c>
      <c r="AP143" s="618">
        <f t="shared" si="520"/>
        <v>110</v>
      </c>
      <c r="AQ143" s="618">
        <f t="shared" si="521"/>
        <v>110</v>
      </c>
      <c r="AR143" s="618">
        <f t="shared" si="522"/>
        <v>110</v>
      </c>
      <c r="AS143" s="618">
        <f t="shared" si="523"/>
        <v>110</v>
      </c>
      <c r="AT143" s="618">
        <f t="shared" si="524"/>
        <v>110</v>
      </c>
      <c r="AU143" s="618">
        <f t="shared" si="525"/>
        <v>110</v>
      </c>
      <c r="AV143" s="618">
        <f t="shared" si="526"/>
        <v>110</v>
      </c>
      <c r="AX143" t="str">
        <v>Pencapaian Saldo Rata-Rata Akhir Bulan Non Kogol 1 dan Non Kogol 2</v>
      </c>
      <c r="AY143" s="105" t="s">
        <v>458</v>
      </c>
      <c r="AZ143">
        <v>3</v>
      </c>
      <c r="BA143" s="618">
        <f t="shared" si="383"/>
        <v>3.3</v>
      </c>
      <c r="BB143" s="618">
        <f t="shared" si="384"/>
        <v>3.3</v>
      </c>
      <c r="BC143" s="618">
        <f t="shared" si="385"/>
        <v>3.3</v>
      </c>
      <c r="BD143" s="618">
        <f t="shared" si="386"/>
        <v>3.3</v>
      </c>
      <c r="BE143" s="618">
        <f t="shared" si="387"/>
        <v>3.3</v>
      </c>
      <c r="BF143" s="618">
        <f t="shared" si="388"/>
        <v>3.3</v>
      </c>
      <c r="BG143" s="618">
        <f t="shared" si="389"/>
        <v>3.3</v>
      </c>
      <c r="BH143" s="618">
        <f t="shared" si="390"/>
        <v>3.3</v>
      </c>
      <c r="BI143" s="618">
        <f t="shared" si="391"/>
        <v>3.3</v>
      </c>
      <c r="BJ143" s="618">
        <f t="shared" si="392"/>
        <v>3.3</v>
      </c>
      <c r="BK143" s="618">
        <f t="shared" si="393"/>
        <v>3.3</v>
      </c>
      <c r="BL143" s="618">
        <f t="shared" si="394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462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27">IFERROR(IF(V144/G144*100&gt;110,110,V144/G144*100),100)</f>
        <v>100</v>
      </c>
      <c r="AL144" s="618">
        <f t="shared" ref="AL144" si="528">IFERROR(IF(W144/H144*100&gt;110,110,W144/H144*100),100)</f>
        <v>100</v>
      </c>
      <c r="AM144" s="618">
        <f t="shared" ref="AM144" si="529">IFERROR(IF(X144/I144*100&gt;110,110,X144/I144*100),100)</f>
        <v>100</v>
      </c>
      <c r="AN144" s="618">
        <f t="shared" ref="AN144" si="530">IFERROR(IF(Y144/J144*100&gt;110,110,Y144/J144*100),100)</f>
        <v>100</v>
      </c>
      <c r="AO144" s="618">
        <f t="shared" ref="AO144" si="531">IFERROR(IF(Z144/K144*100&gt;110,110,Z144/K144*100),100)</f>
        <v>100</v>
      </c>
      <c r="AP144" s="618">
        <f t="shared" ref="AP144" si="532">IFERROR(IF(AA144/L144*100&gt;110,110,AA144/L144*100),100)</f>
        <v>100</v>
      </c>
      <c r="AQ144" s="618">
        <f t="shared" ref="AQ144" si="533">IFERROR(IF(AB144/M144*100&gt;110,110,AB144/M144*100),100)</f>
        <v>100</v>
      </c>
      <c r="AR144" s="618">
        <f t="shared" ref="AR144" si="534">IFERROR(IF(AC144/N144*100&gt;110,110,AC144/N144*100),100)</f>
        <v>100</v>
      </c>
      <c r="AS144" s="618">
        <f t="shared" ref="AS144" si="535">IFERROR(IF(AD144/O144*100&gt;110,110,AD144/O144*100),100)</f>
        <v>100</v>
      </c>
      <c r="AT144" s="618">
        <f t="shared" ref="AT144" si="536">IFERROR(IF(AE144/P144*100&gt;110,110,AE144/P144*100),100)</f>
        <v>100</v>
      </c>
      <c r="AU144" s="618">
        <f t="shared" ref="AU144" si="537">IFERROR(IF(AF144/Q144*100&gt;110,110,AF144/Q144*100),100)</f>
        <v>100</v>
      </c>
      <c r="AV144" s="618">
        <f t="shared" ref="AV144" si="538">IFERROR(IF(AG144/R144*100&gt;110,110,AG144/R144*100),100)</f>
        <v>100</v>
      </c>
      <c r="AX144" t="str">
        <v>Pencapaian Pelunasan PRR</v>
      </c>
      <c r="AY144" s="105" t="s">
        <v>458</v>
      </c>
      <c r="AZ144">
        <v>3</v>
      </c>
      <c r="BA144" s="618">
        <f t="shared" si="383"/>
        <v>3</v>
      </c>
      <c r="BB144" s="618">
        <f t="shared" si="384"/>
        <v>3</v>
      </c>
      <c r="BC144" s="618">
        <f t="shared" si="385"/>
        <v>3</v>
      </c>
      <c r="BD144" s="618">
        <f t="shared" si="386"/>
        <v>3</v>
      </c>
      <c r="BE144" s="618">
        <f t="shared" si="387"/>
        <v>3</v>
      </c>
      <c r="BF144" s="618">
        <f t="shared" si="388"/>
        <v>3</v>
      </c>
      <c r="BG144" s="618">
        <f t="shared" si="389"/>
        <v>3</v>
      </c>
      <c r="BH144" s="618">
        <f t="shared" si="390"/>
        <v>3</v>
      </c>
      <c r="BI144" s="618">
        <f t="shared" si="391"/>
        <v>3</v>
      </c>
      <c r="BJ144" s="618">
        <f t="shared" si="392"/>
        <v>3</v>
      </c>
      <c r="BK144" s="618">
        <f t="shared" si="393"/>
        <v>3</v>
      </c>
      <c r="BL144" s="618">
        <f t="shared" si="394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0" t="s">
        <v>3</v>
      </c>
      <c r="B155" s="750"/>
      <c r="C155" s="750"/>
      <c r="D155" s="750"/>
    </row>
    <row r="156" spans="1:64">
      <c r="A156" s="750"/>
      <c r="B156" s="750"/>
      <c r="C156" s="750"/>
      <c r="D156" s="750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0"/>
      <c r="B157" s="750"/>
      <c r="C157" s="750"/>
      <c r="D157" s="750"/>
      <c r="AZ157" t="s">
        <v>254</v>
      </c>
      <c r="BA157" s="625">
        <f>SUM(BA160:BA189)</f>
        <v>90.710000000000008</v>
      </c>
      <c r="BB157" s="625">
        <f t="shared" ref="BB157:BI157" si="539">SUM(BB160:BB189)</f>
        <v>95.410000000000011</v>
      </c>
      <c r="BC157" s="625">
        <f t="shared" si="539"/>
        <v>96.85</v>
      </c>
      <c r="BD157" s="625">
        <f t="shared" si="539"/>
        <v>97.36999999999999</v>
      </c>
      <c r="BE157" s="625">
        <f t="shared" si="539"/>
        <v>97.8</v>
      </c>
      <c r="BF157" s="625">
        <f t="shared" si="539"/>
        <v>98.800000000000011</v>
      </c>
      <c r="BG157" s="625">
        <f t="shared" si="539"/>
        <v>98.88</v>
      </c>
      <c r="BH157" s="625">
        <f t="shared" si="539"/>
        <v>98.95</v>
      </c>
      <c r="BI157" s="625">
        <f t="shared" si="539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454</v>
      </c>
      <c r="B159" t="s">
        <v>455</v>
      </c>
      <c r="C159" t="s">
        <v>456</v>
      </c>
      <c r="E159" s="21" t="s">
        <v>457</v>
      </c>
      <c r="G159" s="616">
        <f>DATE(2025,G158+1,0)</f>
        <v>45688</v>
      </c>
      <c r="H159" s="616">
        <f t="shared" ref="H159:R159" si="540">DATE(2025,H158+1,0)</f>
        <v>45716</v>
      </c>
      <c r="I159" s="616">
        <f t="shared" si="540"/>
        <v>45747</v>
      </c>
      <c r="J159" s="616">
        <f t="shared" si="540"/>
        <v>45777</v>
      </c>
      <c r="K159" s="616">
        <f t="shared" si="540"/>
        <v>45808</v>
      </c>
      <c r="L159" s="616">
        <f t="shared" si="540"/>
        <v>45838</v>
      </c>
      <c r="M159" s="616">
        <f t="shared" si="540"/>
        <v>45869</v>
      </c>
      <c r="N159" s="616">
        <f t="shared" si="540"/>
        <v>45900</v>
      </c>
      <c r="O159" s="616">
        <f t="shared" si="540"/>
        <v>45930</v>
      </c>
      <c r="P159" s="616">
        <f t="shared" si="540"/>
        <v>45961</v>
      </c>
      <c r="Q159" s="616">
        <f t="shared" si="540"/>
        <v>45991</v>
      </c>
      <c r="R159" s="616">
        <f t="shared" si="540"/>
        <v>46022</v>
      </c>
      <c r="T159" s="21" t="s">
        <v>457</v>
      </c>
      <c r="V159" s="616">
        <f>DATE(2025,V158+1,0)</f>
        <v>45688</v>
      </c>
      <c r="W159" s="616">
        <f t="shared" ref="W159:AG159" si="541">DATE(2025,W158+1,0)</f>
        <v>45716</v>
      </c>
      <c r="X159" s="616">
        <f t="shared" si="541"/>
        <v>45747</v>
      </c>
      <c r="Y159" s="616">
        <f t="shared" si="541"/>
        <v>45777</v>
      </c>
      <c r="Z159" s="616">
        <f t="shared" si="541"/>
        <v>45808</v>
      </c>
      <c r="AA159" s="616">
        <f t="shared" si="541"/>
        <v>45838</v>
      </c>
      <c r="AB159" s="616">
        <f t="shared" si="541"/>
        <v>45869</v>
      </c>
      <c r="AC159" s="616">
        <f t="shared" si="541"/>
        <v>45900</v>
      </c>
      <c r="AD159" s="616">
        <f t="shared" si="541"/>
        <v>45930</v>
      </c>
      <c r="AE159" s="616">
        <f t="shared" si="541"/>
        <v>45961</v>
      </c>
      <c r="AF159" s="616">
        <f t="shared" si="541"/>
        <v>45991</v>
      </c>
      <c r="AG159" s="616">
        <f t="shared" si="541"/>
        <v>46022</v>
      </c>
      <c r="AI159" s="21" t="s">
        <v>457</v>
      </c>
      <c r="AK159" s="616">
        <f>DATE(2025,AK158+1,0)</f>
        <v>45688</v>
      </c>
      <c r="AL159" s="616">
        <f t="shared" ref="AL159:AV159" si="542">DATE(2025,AL158+1,0)</f>
        <v>45716</v>
      </c>
      <c r="AM159" s="616">
        <f t="shared" si="542"/>
        <v>45747</v>
      </c>
      <c r="AN159" s="616">
        <f t="shared" si="542"/>
        <v>45777</v>
      </c>
      <c r="AO159" s="616">
        <f t="shared" si="542"/>
        <v>45808</v>
      </c>
      <c r="AP159" s="616">
        <f t="shared" si="542"/>
        <v>45838</v>
      </c>
      <c r="AQ159" s="616">
        <f t="shared" si="542"/>
        <v>45869</v>
      </c>
      <c r="AR159" s="616">
        <f t="shared" si="542"/>
        <v>45900</v>
      </c>
      <c r="AS159" s="616">
        <f t="shared" si="542"/>
        <v>45930</v>
      </c>
      <c r="AT159" s="616">
        <f t="shared" si="542"/>
        <v>45961</v>
      </c>
      <c r="AU159" s="616">
        <f t="shared" si="542"/>
        <v>45991</v>
      </c>
      <c r="AV159" s="616">
        <f t="shared" si="542"/>
        <v>46022</v>
      </c>
      <c r="AX159" s="21" t="s">
        <v>457</v>
      </c>
      <c r="BA159" s="616">
        <f>DATE(2025,BA158+1,0)</f>
        <v>45688</v>
      </c>
      <c r="BB159" s="616">
        <f t="shared" ref="BB159:BL159" si="543">DATE(2025,BB158+1,0)</f>
        <v>45716</v>
      </c>
      <c r="BC159" s="616">
        <f t="shared" si="543"/>
        <v>45747</v>
      </c>
      <c r="BD159" s="616">
        <f t="shared" si="543"/>
        <v>45777</v>
      </c>
      <c r="BE159" s="616">
        <f t="shared" si="543"/>
        <v>45808</v>
      </c>
      <c r="BF159" s="616">
        <f t="shared" si="543"/>
        <v>45838</v>
      </c>
      <c r="BG159" s="616">
        <f t="shared" si="543"/>
        <v>45869</v>
      </c>
      <c r="BH159" s="616">
        <f t="shared" si="543"/>
        <v>45900</v>
      </c>
      <c r="BI159" s="616">
        <f t="shared" si="543"/>
        <v>45930</v>
      </c>
      <c r="BJ159" s="616">
        <f t="shared" si="543"/>
        <v>45961</v>
      </c>
      <c r="BK159" s="616">
        <f t="shared" si="543"/>
        <v>45991</v>
      </c>
      <c r="BL159" s="616">
        <f t="shared" si="543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462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44">IF(W160/H160*100&gt;110,110,W160/H160*100)</f>
        <v>110</v>
      </c>
      <c r="AM160" s="618">
        <f t="shared" ref="AM160" si="545">IF(X160/I160*100&gt;110,110,X160/I160*100)</f>
        <v>105.50261321400779</v>
      </c>
      <c r="AN160" s="618">
        <f t="shared" ref="AN160" si="546">IF(Y160/J160*100&gt;110,110,Y160/J160*100)</f>
        <v>100.47862567944253</v>
      </c>
      <c r="AO160" s="618">
        <f t="shared" ref="AO160" si="547">IF(Z160/K160*100&gt;110,110,Z160/K160*100)</f>
        <v>98.727816626728114</v>
      </c>
      <c r="AP160" s="618">
        <f t="shared" ref="AP160" si="548">IF(AA160/L160*100&gt;110,110,AA160/L160*100)</f>
        <v>99.101575034722217</v>
      </c>
      <c r="AQ160" s="618">
        <f t="shared" ref="AQ160" si="549">IF(AB160/M160*100&gt;110,110,AB160/M160*100)</f>
        <v>99.339227026490079</v>
      </c>
      <c r="AR160" s="618">
        <f t="shared" ref="AR160" si="550">IF(AC160/N160*100&gt;110,110,AC160/N160*100)</f>
        <v>99.653571055523443</v>
      </c>
      <c r="AS160" s="618">
        <f t="shared" ref="AS160" si="551">IF(AD160/O160*100&gt;110,110,AD160/O160*100)</f>
        <v>99.515906928992578</v>
      </c>
      <c r="AT160" s="618">
        <f t="shared" ref="AT160" si="552">IF(AE160/P160*100&gt;110,110,AE160/P160*100)</f>
        <v>0</v>
      </c>
      <c r="AU160" s="618">
        <f t="shared" ref="AU160" si="553">IF(AF160/Q160*100&gt;110,110,AF160/Q160*100)</f>
        <v>0</v>
      </c>
      <c r="AV160" s="618">
        <f t="shared" ref="AV160" si="554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458</v>
      </c>
      <c r="AZ160">
        <v>14</v>
      </c>
      <c r="BA160" s="618">
        <f t="shared" ref="BA160:BA189" si="555">ROUNDDOWN(AK160/100*$AZ160,2)</f>
        <v>15.4</v>
      </c>
      <c r="BB160" s="618">
        <f t="shared" ref="BB160:BB189" si="556">ROUNDDOWN(AL160/100*$AZ160,2)</f>
        <v>15.4</v>
      </c>
      <c r="BC160" s="618">
        <f t="shared" ref="BC160:BC189" si="557">ROUNDDOWN(AM160/100*$AZ160,2)</f>
        <v>14.77</v>
      </c>
      <c r="BD160" s="618">
        <f t="shared" ref="BD160:BD189" si="558">ROUNDDOWN(AN160/100*$AZ160,2)</f>
        <v>14.06</v>
      </c>
      <c r="BE160" s="618">
        <f t="shared" ref="BE160:BE189" si="559">ROUNDDOWN(AO160/100*$AZ160,2)</f>
        <v>13.82</v>
      </c>
      <c r="BF160" s="618">
        <f t="shared" ref="BF160:BF189" si="560">ROUNDDOWN(AP160/100*$AZ160,2)</f>
        <v>13.87</v>
      </c>
      <c r="BG160" s="618">
        <f t="shared" ref="BG160:BG189" si="561">ROUNDDOWN(AQ160/100*$AZ160,2)</f>
        <v>13.9</v>
      </c>
      <c r="BH160" s="618">
        <f t="shared" ref="BH160:BH189" si="562">ROUNDDOWN(AR160/100*$AZ160,2)</f>
        <v>13.95</v>
      </c>
      <c r="BI160" s="618">
        <f t="shared" ref="BI160:BI189" si="563">ROUNDDOWN(AS160/100*$AZ160,2)</f>
        <v>13.93</v>
      </c>
      <c r="BJ160" s="618">
        <f t="shared" ref="BJ160:BJ189" si="564">ROUNDDOWN(AT160/100*$AZ160,2)</f>
        <v>0</v>
      </c>
      <c r="BK160" s="618">
        <f t="shared" ref="BK160:BK189" si="565">ROUNDDOWN(AU160/100*$AZ160,2)</f>
        <v>0</v>
      </c>
      <c r="BL160" s="618">
        <f t="shared" ref="BL160:BL189" si="566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462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67">IF((2-(V161/G161))*100&gt;110,110,(2-(V161/G161))*100)</f>
        <v>95.376486832044009</v>
      </c>
      <c r="AL161" s="618">
        <f t="shared" ref="AL161:AL162" si="568">IF((2-(W161/H161))*100&gt;110,110,(2-(W161/H161))*100)</f>
        <v>110</v>
      </c>
      <c r="AM161" s="618">
        <f t="shared" ref="AM161:AM162" si="569">IF((2-(X161/I161))*100&gt;110,110,(2-(X161/I161))*100)</f>
        <v>110</v>
      </c>
      <c r="AN161" s="618">
        <f t="shared" ref="AN161:AN162" si="570">IF((2-(Y161/J161))*100&gt;110,110,(2-(Y161/J161))*100)</f>
        <v>110</v>
      </c>
      <c r="AO161" s="618">
        <f t="shared" ref="AO161:AO162" si="571">IF((2-(Z161/K161))*100&gt;110,110,(2-(Z161/K161))*100)</f>
        <v>110</v>
      </c>
      <c r="AP161" s="618">
        <f t="shared" ref="AP161:AP162" si="572">IF((2-(AA161/L161))*100&gt;110,110,(2-(AA161/L161))*100)</f>
        <v>110</v>
      </c>
      <c r="AQ161" s="618">
        <f t="shared" ref="AQ161:AQ162" si="573">IF((2-(AB161/M161))*100&gt;110,110,(2-(AB161/M161))*100)</f>
        <v>110</v>
      </c>
      <c r="AR161" s="618">
        <f t="shared" ref="AR161:AR162" si="574">IF((2-(AC161/N161))*100&gt;110,110,(2-(AC161/N161))*100)</f>
        <v>110</v>
      </c>
      <c r="AS161" s="618">
        <f t="shared" ref="AS161:AS162" si="575">IF((2-(AD161/O161))*100&gt;110,110,(2-(AD161/O161))*100)</f>
        <v>110</v>
      </c>
      <c r="AT161" s="618">
        <f t="shared" ref="AT161:AT162" si="576">IF((2-(AE161/P161))*100&gt;110,110,(2-(AE161/P161))*100)</f>
        <v>110</v>
      </c>
      <c r="AU161" s="618">
        <f t="shared" ref="AU161:AU162" si="577">IF((2-(AF161/Q161))*100&gt;110,110,(2-(AF161/Q161))*100)</f>
        <v>110</v>
      </c>
      <c r="AV161" s="618">
        <f t="shared" ref="AV161:AV162" si="578">IF((2-(AG161/R161))*100&gt;110,110,(2-(AG161/R161))*100)</f>
        <v>110</v>
      </c>
      <c r="AX161" t="str">
        <v>SAIDI (sesuai kewenangan)</v>
      </c>
      <c r="AY161" s="105" t="s">
        <v>458</v>
      </c>
      <c r="AZ161">
        <v>6</v>
      </c>
      <c r="BA161" s="618">
        <f t="shared" si="555"/>
        <v>5.72</v>
      </c>
      <c r="BB161" s="618">
        <f t="shared" si="556"/>
        <v>6.6</v>
      </c>
      <c r="BC161" s="618">
        <f t="shared" si="557"/>
        <v>6.6</v>
      </c>
      <c r="BD161" s="618">
        <f t="shared" si="558"/>
        <v>6.6</v>
      </c>
      <c r="BE161" s="618">
        <f t="shared" si="559"/>
        <v>6.6</v>
      </c>
      <c r="BF161" s="618">
        <f t="shared" si="560"/>
        <v>6.6</v>
      </c>
      <c r="BG161" s="618">
        <f t="shared" si="561"/>
        <v>6.6</v>
      </c>
      <c r="BH161" s="618">
        <f t="shared" si="562"/>
        <v>6.6</v>
      </c>
      <c r="BI161" s="618">
        <f t="shared" si="563"/>
        <v>6.6</v>
      </c>
      <c r="BJ161" s="618">
        <f t="shared" si="564"/>
        <v>6.6</v>
      </c>
      <c r="BK161" s="618">
        <f t="shared" si="565"/>
        <v>6.6</v>
      </c>
      <c r="BL161" s="618">
        <f t="shared" si="566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462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67"/>
        <v>78.461387194096432</v>
      </c>
      <c r="AL162" s="618">
        <f t="shared" si="568"/>
        <v>110</v>
      </c>
      <c r="AM162" s="618">
        <f t="shared" si="569"/>
        <v>110</v>
      </c>
      <c r="AN162" s="618">
        <f t="shared" si="570"/>
        <v>110</v>
      </c>
      <c r="AO162" s="618">
        <f t="shared" si="571"/>
        <v>110</v>
      </c>
      <c r="AP162" s="618">
        <f t="shared" si="572"/>
        <v>110</v>
      </c>
      <c r="AQ162" s="618">
        <f t="shared" si="573"/>
        <v>110</v>
      </c>
      <c r="AR162" s="618">
        <f t="shared" si="574"/>
        <v>110</v>
      </c>
      <c r="AS162" s="618">
        <f t="shared" si="575"/>
        <v>110</v>
      </c>
      <c r="AT162" s="618">
        <f t="shared" si="576"/>
        <v>110</v>
      </c>
      <c r="AU162" s="618">
        <f t="shared" si="577"/>
        <v>110</v>
      </c>
      <c r="AV162" s="618">
        <f t="shared" si="578"/>
        <v>110</v>
      </c>
      <c r="AX162" t="str">
        <v>SAIFI (sesuai kewenangan)</v>
      </c>
      <c r="AY162" s="105" t="s">
        <v>458</v>
      </c>
      <c r="AZ162">
        <v>6</v>
      </c>
      <c r="BA162" s="618">
        <f t="shared" si="555"/>
        <v>4.7</v>
      </c>
      <c r="BB162" s="618">
        <f t="shared" si="556"/>
        <v>6.6</v>
      </c>
      <c r="BC162" s="618">
        <f t="shared" si="557"/>
        <v>6.6</v>
      </c>
      <c r="BD162" s="618">
        <f t="shared" si="558"/>
        <v>6.6</v>
      </c>
      <c r="BE162" s="618">
        <f t="shared" si="559"/>
        <v>6.6</v>
      </c>
      <c r="BF162" s="618">
        <f t="shared" si="560"/>
        <v>6.6</v>
      </c>
      <c r="BG162" s="618">
        <f t="shared" si="561"/>
        <v>6.6</v>
      </c>
      <c r="BH162" s="618">
        <f t="shared" si="562"/>
        <v>6.6</v>
      </c>
      <c r="BI162" s="618">
        <f t="shared" si="563"/>
        <v>6.6</v>
      </c>
      <c r="BJ162" s="618">
        <f t="shared" si="564"/>
        <v>6.6</v>
      </c>
      <c r="BK162" s="618">
        <f t="shared" si="565"/>
        <v>6.6</v>
      </c>
      <c r="BL162" s="618">
        <f t="shared" si="566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462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79">IF(((G163-(V163-G163))/G163)*100&gt;110,110,((G163-(V163-G163))/G163)*100)</f>
        <v>89.673469387755105</v>
      </c>
      <c r="AL163" s="618">
        <f t="shared" ref="AL163" si="580">IF(((H163-(W163-H163))/H163)*100&gt;110,110,((H163-(W163-H163))/H163)*100)</f>
        <v>110</v>
      </c>
      <c r="AM163" s="618">
        <f t="shared" ref="AM163" si="581">IF(((I163-(X163-I163))/I163)*100&gt;110,110,((I163-(X163-I163))/I163)*100)</f>
        <v>110</v>
      </c>
      <c r="AN163" s="618">
        <f t="shared" ref="AN163" si="582">IF(((J163-(Y163-J163))/J163)*100&gt;110,110,((J163-(Y163-J163))/J163)*100)</f>
        <v>110</v>
      </c>
      <c r="AO163" s="618">
        <f t="shared" ref="AO163" si="583">IF(((K163-(Z163-K163))/K163)*100&gt;110,110,((K163-(Z163-K163))/K163)*100)</f>
        <v>110</v>
      </c>
      <c r="AP163" s="618">
        <f t="shared" ref="AP163" si="584">IF(((L163-(AA163-L163))/L163)*100&gt;110,110,((L163-(AA163-L163))/L163)*100)</f>
        <v>110</v>
      </c>
      <c r="AQ163" s="618">
        <f t="shared" ref="AQ163" si="585">IF(((M163-(AB163-M163))/M163)*100&gt;110,110,((M163-(AB163-M163))/M163)*100)</f>
        <v>110</v>
      </c>
      <c r="AR163" s="618">
        <f t="shared" ref="AR163" si="586">IF(((N163-(AC163-N163))/N163)*100&gt;110,110,((N163-(AC163-N163))/N163)*100)</f>
        <v>110</v>
      </c>
      <c r="AS163" s="618">
        <f t="shared" ref="AS163" si="587">IF(((O163-(AD163-O163))/O163)*100&gt;110,110,((O163-(AD163-O163))/O163)*100)</f>
        <v>110</v>
      </c>
      <c r="AT163" s="618">
        <f t="shared" ref="AT163" si="588">IF(((P163-(AE163-P163))/P163)*100&gt;110,110,((P163-(AE163-P163))/P163)*100)</f>
        <v>110</v>
      </c>
      <c r="AU163" s="618">
        <f t="shared" ref="AU163" si="589">IF(((Q163-(AF163-Q163))/Q163)*100&gt;110,110,((Q163-(AF163-Q163))/Q163)*100)</f>
        <v>110</v>
      </c>
      <c r="AV163" s="618">
        <f t="shared" ref="AV163" si="590">IF(((R163-(AG163-R163))/R163)*100&gt;110,110,((R163-(AG163-R163))/R163)*100)</f>
        <v>110</v>
      </c>
      <c r="AX163" t="str">
        <v>ENS (sesuai kewenangan)</v>
      </c>
      <c r="AY163" s="105" t="s">
        <v>458</v>
      </c>
      <c r="AZ163">
        <v>2</v>
      </c>
      <c r="BA163" s="618">
        <f t="shared" si="555"/>
        <v>1.79</v>
      </c>
      <c r="BB163" s="618">
        <f t="shared" si="556"/>
        <v>2.2000000000000002</v>
      </c>
      <c r="BC163" s="618">
        <f t="shared" si="557"/>
        <v>2.2000000000000002</v>
      </c>
      <c r="BD163" s="618">
        <f t="shared" si="558"/>
        <v>2.2000000000000002</v>
      </c>
      <c r="BE163" s="618">
        <f t="shared" si="559"/>
        <v>2.2000000000000002</v>
      </c>
      <c r="BF163" s="618">
        <f t="shared" si="560"/>
        <v>2.2000000000000002</v>
      </c>
      <c r="BG163" s="618">
        <f t="shared" si="561"/>
        <v>2.2000000000000002</v>
      </c>
      <c r="BH163" s="618">
        <f t="shared" si="562"/>
        <v>2.2000000000000002</v>
      </c>
      <c r="BI163" s="618">
        <f t="shared" si="563"/>
        <v>2.2000000000000002</v>
      </c>
      <c r="BJ163" s="618">
        <f t="shared" si="564"/>
        <v>2.2000000000000002</v>
      </c>
      <c r="BK163" s="618">
        <f t="shared" si="565"/>
        <v>2.2000000000000002</v>
      </c>
      <c r="BL163" s="618">
        <f t="shared" si="566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462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91">IF((2-(V164/G164))*100&gt;110,110,(2-(V164/G164))*100)</f>
        <v>110</v>
      </c>
      <c r="AL164" s="618">
        <f t="shared" ref="AL164" si="592">IF((2-(W164/H164))*100&gt;110,110,(2-(W164/H164))*100)</f>
        <v>110</v>
      </c>
      <c r="AM164" s="618">
        <f t="shared" ref="AM164" si="593">IF((2-(X164/I164))*100&gt;110,110,(2-(X164/I164))*100)</f>
        <v>110</v>
      </c>
      <c r="AN164" s="618">
        <f t="shared" ref="AN164" si="594">IF((2-(Y164/J164))*100&gt;110,110,(2-(Y164/J164))*100)</f>
        <v>110</v>
      </c>
      <c r="AO164" s="618">
        <f t="shared" ref="AO164" si="595">IF((2-(Z164/K164))*100&gt;110,110,(2-(Z164/K164))*100)</f>
        <v>110</v>
      </c>
      <c r="AP164" s="618">
        <f t="shared" ref="AP164" si="596">IF((2-(AA164/L164))*100&gt;110,110,(2-(AA164/L164))*100)</f>
        <v>109.36356619751541</v>
      </c>
      <c r="AQ164" s="618">
        <f t="shared" ref="AQ164" si="597">IF((2-(AB164/M164))*100&gt;110,110,(2-(AB164/M164))*100)</f>
        <v>100.46134209606063</v>
      </c>
      <c r="AR164" s="618">
        <f t="shared" ref="AR164" si="598">IF((2-(AC164/N164))*100&gt;110,110,(2-(AC164/N164))*100)</f>
        <v>98.73447490582079</v>
      </c>
      <c r="AS164" s="618">
        <f t="shared" ref="AS164" si="599">IF((2-(AD164/O164))*100&gt;110,110,(2-(AD164/O164))*100)</f>
        <v>95.250691699448709</v>
      </c>
      <c r="AT164" s="618">
        <f t="shared" ref="AT164" si="600">IF((2-(AE164/P164))*100&gt;110,110,(2-(AE164/P164))*100)</f>
        <v>110</v>
      </c>
      <c r="AU164" s="618">
        <f t="shared" ref="AU164" si="601">IF((2-(AF164/Q164))*100&gt;110,110,(2-(AF164/Q164))*100)</f>
        <v>110</v>
      </c>
      <c r="AV164" s="618">
        <f t="shared" ref="AV164" si="602">IF((2-(AG164/R164))*100&gt;110,110,(2-(AG164/R164))*100)</f>
        <v>110</v>
      </c>
      <c r="AX164" t="str">
        <v>Susut Distribusi Tanpa E-min (sesuai kewenangan)</v>
      </c>
      <c r="AY164" s="105" t="s">
        <v>458</v>
      </c>
      <c r="AZ164">
        <v>4</v>
      </c>
      <c r="BA164" s="618">
        <f t="shared" si="555"/>
        <v>4.4000000000000004</v>
      </c>
      <c r="BB164" s="618">
        <f t="shared" si="556"/>
        <v>4.4000000000000004</v>
      </c>
      <c r="BC164" s="618">
        <f t="shared" si="557"/>
        <v>4.4000000000000004</v>
      </c>
      <c r="BD164" s="618">
        <f t="shared" si="558"/>
        <v>4.4000000000000004</v>
      </c>
      <c r="BE164" s="618">
        <f t="shared" si="559"/>
        <v>4.4000000000000004</v>
      </c>
      <c r="BF164" s="618">
        <f t="shared" si="560"/>
        <v>4.37</v>
      </c>
      <c r="BG164" s="618">
        <f t="shared" si="561"/>
        <v>4.01</v>
      </c>
      <c r="BH164" s="618">
        <f t="shared" si="562"/>
        <v>3.94</v>
      </c>
      <c r="BI164" s="618">
        <f t="shared" si="563"/>
        <v>3.81</v>
      </c>
      <c r="BJ164" s="618">
        <f t="shared" si="564"/>
        <v>4.4000000000000004</v>
      </c>
      <c r="BK164" s="618">
        <f t="shared" si="565"/>
        <v>4.4000000000000004</v>
      </c>
      <c r="BL164" s="618">
        <f t="shared" si="566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462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603">IF(V165/G165*100&gt;110,110,V165/G165*100)</f>
        <v>110</v>
      </c>
      <c r="AL165" s="618">
        <f t="shared" ref="AL165:AL166" si="604">IF(W165/H165*100&gt;110,110,W165/H165*100)</f>
        <v>72.77819454863716</v>
      </c>
      <c r="AM165" s="618">
        <f t="shared" ref="AM165:AM166" si="605">IF(X165/I165*100&gt;110,110,X165/I165*100)</f>
        <v>84.09933333333332</v>
      </c>
      <c r="AN165" s="618">
        <f t="shared" ref="AN165:AN166" si="606">IF(Y165/J165*100&gt;110,110,Y165/J165*100)</f>
        <v>90.377452818397686</v>
      </c>
      <c r="AO165" s="618">
        <f t="shared" ref="AO165:AO166" si="607">IF(Z165/K165*100&gt;110,110,Z165/K165*100)</f>
        <v>94.612261226122612</v>
      </c>
      <c r="AP165" s="618">
        <f t="shared" ref="AP165:AP166" si="608">IF(AA165/L165*100&gt;110,110,AA165/L165*100)</f>
        <v>110</v>
      </c>
      <c r="AQ165" s="618">
        <f t="shared" ref="AQ165:AQ166" si="609">IF(AB165/M165*100&gt;110,110,AB165/M165*100)</f>
        <v>107.06493333333333</v>
      </c>
      <c r="AR165" s="618">
        <f t="shared" ref="AR165:AR166" si="610">IF(AC165/N165*100&gt;110,110,AC165/N165*100)</f>
        <v>110</v>
      </c>
      <c r="AS165" s="618">
        <f t="shared" ref="AS165:AS166" si="611">IF(AD165/O165*100&gt;110,110,AD165/O165*100)</f>
        <v>110</v>
      </c>
      <c r="AT165" s="618">
        <f t="shared" ref="AT165:AT166" si="612">IF(AE165/P165*100&gt;110,110,AE165/P165*100)</f>
        <v>99.697083333333339</v>
      </c>
      <c r="AU165" s="618">
        <f t="shared" ref="AU165:AU166" si="613">IF(AF165/Q165*100&gt;110,110,AF165/Q165*100)</f>
        <v>88.619629629629628</v>
      </c>
      <c r="AV165" s="618">
        <f t="shared" ref="AV165:AV166" si="614">IF(AG165/R165*100&gt;110,110,AG165/R165*100)</f>
        <v>79.757666666666665</v>
      </c>
      <c r="AX165" t="str">
        <v>Penyelesaian Temuan P2TL</v>
      </c>
      <c r="AY165" s="105" t="s">
        <v>458</v>
      </c>
      <c r="AZ165">
        <v>4</v>
      </c>
      <c r="BA165" s="618">
        <f t="shared" si="555"/>
        <v>4.4000000000000004</v>
      </c>
      <c r="BB165" s="618">
        <f t="shared" si="556"/>
        <v>2.91</v>
      </c>
      <c r="BC165" s="618">
        <f t="shared" si="557"/>
        <v>3.36</v>
      </c>
      <c r="BD165" s="618">
        <f t="shared" si="558"/>
        <v>3.61</v>
      </c>
      <c r="BE165" s="618">
        <f t="shared" si="559"/>
        <v>3.78</v>
      </c>
      <c r="BF165" s="618">
        <f t="shared" si="560"/>
        <v>4.4000000000000004</v>
      </c>
      <c r="BG165" s="618">
        <f t="shared" si="561"/>
        <v>4.28</v>
      </c>
      <c r="BH165" s="618">
        <f t="shared" si="562"/>
        <v>4.4000000000000004</v>
      </c>
      <c r="BI165" s="618">
        <f t="shared" si="563"/>
        <v>4.4000000000000004</v>
      </c>
      <c r="BJ165" s="618">
        <f t="shared" si="564"/>
        <v>3.98</v>
      </c>
      <c r="BK165" s="618">
        <f t="shared" si="565"/>
        <v>3.54</v>
      </c>
      <c r="BL165" s="618">
        <f t="shared" si="566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462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603"/>
        <v>0</v>
      </c>
      <c r="AL166" s="618">
        <f t="shared" si="604"/>
        <v>31.849315068493151</v>
      </c>
      <c r="AM166" s="618">
        <f t="shared" si="605"/>
        <v>69.336384439359264</v>
      </c>
      <c r="AN166" s="618">
        <f t="shared" si="606"/>
        <v>67.238421955403084</v>
      </c>
      <c r="AO166" s="618">
        <f t="shared" si="607"/>
        <v>86.268174474959608</v>
      </c>
      <c r="AP166" s="618">
        <f t="shared" si="608"/>
        <v>91.171993911719937</v>
      </c>
      <c r="AQ166" s="618">
        <f t="shared" si="609"/>
        <v>95.039164490861623</v>
      </c>
      <c r="AR166" s="618">
        <f t="shared" si="610"/>
        <v>83.2</v>
      </c>
      <c r="AS166" s="618">
        <f t="shared" si="611"/>
        <v>84.146341463414629</v>
      </c>
      <c r="AT166" s="618">
        <f t="shared" si="612"/>
        <v>75.89367552703942</v>
      </c>
      <c r="AU166" s="618">
        <f t="shared" si="613"/>
        <v>75.89367552703942</v>
      </c>
      <c r="AV166" s="618">
        <f t="shared" si="614"/>
        <v>75.89367552703942</v>
      </c>
      <c r="AX166" t="str">
        <v>Penyelesaian Ganti Meter</v>
      </c>
      <c r="AY166" s="105" t="s">
        <v>458</v>
      </c>
      <c r="AZ166">
        <v>4</v>
      </c>
      <c r="BA166" s="618">
        <f t="shared" si="555"/>
        <v>0</v>
      </c>
      <c r="BB166" s="618">
        <f t="shared" si="556"/>
        <v>1.27</v>
      </c>
      <c r="BC166" s="618">
        <f t="shared" si="557"/>
        <v>2.77</v>
      </c>
      <c r="BD166" s="618">
        <f t="shared" si="558"/>
        <v>2.68</v>
      </c>
      <c r="BE166" s="618">
        <f t="shared" si="559"/>
        <v>3.45</v>
      </c>
      <c r="BF166" s="618">
        <f t="shared" si="560"/>
        <v>3.64</v>
      </c>
      <c r="BG166" s="618">
        <f t="shared" si="561"/>
        <v>3.8</v>
      </c>
      <c r="BH166" s="618">
        <f t="shared" si="562"/>
        <v>3.32</v>
      </c>
      <c r="BI166" s="618">
        <f t="shared" si="563"/>
        <v>3.36</v>
      </c>
      <c r="BJ166" s="618">
        <f t="shared" si="564"/>
        <v>3.03</v>
      </c>
      <c r="BK166" s="618">
        <f t="shared" si="565"/>
        <v>3.03</v>
      </c>
      <c r="BL166" s="618">
        <f t="shared" si="566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462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615">IF(((G167-(V167-G167))/G167)*100&gt;110,110,((G167-(V167-G167))/G167)*100)</f>
        <v>110</v>
      </c>
      <c r="AL167" s="618">
        <f t="shared" ref="AL167" si="616">IF(((H167-(W167-H167))/H167)*100&gt;110,110,((H167-(W167-H167))/H167)*100)</f>
        <v>100</v>
      </c>
      <c r="AM167" s="618">
        <f t="shared" ref="AM167" si="617">IF(((I167-(X167-I167))/I167)*100&gt;110,110,((I167-(X167-I167))/I167)*100)</f>
        <v>100</v>
      </c>
      <c r="AN167" s="618">
        <f t="shared" ref="AN167" si="618">IF(((J167-(Y167-J167))/J167)*100&gt;110,110,((J167-(Y167-J167))/J167)*100)</f>
        <v>109.09090909090908</v>
      </c>
      <c r="AO167" s="618">
        <f t="shared" ref="AO167" si="619">IF(((K167-(Z167-K167))/K167)*100&gt;110,110,((K167-(Z167-K167))/K167)*100)</f>
        <v>100</v>
      </c>
      <c r="AP167" s="618">
        <f t="shared" ref="AP167" si="620">IF(((L167-(AA167-L167))/L167)*100&gt;110,110,((L167-(AA167-L167))/L167)*100)</f>
        <v>110</v>
      </c>
      <c r="AQ167" s="618">
        <f t="shared" ref="AQ167" si="621">IF(((M167-(AB167-M167))/M167)*100&gt;110,110,((M167-(AB167-M167))/M167)*100)</f>
        <v>110</v>
      </c>
      <c r="AR167" s="618">
        <f t="shared" ref="AR167" si="622">IF(((N167-(AC167-N167))/N167)*100&gt;110,110,((N167-(AC167-N167))/N167)*100)</f>
        <v>110</v>
      </c>
      <c r="AS167" s="618">
        <f t="shared" ref="AS167" si="623">IF(((O167-(AD167-O167))/O167)*100&gt;110,110,((O167-(AD167-O167))/O167)*100)</f>
        <v>110</v>
      </c>
      <c r="AT167" s="618">
        <f t="shared" ref="AT167" si="624">IF(((P167-(AE167-P167))/P167)*100&gt;110,110,((P167-(AE167-P167))/P167)*100)</f>
        <v>110</v>
      </c>
      <c r="AU167" s="618">
        <f t="shared" ref="AU167" si="625">IF(((Q167-(AF167-Q167))/Q167)*100&gt;110,110,((Q167-(AF167-Q167))/Q167)*100)</f>
        <v>110</v>
      </c>
      <c r="AV167" s="618">
        <f t="shared" ref="AV167" si="626">IF(((R167-(AG167-R167))/R167)*100&gt;110,110,((R167-(AG167-R167))/R167)*100)</f>
        <v>110</v>
      </c>
      <c r="AX167" t="str">
        <v>Gangguan TM &gt; 5 Menit</v>
      </c>
      <c r="AY167" s="105" t="s">
        <v>458</v>
      </c>
      <c r="AZ167">
        <v>3</v>
      </c>
      <c r="BA167" s="618">
        <f t="shared" si="555"/>
        <v>3.3</v>
      </c>
      <c r="BB167" s="618">
        <f t="shared" si="556"/>
        <v>3</v>
      </c>
      <c r="BC167" s="618">
        <f t="shared" si="557"/>
        <v>3</v>
      </c>
      <c r="BD167" s="618">
        <f t="shared" si="558"/>
        <v>3.27</v>
      </c>
      <c r="BE167" s="618">
        <f t="shared" si="559"/>
        <v>3</v>
      </c>
      <c r="BF167" s="618">
        <f t="shared" si="560"/>
        <v>3.3</v>
      </c>
      <c r="BG167" s="618">
        <f t="shared" si="561"/>
        <v>3.3</v>
      </c>
      <c r="BH167" s="618">
        <f t="shared" si="562"/>
        <v>3.3</v>
      </c>
      <c r="BI167" s="618">
        <f t="shared" si="563"/>
        <v>3.3</v>
      </c>
      <c r="BJ167" s="618">
        <f t="shared" si="564"/>
        <v>3.3</v>
      </c>
      <c r="BK167" s="618">
        <f t="shared" si="565"/>
        <v>3.3</v>
      </c>
      <c r="BL167" s="618">
        <f t="shared" si="566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462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27">IF((2-(V168/G168))*100&gt;110,110,(2-(V168/G168))*100)</f>
        <v>110</v>
      </c>
      <c r="AL168" s="618">
        <f t="shared" ref="AL168" si="628">IF((2-(W168/H168))*100&gt;110,110,(2-(W168/H168))*100)</f>
        <v>110</v>
      </c>
      <c r="AM168" s="618">
        <f t="shared" ref="AM168" si="629">IF((2-(X168/I168))*100&gt;110,110,(2-(X168/I168))*100)</f>
        <v>110</v>
      </c>
      <c r="AN168" s="618">
        <f t="shared" ref="AN168" si="630">IF((2-(Y168/J168))*100&gt;110,110,(2-(Y168/J168))*100)</f>
        <v>110</v>
      </c>
      <c r="AO168" s="618">
        <f t="shared" ref="AO168" si="631">IF((2-(Z168/K168))*100&gt;110,110,(2-(Z168/K168))*100)</f>
        <v>110</v>
      </c>
      <c r="AP168" s="618">
        <f t="shared" ref="AP168" si="632">IF((2-(AA168/L168))*100&gt;110,110,(2-(AA168/L168))*100)</f>
        <v>110</v>
      </c>
      <c r="AQ168" s="618">
        <f t="shared" ref="AQ168" si="633">IF((2-(AB168/M168))*100&gt;110,110,(2-(AB168/M168))*100)</f>
        <v>110</v>
      </c>
      <c r="AR168" s="618">
        <f t="shared" ref="AR168" si="634">IF((2-(AC168/N168))*100&gt;110,110,(2-(AC168/N168))*100)</f>
        <v>110</v>
      </c>
      <c r="AS168" s="618">
        <f t="shared" ref="AS168" si="635">IF((2-(AD168/O168))*100&gt;110,110,(2-(AD168/O168))*100)</f>
        <v>110</v>
      </c>
      <c r="AT168" s="618">
        <f t="shared" ref="AT168" si="636">IF((2-(AE168/P168))*100&gt;110,110,(2-(AE168/P168))*100)</f>
        <v>110</v>
      </c>
      <c r="AU168" s="618">
        <f t="shared" ref="AU168" si="637">IF((2-(AF168/Q168))*100&gt;110,110,(2-(AF168/Q168))*100)</f>
        <v>110</v>
      </c>
      <c r="AV168" s="618">
        <f t="shared" ref="AV168" si="638">IF((2-(AG168/R168))*100&gt;110,110,(2-(AG168/R168))*100)</f>
        <v>110</v>
      </c>
      <c r="AX168" t="str">
        <v>Gangguan TM ≤ 5 Menit</v>
      </c>
      <c r="AY168" s="105" t="s">
        <v>458</v>
      </c>
      <c r="AZ168">
        <v>3</v>
      </c>
      <c r="BA168" s="618">
        <f t="shared" si="555"/>
        <v>3.3</v>
      </c>
      <c r="BB168" s="618">
        <f t="shared" si="556"/>
        <v>3.3</v>
      </c>
      <c r="BC168" s="618">
        <f t="shared" si="557"/>
        <v>3.3</v>
      </c>
      <c r="BD168" s="618">
        <f t="shared" si="558"/>
        <v>3.3</v>
      </c>
      <c r="BE168" s="618">
        <f t="shared" si="559"/>
        <v>3.3</v>
      </c>
      <c r="BF168" s="618">
        <f t="shared" si="560"/>
        <v>3.3</v>
      </c>
      <c r="BG168" s="618">
        <f t="shared" si="561"/>
        <v>3.3</v>
      </c>
      <c r="BH168" s="618">
        <f t="shared" si="562"/>
        <v>3.3</v>
      </c>
      <c r="BI168" s="618">
        <f t="shared" si="563"/>
        <v>3.3</v>
      </c>
      <c r="BJ168" s="618">
        <f t="shared" si="564"/>
        <v>3.3</v>
      </c>
      <c r="BK168" s="618">
        <f t="shared" si="565"/>
        <v>3.3</v>
      </c>
      <c r="BL168" s="618">
        <f t="shared" si="566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462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39">IFERROR(IF((2-(V169/G169))*100&gt;110,110,(2-(V169/G169))*100),100)</f>
        <v>100</v>
      </c>
      <c r="AL169" s="618">
        <f t="shared" ref="AL169:AL171" si="640">IFERROR(IF((2-(W169/H169))*100&gt;110,110,(2-(W169/H169))*100),100)</f>
        <v>100</v>
      </c>
      <c r="AM169" s="618">
        <f t="shared" ref="AM169:AM171" si="641">IFERROR(IF((2-(X169/I169))*100&gt;110,110,(2-(X169/I169))*100),100)</f>
        <v>110</v>
      </c>
      <c r="AN169" s="618">
        <f t="shared" ref="AN169:AN171" si="642">IFERROR(IF((2-(Y169/J169))*100&gt;110,110,(2-(Y169/J169))*100),100)</f>
        <v>110</v>
      </c>
      <c r="AO169" s="618">
        <f t="shared" ref="AO169:AO171" si="643">IFERROR(IF((2-(Z169/K169))*100&gt;110,110,(2-(Z169/K169))*100),100)</f>
        <v>110</v>
      </c>
      <c r="AP169" s="618">
        <f t="shared" ref="AP169:AP171" si="644">IFERROR(IF((2-(AA169/L169))*100&gt;110,110,(2-(AA169/L169))*100),100)</f>
        <v>110</v>
      </c>
      <c r="AQ169" s="618">
        <f t="shared" ref="AQ169:AQ171" si="645">IFERROR(IF((2-(AB169/M169))*100&gt;110,110,(2-(AB169/M169))*100),100)</f>
        <v>110</v>
      </c>
      <c r="AR169" s="618">
        <f t="shared" ref="AR169:AR171" si="646">IFERROR(IF((2-(AC169/N169))*100&gt;110,110,(2-(AC169/N169))*100),100)</f>
        <v>110</v>
      </c>
      <c r="AS169" s="618">
        <f t="shared" ref="AS169:AS171" si="647">IFERROR(IF((2-(AD169/O169))*100&gt;110,110,(2-(AD169/O169))*100),100)</f>
        <v>110</v>
      </c>
      <c r="AT169" s="618">
        <f t="shared" ref="AT169:AT171" si="648">IFERROR(IF((2-(AE169/P169))*100&gt;110,110,(2-(AE169/P169))*100),100)</f>
        <v>110</v>
      </c>
      <c r="AU169" s="618">
        <f t="shared" ref="AU169:AU171" si="649">IFERROR(IF((2-(AF169/Q169))*100&gt;110,110,(2-(AF169/Q169))*100),100)</f>
        <v>110</v>
      </c>
      <c r="AV169" s="618">
        <f t="shared" ref="AV169:AV171" si="650">IFERROR(IF((2-(AG169/R169))*100&gt;110,110,(2-(AG169/R169))*100),100)</f>
        <v>110</v>
      </c>
      <c r="AX169" t="str">
        <v>Kerusakan Peralatan Distribusi (PHB TM dan Trafo) Sesuai Kewenangan</v>
      </c>
      <c r="AY169" s="105" t="s">
        <v>458</v>
      </c>
      <c r="AZ169">
        <v>3</v>
      </c>
      <c r="BA169" s="618">
        <f t="shared" si="555"/>
        <v>3</v>
      </c>
      <c r="BB169" s="618">
        <f t="shared" si="556"/>
        <v>3</v>
      </c>
      <c r="BC169" s="618">
        <f t="shared" si="557"/>
        <v>3.3</v>
      </c>
      <c r="BD169" s="618">
        <f t="shared" si="558"/>
        <v>3.3</v>
      </c>
      <c r="BE169" s="618">
        <f t="shared" si="559"/>
        <v>3.3</v>
      </c>
      <c r="BF169" s="618">
        <f t="shared" si="560"/>
        <v>3.3</v>
      </c>
      <c r="BG169" s="618">
        <f t="shared" si="561"/>
        <v>3.3</v>
      </c>
      <c r="BH169" s="618">
        <f t="shared" si="562"/>
        <v>3.3</v>
      </c>
      <c r="BI169" s="618">
        <f t="shared" si="563"/>
        <v>3.3</v>
      </c>
      <c r="BJ169" s="618">
        <f t="shared" si="564"/>
        <v>3.3</v>
      </c>
      <c r="BK169" s="618">
        <f t="shared" si="565"/>
        <v>3.3</v>
      </c>
      <c r="BL169" s="618">
        <f t="shared" si="566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462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39"/>
        <v>110</v>
      </c>
      <c r="AL170" s="618">
        <f t="shared" si="640"/>
        <v>110</v>
      </c>
      <c r="AM170" s="618">
        <f t="shared" si="641"/>
        <v>110</v>
      </c>
      <c r="AN170" s="618">
        <f t="shared" si="642"/>
        <v>110</v>
      </c>
      <c r="AO170" s="618">
        <f t="shared" si="643"/>
        <v>110</v>
      </c>
      <c r="AP170" s="618">
        <f t="shared" si="644"/>
        <v>110</v>
      </c>
      <c r="AQ170" s="618">
        <f t="shared" si="645"/>
        <v>110</v>
      </c>
      <c r="AR170" s="618">
        <f t="shared" si="646"/>
        <v>110</v>
      </c>
      <c r="AS170" s="618">
        <f t="shared" si="647"/>
        <v>110</v>
      </c>
      <c r="AT170" s="618">
        <f t="shared" si="648"/>
        <v>110</v>
      </c>
      <c r="AU170" s="618">
        <f t="shared" si="649"/>
        <v>110</v>
      </c>
      <c r="AV170" s="618">
        <f t="shared" si="650"/>
        <v>110</v>
      </c>
      <c r="AX170" t="str">
        <v>Feedback Rating Negatif pada PLN Mobile - Gangguan</v>
      </c>
      <c r="AY170" s="105" t="s">
        <v>458</v>
      </c>
      <c r="AZ170">
        <v>2</v>
      </c>
      <c r="BA170" s="618">
        <f t="shared" si="555"/>
        <v>2.2000000000000002</v>
      </c>
      <c r="BB170" s="618">
        <f t="shared" si="556"/>
        <v>2.2000000000000002</v>
      </c>
      <c r="BC170" s="618">
        <f t="shared" si="557"/>
        <v>2.2000000000000002</v>
      </c>
      <c r="BD170" s="618">
        <f t="shared" si="558"/>
        <v>2.2000000000000002</v>
      </c>
      <c r="BE170" s="618">
        <f t="shared" si="559"/>
        <v>2.2000000000000002</v>
      </c>
      <c r="BF170" s="618">
        <f t="shared" si="560"/>
        <v>2.2000000000000002</v>
      </c>
      <c r="BG170" s="618">
        <f t="shared" si="561"/>
        <v>2.2000000000000002</v>
      </c>
      <c r="BH170" s="618">
        <f t="shared" si="562"/>
        <v>2.2000000000000002</v>
      </c>
      <c r="BI170" s="618">
        <f t="shared" si="563"/>
        <v>2.2000000000000002</v>
      </c>
      <c r="BJ170" s="618">
        <f t="shared" si="564"/>
        <v>2.2000000000000002</v>
      </c>
      <c r="BK170" s="618">
        <f t="shared" si="565"/>
        <v>2.2000000000000002</v>
      </c>
      <c r="BL170" s="618">
        <f t="shared" si="566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462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39"/>
        <v>110</v>
      </c>
      <c r="AL171" s="618">
        <f t="shared" si="640"/>
        <v>110</v>
      </c>
      <c r="AM171" s="618">
        <f t="shared" si="641"/>
        <v>110</v>
      </c>
      <c r="AN171" s="618">
        <f t="shared" si="642"/>
        <v>110</v>
      </c>
      <c r="AO171" s="618">
        <f t="shared" si="643"/>
        <v>110</v>
      </c>
      <c r="AP171" s="618">
        <f t="shared" si="644"/>
        <v>110</v>
      </c>
      <c r="AQ171" s="618">
        <f t="shared" si="645"/>
        <v>110</v>
      </c>
      <c r="AR171" s="618">
        <f t="shared" si="646"/>
        <v>110</v>
      </c>
      <c r="AS171" s="618">
        <f t="shared" si="647"/>
        <v>110</v>
      </c>
      <c r="AT171" s="618">
        <f t="shared" si="648"/>
        <v>110</v>
      </c>
      <c r="AU171" s="618">
        <f t="shared" si="649"/>
        <v>110</v>
      </c>
      <c r="AV171" s="618">
        <f t="shared" si="650"/>
        <v>110</v>
      </c>
      <c r="AX171" t="str">
        <v>Pengaduan Gangguan Berulang pada PLN Mobile</v>
      </c>
      <c r="AY171" s="105" t="s">
        <v>458</v>
      </c>
      <c r="AZ171">
        <v>2</v>
      </c>
      <c r="BA171" s="618">
        <f t="shared" si="555"/>
        <v>2.2000000000000002</v>
      </c>
      <c r="BB171" s="618">
        <f t="shared" si="556"/>
        <v>2.2000000000000002</v>
      </c>
      <c r="BC171" s="618">
        <f t="shared" si="557"/>
        <v>2.2000000000000002</v>
      </c>
      <c r="BD171" s="618">
        <f t="shared" si="558"/>
        <v>2.2000000000000002</v>
      </c>
      <c r="BE171" s="618">
        <f t="shared" si="559"/>
        <v>2.2000000000000002</v>
      </c>
      <c r="BF171" s="618">
        <f t="shared" si="560"/>
        <v>2.2000000000000002</v>
      </c>
      <c r="BG171" s="618">
        <f t="shared" si="561"/>
        <v>2.2000000000000002</v>
      </c>
      <c r="BH171" s="618">
        <f t="shared" si="562"/>
        <v>2.2000000000000002</v>
      </c>
      <c r="BI171" s="618">
        <f t="shared" si="563"/>
        <v>2.2000000000000002</v>
      </c>
      <c r="BJ171" s="618">
        <f t="shared" si="564"/>
        <v>2.2000000000000002</v>
      </c>
      <c r="BK171" s="618">
        <f t="shared" si="565"/>
        <v>2.2000000000000002</v>
      </c>
      <c r="BL171" s="618">
        <f t="shared" si="566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462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51">IF(V172/G172*100&gt;110,110,V172/G172*100)</f>
        <v>100.20408163265306</v>
      </c>
      <c r="AL172" s="618">
        <f t="shared" ref="AL172:AL173" si="652">IF(W172/H172*100&gt;110,110,W172/H172*100)</f>
        <v>100.20408163265306</v>
      </c>
      <c r="AM172" s="618">
        <f t="shared" ref="AM172:AM173" si="653">IF(X172/I172*100&gt;110,110,X172/I172*100)</f>
        <v>100.20408163265306</v>
      </c>
      <c r="AN172" s="618">
        <f t="shared" ref="AN172:AN173" si="654">IF(Y172/J172*100&gt;110,110,Y172/J172*100)</f>
        <v>100.20408163265306</v>
      </c>
      <c r="AO172" s="618">
        <f t="shared" ref="AO172:AO173" si="655">IF(Z172/K172*100&gt;110,110,Z172/K172*100)</f>
        <v>100</v>
      </c>
      <c r="AP172" s="618">
        <f t="shared" ref="AP172:AP173" si="656">IF(AA172/L172*100&gt;110,110,AA172/L172*100)</f>
        <v>100</v>
      </c>
      <c r="AQ172" s="618">
        <f t="shared" ref="AQ172:AQ173" si="657">IF(AB172/M172*100&gt;110,110,AB172/M172*100)</f>
        <v>100</v>
      </c>
      <c r="AR172" s="618">
        <f t="shared" ref="AR172:AR173" si="658">IF(AC172/N172*100&gt;110,110,AC172/N172*100)</f>
        <v>100</v>
      </c>
      <c r="AS172" s="618">
        <f t="shared" ref="AS172:AS173" si="659">IF(AD172/O172*100&gt;110,110,AD172/O172*100)</f>
        <v>100</v>
      </c>
      <c r="AT172" s="618">
        <f t="shared" ref="AT172:AT173" si="660">IF(AE172/P172*100&gt;110,110,AE172/P172*100)</f>
        <v>100</v>
      </c>
      <c r="AU172" s="618">
        <f t="shared" ref="AU172:AU173" si="661">IF(AF172/Q172*100&gt;110,110,AF172/Q172*100)</f>
        <v>100</v>
      </c>
      <c r="AV172" s="618">
        <f t="shared" ref="AV172:AV173" si="662">IF(AG172/R172*100&gt;110,110,AG172/R172*100)</f>
        <v>100</v>
      </c>
      <c r="AX172" t="str">
        <v>Rating PLN Mobile</v>
      </c>
      <c r="AY172" s="105" t="s">
        <v>458</v>
      </c>
      <c r="AZ172">
        <v>2</v>
      </c>
      <c r="BA172" s="618">
        <f t="shared" si="555"/>
        <v>2</v>
      </c>
      <c r="BB172" s="618">
        <f t="shared" si="556"/>
        <v>2</v>
      </c>
      <c r="BC172" s="618">
        <f t="shared" si="557"/>
        <v>2</v>
      </c>
      <c r="BD172" s="618">
        <f t="shared" si="558"/>
        <v>2</v>
      </c>
      <c r="BE172" s="618">
        <f t="shared" si="559"/>
        <v>2</v>
      </c>
      <c r="BF172" s="618">
        <f t="shared" si="560"/>
        <v>2</v>
      </c>
      <c r="BG172" s="618">
        <f t="shared" si="561"/>
        <v>2</v>
      </c>
      <c r="BH172" s="618">
        <f t="shared" si="562"/>
        <v>2</v>
      </c>
      <c r="BI172" s="618">
        <f t="shared" si="563"/>
        <v>2</v>
      </c>
      <c r="BJ172" s="618">
        <f t="shared" si="564"/>
        <v>2</v>
      </c>
      <c r="BK172" s="618">
        <f t="shared" si="565"/>
        <v>2</v>
      </c>
      <c r="BL172" s="618">
        <f t="shared" si="566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462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51"/>
        <v>57.721796276013151</v>
      </c>
      <c r="AL173" s="618">
        <f t="shared" si="652"/>
        <v>62.456846950517843</v>
      </c>
      <c r="AM173" s="618">
        <f t="shared" si="653"/>
        <v>97.850273430133882</v>
      </c>
      <c r="AN173" s="618">
        <f t="shared" si="654"/>
        <v>107.82178217821783</v>
      </c>
      <c r="AO173" s="618">
        <f t="shared" si="655"/>
        <v>110</v>
      </c>
      <c r="AP173" s="618">
        <f t="shared" si="656"/>
        <v>110</v>
      </c>
      <c r="AQ173" s="618">
        <f t="shared" si="657"/>
        <v>110</v>
      </c>
      <c r="AR173" s="618">
        <f t="shared" si="658"/>
        <v>110</v>
      </c>
      <c r="AS173" s="618">
        <f t="shared" si="659"/>
        <v>110</v>
      </c>
      <c r="AT173" s="618">
        <f t="shared" si="660"/>
        <v>0</v>
      </c>
      <c r="AU173" s="618">
        <f t="shared" si="661"/>
        <v>0</v>
      </c>
      <c r="AV173" s="618">
        <f t="shared" si="662"/>
        <v>0</v>
      </c>
      <c r="AX173" t="str">
        <v>Jumlah Kali Transaksi Keuangan melalui PLN Mobile</v>
      </c>
      <c r="AY173" s="105" t="s">
        <v>458</v>
      </c>
      <c r="AZ173">
        <v>2</v>
      </c>
      <c r="BA173" s="618">
        <f t="shared" si="555"/>
        <v>1.1499999999999999</v>
      </c>
      <c r="BB173" s="618">
        <f t="shared" si="556"/>
        <v>1.24</v>
      </c>
      <c r="BC173" s="618">
        <f t="shared" si="557"/>
        <v>1.95</v>
      </c>
      <c r="BD173" s="618">
        <f t="shared" si="558"/>
        <v>2.15</v>
      </c>
      <c r="BE173" s="618">
        <f t="shared" si="559"/>
        <v>2.2000000000000002</v>
      </c>
      <c r="BF173" s="618">
        <f t="shared" si="560"/>
        <v>2.2000000000000002</v>
      </c>
      <c r="BG173" s="618">
        <f t="shared" si="561"/>
        <v>2.2000000000000002</v>
      </c>
      <c r="BH173" s="618">
        <f t="shared" si="562"/>
        <v>2.2000000000000002</v>
      </c>
      <c r="BI173" s="618">
        <f t="shared" si="563"/>
        <v>2.2000000000000002</v>
      </c>
      <c r="BJ173" s="618">
        <f t="shared" si="564"/>
        <v>0</v>
      </c>
      <c r="BK173" s="618">
        <f t="shared" si="565"/>
        <v>0</v>
      </c>
      <c r="BL173" s="618">
        <f t="shared" si="566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462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63">IFERROR(IF((2-(V174/G174))*100&gt;110,110,(2-(V174/G174))*100),100)</f>
        <v>110</v>
      </c>
      <c r="AL174" s="618">
        <f t="shared" ref="AL174" si="664">IFERROR(IF((2-(W174/H174))*100&gt;110,110,(2-(W174/H174))*100),100)</f>
        <v>110</v>
      </c>
      <c r="AM174" s="618">
        <f t="shared" ref="AM174" si="665">IFERROR(IF((2-(X174/I174))*100&gt;110,110,(2-(X174/I174))*100),100)</f>
        <v>110</v>
      </c>
      <c r="AN174" s="618">
        <f t="shared" ref="AN174" si="666">IFERROR(IF((2-(Y174/J174))*100&gt;110,110,(2-(Y174/J174))*100),100)</f>
        <v>110</v>
      </c>
      <c r="AO174" s="618">
        <f t="shared" ref="AO174" si="667">IFERROR(IF((2-(Z174/K174))*100&gt;110,110,(2-(Z174/K174))*100),100)</f>
        <v>110</v>
      </c>
      <c r="AP174" s="618">
        <f t="shared" ref="AP174" si="668">IFERROR(IF((2-(AA174/L174))*100&gt;110,110,(2-(AA174/L174))*100),100)</f>
        <v>110</v>
      </c>
      <c r="AQ174" s="618">
        <f t="shared" ref="AQ174" si="669">IFERROR(IF((2-(AB174/M174))*100&gt;110,110,(2-(AB174/M174))*100),100)</f>
        <v>110</v>
      </c>
      <c r="AR174" s="618">
        <f t="shared" ref="AR174" si="670">IFERROR(IF((2-(AC174/N174))*100&gt;110,110,(2-(AC174/N174))*100),100)</f>
        <v>110</v>
      </c>
      <c r="AS174" s="618">
        <f t="shared" ref="AS174" si="671">IFERROR(IF((2-(AD174/O174))*100&gt;110,110,(2-(AD174/O174))*100),100)</f>
        <v>110</v>
      </c>
      <c r="AT174" s="618">
        <f t="shared" ref="AT174" si="672">IFERROR(IF((2-(AE174/P174))*100&gt;110,110,(2-(AE174/P174))*100),100)</f>
        <v>110</v>
      </c>
      <c r="AU174" s="618">
        <f t="shared" ref="AU174" si="673">IFERROR(IF((2-(AF174/Q174))*100&gt;110,110,(2-(AF174/Q174))*100),100)</f>
        <v>110</v>
      </c>
      <c r="AV174" s="618">
        <f t="shared" ref="AV174" si="674">IFERROR(IF((2-(AG174/R174))*100&gt;110,110,(2-(AG174/R174))*100),100)</f>
        <v>110</v>
      </c>
      <c r="AX174" t="str">
        <v>Response Time atas Gangguan (diluar Clear Tamper)</v>
      </c>
      <c r="AY174" s="105" t="s">
        <v>458</v>
      </c>
      <c r="AZ174">
        <v>1.5</v>
      </c>
      <c r="BA174" s="618">
        <f t="shared" si="555"/>
        <v>1.65</v>
      </c>
      <c r="BB174" s="618">
        <f t="shared" si="556"/>
        <v>1.65</v>
      </c>
      <c r="BC174" s="618">
        <f t="shared" si="557"/>
        <v>1.65</v>
      </c>
      <c r="BD174" s="618">
        <f t="shared" si="558"/>
        <v>1.65</v>
      </c>
      <c r="BE174" s="618">
        <f t="shared" si="559"/>
        <v>1.65</v>
      </c>
      <c r="BF174" s="618">
        <f t="shared" si="560"/>
        <v>1.65</v>
      </c>
      <c r="BG174" s="618">
        <f t="shared" si="561"/>
        <v>1.65</v>
      </c>
      <c r="BH174" s="618">
        <f t="shared" si="562"/>
        <v>1.65</v>
      </c>
      <c r="BI174" s="618">
        <f t="shared" si="563"/>
        <v>1.65</v>
      </c>
      <c r="BJ174" s="618">
        <f t="shared" si="564"/>
        <v>1.65</v>
      </c>
      <c r="BK174" s="618">
        <f t="shared" si="565"/>
        <v>1.65</v>
      </c>
      <c r="BL174" s="618">
        <f t="shared" si="566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462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75">IFERROR(IF(V175/G175*100&gt;110,110,V175/G175*100),100)</f>
        <v>100</v>
      </c>
      <c r="AL175" s="618">
        <f t="shared" ref="AL175:AL186" si="676">IFERROR(IF(W175/H175*100&gt;110,110,W175/H175*100),100)</f>
        <v>100</v>
      </c>
      <c r="AM175" s="618">
        <f t="shared" ref="AM175:AM186" si="677">IFERROR(IF(X175/I175*100&gt;110,110,X175/I175*100),100)</f>
        <v>100</v>
      </c>
      <c r="AN175" s="618">
        <f t="shared" ref="AN175:AN186" si="678">IFERROR(IF(Y175/J175*100&gt;110,110,Y175/J175*100),100)</f>
        <v>100</v>
      </c>
      <c r="AO175" s="618">
        <f t="shared" ref="AO175:AO186" si="679">IFERROR(IF(Z175/K175*100&gt;110,110,Z175/K175*100),100)</f>
        <v>100</v>
      </c>
      <c r="AP175" s="618">
        <f t="shared" ref="AP175:AP186" si="680">IFERROR(IF(AA175/L175*100&gt;110,110,AA175/L175*100),100)</f>
        <v>100</v>
      </c>
      <c r="AQ175" s="618">
        <f t="shared" ref="AQ175:AQ186" si="681">IFERROR(IF(AB175/M175*100&gt;110,110,AB175/M175*100),100)</f>
        <v>100</v>
      </c>
      <c r="AR175" s="618">
        <f t="shared" ref="AR175:AR186" si="682">IFERROR(IF(AC175/N175*100&gt;110,110,AC175/N175*100),100)</f>
        <v>100</v>
      </c>
      <c r="AS175" s="618">
        <f t="shared" ref="AS175:AS186" si="683">IFERROR(IF(AD175/O175*100&gt;110,110,AD175/O175*100),100)</f>
        <v>100</v>
      </c>
      <c r="AT175" s="618">
        <f t="shared" ref="AT175:AT186" si="684">IFERROR(IF(AE175/P175*100&gt;110,110,AE175/P175*100),100)</f>
        <v>100</v>
      </c>
      <c r="AU175" s="618">
        <f t="shared" ref="AU175:AU186" si="685">IFERROR(IF(AF175/Q175*100&gt;110,110,AF175/Q175*100),100)</f>
        <v>100</v>
      </c>
      <c r="AV175" s="618">
        <f t="shared" ref="AV175:AV186" si="686">IFERROR(IF(AG175/R175*100&gt;110,110,AG175/R175*100),100)</f>
        <v>100</v>
      </c>
      <c r="AX175" t="str">
        <v>Success Rate Auto Dispatch Gangguan Individual (diluar Clear Tamper)</v>
      </c>
      <c r="AY175" s="105" t="s">
        <v>458</v>
      </c>
      <c r="AZ175">
        <v>1.5</v>
      </c>
      <c r="BA175" s="618">
        <f t="shared" si="555"/>
        <v>1.5</v>
      </c>
      <c r="BB175" s="618">
        <f t="shared" si="556"/>
        <v>1.5</v>
      </c>
      <c r="BC175" s="618">
        <f t="shared" si="557"/>
        <v>1.5</v>
      </c>
      <c r="BD175" s="618">
        <f t="shared" si="558"/>
        <v>1.5</v>
      </c>
      <c r="BE175" s="618">
        <f t="shared" si="559"/>
        <v>1.5</v>
      </c>
      <c r="BF175" s="618">
        <f t="shared" si="560"/>
        <v>1.5</v>
      </c>
      <c r="BG175" s="618">
        <f t="shared" si="561"/>
        <v>1.5</v>
      </c>
      <c r="BH175" s="618">
        <f t="shared" si="562"/>
        <v>1.5</v>
      </c>
      <c r="BI175" s="618">
        <f t="shared" si="563"/>
        <v>1.5</v>
      </c>
      <c r="BJ175" s="618">
        <f t="shared" si="564"/>
        <v>1.5</v>
      </c>
      <c r="BK175" s="618">
        <f t="shared" si="565"/>
        <v>1.5</v>
      </c>
      <c r="BL175" s="618">
        <f t="shared" si="566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462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75"/>
        <v>108.25</v>
      </c>
      <c r="AL176" s="618">
        <f t="shared" si="676"/>
        <v>84.25</v>
      </c>
      <c r="AM176" s="618">
        <f t="shared" si="677"/>
        <v>101.25</v>
      </c>
      <c r="AN176" s="618">
        <f t="shared" si="678"/>
        <v>107</v>
      </c>
      <c r="AO176" s="618">
        <f t="shared" si="679"/>
        <v>109.5</v>
      </c>
      <c r="AP176" s="618">
        <f t="shared" si="680"/>
        <v>109.5</v>
      </c>
      <c r="AQ176" s="618">
        <f t="shared" si="681"/>
        <v>109.5</v>
      </c>
      <c r="AR176" s="618">
        <f t="shared" si="682"/>
        <v>110.00000000000001</v>
      </c>
      <c r="AS176" s="618">
        <f t="shared" si="683"/>
        <v>110.00000000000001</v>
      </c>
      <c r="AT176" s="618">
        <f t="shared" si="684"/>
        <v>0</v>
      </c>
      <c r="AU176" s="618">
        <f t="shared" si="685"/>
        <v>0</v>
      </c>
      <c r="AV176" s="618">
        <f t="shared" si="686"/>
        <v>0</v>
      </c>
      <c r="AX176" t="str">
        <v>Recovery Time Gangguan Meluas TM</v>
      </c>
      <c r="AY176" s="105" t="s">
        <v>458</v>
      </c>
      <c r="AZ176">
        <v>3</v>
      </c>
      <c r="BA176" s="618">
        <f t="shared" si="555"/>
        <v>3.24</v>
      </c>
      <c r="BB176" s="618">
        <f t="shared" si="556"/>
        <v>2.52</v>
      </c>
      <c r="BC176" s="618">
        <f t="shared" si="557"/>
        <v>3.03</v>
      </c>
      <c r="BD176" s="618">
        <f t="shared" si="558"/>
        <v>3.21</v>
      </c>
      <c r="BE176" s="618">
        <f t="shared" si="559"/>
        <v>3.28</v>
      </c>
      <c r="BF176" s="618">
        <f t="shared" si="560"/>
        <v>3.28</v>
      </c>
      <c r="BG176" s="618">
        <f t="shared" si="561"/>
        <v>3.28</v>
      </c>
      <c r="BH176" s="618">
        <f t="shared" si="562"/>
        <v>3.3</v>
      </c>
      <c r="BI176" s="618">
        <f t="shared" si="563"/>
        <v>3.3</v>
      </c>
      <c r="BJ176" s="618">
        <f t="shared" si="564"/>
        <v>0</v>
      </c>
      <c r="BK176" s="618">
        <f t="shared" si="565"/>
        <v>0</v>
      </c>
      <c r="BL176" s="618">
        <f t="shared" si="566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462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75"/>
        <v>110.00000000000001</v>
      </c>
      <c r="AL177" s="618">
        <f t="shared" si="676"/>
        <v>110.00000000000001</v>
      </c>
      <c r="AM177" s="618">
        <f t="shared" si="677"/>
        <v>110.00000000000001</v>
      </c>
      <c r="AN177" s="618">
        <f t="shared" si="678"/>
        <v>110.00000000000001</v>
      </c>
      <c r="AO177" s="618">
        <f t="shared" si="679"/>
        <v>110.00000000000001</v>
      </c>
      <c r="AP177" s="618">
        <f t="shared" si="680"/>
        <v>110.00000000000001</v>
      </c>
      <c r="AQ177" s="618">
        <f t="shared" si="681"/>
        <v>110.00000000000001</v>
      </c>
      <c r="AR177" s="618">
        <f t="shared" si="682"/>
        <v>110.00000000000001</v>
      </c>
      <c r="AS177" s="618">
        <f t="shared" si="683"/>
        <v>110.00000000000001</v>
      </c>
      <c r="AT177" s="618">
        <f t="shared" si="684"/>
        <v>0</v>
      </c>
      <c r="AU177" s="618">
        <f t="shared" si="685"/>
        <v>0</v>
      </c>
      <c r="AV177" s="618">
        <f t="shared" si="686"/>
        <v>0</v>
      </c>
      <c r="AX177" t="str">
        <v>Penormalan Siaga 1 Gangguan TM</v>
      </c>
      <c r="AY177" s="105" t="s">
        <v>458</v>
      </c>
      <c r="AZ177">
        <v>3</v>
      </c>
      <c r="BA177" s="618">
        <f t="shared" si="555"/>
        <v>3.3</v>
      </c>
      <c r="BB177" s="618">
        <f t="shared" si="556"/>
        <v>3.3</v>
      </c>
      <c r="BC177" s="618">
        <f t="shared" si="557"/>
        <v>3.3</v>
      </c>
      <c r="BD177" s="618">
        <f t="shared" si="558"/>
        <v>3.3</v>
      </c>
      <c r="BE177" s="618">
        <f t="shared" si="559"/>
        <v>3.3</v>
      </c>
      <c r="BF177" s="618">
        <f t="shared" si="560"/>
        <v>3.3</v>
      </c>
      <c r="BG177" s="618">
        <f t="shared" si="561"/>
        <v>3.3</v>
      </c>
      <c r="BH177" s="618">
        <f t="shared" si="562"/>
        <v>3.3</v>
      </c>
      <c r="BI177" s="618">
        <f t="shared" si="563"/>
        <v>3.3</v>
      </c>
      <c r="BJ177" s="618">
        <f t="shared" si="564"/>
        <v>0</v>
      </c>
      <c r="BK177" s="618">
        <f t="shared" si="565"/>
        <v>0</v>
      </c>
      <c r="BL177" s="618">
        <f t="shared" si="566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462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75"/>
        <v>59.078947368421055</v>
      </c>
      <c r="AL178" s="618">
        <f t="shared" si="676"/>
        <v>61.802631578947363</v>
      </c>
      <c r="AM178" s="618">
        <f t="shared" si="677"/>
        <v>58.745762711864415</v>
      </c>
      <c r="AN178" s="618">
        <f t="shared" si="678"/>
        <v>58.497890295358644</v>
      </c>
      <c r="AO178" s="618">
        <f t="shared" si="679"/>
        <v>53.938837920489291</v>
      </c>
      <c r="AP178" s="618">
        <f t="shared" si="680"/>
        <v>50.574879227053138</v>
      </c>
      <c r="AQ178" s="618">
        <f t="shared" si="681"/>
        <v>48.155818540433927</v>
      </c>
      <c r="AR178" s="618">
        <f t="shared" si="682"/>
        <v>51.368509212730316</v>
      </c>
      <c r="AS178" s="618">
        <f t="shared" si="683"/>
        <v>51.94444444444445</v>
      </c>
      <c r="AT178" s="618">
        <f t="shared" si="684"/>
        <v>0</v>
      </c>
      <c r="AU178" s="618">
        <f t="shared" si="685"/>
        <v>0</v>
      </c>
      <c r="AV178" s="618">
        <f t="shared" si="686"/>
        <v>0</v>
      </c>
      <c r="AX178" t="str">
        <v>Penambahan Daya Tersambung</v>
      </c>
      <c r="AY178" s="105" t="s">
        <v>458</v>
      </c>
      <c r="AZ178">
        <v>3</v>
      </c>
      <c r="BA178" s="618">
        <f t="shared" si="555"/>
        <v>1.77</v>
      </c>
      <c r="BB178" s="618">
        <f t="shared" si="556"/>
        <v>1.85</v>
      </c>
      <c r="BC178" s="618">
        <f t="shared" si="557"/>
        <v>1.76</v>
      </c>
      <c r="BD178" s="618">
        <f t="shared" si="558"/>
        <v>1.75</v>
      </c>
      <c r="BE178" s="618">
        <f t="shared" si="559"/>
        <v>1.61</v>
      </c>
      <c r="BF178" s="618">
        <f t="shared" si="560"/>
        <v>1.51</v>
      </c>
      <c r="BG178" s="618">
        <f t="shared" si="561"/>
        <v>1.44</v>
      </c>
      <c r="BH178" s="618">
        <f t="shared" si="562"/>
        <v>1.54</v>
      </c>
      <c r="BI178" s="618">
        <f t="shared" si="563"/>
        <v>1.55</v>
      </c>
      <c r="BJ178" s="618">
        <f t="shared" si="564"/>
        <v>0</v>
      </c>
      <c r="BK178" s="618">
        <f t="shared" si="565"/>
        <v>0</v>
      </c>
      <c r="BL178" s="618">
        <f t="shared" si="566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462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75"/>
        <v>40.259740259740262</v>
      </c>
      <c r="AL179" s="618">
        <f t="shared" si="676"/>
        <v>54.31309904153354</v>
      </c>
      <c r="AM179" s="618">
        <f t="shared" si="677"/>
        <v>54.791666666666671</v>
      </c>
      <c r="AN179" s="618">
        <f t="shared" si="678"/>
        <v>57.098283931357251</v>
      </c>
      <c r="AO179" s="618">
        <f t="shared" si="679"/>
        <v>50.337837837837839</v>
      </c>
      <c r="AP179" s="618">
        <f t="shared" si="680"/>
        <v>49.157054125998222</v>
      </c>
      <c r="AQ179" s="618">
        <f t="shared" si="681"/>
        <v>46.506550218340607</v>
      </c>
      <c r="AR179" s="618">
        <f t="shared" si="682"/>
        <v>47.809993830968537</v>
      </c>
      <c r="AS179" s="618">
        <f t="shared" si="683"/>
        <v>48.27956989247312</v>
      </c>
      <c r="AT179" s="618">
        <f t="shared" si="684"/>
        <v>0</v>
      </c>
      <c r="AU179" s="618">
        <f t="shared" si="685"/>
        <v>0</v>
      </c>
      <c r="AV179" s="618">
        <f t="shared" si="686"/>
        <v>0</v>
      </c>
      <c r="AX179" t="str">
        <v>Penambahan Jumlah Pelanggan</v>
      </c>
      <c r="AY179" s="105" t="s">
        <v>458</v>
      </c>
      <c r="AZ179">
        <v>3</v>
      </c>
      <c r="BA179" s="618">
        <f t="shared" si="555"/>
        <v>1.2</v>
      </c>
      <c r="BB179" s="618">
        <f t="shared" si="556"/>
        <v>1.62</v>
      </c>
      <c r="BC179" s="618">
        <f t="shared" si="557"/>
        <v>1.64</v>
      </c>
      <c r="BD179" s="618">
        <f t="shared" si="558"/>
        <v>1.71</v>
      </c>
      <c r="BE179" s="618">
        <f t="shared" si="559"/>
        <v>1.51</v>
      </c>
      <c r="BF179" s="618">
        <f t="shared" si="560"/>
        <v>1.47</v>
      </c>
      <c r="BG179" s="618">
        <f t="shared" si="561"/>
        <v>1.39</v>
      </c>
      <c r="BH179" s="618">
        <f t="shared" si="562"/>
        <v>1.43</v>
      </c>
      <c r="BI179" s="618">
        <f t="shared" si="563"/>
        <v>1.44</v>
      </c>
      <c r="BJ179" s="618">
        <f t="shared" si="564"/>
        <v>0</v>
      </c>
      <c r="BK179" s="618">
        <f t="shared" si="565"/>
        <v>0</v>
      </c>
      <c r="BL179" s="618">
        <f t="shared" si="566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462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75"/>
        <v>86.36363636363636</v>
      </c>
      <c r="AL180" s="618">
        <f t="shared" si="676"/>
        <v>88.63636363636364</v>
      </c>
      <c r="AM180" s="618">
        <f t="shared" si="677"/>
        <v>63.636363636363633</v>
      </c>
      <c r="AN180" s="618">
        <f t="shared" si="678"/>
        <v>47.727272727272727</v>
      </c>
      <c r="AO180" s="618">
        <f t="shared" si="679"/>
        <v>52.72727272727272</v>
      </c>
      <c r="AP180" s="618">
        <f t="shared" si="680"/>
        <v>51.515151515151516</v>
      </c>
      <c r="AQ180" s="618">
        <f t="shared" si="681"/>
        <v>57.142857142857139</v>
      </c>
      <c r="AR180" s="618">
        <f t="shared" si="682"/>
        <v>66.666666666666657</v>
      </c>
      <c r="AS180" s="618">
        <f t="shared" si="683"/>
        <v>66.666666666666657</v>
      </c>
      <c r="AT180" s="618">
        <f t="shared" si="684"/>
        <v>0</v>
      </c>
      <c r="AU180" s="618">
        <f t="shared" si="685"/>
        <v>0</v>
      </c>
      <c r="AV180" s="618">
        <f t="shared" si="686"/>
        <v>0</v>
      </c>
      <c r="AX180" t="str">
        <v>Jumlah Penambahan Pelanggan Produk Tematik</v>
      </c>
      <c r="AY180" s="105" t="s">
        <v>458</v>
      </c>
      <c r="AZ180">
        <v>2</v>
      </c>
      <c r="BA180" s="618">
        <f t="shared" si="555"/>
        <v>1.72</v>
      </c>
      <c r="BB180" s="618">
        <f t="shared" si="556"/>
        <v>1.77</v>
      </c>
      <c r="BC180" s="618">
        <f t="shared" si="557"/>
        <v>1.27</v>
      </c>
      <c r="BD180" s="618">
        <f t="shared" si="558"/>
        <v>0.95</v>
      </c>
      <c r="BE180" s="618">
        <f t="shared" si="559"/>
        <v>1.05</v>
      </c>
      <c r="BF180" s="618">
        <f t="shared" si="560"/>
        <v>1.03</v>
      </c>
      <c r="BG180" s="618">
        <f t="shared" si="561"/>
        <v>1.1399999999999999</v>
      </c>
      <c r="BH180" s="618">
        <f t="shared" si="562"/>
        <v>1.33</v>
      </c>
      <c r="BI180" s="618">
        <f t="shared" si="563"/>
        <v>1.33</v>
      </c>
      <c r="BJ180" s="618">
        <f t="shared" si="564"/>
        <v>0</v>
      </c>
      <c r="BK180" s="618">
        <f t="shared" si="565"/>
        <v>0</v>
      </c>
      <c r="BL180" s="618">
        <f t="shared" si="566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462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75"/>
        <v>100</v>
      </c>
      <c r="AL181" s="618">
        <f t="shared" si="676"/>
        <v>100</v>
      </c>
      <c r="AM181" s="618">
        <f t="shared" si="677"/>
        <v>100</v>
      </c>
      <c r="AN181" s="618">
        <f t="shared" si="678"/>
        <v>100</v>
      </c>
      <c r="AO181" s="618">
        <f t="shared" si="679"/>
        <v>100</v>
      </c>
      <c r="AP181" s="618">
        <f t="shared" si="680"/>
        <v>100</v>
      </c>
      <c r="AQ181" s="618">
        <f t="shared" si="681"/>
        <v>100</v>
      </c>
      <c r="AR181" s="618">
        <f t="shared" si="682"/>
        <v>100</v>
      </c>
      <c r="AS181" s="618">
        <f t="shared" si="683"/>
        <v>100</v>
      </c>
      <c r="AT181" s="618">
        <f t="shared" si="684"/>
        <v>100</v>
      </c>
      <c r="AU181" s="618">
        <f t="shared" si="685"/>
        <v>100</v>
      </c>
      <c r="AV181" s="618">
        <f t="shared" si="686"/>
        <v>100</v>
      </c>
      <c r="AX181" t="str">
        <v>Implementasi Kesesuaian Sektor Bisnis sesuai KBLI 2020</v>
      </c>
      <c r="AY181" s="105" t="s">
        <v>458</v>
      </c>
      <c r="AZ181">
        <v>2</v>
      </c>
      <c r="BA181" s="618">
        <f t="shared" si="555"/>
        <v>2</v>
      </c>
      <c r="BB181" s="618">
        <f t="shared" si="556"/>
        <v>2</v>
      </c>
      <c r="BC181" s="618">
        <f t="shared" si="557"/>
        <v>2</v>
      </c>
      <c r="BD181" s="618">
        <f t="shared" si="558"/>
        <v>2</v>
      </c>
      <c r="BE181" s="618">
        <f t="shared" si="559"/>
        <v>2</v>
      </c>
      <c r="BF181" s="618">
        <f t="shared" si="560"/>
        <v>2</v>
      </c>
      <c r="BG181" s="618">
        <f t="shared" si="561"/>
        <v>2</v>
      </c>
      <c r="BH181" s="618">
        <f t="shared" si="562"/>
        <v>2</v>
      </c>
      <c r="BI181" s="618">
        <f t="shared" si="563"/>
        <v>2</v>
      </c>
      <c r="BJ181" s="618">
        <f t="shared" si="564"/>
        <v>2</v>
      </c>
      <c r="BK181" s="618">
        <f t="shared" si="565"/>
        <v>2</v>
      </c>
      <c r="BL181" s="618">
        <f t="shared" si="566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462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75"/>
        <v>33.333333333333329</v>
      </c>
      <c r="AL182" s="618">
        <f t="shared" si="676"/>
        <v>20</v>
      </c>
      <c r="AM182" s="618">
        <f t="shared" si="677"/>
        <v>15</v>
      </c>
      <c r="AN182" s="618">
        <f t="shared" si="678"/>
        <v>40.909090909090914</v>
      </c>
      <c r="AO182" s="618">
        <f t="shared" si="679"/>
        <v>45.833333333333329</v>
      </c>
      <c r="AP182" s="618">
        <f t="shared" si="680"/>
        <v>42.307692307692307</v>
      </c>
      <c r="AQ182" s="618">
        <f t="shared" si="681"/>
        <v>46.428571428571431</v>
      </c>
      <c r="AR182" s="618">
        <f t="shared" si="682"/>
        <v>46.666666666666664</v>
      </c>
      <c r="AS182" s="618">
        <f t="shared" si="683"/>
        <v>46.875</v>
      </c>
      <c r="AT182" s="618">
        <f t="shared" si="684"/>
        <v>0</v>
      </c>
      <c r="AU182" s="618">
        <f t="shared" si="685"/>
        <v>0</v>
      </c>
      <c r="AV182" s="618">
        <f t="shared" si="686"/>
        <v>0</v>
      </c>
      <c r="AX182" t="str">
        <v>Penambahan Jumlah Pelanggan Rumah Tangga Lisdes</v>
      </c>
      <c r="AY182" s="105" t="s">
        <v>458</v>
      </c>
      <c r="AZ182">
        <v>2</v>
      </c>
      <c r="BA182" s="618">
        <f t="shared" si="555"/>
        <v>0.66</v>
      </c>
      <c r="BB182" s="618">
        <f t="shared" si="556"/>
        <v>0.4</v>
      </c>
      <c r="BC182" s="618">
        <f t="shared" si="557"/>
        <v>0.3</v>
      </c>
      <c r="BD182" s="618">
        <f t="shared" si="558"/>
        <v>0.81</v>
      </c>
      <c r="BE182" s="618">
        <f t="shared" si="559"/>
        <v>0.91</v>
      </c>
      <c r="BF182" s="618">
        <f t="shared" si="560"/>
        <v>0.84</v>
      </c>
      <c r="BG182" s="618">
        <f t="shared" si="561"/>
        <v>0.92</v>
      </c>
      <c r="BH182" s="618">
        <f t="shared" si="562"/>
        <v>0.93</v>
      </c>
      <c r="BI182" s="618">
        <f t="shared" si="563"/>
        <v>0.93</v>
      </c>
      <c r="BJ182" s="618">
        <f t="shared" si="564"/>
        <v>0</v>
      </c>
      <c r="BK182" s="618">
        <f t="shared" si="565"/>
        <v>0</v>
      </c>
      <c r="BL182" s="618">
        <f t="shared" si="566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462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75"/>
        <v>57.986111111111107</v>
      </c>
      <c r="AL183" s="618">
        <f t="shared" si="676"/>
        <v>74.228395061728392</v>
      </c>
      <c r="AM183" s="618">
        <f t="shared" si="677"/>
        <v>37.719907407407412</v>
      </c>
      <c r="AN183" s="618">
        <f t="shared" si="678"/>
        <v>46.383978675645345</v>
      </c>
      <c r="AO183" s="618">
        <f t="shared" si="679"/>
        <v>47.354038065843625</v>
      </c>
      <c r="AP183" s="618">
        <f t="shared" si="680"/>
        <v>52.234686609686619</v>
      </c>
      <c r="AQ183" s="618">
        <f t="shared" si="681"/>
        <v>68.995260141093468</v>
      </c>
      <c r="AR183" s="618">
        <f t="shared" si="682"/>
        <v>73.253600823045275</v>
      </c>
      <c r="AS183" s="618">
        <f t="shared" si="683"/>
        <v>79.511477623456813</v>
      </c>
      <c r="AT183" s="618">
        <f t="shared" si="684"/>
        <v>0</v>
      </c>
      <c r="AU183" s="618">
        <f t="shared" si="685"/>
        <v>0</v>
      </c>
      <c r="AV183" s="618">
        <f t="shared" si="686"/>
        <v>0</v>
      </c>
      <c r="AX183" t="str">
        <v>Peningkatan kWh Penjualan dari Pelanggan Rumah Tangga Lisdes</v>
      </c>
      <c r="AY183" s="105" t="s">
        <v>458</v>
      </c>
      <c r="AZ183">
        <v>2</v>
      </c>
      <c r="BA183" s="618">
        <f t="shared" si="555"/>
        <v>1.1499999999999999</v>
      </c>
      <c r="BB183" s="618">
        <f t="shared" si="556"/>
        <v>1.48</v>
      </c>
      <c r="BC183" s="618">
        <f t="shared" si="557"/>
        <v>0.75</v>
      </c>
      <c r="BD183" s="618">
        <f t="shared" si="558"/>
        <v>0.92</v>
      </c>
      <c r="BE183" s="618">
        <f t="shared" si="559"/>
        <v>0.94</v>
      </c>
      <c r="BF183" s="618">
        <f t="shared" si="560"/>
        <v>1.04</v>
      </c>
      <c r="BG183" s="618">
        <f t="shared" si="561"/>
        <v>1.37</v>
      </c>
      <c r="BH183" s="618">
        <f t="shared" si="562"/>
        <v>1.46</v>
      </c>
      <c r="BI183" s="618">
        <f t="shared" si="563"/>
        <v>1.59</v>
      </c>
      <c r="BJ183" s="618">
        <f t="shared" si="564"/>
        <v>0</v>
      </c>
      <c r="BK183" s="618">
        <f t="shared" si="565"/>
        <v>0</v>
      </c>
      <c r="BL183" s="618">
        <f t="shared" si="566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462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75"/>
        <v>110</v>
      </c>
      <c r="AL184" s="618">
        <f t="shared" si="676"/>
        <v>110</v>
      </c>
      <c r="AM184" s="618">
        <f t="shared" si="677"/>
        <v>110</v>
      </c>
      <c r="AN184" s="618">
        <f t="shared" si="678"/>
        <v>110</v>
      </c>
      <c r="AO184" s="618">
        <f t="shared" si="679"/>
        <v>110</v>
      </c>
      <c r="AP184" s="618">
        <f t="shared" si="680"/>
        <v>110</v>
      </c>
      <c r="AQ184" s="618">
        <f t="shared" si="681"/>
        <v>110</v>
      </c>
      <c r="AR184" s="618">
        <f t="shared" si="682"/>
        <v>110</v>
      </c>
      <c r="AS184" s="618">
        <f t="shared" si="683"/>
        <v>110</v>
      </c>
      <c r="AT184" s="618">
        <f t="shared" si="684"/>
        <v>110</v>
      </c>
      <c r="AU184" s="618">
        <f t="shared" si="685"/>
        <v>110</v>
      </c>
      <c r="AV184" s="618">
        <f t="shared" si="686"/>
        <v>110</v>
      </c>
      <c r="AX184" t="str">
        <v>Jumlah Pengguna Swa Cam</v>
      </c>
      <c r="AY184" s="105" t="s">
        <v>458</v>
      </c>
      <c r="AZ184">
        <v>4</v>
      </c>
      <c r="BA184" s="618">
        <f t="shared" si="555"/>
        <v>4.4000000000000004</v>
      </c>
      <c r="BB184" s="618">
        <f t="shared" si="556"/>
        <v>4.4000000000000004</v>
      </c>
      <c r="BC184" s="618">
        <f t="shared" si="557"/>
        <v>4.4000000000000004</v>
      </c>
      <c r="BD184" s="618">
        <f t="shared" si="558"/>
        <v>4.4000000000000004</v>
      </c>
      <c r="BE184" s="618">
        <f t="shared" si="559"/>
        <v>4.4000000000000004</v>
      </c>
      <c r="BF184" s="618">
        <f t="shared" si="560"/>
        <v>4.4000000000000004</v>
      </c>
      <c r="BG184" s="618">
        <f t="shared" si="561"/>
        <v>4.4000000000000004</v>
      </c>
      <c r="BH184" s="618">
        <f t="shared" si="562"/>
        <v>4.4000000000000004</v>
      </c>
      <c r="BI184" s="618">
        <f t="shared" si="563"/>
        <v>4.4000000000000004</v>
      </c>
      <c r="BJ184" s="618">
        <f t="shared" si="564"/>
        <v>4.4000000000000004</v>
      </c>
      <c r="BK184" s="618">
        <f t="shared" si="565"/>
        <v>4.4000000000000004</v>
      </c>
      <c r="BL184" s="618">
        <f t="shared" si="566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462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75"/>
        <v>100</v>
      </c>
      <c r="AL185" s="618">
        <f t="shared" si="676"/>
        <v>100</v>
      </c>
      <c r="AM185" s="618">
        <f t="shared" si="677"/>
        <v>100</v>
      </c>
      <c r="AN185" s="618">
        <f t="shared" si="678"/>
        <v>100</v>
      </c>
      <c r="AO185" s="618">
        <f t="shared" si="679"/>
        <v>100</v>
      </c>
      <c r="AP185" s="618">
        <f t="shared" si="680"/>
        <v>100</v>
      </c>
      <c r="AQ185" s="618">
        <f t="shared" si="681"/>
        <v>100</v>
      </c>
      <c r="AR185" s="618">
        <f t="shared" si="682"/>
        <v>100</v>
      </c>
      <c r="AS185" s="618">
        <f t="shared" si="683"/>
        <v>100</v>
      </c>
      <c r="AT185" s="618">
        <f t="shared" si="684"/>
        <v>100</v>
      </c>
      <c r="AU185" s="618">
        <f t="shared" si="685"/>
        <v>100</v>
      </c>
      <c r="AV185" s="618">
        <f t="shared" si="686"/>
        <v>100</v>
      </c>
      <c r="AX185" t="str">
        <v>Tindak Lanjut LBKB (Laporan Bulanan Kelainan Baca Meter)</v>
      </c>
      <c r="AY185" s="105" t="s">
        <v>458</v>
      </c>
      <c r="AZ185">
        <v>4</v>
      </c>
      <c r="BA185" s="618">
        <f t="shared" si="555"/>
        <v>4</v>
      </c>
      <c r="BB185" s="618">
        <f t="shared" si="556"/>
        <v>4</v>
      </c>
      <c r="BC185" s="618">
        <f t="shared" si="557"/>
        <v>4</v>
      </c>
      <c r="BD185" s="618">
        <f t="shared" si="558"/>
        <v>4</v>
      </c>
      <c r="BE185" s="618">
        <f t="shared" si="559"/>
        <v>4</v>
      </c>
      <c r="BF185" s="618">
        <f t="shared" si="560"/>
        <v>4</v>
      </c>
      <c r="BG185" s="618">
        <f t="shared" si="561"/>
        <v>4</v>
      </c>
      <c r="BH185" s="618">
        <f t="shared" si="562"/>
        <v>4</v>
      </c>
      <c r="BI185" s="618">
        <f t="shared" si="563"/>
        <v>4</v>
      </c>
      <c r="BJ185" s="618">
        <f t="shared" si="564"/>
        <v>4</v>
      </c>
      <c r="BK185" s="618">
        <f t="shared" si="565"/>
        <v>4</v>
      </c>
      <c r="BL185" s="618">
        <f t="shared" si="566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462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75"/>
        <v>100</v>
      </c>
      <c r="AL186" s="618">
        <f t="shared" si="676"/>
        <v>100</v>
      </c>
      <c r="AM186" s="618">
        <f t="shared" si="677"/>
        <v>100</v>
      </c>
      <c r="AN186" s="618">
        <f t="shared" si="678"/>
        <v>100</v>
      </c>
      <c r="AO186" s="618">
        <f t="shared" si="679"/>
        <v>100</v>
      </c>
      <c r="AP186" s="618">
        <f t="shared" si="680"/>
        <v>100</v>
      </c>
      <c r="AQ186" s="618">
        <f t="shared" si="681"/>
        <v>100</v>
      </c>
      <c r="AR186" s="618">
        <f t="shared" si="682"/>
        <v>100</v>
      </c>
      <c r="AS186" s="618">
        <f t="shared" si="683"/>
        <v>100</v>
      </c>
      <c r="AT186" s="618">
        <f t="shared" si="684"/>
        <v>100</v>
      </c>
      <c r="AU186" s="618">
        <f t="shared" si="685"/>
        <v>100</v>
      </c>
      <c r="AV186" s="618">
        <f t="shared" si="686"/>
        <v>100</v>
      </c>
      <c r="AX186" t="str">
        <v>Sisa Stand Bongkar Migrasi</v>
      </c>
      <c r="AY186" s="105" t="s">
        <v>458</v>
      </c>
      <c r="AZ186">
        <v>3</v>
      </c>
      <c r="BA186" s="618">
        <f t="shared" si="555"/>
        <v>3</v>
      </c>
      <c r="BB186" s="618">
        <f t="shared" si="556"/>
        <v>3</v>
      </c>
      <c r="BC186" s="618">
        <f t="shared" si="557"/>
        <v>3</v>
      </c>
      <c r="BD186" s="618">
        <f t="shared" si="558"/>
        <v>3</v>
      </c>
      <c r="BE186" s="618">
        <f t="shared" si="559"/>
        <v>3</v>
      </c>
      <c r="BF186" s="618">
        <f t="shared" si="560"/>
        <v>3</v>
      </c>
      <c r="BG186" s="618">
        <f t="shared" si="561"/>
        <v>3</v>
      </c>
      <c r="BH186" s="618">
        <f t="shared" si="562"/>
        <v>3</v>
      </c>
      <c r="BI186" s="618">
        <f t="shared" si="563"/>
        <v>3</v>
      </c>
      <c r="BJ186" s="618">
        <f t="shared" si="564"/>
        <v>3</v>
      </c>
      <c r="BK186" s="618">
        <f t="shared" si="565"/>
        <v>3</v>
      </c>
      <c r="BL186" s="618">
        <f t="shared" si="566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462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87">IFERROR(IF((2-(V187/G187))*100&gt;110,110,(2-(V187/G187))*100),100)</f>
        <v>77.782898870056499</v>
      </c>
      <c r="AL187" s="618">
        <f t="shared" ref="AL187:AL188" si="688">IFERROR(IF((2-(W187/H187))*100&gt;110,110,(2-(W187/H187))*100),100)</f>
        <v>110</v>
      </c>
      <c r="AM187" s="618">
        <f t="shared" ref="AM187:AM188" si="689">IFERROR(IF((2-(X187/I187))*100&gt;110,110,(2-(X187/I187))*100),100)</f>
        <v>110</v>
      </c>
      <c r="AN187" s="618">
        <f t="shared" ref="AN187:AN188" si="690">IFERROR(IF((2-(Y187/J187))*100&gt;110,110,(2-(Y187/J187))*100),100)</f>
        <v>110</v>
      </c>
      <c r="AO187" s="618">
        <f t="shared" ref="AO187:AO188" si="691">IFERROR(IF((2-(Z187/K187))*100&gt;110,110,(2-(Z187/K187))*100),100)</f>
        <v>110</v>
      </c>
      <c r="AP187" s="618">
        <f t="shared" ref="AP187:AP188" si="692">IFERROR(IF((2-(AA187/L187))*100&gt;110,110,(2-(AA187/L187))*100),100)</f>
        <v>110</v>
      </c>
      <c r="AQ187" s="618">
        <f t="shared" ref="AQ187:AQ188" si="693">IFERROR(IF((2-(AB187/M187))*100&gt;110,110,(2-(AB187/M187))*100),100)</f>
        <v>110</v>
      </c>
      <c r="AR187" s="618">
        <f t="shared" ref="AR187:AR188" si="694">IFERROR(IF((2-(AC187/N187))*100&gt;110,110,(2-(AC187/N187))*100),100)</f>
        <v>110</v>
      </c>
      <c r="AS187" s="618">
        <f t="shared" ref="AS187:AS188" si="695">IFERROR(IF((2-(AD187/O187))*100&gt;110,110,(2-(AD187/O187))*100),100)</f>
        <v>110</v>
      </c>
      <c r="AT187" s="618">
        <f t="shared" ref="AT187:AT188" si="696">IFERROR(IF((2-(AE187/P187))*100&gt;110,110,(2-(AE187/P187))*100),100)</f>
        <v>110</v>
      </c>
      <c r="AU187" s="618">
        <f t="shared" ref="AU187:AU188" si="697">IFERROR(IF((2-(AF187/Q187))*100&gt;110,110,(2-(AF187/Q187))*100),100)</f>
        <v>110</v>
      </c>
      <c r="AV187" s="618">
        <f t="shared" ref="AV187:AV188" si="698">IFERROR(IF((2-(AG187/R187))*100&gt;110,110,(2-(AG187/R187))*100),100)</f>
        <v>110</v>
      </c>
      <c r="AX187" t="str">
        <v>Persentase Rata-Rata Saldo Tanggal 20 Non Kogol 1 dan Non Kogol 2</v>
      </c>
      <c r="AY187" s="105" t="s">
        <v>458</v>
      </c>
      <c r="AZ187">
        <v>3</v>
      </c>
      <c r="BA187" s="618">
        <f t="shared" si="555"/>
        <v>2.33</v>
      </c>
      <c r="BB187" s="618">
        <f t="shared" si="556"/>
        <v>3.3</v>
      </c>
      <c r="BC187" s="618">
        <f t="shared" si="557"/>
        <v>3.3</v>
      </c>
      <c r="BD187" s="618">
        <f t="shared" si="558"/>
        <v>3.3</v>
      </c>
      <c r="BE187" s="618">
        <f t="shared" si="559"/>
        <v>3.3</v>
      </c>
      <c r="BF187" s="618">
        <f t="shared" si="560"/>
        <v>3.3</v>
      </c>
      <c r="BG187" s="618">
        <f t="shared" si="561"/>
        <v>3.3</v>
      </c>
      <c r="BH187" s="618">
        <f t="shared" si="562"/>
        <v>3.3</v>
      </c>
      <c r="BI187" s="618">
        <f t="shared" si="563"/>
        <v>3.3</v>
      </c>
      <c r="BJ187" s="618">
        <f t="shared" si="564"/>
        <v>3.3</v>
      </c>
      <c r="BK187" s="618">
        <f t="shared" si="565"/>
        <v>3.3</v>
      </c>
      <c r="BL187" s="618">
        <f t="shared" si="566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462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87"/>
        <v>74.394508393285363</v>
      </c>
      <c r="AL188" s="618">
        <f t="shared" si="688"/>
        <v>110</v>
      </c>
      <c r="AM188" s="618">
        <f t="shared" si="689"/>
        <v>110</v>
      </c>
      <c r="AN188" s="618">
        <f t="shared" si="690"/>
        <v>110</v>
      </c>
      <c r="AO188" s="618">
        <f t="shared" si="691"/>
        <v>110</v>
      </c>
      <c r="AP188" s="618">
        <f t="shared" si="692"/>
        <v>110</v>
      </c>
      <c r="AQ188" s="618">
        <f t="shared" si="693"/>
        <v>110</v>
      </c>
      <c r="AR188" s="618">
        <f t="shared" si="694"/>
        <v>110</v>
      </c>
      <c r="AS188" s="618">
        <f t="shared" si="695"/>
        <v>110</v>
      </c>
      <c r="AT188" s="618">
        <f t="shared" si="696"/>
        <v>110</v>
      </c>
      <c r="AU188" s="618">
        <f t="shared" si="697"/>
        <v>110</v>
      </c>
      <c r="AV188" s="618">
        <f t="shared" si="698"/>
        <v>110</v>
      </c>
      <c r="AX188" t="str">
        <v>Pencapaian Saldo Rata-Rata Akhir Bulan Non Kogol 1 dan Non Kogol 2</v>
      </c>
      <c r="AY188" s="105" t="s">
        <v>458</v>
      </c>
      <c r="AZ188">
        <v>3</v>
      </c>
      <c r="BA188" s="618">
        <f t="shared" si="555"/>
        <v>2.23</v>
      </c>
      <c r="BB188" s="618">
        <f t="shared" si="556"/>
        <v>3.3</v>
      </c>
      <c r="BC188" s="618">
        <f t="shared" si="557"/>
        <v>3.3</v>
      </c>
      <c r="BD188" s="618">
        <f t="shared" si="558"/>
        <v>3.3</v>
      </c>
      <c r="BE188" s="618">
        <f t="shared" si="559"/>
        <v>3.3</v>
      </c>
      <c r="BF188" s="618">
        <f t="shared" si="560"/>
        <v>3.3</v>
      </c>
      <c r="BG188" s="618">
        <f t="shared" si="561"/>
        <v>3.3</v>
      </c>
      <c r="BH188" s="618">
        <f t="shared" si="562"/>
        <v>3.3</v>
      </c>
      <c r="BI188" s="618">
        <f t="shared" si="563"/>
        <v>3.3</v>
      </c>
      <c r="BJ188" s="618">
        <f t="shared" si="564"/>
        <v>3.3</v>
      </c>
      <c r="BK188" s="618">
        <f t="shared" si="565"/>
        <v>3.3</v>
      </c>
      <c r="BL188" s="618">
        <f t="shared" si="566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462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99">IFERROR(IF(V189/G189*100&gt;110,110,V189/G189*100),100)</f>
        <v>100</v>
      </c>
      <c r="AL189" s="618">
        <f t="shared" ref="AL189" si="700">IFERROR(IF(W189/H189*100&gt;110,110,W189/H189*100),100)</f>
        <v>100</v>
      </c>
      <c r="AM189" s="618">
        <f t="shared" ref="AM189" si="701">IFERROR(IF(X189/I189*100&gt;110,110,X189/I189*100),100)</f>
        <v>100</v>
      </c>
      <c r="AN189" s="618">
        <f t="shared" ref="AN189" si="702">IFERROR(IF(Y189/J189*100&gt;110,110,Y189/J189*100),100)</f>
        <v>100</v>
      </c>
      <c r="AO189" s="618">
        <f t="shared" ref="AO189" si="703">IFERROR(IF(Z189/K189*100&gt;110,110,Z189/K189*100),100)</f>
        <v>100</v>
      </c>
      <c r="AP189" s="618">
        <f t="shared" ref="AP189" si="704">IFERROR(IF(AA189/L189*100&gt;110,110,AA189/L189*100),100)</f>
        <v>100</v>
      </c>
      <c r="AQ189" s="618">
        <f t="shared" ref="AQ189" si="705">IFERROR(IF(AB189/M189*100&gt;110,110,AB189/M189*100),100)</f>
        <v>100</v>
      </c>
      <c r="AR189" s="618">
        <f t="shared" ref="AR189" si="706">IFERROR(IF(AC189/N189*100&gt;110,110,AC189/N189*100),100)</f>
        <v>100</v>
      </c>
      <c r="AS189" s="618">
        <f t="shared" ref="AS189" si="707">IFERROR(IF(AD189/O189*100&gt;110,110,AD189/O189*100),100)</f>
        <v>100</v>
      </c>
      <c r="AT189" s="618">
        <f t="shared" ref="AT189" si="708">IFERROR(IF(AE189/P189*100&gt;110,110,AE189/P189*100),100)</f>
        <v>100</v>
      </c>
      <c r="AU189" s="618">
        <f t="shared" ref="AU189" si="709">IFERROR(IF(AF189/Q189*100&gt;110,110,AF189/Q189*100),100)</f>
        <v>100</v>
      </c>
      <c r="AV189" s="618">
        <f t="shared" ref="AV189" si="710">IFERROR(IF(AG189/R189*100&gt;110,110,AG189/R189*100),100)</f>
        <v>100</v>
      </c>
      <c r="AX189" t="str">
        <v>Pencapaian Pelunasan PRR</v>
      </c>
      <c r="AY189" s="105" t="s">
        <v>458</v>
      </c>
      <c r="AZ189">
        <v>3</v>
      </c>
      <c r="BA189" s="618">
        <f t="shared" si="555"/>
        <v>3</v>
      </c>
      <c r="BB189" s="618">
        <f t="shared" si="556"/>
        <v>3</v>
      </c>
      <c r="BC189" s="618">
        <f t="shared" si="557"/>
        <v>3</v>
      </c>
      <c r="BD189" s="618">
        <f t="shared" si="558"/>
        <v>3</v>
      </c>
      <c r="BE189" s="618">
        <f t="shared" si="559"/>
        <v>3</v>
      </c>
      <c r="BF189" s="618">
        <f t="shared" si="560"/>
        <v>3</v>
      </c>
      <c r="BG189" s="618">
        <f t="shared" si="561"/>
        <v>3</v>
      </c>
      <c r="BH189" s="618">
        <f t="shared" si="562"/>
        <v>3</v>
      </c>
      <c r="BI189" s="618">
        <f t="shared" si="563"/>
        <v>3</v>
      </c>
      <c r="BJ189" s="618">
        <f t="shared" si="564"/>
        <v>3</v>
      </c>
      <c r="BK189" s="618">
        <f t="shared" si="565"/>
        <v>3</v>
      </c>
      <c r="BL189" s="618">
        <f t="shared" si="566"/>
        <v>3</v>
      </c>
    </row>
    <row r="200" spans="1:64">
      <c r="A200" s="750" t="s">
        <v>6</v>
      </c>
      <c r="B200" s="750"/>
      <c r="C200" s="750"/>
      <c r="D200" s="750"/>
    </row>
    <row r="201" spans="1:64">
      <c r="A201" s="750"/>
      <c r="B201" s="750"/>
      <c r="C201" s="750"/>
      <c r="D201" s="750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0"/>
      <c r="B202" s="750"/>
      <c r="C202" s="750"/>
      <c r="D202" s="750"/>
      <c r="AZ202" t="s">
        <v>254</v>
      </c>
      <c r="BA202" s="625">
        <f>SUM(BA205:BA234)</f>
        <v>93.620000000000019</v>
      </c>
      <c r="BB202" s="625">
        <f t="shared" ref="BB202:BI202" si="711">SUM(BB205:BB234)</f>
        <v>91.65</v>
      </c>
      <c r="BC202" s="625">
        <f t="shared" si="711"/>
        <v>97.929999999999978</v>
      </c>
      <c r="BD202" s="625">
        <f t="shared" si="711"/>
        <v>98.360000000000014</v>
      </c>
      <c r="BE202" s="625">
        <f t="shared" si="711"/>
        <v>97.539999999999992</v>
      </c>
      <c r="BF202" s="625">
        <f t="shared" si="711"/>
        <v>101.43</v>
      </c>
      <c r="BG202" s="625">
        <f t="shared" si="711"/>
        <v>102.19</v>
      </c>
      <c r="BH202" s="625">
        <f t="shared" si="711"/>
        <v>102.86</v>
      </c>
      <c r="BI202" s="625">
        <f t="shared" si="711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454</v>
      </c>
      <c r="B204" t="s">
        <v>455</v>
      </c>
      <c r="C204" t="s">
        <v>456</v>
      </c>
      <c r="E204" s="21" t="s">
        <v>457</v>
      </c>
      <c r="G204" s="616">
        <f>DATE(2025,G203+1,0)</f>
        <v>45688</v>
      </c>
      <c r="H204" s="616">
        <f t="shared" ref="H204:R204" si="712">DATE(2025,H203+1,0)</f>
        <v>45716</v>
      </c>
      <c r="I204" s="616">
        <f t="shared" si="712"/>
        <v>45747</v>
      </c>
      <c r="J204" s="616">
        <f t="shared" si="712"/>
        <v>45777</v>
      </c>
      <c r="K204" s="616">
        <f t="shared" si="712"/>
        <v>45808</v>
      </c>
      <c r="L204" s="616">
        <f t="shared" si="712"/>
        <v>45838</v>
      </c>
      <c r="M204" s="616">
        <f t="shared" si="712"/>
        <v>45869</v>
      </c>
      <c r="N204" s="616">
        <f t="shared" si="712"/>
        <v>45900</v>
      </c>
      <c r="O204" s="616">
        <f t="shared" si="712"/>
        <v>45930</v>
      </c>
      <c r="P204" s="616">
        <f t="shared" si="712"/>
        <v>45961</v>
      </c>
      <c r="Q204" s="616">
        <f t="shared" si="712"/>
        <v>45991</v>
      </c>
      <c r="R204" s="616">
        <f t="shared" si="712"/>
        <v>46022</v>
      </c>
      <c r="T204" s="21" t="s">
        <v>457</v>
      </c>
      <c r="V204" s="616">
        <f>DATE(2025,V203+1,0)</f>
        <v>45688</v>
      </c>
      <c r="W204" s="616">
        <f t="shared" ref="W204:AG204" si="713">DATE(2025,W203+1,0)</f>
        <v>45716</v>
      </c>
      <c r="X204" s="616">
        <f t="shared" si="713"/>
        <v>45747</v>
      </c>
      <c r="Y204" s="616">
        <f t="shared" si="713"/>
        <v>45777</v>
      </c>
      <c r="Z204" s="616">
        <f t="shared" si="713"/>
        <v>45808</v>
      </c>
      <c r="AA204" s="616">
        <f t="shared" si="713"/>
        <v>45838</v>
      </c>
      <c r="AB204" s="616">
        <f t="shared" si="713"/>
        <v>45869</v>
      </c>
      <c r="AC204" s="616">
        <f t="shared" si="713"/>
        <v>45900</v>
      </c>
      <c r="AD204" s="616">
        <f t="shared" si="713"/>
        <v>45930</v>
      </c>
      <c r="AE204" s="616">
        <f t="shared" si="713"/>
        <v>45961</v>
      </c>
      <c r="AF204" s="616">
        <f t="shared" si="713"/>
        <v>45991</v>
      </c>
      <c r="AG204" s="616">
        <f t="shared" si="713"/>
        <v>46022</v>
      </c>
      <c r="AI204" s="21" t="s">
        <v>457</v>
      </c>
      <c r="AK204" s="616">
        <f>DATE(2025,AK203+1,0)</f>
        <v>45688</v>
      </c>
      <c r="AL204" s="616">
        <f t="shared" ref="AL204:AV204" si="714">DATE(2025,AL203+1,0)</f>
        <v>45716</v>
      </c>
      <c r="AM204" s="616">
        <f t="shared" si="714"/>
        <v>45747</v>
      </c>
      <c r="AN204" s="616">
        <f t="shared" si="714"/>
        <v>45777</v>
      </c>
      <c r="AO204" s="616">
        <f t="shared" si="714"/>
        <v>45808</v>
      </c>
      <c r="AP204" s="616">
        <f t="shared" si="714"/>
        <v>45838</v>
      </c>
      <c r="AQ204" s="616">
        <f t="shared" si="714"/>
        <v>45869</v>
      </c>
      <c r="AR204" s="616">
        <f t="shared" si="714"/>
        <v>45900</v>
      </c>
      <c r="AS204" s="616">
        <f t="shared" si="714"/>
        <v>45930</v>
      </c>
      <c r="AT204" s="616">
        <f t="shared" si="714"/>
        <v>45961</v>
      </c>
      <c r="AU204" s="616">
        <f t="shared" si="714"/>
        <v>45991</v>
      </c>
      <c r="AV204" s="616">
        <f t="shared" si="714"/>
        <v>46022</v>
      </c>
      <c r="AX204" s="21" t="s">
        <v>457</v>
      </c>
      <c r="BA204" s="616">
        <f>DATE(2025,BA203+1,0)</f>
        <v>45688</v>
      </c>
      <c r="BB204" s="616">
        <f t="shared" ref="BB204:BL204" si="715">DATE(2025,BB203+1,0)</f>
        <v>45716</v>
      </c>
      <c r="BC204" s="616">
        <f t="shared" si="715"/>
        <v>45747</v>
      </c>
      <c r="BD204" s="616">
        <f t="shared" si="715"/>
        <v>45777</v>
      </c>
      <c r="BE204" s="616">
        <f t="shared" si="715"/>
        <v>45808</v>
      </c>
      <c r="BF204" s="616">
        <f t="shared" si="715"/>
        <v>45838</v>
      </c>
      <c r="BG204" s="616">
        <f t="shared" si="715"/>
        <v>45869</v>
      </c>
      <c r="BH204" s="616">
        <f t="shared" si="715"/>
        <v>45900</v>
      </c>
      <c r="BI204" s="616">
        <f t="shared" si="715"/>
        <v>45930</v>
      </c>
      <c r="BJ204" s="616">
        <f t="shared" si="715"/>
        <v>45961</v>
      </c>
      <c r="BK204" s="616">
        <f t="shared" si="715"/>
        <v>45991</v>
      </c>
      <c r="BL204" s="616">
        <f t="shared" si="715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462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716">IF(W205/H205*100&gt;110,110,W205/H205*100)</f>
        <v>110</v>
      </c>
      <c r="AM205" s="618">
        <f t="shared" ref="AM205" si="717">IF(X205/I205*100&gt;110,110,X205/I205*100)</f>
        <v>110</v>
      </c>
      <c r="AN205" s="618">
        <f t="shared" ref="AN205" si="718">IF(Y205/J205*100&gt;110,110,Y205/J205*100)</f>
        <v>105.66726066382977</v>
      </c>
      <c r="AO205" s="618">
        <f t="shared" ref="AO205" si="719">IF(Z205/K205*100&gt;110,110,Z205/K205*100)</f>
        <v>102.59580498987168</v>
      </c>
      <c r="AP205" s="618">
        <f t="shared" ref="AP205" si="720">IF(AA205/L205*100&gt;110,110,AA205/L205*100)</f>
        <v>102.27277364253391</v>
      </c>
      <c r="AQ205" s="618">
        <f t="shared" ref="AQ205" si="721">IF(AB205/M205*100&gt;110,110,AB205/M205*100)</f>
        <v>102.59437122815531</v>
      </c>
      <c r="AR205" s="618">
        <f t="shared" ref="AR205" si="722">IF(AC205/N205*100&gt;110,110,AC205/N205*100)</f>
        <v>102.0065874480712</v>
      </c>
      <c r="AS205" s="618">
        <f t="shared" ref="AS205" si="723">IF(AD205/O205*100&gt;110,110,AD205/O205*100)</f>
        <v>101.30581273205561</v>
      </c>
      <c r="AT205" s="618">
        <f t="shared" ref="AT205" si="724">IF(AE205/P205*100&gt;110,110,AE205/P205*100)</f>
        <v>0</v>
      </c>
      <c r="AU205" s="618">
        <f t="shared" ref="AU205" si="725">IF(AF205/Q205*100&gt;110,110,AF205/Q205*100)</f>
        <v>0</v>
      </c>
      <c r="AV205" s="618">
        <f t="shared" ref="AV205" si="726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458</v>
      </c>
      <c r="AZ205">
        <v>14</v>
      </c>
      <c r="BA205" s="618">
        <f t="shared" ref="BA205:BA234" si="727">ROUNDDOWN(AK205/100*$AZ205,2)</f>
        <v>15.4</v>
      </c>
      <c r="BB205" s="618">
        <f t="shared" ref="BB205:BB234" si="728">ROUNDDOWN(AL205/100*$AZ205,2)</f>
        <v>15.4</v>
      </c>
      <c r="BC205" s="618">
        <f t="shared" ref="BC205:BC234" si="729">ROUNDDOWN(AM205/100*$AZ205,2)</f>
        <v>15.4</v>
      </c>
      <c r="BD205" s="618">
        <f t="shared" ref="BD205:BD234" si="730">ROUNDDOWN(AN205/100*$AZ205,2)</f>
        <v>14.79</v>
      </c>
      <c r="BE205" s="618">
        <f t="shared" ref="BE205:BE234" si="731">ROUNDDOWN(AO205/100*$AZ205,2)</f>
        <v>14.36</v>
      </c>
      <c r="BF205" s="618">
        <f t="shared" ref="BF205:BF234" si="732">ROUNDDOWN(AP205/100*$AZ205,2)</f>
        <v>14.31</v>
      </c>
      <c r="BG205" s="618">
        <f t="shared" ref="BG205:BG234" si="733">ROUNDDOWN(AQ205/100*$AZ205,2)</f>
        <v>14.36</v>
      </c>
      <c r="BH205" s="618">
        <f t="shared" ref="BH205:BH234" si="734">ROUNDDOWN(AR205/100*$AZ205,2)</f>
        <v>14.28</v>
      </c>
      <c r="BI205" s="618">
        <f t="shared" ref="BI205:BI234" si="735">ROUNDDOWN(AS205/100*$AZ205,2)</f>
        <v>14.18</v>
      </c>
      <c r="BJ205" s="618">
        <f t="shared" ref="BJ205:BJ234" si="736">ROUNDDOWN(AT205/100*$AZ205,2)</f>
        <v>0</v>
      </c>
      <c r="BK205" s="618">
        <f t="shared" ref="BK205:BK234" si="737">ROUNDDOWN(AU205/100*$AZ205,2)</f>
        <v>0</v>
      </c>
      <c r="BL205" s="618">
        <f t="shared" ref="BL205:BL234" si="738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462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39">IF((2-(V206/G206))*100&gt;110,110,(2-(V206/G206))*100)</f>
        <v>110</v>
      </c>
      <c r="AL206" s="618">
        <f t="shared" ref="AL206:AL207" si="740">IF((2-(W206/H206))*100&gt;110,110,(2-(W206/H206))*100)</f>
        <v>110</v>
      </c>
      <c r="AM206" s="618">
        <f t="shared" ref="AM206:AM207" si="741">IF((2-(X206/I206))*100&gt;110,110,(2-(X206/I206))*100)</f>
        <v>110</v>
      </c>
      <c r="AN206" s="618">
        <f t="shared" ref="AN206:AN207" si="742">IF((2-(Y206/J206))*100&gt;110,110,(2-(Y206/J206))*100)</f>
        <v>110</v>
      </c>
      <c r="AO206" s="618">
        <f t="shared" ref="AO206:AO207" si="743">IF((2-(Z206/K206))*100&gt;110,110,(2-(Z206/K206))*100)</f>
        <v>110</v>
      </c>
      <c r="AP206" s="618">
        <f t="shared" ref="AP206:AP207" si="744">IF((2-(AA206/L206))*100&gt;110,110,(2-(AA206/L206))*100)</f>
        <v>110</v>
      </c>
      <c r="AQ206" s="618">
        <f t="shared" ref="AQ206:AQ207" si="745">IF((2-(AB206/M206))*100&gt;110,110,(2-(AB206/M206))*100)</f>
        <v>110</v>
      </c>
      <c r="AR206" s="618">
        <f t="shared" ref="AR206:AR207" si="746">IF((2-(AC206/N206))*100&gt;110,110,(2-(AC206/N206))*100)</f>
        <v>110</v>
      </c>
      <c r="AS206" s="618">
        <f t="shared" ref="AS206:AS207" si="747">IF((2-(AD206/O206))*100&gt;110,110,(2-(AD206/O206))*100)</f>
        <v>110</v>
      </c>
      <c r="AT206" s="618">
        <f t="shared" ref="AT206:AT207" si="748">IF((2-(AE206/P206))*100&gt;110,110,(2-(AE206/P206))*100)</f>
        <v>110</v>
      </c>
      <c r="AU206" s="618">
        <f t="shared" ref="AU206:AU207" si="749">IF((2-(AF206/Q206))*100&gt;110,110,(2-(AF206/Q206))*100)</f>
        <v>110</v>
      </c>
      <c r="AV206" s="618">
        <f t="shared" ref="AV206:AV207" si="750">IF((2-(AG206/R206))*100&gt;110,110,(2-(AG206/R206))*100)</f>
        <v>110</v>
      </c>
      <c r="AX206" t="str">
        <v>SAIDI (sesuai kewenangan)</v>
      </c>
      <c r="AY206" s="105" t="s">
        <v>458</v>
      </c>
      <c r="AZ206">
        <v>6</v>
      </c>
      <c r="BA206" s="618">
        <f t="shared" si="727"/>
        <v>6.6</v>
      </c>
      <c r="BB206" s="618">
        <f t="shared" si="728"/>
        <v>6.6</v>
      </c>
      <c r="BC206" s="618">
        <f t="shared" si="729"/>
        <v>6.6</v>
      </c>
      <c r="BD206" s="618">
        <f t="shared" si="730"/>
        <v>6.6</v>
      </c>
      <c r="BE206" s="618">
        <f t="shared" si="731"/>
        <v>6.6</v>
      </c>
      <c r="BF206" s="618">
        <f t="shared" si="732"/>
        <v>6.6</v>
      </c>
      <c r="BG206" s="618">
        <f t="shared" si="733"/>
        <v>6.6</v>
      </c>
      <c r="BH206" s="618">
        <f t="shared" si="734"/>
        <v>6.6</v>
      </c>
      <c r="BI206" s="618">
        <f t="shared" si="735"/>
        <v>6.6</v>
      </c>
      <c r="BJ206" s="618">
        <f t="shared" si="736"/>
        <v>6.6</v>
      </c>
      <c r="BK206" s="618">
        <f t="shared" si="737"/>
        <v>6.6</v>
      </c>
      <c r="BL206" s="618">
        <f t="shared" si="738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462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39"/>
        <v>110</v>
      </c>
      <c r="AL207" s="618">
        <f t="shared" si="740"/>
        <v>110</v>
      </c>
      <c r="AM207" s="618">
        <f t="shared" si="741"/>
        <v>110</v>
      </c>
      <c r="AN207" s="618">
        <f t="shared" si="742"/>
        <v>110</v>
      </c>
      <c r="AO207" s="618">
        <f t="shared" si="743"/>
        <v>110</v>
      </c>
      <c r="AP207" s="618">
        <f t="shared" si="744"/>
        <v>110</v>
      </c>
      <c r="AQ207" s="618">
        <f t="shared" si="745"/>
        <v>110</v>
      </c>
      <c r="AR207" s="618">
        <f t="shared" si="746"/>
        <v>110</v>
      </c>
      <c r="AS207" s="618">
        <f t="shared" si="747"/>
        <v>110</v>
      </c>
      <c r="AT207" s="618">
        <f t="shared" si="748"/>
        <v>110</v>
      </c>
      <c r="AU207" s="618">
        <f t="shared" si="749"/>
        <v>110</v>
      </c>
      <c r="AV207" s="618">
        <f t="shared" si="750"/>
        <v>110</v>
      </c>
      <c r="AX207" t="str">
        <v>SAIFI (sesuai kewenangan)</v>
      </c>
      <c r="AY207" s="105" t="s">
        <v>458</v>
      </c>
      <c r="AZ207">
        <v>6</v>
      </c>
      <c r="BA207" s="618">
        <f t="shared" si="727"/>
        <v>6.6</v>
      </c>
      <c r="BB207" s="618">
        <f t="shared" si="728"/>
        <v>6.6</v>
      </c>
      <c r="BC207" s="618">
        <f t="shared" si="729"/>
        <v>6.6</v>
      </c>
      <c r="BD207" s="618">
        <f t="shared" si="730"/>
        <v>6.6</v>
      </c>
      <c r="BE207" s="618">
        <f t="shared" si="731"/>
        <v>6.6</v>
      </c>
      <c r="BF207" s="618">
        <f t="shared" si="732"/>
        <v>6.6</v>
      </c>
      <c r="BG207" s="618">
        <f t="shared" si="733"/>
        <v>6.6</v>
      </c>
      <c r="BH207" s="618">
        <f t="shared" si="734"/>
        <v>6.6</v>
      </c>
      <c r="BI207" s="618">
        <f t="shared" si="735"/>
        <v>6.6</v>
      </c>
      <c r="BJ207" s="618">
        <f t="shared" si="736"/>
        <v>6.6</v>
      </c>
      <c r="BK207" s="618">
        <f t="shared" si="737"/>
        <v>6.6</v>
      </c>
      <c r="BL207" s="618">
        <f t="shared" si="738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462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51">IF(((G208-(V208-G208))/G208)*100&gt;110,110,((G208-(V208-G208))/G208)*100)</f>
        <v>110</v>
      </c>
      <c r="AL208" s="618">
        <f t="shared" ref="AL208" si="752">IF(((H208-(W208-H208))/H208)*100&gt;110,110,((H208-(W208-H208))/H208)*100)</f>
        <v>110</v>
      </c>
      <c r="AM208" s="618">
        <f t="shared" ref="AM208" si="753">IF(((I208-(X208-I208))/I208)*100&gt;110,110,((I208-(X208-I208))/I208)*100)</f>
        <v>110</v>
      </c>
      <c r="AN208" s="618">
        <f t="shared" ref="AN208" si="754">IF(((J208-(Y208-J208))/J208)*100&gt;110,110,((J208-(Y208-J208))/J208)*100)</f>
        <v>110</v>
      </c>
      <c r="AO208" s="618">
        <f t="shared" ref="AO208" si="755">IF(((K208-(Z208-K208))/K208)*100&gt;110,110,((K208-(Z208-K208))/K208)*100)</f>
        <v>110</v>
      </c>
      <c r="AP208" s="618">
        <f t="shared" ref="AP208" si="756">IF(((L208-(AA208-L208))/L208)*100&gt;110,110,((L208-(AA208-L208))/L208)*100)</f>
        <v>110</v>
      </c>
      <c r="AQ208" s="618">
        <f t="shared" ref="AQ208" si="757">IF(((M208-(AB208-M208))/M208)*100&gt;110,110,((M208-(AB208-M208))/M208)*100)</f>
        <v>110</v>
      </c>
      <c r="AR208" s="618">
        <f t="shared" ref="AR208" si="758">IF(((N208-(AC208-N208))/N208)*100&gt;110,110,((N208-(AC208-N208))/N208)*100)</f>
        <v>110</v>
      </c>
      <c r="AS208" s="618">
        <f t="shared" ref="AS208" si="759">IF(((O208-(AD208-O208))/O208)*100&gt;110,110,((O208-(AD208-O208))/O208)*100)</f>
        <v>110</v>
      </c>
      <c r="AT208" s="618">
        <f t="shared" ref="AT208" si="760">IF(((P208-(AE208-P208))/P208)*100&gt;110,110,((P208-(AE208-P208))/P208)*100)</f>
        <v>110</v>
      </c>
      <c r="AU208" s="618">
        <f t="shared" ref="AU208" si="761">IF(((Q208-(AF208-Q208))/Q208)*100&gt;110,110,((Q208-(AF208-Q208))/Q208)*100)</f>
        <v>110</v>
      </c>
      <c r="AV208" s="618">
        <f t="shared" ref="AV208" si="762">IF(((R208-(AG208-R208))/R208)*100&gt;110,110,((R208-(AG208-R208))/R208)*100)</f>
        <v>110</v>
      </c>
      <c r="AX208" t="str">
        <v>ENS (sesuai kewenangan)</v>
      </c>
      <c r="AY208" s="105" t="s">
        <v>458</v>
      </c>
      <c r="AZ208">
        <v>2</v>
      </c>
      <c r="BA208" s="618">
        <f t="shared" si="727"/>
        <v>2.2000000000000002</v>
      </c>
      <c r="BB208" s="618">
        <f t="shared" si="728"/>
        <v>2.2000000000000002</v>
      </c>
      <c r="BC208" s="618">
        <f t="shared" si="729"/>
        <v>2.2000000000000002</v>
      </c>
      <c r="BD208" s="618">
        <f t="shared" si="730"/>
        <v>2.2000000000000002</v>
      </c>
      <c r="BE208" s="618">
        <f t="shared" si="731"/>
        <v>2.2000000000000002</v>
      </c>
      <c r="BF208" s="618">
        <f t="shared" si="732"/>
        <v>2.2000000000000002</v>
      </c>
      <c r="BG208" s="618">
        <f t="shared" si="733"/>
        <v>2.2000000000000002</v>
      </c>
      <c r="BH208" s="618">
        <f t="shared" si="734"/>
        <v>2.2000000000000002</v>
      </c>
      <c r="BI208" s="618">
        <f t="shared" si="735"/>
        <v>2.2000000000000002</v>
      </c>
      <c r="BJ208" s="618">
        <f t="shared" si="736"/>
        <v>2.2000000000000002</v>
      </c>
      <c r="BK208" s="618">
        <f t="shared" si="737"/>
        <v>2.2000000000000002</v>
      </c>
      <c r="BL208" s="618">
        <f t="shared" si="738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462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63">IF((2-(V209/G209))*100&gt;110,110,(2-(V209/G209))*100)</f>
        <v>110</v>
      </c>
      <c r="AL209" s="618">
        <f t="shared" ref="AL209" si="764">IF((2-(W209/H209))*100&gt;110,110,(2-(W209/H209))*100)</f>
        <v>110</v>
      </c>
      <c r="AM209" s="618">
        <f t="shared" ref="AM209" si="765">IF((2-(X209/I209))*100&gt;110,110,(2-(X209/I209))*100)</f>
        <v>110</v>
      </c>
      <c r="AN209" s="618">
        <f t="shared" ref="AN209" si="766">IF((2-(Y209/J209))*100&gt;110,110,(2-(Y209/J209))*100)</f>
        <v>110</v>
      </c>
      <c r="AO209" s="618">
        <f t="shared" ref="AO209" si="767">IF((2-(Z209/K209))*100&gt;110,110,(2-(Z209/K209))*100)</f>
        <v>110</v>
      </c>
      <c r="AP209" s="618">
        <f t="shared" ref="AP209" si="768">IF((2-(AA209/L209))*100&gt;110,110,(2-(AA209/L209))*100)</f>
        <v>110</v>
      </c>
      <c r="AQ209" s="618">
        <f t="shared" ref="AQ209" si="769">IF((2-(AB209/M209))*100&gt;110,110,(2-(AB209/M209))*100)</f>
        <v>110</v>
      </c>
      <c r="AR209" s="618">
        <f t="shared" ref="AR209" si="770">IF((2-(AC209/N209))*100&gt;110,110,(2-(AC209/N209))*100)</f>
        <v>110</v>
      </c>
      <c r="AS209" s="618">
        <f t="shared" ref="AS209" si="771">IF((2-(AD209/O209))*100&gt;110,110,(2-(AD209/O209))*100)</f>
        <v>110</v>
      </c>
      <c r="AT209" s="618">
        <f t="shared" ref="AT209" si="772">IF((2-(AE209/P209))*100&gt;110,110,(2-(AE209/P209))*100)</f>
        <v>110</v>
      </c>
      <c r="AU209" s="618">
        <f t="shared" ref="AU209" si="773">IF((2-(AF209/Q209))*100&gt;110,110,(2-(AF209/Q209))*100)</f>
        <v>110</v>
      </c>
      <c r="AV209" s="618">
        <f t="shared" ref="AV209" si="774">IF((2-(AG209/R209))*100&gt;110,110,(2-(AG209/R209))*100)</f>
        <v>110</v>
      </c>
      <c r="AX209" t="str">
        <v>Susut Distribusi Tanpa E-min (sesuai kewenangan)</v>
      </c>
      <c r="AY209" s="105" t="s">
        <v>458</v>
      </c>
      <c r="AZ209">
        <v>4</v>
      </c>
      <c r="BA209" s="618">
        <f t="shared" si="727"/>
        <v>4.4000000000000004</v>
      </c>
      <c r="BB209" s="618">
        <f t="shared" si="728"/>
        <v>4.4000000000000004</v>
      </c>
      <c r="BC209" s="618">
        <f t="shared" si="729"/>
        <v>4.4000000000000004</v>
      </c>
      <c r="BD209" s="618">
        <f t="shared" si="730"/>
        <v>4.4000000000000004</v>
      </c>
      <c r="BE209" s="618">
        <f t="shared" si="731"/>
        <v>4.4000000000000004</v>
      </c>
      <c r="BF209" s="618">
        <f t="shared" si="732"/>
        <v>4.4000000000000004</v>
      </c>
      <c r="BG209" s="618">
        <f t="shared" si="733"/>
        <v>4.4000000000000004</v>
      </c>
      <c r="BH209" s="618">
        <f t="shared" si="734"/>
        <v>4.4000000000000004</v>
      </c>
      <c r="BI209" s="618">
        <f t="shared" si="735"/>
        <v>4.4000000000000004</v>
      </c>
      <c r="BJ209" s="618">
        <f t="shared" si="736"/>
        <v>4.4000000000000004</v>
      </c>
      <c r="BK209" s="618">
        <f t="shared" si="737"/>
        <v>4.4000000000000004</v>
      </c>
      <c r="BL209" s="618">
        <f t="shared" si="738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462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75">IF(V210/G210*100&gt;110,110,V210/G210*100)</f>
        <v>0</v>
      </c>
      <c r="AL210" s="618">
        <f t="shared" ref="AL210:AL211" si="776">IF(W210/H210*100&gt;110,110,W210/H210*100)</f>
        <v>19.625416666666663</v>
      </c>
      <c r="AM210" s="618">
        <f t="shared" ref="AM210:AM211" si="777">IF(X210/I210*100&gt;110,110,X210/I210*100)</f>
        <v>15.74888888888889</v>
      </c>
      <c r="AN210" s="618">
        <f t="shared" ref="AN210:AN211" si="778">IF(Y210/J210*100&gt;110,110,Y210/J210*100)</f>
        <v>26.861249999999991</v>
      </c>
      <c r="AO210" s="618">
        <f t="shared" ref="AO210:AO211" si="779">IF(Z210/K210*100&gt;110,110,Z210/K210*100)</f>
        <v>21.489000000000001</v>
      </c>
      <c r="AP210" s="618">
        <f t="shared" ref="AP210:AP211" si="780">IF(AA210/L210*100&gt;110,110,AA210/L210*100)</f>
        <v>110</v>
      </c>
      <c r="AQ210" s="618">
        <f t="shared" ref="AQ210:AQ211" si="781">IF(AB210/M210*100&gt;110,110,AB210/M210*100)</f>
        <v>110</v>
      </c>
      <c r="AR210" s="618">
        <f t="shared" ref="AR210:AR211" si="782">IF(AC210/N210*100&gt;110,110,AC210/N210*100)</f>
        <v>110</v>
      </c>
      <c r="AS210" s="618">
        <f t="shared" ref="AS210:AS211" si="783">IF(AD210/O210*100&gt;110,110,AD210/O210*100)</f>
        <v>110</v>
      </c>
      <c r="AT210" s="618">
        <f t="shared" ref="AT210:AT211" si="784">IF(AE210/P210*100&gt;110,110,AE210/P210*100)</f>
        <v>110</v>
      </c>
      <c r="AU210" s="618">
        <f t="shared" ref="AU210:AU211" si="785">IF(AF210/Q210*100&gt;110,110,AF210/Q210*100)</f>
        <v>110</v>
      </c>
      <c r="AV210" s="618">
        <f t="shared" ref="AV210:AV211" si="786">IF(AG210/R210*100&gt;110,110,AG210/R210*100)</f>
        <v>110</v>
      </c>
      <c r="AX210" t="str">
        <v>Penyelesaian Temuan P2TL</v>
      </c>
      <c r="AY210" s="105" t="s">
        <v>458</v>
      </c>
      <c r="AZ210">
        <v>4</v>
      </c>
      <c r="BA210" s="618">
        <f t="shared" si="727"/>
        <v>0</v>
      </c>
      <c r="BB210" s="618">
        <f t="shared" si="728"/>
        <v>0.78</v>
      </c>
      <c r="BC210" s="618">
        <f t="shared" si="729"/>
        <v>0.62</v>
      </c>
      <c r="BD210" s="618">
        <f t="shared" si="730"/>
        <v>1.07</v>
      </c>
      <c r="BE210" s="618">
        <f t="shared" si="731"/>
        <v>0.85</v>
      </c>
      <c r="BF210" s="618">
        <f t="shared" si="732"/>
        <v>4.4000000000000004</v>
      </c>
      <c r="BG210" s="618">
        <f t="shared" si="733"/>
        <v>4.4000000000000004</v>
      </c>
      <c r="BH210" s="618">
        <f t="shared" si="734"/>
        <v>4.4000000000000004</v>
      </c>
      <c r="BI210" s="618">
        <f t="shared" si="735"/>
        <v>4.4000000000000004</v>
      </c>
      <c r="BJ210" s="618">
        <f t="shared" si="736"/>
        <v>4.4000000000000004</v>
      </c>
      <c r="BK210" s="618">
        <f t="shared" si="737"/>
        <v>4.4000000000000004</v>
      </c>
      <c r="BL210" s="618">
        <f t="shared" si="738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462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75"/>
        <v>6.1224489795918364</v>
      </c>
      <c r="AL211" s="618">
        <f t="shared" si="776"/>
        <v>5.1546391752577314</v>
      </c>
      <c r="AM211" s="618">
        <f t="shared" si="777"/>
        <v>98.620689655172413</v>
      </c>
      <c r="AN211" s="618">
        <f t="shared" si="778"/>
        <v>110</v>
      </c>
      <c r="AO211" s="618">
        <f t="shared" si="779"/>
        <v>110</v>
      </c>
      <c r="AP211" s="618">
        <f t="shared" si="780"/>
        <v>110</v>
      </c>
      <c r="AQ211" s="618">
        <f t="shared" si="781"/>
        <v>110</v>
      </c>
      <c r="AR211" s="618">
        <f t="shared" si="782"/>
        <v>110</v>
      </c>
      <c r="AS211" s="618">
        <f t="shared" si="783"/>
        <v>97.42710120068611</v>
      </c>
      <c r="AT211" s="618">
        <f t="shared" si="784"/>
        <v>82.558139534883722</v>
      </c>
      <c r="AU211" s="618">
        <f t="shared" si="785"/>
        <v>82.558139534883722</v>
      </c>
      <c r="AV211" s="618">
        <f t="shared" si="786"/>
        <v>82.558139534883722</v>
      </c>
      <c r="AX211" t="str">
        <v>Penyelesaian Ganti Meter</v>
      </c>
      <c r="AY211" s="105" t="s">
        <v>458</v>
      </c>
      <c r="AZ211">
        <v>4</v>
      </c>
      <c r="BA211" s="618">
        <f t="shared" si="727"/>
        <v>0.24</v>
      </c>
      <c r="BB211" s="618">
        <f t="shared" si="728"/>
        <v>0.2</v>
      </c>
      <c r="BC211" s="618">
        <f t="shared" si="729"/>
        <v>3.94</v>
      </c>
      <c r="BD211" s="618">
        <f t="shared" si="730"/>
        <v>4.4000000000000004</v>
      </c>
      <c r="BE211" s="618">
        <f t="shared" si="731"/>
        <v>4.4000000000000004</v>
      </c>
      <c r="BF211" s="618">
        <f t="shared" si="732"/>
        <v>4.4000000000000004</v>
      </c>
      <c r="BG211" s="618">
        <f t="shared" si="733"/>
        <v>4.4000000000000004</v>
      </c>
      <c r="BH211" s="618">
        <f t="shared" si="734"/>
        <v>4.4000000000000004</v>
      </c>
      <c r="BI211" s="618">
        <f t="shared" si="735"/>
        <v>3.89</v>
      </c>
      <c r="BJ211" s="618">
        <f t="shared" si="736"/>
        <v>3.3</v>
      </c>
      <c r="BK211" s="618">
        <f t="shared" si="737"/>
        <v>3.3</v>
      </c>
      <c r="BL211" s="618">
        <f t="shared" si="738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462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87">IF(((G212-(V212-G212))/G212)*100&gt;110,110,((G212-(V212-G212))/G212)*100)</f>
        <v>110</v>
      </c>
      <c r="AL212" s="618">
        <f t="shared" ref="AL212" si="788">IF(((H212-(W212-H212))/H212)*100&gt;110,110,((H212-(W212-H212))/H212)*100)</f>
        <v>110</v>
      </c>
      <c r="AM212" s="618">
        <f t="shared" ref="AM212" si="789">IF(((I212-(X212-I212))/I212)*100&gt;110,110,((I212-(X212-I212))/I212)*100)</f>
        <v>110</v>
      </c>
      <c r="AN212" s="618">
        <f t="shared" ref="AN212" si="790">IF(((J212-(Y212-J212))/J212)*100&gt;110,110,((J212-(Y212-J212))/J212)*100)</f>
        <v>110</v>
      </c>
      <c r="AO212" s="618">
        <f t="shared" ref="AO212" si="791">IF(((K212-(Z212-K212))/K212)*100&gt;110,110,((K212-(Z212-K212))/K212)*100)</f>
        <v>110</v>
      </c>
      <c r="AP212" s="618">
        <f t="shared" ref="AP212" si="792">IF(((L212-(AA212-L212))/L212)*100&gt;110,110,((L212-(AA212-L212))/L212)*100)</f>
        <v>110</v>
      </c>
      <c r="AQ212" s="618">
        <f t="shared" ref="AQ212" si="793">IF(((M212-(AB212-M212))/M212)*100&gt;110,110,((M212-(AB212-M212))/M212)*100)</f>
        <v>110</v>
      </c>
      <c r="AR212" s="618">
        <f t="shared" ref="AR212" si="794">IF(((N212-(AC212-N212))/N212)*100&gt;110,110,((N212-(AC212-N212))/N212)*100)</f>
        <v>110</v>
      </c>
      <c r="AS212" s="618">
        <f t="shared" ref="AS212" si="795">IF(((O212-(AD212-O212))/O212)*100&gt;110,110,((O212-(AD212-O212))/O212)*100)</f>
        <v>110</v>
      </c>
      <c r="AT212" s="618">
        <f t="shared" ref="AT212" si="796">IF(((P212-(AE212-P212))/P212)*100&gt;110,110,((P212-(AE212-P212))/P212)*100)</f>
        <v>110</v>
      </c>
      <c r="AU212" s="618">
        <f t="shared" ref="AU212" si="797">IF(((Q212-(AF212-Q212))/Q212)*100&gt;110,110,((Q212-(AF212-Q212))/Q212)*100)</f>
        <v>110</v>
      </c>
      <c r="AV212" s="618">
        <f t="shared" ref="AV212" si="798">IF(((R212-(AG212-R212))/R212)*100&gt;110,110,((R212-(AG212-R212))/R212)*100)</f>
        <v>110</v>
      </c>
      <c r="AX212" t="str">
        <v>Gangguan TM &gt; 5 Menit</v>
      </c>
      <c r="AY212" s="105" t="s">
        <v>458</v>
      </c>
      <c r="AZ212">
        <v>3</v>
      </c>
      <c r="BA212" s="618">
        <f t="shared" si="727"/>
        <v>3.3</v>
      </c>
      <c r="BB212" s="618">
        <f t="shared" si="728"/>
        <v>3.3</v>
      </c>
      <c r="BC212" s="618">
        <f t="shared" si="729"/>
        <v>3.3</v>
      </c>
      <c r="BD212" s="618">
        <f t="shared" si="730"/>
        <v>3.3</v>
      </c>
      <c r="BE212" s="618">
        <f t="shared" si="731"/>
        <v>3.3</v>
      </c>
      <c r="BF212" s="618">
        <f t="shared" si="732"/>
        <v>3.3</v>
      </c>
      <c r="BG212" s="618">
        <f t="shared" si="733"/>
        <v>3.3</v>
      </c>
      <c r="BH212" s="618">
        <f t="shared" si="734"/>
        <v>3.3</v>
      </c>
      <c r="BI212" s="618">
        <f t="shared" si="735"/>
        <v>3.3</v>
      </c>
      <c r="BJ212" s="618">
        <f t="shared" si="736"/>
        <v>3.3</v>
      </c>
      <c r="BK212" s="618">
        <f t="shared" si="737"/>
        <v>3.3</v>
      </c>
      <c r="BL212" s="618">
        <f t="shared" si="738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462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99">IF((2-(V213/G213))*100&gt;110,110,(2-(V213/G213))*100)</f>
        <v>110</v>
      </c>
      <c r="AL213" s="618">
        <f t="shared" ref="AL213" si="800">IF((2-(W213/H213))*100&gt;110,110,(2-(W213/H213))*100)</f>
        <v>66.666666666666671</v>
      </c>
      <c r="AM213" s="618">
        <f t="shared" ref="AM213" si="801">IF((2-(X213/I213))*100&gt;110,110,(2-(X213/I213))*100)</f>
        <v>110</v>
      </c>
      <c r="AN213" s="618">
        <f t="shared" ref="AN213" si="802">IF((2-(Y213/J213))*100&gt;110,110,(2-(Y213/J213))*100)</f>
        <v>110</v>
      </c>
      <c r="AO213" s="618">
        <f t="shared" ref="AO213" si="803">IF((2-(Z213/K213))*100&gt;110,110,(2-(Z213/K213))*100)</f>
        <v>110</v>
      </c>
      <c r="AP213" s="618">
        <f t="shared" ref="AP213" si="804">IF((2-(AA213/L213))*100&gt;110,110,(2-(AA213/L213))*100)</f>
        <v>110</v>
      </c>
      <c r="AQ213" s="618">
        <f t="shared" ref="AQ213" si="805">IF((2-(AB213/M213))*100&gt;110,110,(2-(AB213/M213))*100)</f>
        <v>110</v>
      </c>
      <c r="AR213" s="618">
        <f t="shared" ref="AR213" si="806">IF((2-(AC213/N213))*100&gt;110,110,(2-(AC213/N213))*100)</f>
        <v>110</v>
      </c>
      <c r="AS213" s="618">
        <f t="shared" ref="AS213" si="807">IF((2-(AD213/O213))*100&gt;110,110,(2-(AD213/O213))*100)</f>
        <v>110</v>
      </c>
      <c r="AT213" s="618">
        <f t="shared" ref="AT213" si="808">IF((2-(AE213/P213))*100&gt;110,110,(2-(AE213/P213))*100)</f>
        <v>110</v>
      </c>
      <c r="AU213" s="618">
        <f t="shared" ref="AU213" si="809">IF((2-(AF213/Q213))*100&gt;110,110,(2-(AF213/Q213))*100)</f>
        <v>110</v>
      </c>
      <c r="AV213" s="618">
        <f t="shared" ref="AV213" si="810">IF((2-(AG213/R213))*100&gt;110,110,(2-(AG213/R213))*100)</f>
        <v>110</v>
      </c>
      <c r="AX213" t="str">
        <v>Gangguan TM ≤ 5 Menit</v>
      </c>
      <c r="AY213" s="105" t="s">
        <v>458</v>
      </c>
      <c r="AZ213">
        <v>3</v>
      </c>
      <c r="BA213" s="618">
        <f t="shared" si="727"/>
        <v>3.3</v>
      </c>
      <c r="BB213" s="618">
        <f t="shared" si="728"/>
        <v>2</v>
      </c>
      <c r="BC213" s="618">
        <f t="shared" si="729"/>
        <v>3.3</v>
      </c>
      <c r="BD213" s="618">
        <f t="shared" si="730"/>
        <v>3.3</v>
      </c>
      <c r="BE213" s="618">
        <f t="shared" si="731"/>
        <v>3.3</v>
      </c>
      <c r="BF213" s="618">
        <f t="shared" si="732"/>
        <v>3.3</v>
      </c>
      <c r="BG213" s="618">
        <f t="shared" si="733"/>
        <v>3.3</v>
      </c>
      <c r="BH213" s="618">
        <f t="shared" si="734"/>
        <v>3.3</v>
      </c>
      <c r="BI213" s="618">
        <f t="shared" si="735"/>
        <v>3.3</v>
      </c>
      <c r="BJ213" s="618">
        <f t="shared" si="736"/>
        <v>3.3</v>
      </c>
      <c r="BK213" s="618">
        <f t="shared" si="737"/>
        <v>3.3</v>
      </c>
      <c r="BL213" s="618">
        <f t="shared" si="738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462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811">IFERROR(IF((2-(V214/G214))*100&gt;110,110,(2-(V214/G214))*100),100)</f>
        <v>100</v>
      </c>
      <c r="AL214" s="618">
        <f t="shared" ref="AL214:AL216" si="812">IFERROR(IF((2-(W214/H214))*100&gt;110,110,(2-(W214/H214))*100),100)</f>
        <v>100</v>
      </c>
      <c r="AM214" s="618">
        <f t="shared" ref="AM214:AM216" si="813">IFERROR(IF((2-(X214/I214))*100&gt;110,110,(2-(X214/I214))*100),100)</f>
        <v>110</v>
      </c>
      <c r="AN214" s="618">
        <f t="shared" ref="AN214:AN216" si="814">IFERROR(IF((2-(Y214/J214))*100&gt;110,110,(2-(Y214/J214))*100),100)</f>
        <v>110</v>
      </c>
      <c r="AO214" s="618">
        <f t="shared" ref="AO214:AO216" si="815">IFERROR(IF((2-(Z214/K214))*100&gt;110,110,(2-(Z214/K214))*100),100)</f>
        <v>110</v>
      </c>
      <c r="AP214" s="618">
        <f t="shared" ref="AP214:AP216" si="816">IFERROR(IF((2-(AA214/L214))*100&gt;110,110,(2-(AA214/L214))*100),100)</f>
        <v>110</v>
      </c>
      <c r="AQ214" s="618">
        <f t="shared" ref="AQ214:AQ216" si="817">IFERROR(IF((2-(AB214/M214))*100&gt;110,110,(2-(AB214/M214))*100),100)</f>
        <v>110</v>
      </c>
      <c r="AR214" s="618">
        <f t="shared" ref="AR214:AR216" si="818">IFERROR(IF((2-(AC214/N214))*100&gt;110,110,(2-(AC214/N214))*100),100)</f>
        <v>110</v>
      </c>
      <c r="AS214" s="618">
        <f t="shared" ref="AS214:AS216" si="819">IFERROR(IF((2-(AD214/O214))*100&gt;110,110,(2-(AD214/O214))*100),100)</f>
        <v>110</v>
      </c>
      <c r="AT214" s="618">
        <f t="shared" ref="AT214:AT216" si="820">IFERROR(IF((2-(AE214/P214))*100&gt;110,110,(2-(AE214/P214))*100),100)</f>
        <v>110</v>
      </c>
      <c r="AU214" s="618">
        <f t="shared" ref="AU214:AU216" si="821">IFERROR(IF((2-(AF214/Q214))*100&gt;110,110,(2-(AF214/Q214))*100),100)</f>
        <v>110</v>
      </c>
      <c r="AV214" s="618">
        <f t="shared" ref="AV214:AV216" si="822">IFERROR(IF((2-(AG214/R214))*100&gt;110,110,(2-(AG214/R214))*100),100)</f>
        <v>110</v>
      </c>
      <c r="AX214" t="str">
        <v>Kerusakan Peralatan Distribusi (PHB TM dan Trafo) Sesuai Kewenangan</v>
      </c>
      <c r="AY214" s="105" t="s">
        <v>458</v>
      </c>
      <c r="AZ214">
        <v>3</v>
      </c>
      <c r="BA214" s="618">
        <f t="shared" si="727"/>
        <v>3</v>
      </c>
      <c r="BB214" s="618">
        <f t="shared" si="728"/>
        <v>3</v>
      </c>
      <c r="BC214" s="618">
        <f t="shared" si="729"/>
        <v>3.3</v>
      </c>
      <c r="BD214" s="618">
        <f t="shared" si="730"/>
        <v>3.3</v>
      </c>
      <c r="BE214" s="618">
        <f t="shared" si="731"/>
        <v>3.3</v>
      </c>
      <c r="BF214" s="618">
        <f t="shared" si="732"/>
        <v>3.3</v>
      </c>
      <c r="BG214" s="618">
        <f t="shared" si="733"/>
        <v>3.3</v>
      </c>
      <c r="BH214" s="618">
        <f t="shared" si="734"/>
        <v>3.3</v>
      </c>
      <c r="BI214" s="618">
        <f t="shared" si="735"/>
        <v>3.3</v>
      </c>
      <c r="BJ214" s="618">
        <f t="shared" si="736"/>
        <v>3.3</v>
      </c>
      <c r="BK214" s="618">
        <f t="shared" si="737"/>
        <v>3.3</v>
      </c>
      <c r="BL214" s="618">
        <f t="shared" si="738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462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811"/>
        <v>110</v>
      </c>
      <c r="AL215" s="618">
        <f t="shared" si="812"/>
        <v>110</v>
      </c>
      <c r="AM215" s="618">
        <f t="shared" si="813"/>
        <v>110</v>
      </c>
      <c r="AN215" s="618">
        <f t="shared" si="814"/>
        <v>110</v>
      </c>
      <c r="AO215" s="618">
        <f t="shared" si="815"/>
        <v>110</v>
      </c>
      <c r="AP215" s="618">
        <f t="shared" si="816"/>
        <v>110</v>
      </c>
      <c r="AQ215" s="618">
        <f t="shared" si="817"/>
        <v>110</v>
      </c>
      <c r="AR215" s="618">
        <f t="shared" si="818"/>
        <v>110</v>
      </c>
      <c r="AS215" s="618">
        <f t="shared" si="819"/>
        <v>110</v>
      </c>
      <c r="AT215" s="618">
        <f t="shared" si="820"/>
        <v>110</v>
      </c>
      <c r="AU215" s="618">
        <f t="shared" si="821"/>
        <v>110</v>
      </c>
      <c r="AV215" s="618">
        <f t="shared" si="822"/>
        <v>110</v>
      </c>
      <c r="AX215" t="str">
        <v>Feedback Rating Negatif pada PLN Mobile - Gangguan</v>
      </c>
      <c r="AY215" s="105" t="s">
        <v>458</v>
      </c>
      <c r="AZ215">
        <v>2</v>
      </c>
      <c r="BA215" s="618">
        <f t="shared" si="727"/>
        <v>2.2000000000000002</v>
      </c>
      <c r="BB215" s="618">
        <f t="shared" si="728"/>
        <v>2.2000000000000002</v>
      </c>
      <c r="BC215" s="618">
        <f t="shared" si="729"/>
        <v>2.2000000000000002</v>
      </c>
      <c r="BD215" s="618">
        <f t="shared" si="730"/>
        <v>2.2000000000000002</v>
      </c>
      <c r="BE215" s="618">
        <f t="shared" si="731"/>
        <v>2.2000000000000002</v>
      </c>
      <c r="BF215" s="618">
        <f t="shared" si="732"/>
        <v>2.2000000000000002</v>
      </c>
      <c r="BG215" s="618">
        <f t="shared" si="733"/>
        <v>2.2000000000000002</v>
      </c>
      <c r="BH215" s="618">
        <f t="shared" si="734"/>
        <v>2.2000000000000002</v>
      </c>
      <c r="BI215" s="618">
        <f t="shared" si="735"/>
        <v>2.2000000000000002</v>
      </c>
      <c r="BJ215" s="618">
        <f t="shared" si="736"/>
        <v>2.2000000000000002</v>
      </c>
      <c r="BK215" s="618">
        <f t="shared" si="737"/>
        <v>2.2000000000000002</v>
      </c>
      <c r="BL215" s="618">
        <f t="shared" si="738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462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811"/>
        <v>110</v>
      </c>
      <c r="AL216" s="618">
        <f t="shared" si="812"/>
        <v>110</v>
      </c>
      <c r="AM216" s="618">
        <f t="shared" si="813"/>
        <v>110</v>
      </c>
      <c r="AN216" s="618">
        <f t="shared" si="814"/>
        <v>110</v>
      </c>
      <c r="AO216" s="618">
        <f t="shared" si="815"/>
        <v>110</v>
      </c>
      <c r="AP216" s="618">
        <f t="shared" si="816"/>
        <v>110</v>
      </c>
      <c r="AQ216" s="618">
        <f t="shared" si="817"/>
        <v>110</v>
      </c>
      <c r="AR216" s="618">
        <f t="shared" si="818"/>
        <v>110</v>
      </c>
      <c r="AS216" s="618">
        <f t="shared" si="819"/>
        <v>110</v>
      </c>
      <c r="AT216" s="618">
        <f t="shared" si="820"/>
        <v>110</v>
      </c>
      <c r="AU216" s="618">
        <f t="shared" si="821"/>
        <v>110</v>
      </c>
      <c r="AV216" s="618">
        <f t="shared" si="822"/>
        <v>110</v>
      </c>
      <c r="AX216" t="str">
        <v>Pengaduan Gangguan Berulang pada PLN Mobile</v>
      </c>
      <c r="AY216" s="105" t="s">
        <v>458</v>
      </c>
      <c r="AZ216">
        <v>2</v>
      </c>
      <c r="BA216" s="618">
        <f t="shared" si="727"/>
        <v>2.2000000000000002</v>
      </c>
      <c r="BB216" s="618">
        <f t="shared" si="728"/>
        <v>2.2000000000000002</v>
      </c>
      <c r="BC216" s="618">
        <f t="shared" si="729"/>
        <v>2.2000000000000002</v>
      </c>
      <c r="BD216" s="618">
        <f t="shared" si="730"/>
        <v>2.2000000000000002</v>
      </c>
      <c r="BE216" s="618">
        <f t="shared" si="731"/>
        <v>2.2000000000000002</v>
      </c>
      <c r="BF216" s="618">
        <f t="shared" si="732"/>
        <v>2.2000000000000002</v>
      </c>
      <c r="BG216" s="618">
        <f t="shared" si="733"/>
        <v>2.2000000000000002</v>
      </c>
      <c r="BH216" s="618">
        <f t="shared" si="734"/>
        <v>2.2000000000000002</v>
      </c>
      <c r="BI216" s="618">
        <f t="shared" si="735"/>
        <v>2.2000000000000002</v>
      </c>
      <c r="BJ216" s="618">
        <f t="shared" si="736"/>
        <v>2.2000000000000002</v>
      </c>
      <c r="BK216" s="618">
        <f t="shared" si="737"/>
        <v>2.2000000000000002</v>
      </c>
      <c r="BL216" s="618">
        <f t="shared" si="738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462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23">IF(V217/G217*100&gt;110,110,V217/G217*100)</f>
        <v>100.20408163265306</v>
      </c>
      <c r="AL217" s="618">
        <f t="shared" ref="AL217:AL218" si="824">IF(W217/H217*100&gt;110,110,W217/H217*100)</f>
        <v>100.20408163265306</v>
      </c>
      <c r="AM217" s="618">
        <f t="shared" ref="AM217:AM218" si="825">IF(X217/I217*100&gt;110,110,X217/I217*100)</f>
        <v>100.20408163265306</v>
      </c>
      <c r="AN217" s="618">
        <f t="shared" ref="AN217:AN218" si="826">IF(Y217/J217*100&gt;110,110,Y217/J217*100)</f>
        <v>100.20408163265306</v>
      </c>
      <c r="AO217" s="618">
        <f t="shared" ref="AO217:AO218" si="827">IF(Z217/K217*100&gt;110,110,Z217/K217*100)</f>
        <v>100</v>
      </c>
      <c r="AP217" s="618">
        <f t="shared" ref="AP217:AP218" si="828">IF(AA217/L217*100&gt;110,110,AA217/L217*100)</f>
        <v>100</v>
      </c>
      <c r="AQ217" s="618">
        <f t="shared" ref="AQ217:AQ218" si="829">IF(AB217/M217*100&gt;110,110,AB217/M217*100)</f>
        <v>100</v>
      </c>
      <c r="AR217" s="618">
        <f t="shared" ref="AR217:AR218" si="830">IF(AC217/N217*100&gt;110,110,AC217/N217*100)</f>
        <v>100</v>
      </c>
      <c r="AS217" s="618">
        <f t="shared" ref="AS217:AS218" si="831">IF(AD217/O217*100&gt;110,110,AD217/O217*100)</f>
        <v>100</v>
      </c>
      <c r="AT217" s="618">
        <f t="shared" ref="AT217:AT218" si="832">IF(AE217/P217*100&gt;110,110,AE217/P217*100)</f>
        <v>100</v>
      </c>
      <c r="AU217" s="618">
        <f t="shared" ref="AU217:AU218" si="833">IF(AF217/Q217*100&gt;110,110,AF217/Q217*100)</f>
        <v>100</v>
      </c>
      <c r="AV217" s="618">
        <f t="shared" ref="AV217:AV218" si="834">IF(AG217/R217*100&gt;110,110,AG217/R217*100)</f>
        <v>100</v>
      </c>
      <c r="AX217" t="str">
        <v>Rating PLN Mobile</v>
      </c>
      <c r="AY217" s="105" t="s">
        <v>458</v>
      </c>
      <c r="AZ217">
        <v>2</v>
      </c>
      <c r="BA217" s="618">
        <f t="shared" si="727"/>
        <v>2</v>
      </c>
      <c r="BB217" s="618">
        <f t="shared" si="728"/>
        <v>2</v>
      </c>
      <c r="BC217" s="618">
        <f t="shared" si="729"/>
        <v>2</v>
      </c>
      <c r="BD217" s="618">
        <f t="shared" si="730"/>
        <v>2</v>
      </c>
      <c r="BE217" s="618">
        <f t="shared" si="731"/>
        <v>2</v>
      </c>
      <c r="BF217" s="618">
        <f t="shared" si="732"/>
        <v>2</v>
      </c>
      <c r="BG217" s="618">
        <f t="shared" si="733"/>
        <v>2</v>
      </c>
      <c r="BH217" s="618">
        <f t="shared" si="734"/>
        <v>2</v>
      </c>
      <c r="BI217" s="618">
        <f t="shared" si="735"/>
        <v>2</v>
      </c>
      <c r="BJ217" s="618">
        <f t="shared" si="736"/>
        <v>2</v>
      </c>
      <c r="BK217" s="618">
        <f t="shared" si="737"/>
        <v>2</v>
      </c>
      <c r="BL217" s="618">
        <f t="shared" si="738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462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23"/>
        <v>32.214765100671137</v>
      </c>
      <c r="AL218" s="618">
        <f t="shared" si="824"/>
        <v>42.115869017632242</v>
      </c>
      <c r="AM218" s="618">
        <f t="shared" si="825"/>
        <v>93.1000330141961</v>
      </c>
      <c r="AN218" s="618">
        <f t="shared" si="826"/>
        <v>110</v>
      </c>
      <c r="AO218" s="618">
        <f t="shared" si="827"/>
        <v>110</v>
      </c>
      <c r="AP218" s="618">
        <f t="shared" si="828"/>
        <v>110</v>
      </c>
      <c r="AQ218" s="618">
        <f t="shared" si="829"/>
        <v>110</v>
      </c>
      <c r="AR218" s="618">
        <f t="shared" si="830"/>
        <v>110</v>
      </c>
      <c r="AS218" s="618">
        <f t="shared" si="831"/>
        <v>110</v>
      </c>
      <c r="AT218" s="618">
        <f t="shared" si="832"/>
        <v>0</v>
      </c>
      <c r="AU218" s="618">
        <f t="shared" si="833"/>
        <v>0</v>
      </c>
      <c r="AV218" s="618">
        <f t="shared" si="834"/>
        <v>0</v>
      </c>
      <c r="AX218" t="str">
        <v>Jumlah Kali Transaksi Keuangan melalui PLN Mobile</v>
      </c>
      <c r="AY218" s="105" t="s">
        <v>458</v>
      </c>
      <c r="AZ218">
        <v>2</v>
      </c>
      <c r="BA218" s="618">
        <f t="shared" si="727"/>
        <v>0.64</v>
      </c>
      <c r="BB218" s="618">
        <f t="shared" si="728"/>
        <v>0.84</v>
      </c>
      <c r="BC218" s="618">
        <f t="shared" si="729"/>
        <v>1.86</v>
      </c>
      <c r="BD218" s="618">
        <f t="shared" si="730"/>
        <v>2.2000000000000002</v>
      </c>
      <c r="BE218" s="618">
        <f t="shared" si="731"/>
        <v>2.2000000000000002</v>
      </c>
      <c r="BF218" s="618">
        <f t="shared" si="732"/>
        <v>2.2000000000000002</v>
      </c>
      <c r="BG218" s="618">
        <f t="shared" si="733"/>
        <v>2.2000000000000002</v>
      </c>
      <c r="BH218" s="618">
        <f t="shared" si="734"/>
        <v>2.2000000000000002</v>
      </c>
      <c r="BI218" s="618">
        <f t="shared" si="735"/>
        <v>2.2000000000000002</v>
      </c>
      <c r="BJ218" s="618">
        <f t="shared" si="736"/>
        <v>0</v>
      </c>
      <c r="BK218" s="618">
        <f t="shared" si="737"/>
        <v>0</v>
      </c>
      <c r="BL218" s="618">
        <f t="shared" si="738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462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35">IFERROR(IF((2-(V219/G219))*100&gt;110,110,(2-(V219/G219))*100),100)</f>
        <v>110</v>
      </c>
      <c r="AL219" s="618">
        <f t="shared" ref="AL219" si="836">IFERROR(IF((2-(W219/H219))*100&gt;110,110,(2-(W219/H219))*100),100)</f>
        <v>110</v>
      </c>
      <c r="AM219" s="618">
        <f t="shared" ref="AM219" si="837">IFERROR(IF((2-(X219/I219))*100&gt;110,110,(2-(X219/I219))*100),100)</f>
        <v>110</v>
      </c>
      <c r="AN219" s="618">
        <f t="shared" ref="AN219" si="838">IFERROR(IF((2-(Y219/J219))*100&gt;110,110,(2-(Y219/J219))*100),100)</f>
        <v>110</v>
      </c>
      <c r="AO219" s="618">
        <f t="shared" ref="AO219" si="839">IFERROR(IF((2-(Z219/K219))*100&gt;110,110,(2-(Z219/K219))*100),100)</f>
        <v>110</v>
      </c>
      <c r="AP219" s="618">
        <f t="shared" ref="AP219" si="840">IFERROR(IF((2-(AA219/L219))*100&gt;110,110,(2-(AA219/L219))*100),100)</f>
        <v>110</v>
      </c>
      <c r="AQ219" s="618">
        <f t="shared" ref="AQ219" si="841">IFERROR(IF((2-(AB219/M219))*100&gt;110,110,(2-(AB219/M219))*100),100)</f>
        <v>110</v>
      </c>
      <c r="AR219" s="618">
        <f t="shared" ref="AR219" si="842">IFERROR(IF((2-(AC219/N219))*100&gt;110,110,(2-(AC219/N219))*100),100)</f>
        <v>110</v>
      </c>
      <c r="AS219" s="618">
        <f t="shared" ref="AS219" si="843">IFERROR(IF((2-(AD219/O219))*100&gt;110,110,(2-(AD219/O219))*100),100)</f>
        <v>110</v>
      </c>
      <c r="AT219" s="618">
        <f t="shared" ref="AT219" si="844">IFERROR(IF((2-(AE219/P219))*100&gt;110,110,(2-(AE219/P219))*100),100)</f>
        <v>110</v>
      </c>
      <c r="AU219" s="618">
        <f t="shared" ref="AU219" si="845">IFERROR(IF((2-(AF219/Q219))*100&gt;110,110,(2-(AF219/Q219))*100),100)</f>
        <v>110</v>
      </c>
      <c r="AV219" s="618">
        <f t="shared" ref="AV219" si="846">IFERROR(IF((2-(AG219/R219))*100&gt;110,110,(2-(AG219/R219))*100),100)</f>
        <v>110</v>
      </c>
      <c r="AX219" t="str">
        <v>Response Time atas Gangguan (diluar Clear Tamper)</v>
      </c>
      <c r="AY219" s="105" t="s">
        <v>458</v>
      </c>
      <c r="AZ219">
        <v>1.5</v>
      </c>
      <c r="BA219" s="618">
        <f t="shared" si="727"/>
        <v>1.65</v>
      </c>
      <c r="BB219" s="618">
        <f t="shared" si="728"/>
        <v>1.65</v>
      </c>
      <c r="BC219" s="618">
        <f t="shared" si="729"/>
        <v>1.65</v>
      </c>
      <c r="BD219" s="618">
        <f t="shared" si="730"/>
        <v>1.65</v>
      </c>
      <c r="BE219" s="618">
        <f t="shared" si="731"/>
        <v>1.65</v>
      </c>
      <c r="BF219" s="618">
        <f t="shared" si="732"/>
        <v>1.65</v>
      </c>
      <c r="BG219" s="618">
        <f t="shared" si="733"/>
        <v>1.65</v>
      </c>
      <c r="BH219" s="618">
        <f t="shared" si="734"/>
        <v>1.65</v>
      </c>
      <c r="BI219" s="618">
        <f t="shared" si="735"/>
        <v>1.65</v>
      </c>
      <c r="BJ219" s="618">
        <f t="shared" si="736"/>
        <v>1.65</v>
      </c>
      <c r="BK219" s="618">
        <f t="shared" si="737"/>
        <v>1.65</v>
      </c>
      <c r="BL219" s="618">
        <f t="shared" si="738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462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47">IFERROR(IF(V220/G220*100&gt;110,110,V220/G220*100),100)</f>
        <v>100</v>
      </c>
      <c r="AL220" s="618">
        <f t="shared" ref="AL220:AL231" si="848">IFERROR(IF(W220/H220*100&gt;110,110,W220/H220*100),100)</f>
        <v>100</v>
      </c>
      <c r="AM220" s="618">
        <f t="shared" ref="AM220:AM231" si="849">IFERROR(IF(X220/I220*100&gt;110,110,X220/I220*100),100)</f>
        <v>100</v>
      </c>
      <c r="AN220" s="618">
        <f t="shared" ref="AN220:AN231" si="850">IFERROR(IF(Y220/J220*100&gt;110,110,Y220/J220*100),100)</f>
        <v>100</v>
      </c>
      <c r="AO220" s="618">
        <f t="shared" ref="AO220:AO231" si="851">IFERROR(IF(Z220/K220*100&gt;110,110,Z220/K220*100),100)</f>
        <v>100</v>
      </c>
      <c r="AP220" s="618">
        <f t="shared" ref="AP220:AP231" si="852">IFERROR(IF(AA220/L220*100&gt;110,110,AA220/L220*100),100)</f>
        <v>100</v>
      </c>
      <c r="AQ220" s="618">
        <f t="shared" ref="AQ220:AQ231" si="853">IFERROR(IF(AB220/M220*100&gt;110,110,AB220/M220*100),100)</f>
        <v>100</v>
      </c>
      <c r="AR220" s="618">
        <f t="shared" ref="AR220:AR231" si="854">IFERROR(IF(AC220/N220*100&gt;110,110,AC220/N220*100),100)</f>
        <v>100</v>
      </c>
      <c r="AS220" s="618">
        <f t="shared" ref="AS220:AS231" si="855">IFERROR(IF(AD220/O220*100&gt;110,110,AD220/O220*100),100)</f>
        <v>100</v>
      </c>
      <c r="AT220" s="618">
        <f t="shared" ref="AT220:AT231" si="856">IFERROR(IF(AE220/P220*100&gt;110,110,AE220/P220*100),100)</f>
        <v>100</v>
      </c>
      <c r="AU220" s="618">
        <f t="shared" ref="AU220:AU231" si="857">IFERROR(IF(AF220/Q220*100&gt;110,110,AF220/Q220*100),100)</f>
        <v>100</v>
      </c>
      <c r="AV220" s="618">
        <f t="shared" ref="AV220:AV231" si="858">IFERROR(IF(AG220/R220*100&gt;110,110,AG220/R220*100),100)</f>
        <v>100</v>
      </c>
      <c r="AX220" t="str">
        <v>Success Rate Auto Dispatch Gangguan Individual (diluar Clear Tamper)</v>
      </c>
      <c r="AY220" s="105" t="s">
        <v>458</v>
      </c>
      <c r="AZ220">
        <v>1.5</v>
      </c>
      <c r="BA220" s="618">
        <f t="shared" si="727"/>
        <v>1.5</v>
      </c>
      <c r="BB220" s="618">
        <f t="shared" si="728"/>
        <v>1.5</v>
      </c>
      <c r="BC220" s="618">
        <f t="shared" si="729"/>
        <v>1.5</v>
      </c>
      <c r="BD220" s="618">
        <f t="shared" si="730"/>
        <v>1.5</v>
      </c>
      <c r="BE220" s="618">
        <f t="shared" si="731"/>
        <v>1.5</v>
      </c>
      <c r="BF220" s="618">
        <f t="shared" si="732"/>
        <v>1.5</v>
      </c>
      <c r="BG220" s="618">
        <f t="shared" si="733"/>
        <v>1.5</v>
      </c>
      <c r="BH220" s="618">
        <f t="shared" si="734"/>
        <v>1.5</v>
      </c>
      <c r="BI220" s="618">
        <f t="shared" si="735"/>
        <v>1.5</v>
      </c>
      <c r="BJ220" s="618">
        <f t="shared" si="736"/>
        <v>1.5</v>
      </c>
      <c r="BK220" s="618">
        <f t="shared" si="737"/>
        <v>1.5</v>
      </c>
      <c r="BL220" s="618">
        <f t="shared" si="738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462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47"/>
        <v>110.00000000000001</v>
      </c>
      <c r="AL221" s="618">
        <f t="shared" si="848"/>
        <v>110.00000000000001</v>
      </c>
      <c r="AM221" s="618">
        <f t="shared" si="849"/>
        <v>110.00000000000001</v>
      </c>
      <c r="AN221" s="618">
        <f t="shared" si="850"/>
        <v>110.00000000000001</v>
      </c>
      <c r="AO221" s="618">
        <f t="shared" si="851"/>
        <v>110.00000000000001</v>
      </c>
      <c r="AP221" s="618">
        <f t="shared" si="852"/>
        <v>110.00000000000001</v>
      </c>
      <c r="AQ221" s="618">
        <f t="shared" si="853"/>
        <v>110.00000000000001</v>
      </c>
      <c r="AR221" s="618">
        <f t="shared" si="854"/>
        <v>110.00000000000001</v>
      </c>
      <c r="AS221" s="618">
        <f t="shared" si="855"/>
        <v>110.00000000000001</v>
      </c>
      <c r="AT221" s="618">
        <f t="shared" si="856"/>
        <v>0</v>
      </c>
      <c r="AU221" s="618">
        <f t="shared" si="857"/>
        <v>0</v>
      </c>
      <c r="AV221" s="618">
        <f t="shared" si="858"/>
        <v>0</v>
      </c>
      <c r="AX221" t="str">
        <v>Recovery Time Gangguan Meluas TM</v>
      </c>
      <c r="AY221" s="105" t="s">
        <v>458</v>
      </c>
      <c r="AZ221">
        <v>3</v>
      </c>
      <c r="BA221" s="618">
        <f t="shared" si="727"/>
        <v>3.3</v>
      </c>
      <c r="BB221" s="618">
        <f t="shared" si="728"/>
        <v>3.3</v>
      </c>
      <c r="BC221" s="618">
        <f t="shared" si="729"/>
        <v>3.3</v>
      </c>
      <c r="BD221" s="618">
        <f t="shared" si="730"/>
        <v>3.3</v>
      </c>
      <c r="BE221" s="618">
        <f t="shared" si="731"/>
        <v>3.3</v>
      </c>
      <c r="BF221" s="618">
        <f t="shared" si="732"/>
        <v>3.3</v>
      </c>
      <c r="BG221" s="618">
        <f t="shared" si="733"/>
        <v>3.3</v>
      </c>
      <c r="BH221" s="618">
        <f t="shared" si="734"/>
        <v>3.3</v>
      </c>
      <c r="BI221" s="618">
        <f t="shared" si="735"/>
        <v>3.3</v>
      </c>
      <c r="BJ221" s="618">
        <f t="shared" si="736"/>
        <v>0</v>
      </c>
      <c r="BK221" s="618">
        <f t="shared" si="737"/>
        <v>0</v>
      </c>
      <c r="BL221" s="618">
        <f t="shared" si="738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462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47"/>
        <v>110.00000000000001</v>
      </c>
      <c r="AL222" s="618">
        <f t="shared" si="848"/>
        <v>110.00000000000001</v>
      </c>
      <c r="AM222" s="618">
        <f t="shared" si="849"/>
        <v>110.00000000000001</v>
      </c>
      <c r="AN222" s="618">
        <f t="shared" si="850"/>
        <v>110.00000000000001</v>
      </c>
      <c r="AO222" s="618">
        <f t="shared" si="851"/>
        <v>110.00000000000001</v>
      </c>
      <c r="AP222" s="618">
        <f t="shared" si="852"/>
        <v>110.00000000000001</v>
      </c>
      <c r="AQ222" s="618">
        <f t="shared" si="853"/>
        <v>110.00000000000001</v>
      </c>
      <c r="AR222" s="618">
        <f t="shared" si="854"/>
        <v>110.00000000000001</v>
      </c>
      <c r="AS222" s="618">
        <f t="shared" si="855"/>
        <v>110.00000000000001</v>
      </c>
      <c r="AT222" s="618">
        <f t="shared" si="856"/>
        <v>110.00000000000001</v>
      </c>
      <c r="AU222" s="618">
        <f t="shared" si="857"/>
        <v>0</v>
      </c>
      <c r="AV222" s="618">
        <f t="shared" si="858"/>
        <v>0</v>
      </c>
      <c r="AX222" t="str">
        <v>Penormalan Siaga 1 Gangguan TM</v>
      </c>
      <c r="AY222" s="105" t="s">
        <v>458</v>
      </c>
      <c r="AZ222">
        <v>3</v>
      </c>
      <c r="BA222" s="618">
        <f t="shared" si="727"/>
        <v>3.3</v>
      </c>
      <c r="BB222" s="618">
        <f t="shared" si="728"/>
        <v>3.3</v>
      </c>
      <c r="BC222" s="618">
        <f t="shared" si="729"/>
        <v>3.3</v>
      </c>
      <c r="BD222" s="618">
        <f t="shared" si="730"/>
        <v>3.3</v>
      </c>
      <c r="BE222" s="618">
        <f t="shared" si="731"/>
        <v>3.3</v>
      </c>
      <c r="BF222" s="618">
        <f t="shared" si="732"/>
        <v>3.3</v>
      </c>
      <c r="BG222" s="618">
        <f t="shared" si="733"/>
        <v>3.3</v>
      </c>
      <c r="BH222" s="618">
        <f t="shared" si="734"/>
        <v>3.3</v>
      </c>
      <c r="BI222" s="618">
        <f t="shared" si="735"/>
        <v>3.3</v>
      </c>
      <c r="BJ222" s="618">
        <f t="shared" si="736"/>
        <v>3.3</v>
      </c>
      <c r="BK222" s="618">
        <f t="shared" si="737"/>
        <v>0</v>
      </c>
      <c r="BL222" s="618">
        <f t="shared" si="738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462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47"/>
        <v>102.19230769230769</v>
      </c>
      <c r="AL223" s="618">
        <f t="shared" si="848"/>
        <v>90.388888888888872</v>
      </c>
      <c r="AM223" s="618">
        <f t="shared" si="849"/>
        <v>90.845238095238102</v>
      </c>
      <c r="AN223" s="618">
        <f t="shared" si="850"/>
        <v>105.10909090909091</v>
      </c>
      <c r="AO223" s="618">
        <f t="shared" si="851"/>
        <v>94.311688311688314</v>
      </c>
      <c r="AP223" s="618">
        <f t="shared" si="852"/>
        <v>90.453608247422693</v>
      </c>
      <c r="AQ223" s="618">
        <f t="shared" si="853"/>
        <v>90.731092436974805</v>
      </c>
      <c r="AR223" s="618">
        <f t="shared" si="854"/>
        <v>86.239285714285728</v>
      </c>
      <c r="AS223" s="618">
        <f t="shared" si="855"/>
        <v>86.161490683229829</v>
      </c>
      <c r="AT223" s="618">
        <f t="shared" si="856"/>
        <v>0</v>
      </c>
      <c r="AU223" s="618">
        <f t="shared" si="857"/>
        <v>0</v>
      </c>
      <c r="AV223" s="618">
        <f t="shared" si="858"/>
        <v>0</v>
      </c>
      <c r="AX223" t="str">
        <v>Penambahan Daya Tersambung</v>
      </c>
      <c r="AY223" s="105" t="s">
        <v>458</v>
      </c>
      <c r="AZ223">
        <v>3</v>
      </c>
      <c r="BA223" s="618">
        <f t="shared" si="727"/>
        <v>3.06</v>
      </c>
      <c r="BB223" s="618">
        <f t="shared" si="728"/>
        <v>2.71</v>
      </c>
      <c r="BC223" s="618">
        <f t="shared" si="729"/>
        <v>2.72</v>
      </c>
      <c r="BD223" s="618">
        <f t="shared" si="730"/>
        <v>3.15</v>
      </c>
      <c r="BE223" s="618">
        <f t="shared" si="731"/>
        <v>2.82</v>
      </c>
      <c r="BF223" s="618">
        <f t="shared" si="732"/>
        <v>2.71</v>
      </c>
      <c r="BG223" s="618">
        <f t="shared" si="733"/>
        <v>2.72</v>
      </c>
      <c r="BH223" s="618">
        <f t="shared" si="734"/>
        <v>2.58</v>
      </c>
      <c r="BI223" s="618">
        <f t="shared" si="735"/>
        <v>2.58</v>
      </c>
      <c r="BJ223" s="618">
        <f t="shared" si="736"/>
        <v>0</v>
      </c>
      <c r="BK223" s="618">
        <f t="shared" si="737"/>
        <v>0</v>
      </c>
      <c r="BL223" s="618">
        <f t="shared" si="738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462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47"/>
        <v>76.510067114093957</v>
      </c>
      <c r="AL224" s="618">
        <f t="shared" si="848"/>
        <v>70.06578947368422</v>
      </c>
      <c r="AM224" s="618">
        <f t="shared" si="849"/>
        <v>69.098712446351925</v>
      </c>
      <c r="AN224" s="618">
        <f t="shared" si="850"/>
        <v>74.59807073954984</v>
      </c>
      <c r="AO224" s="618">
        <f t="shared" si="851"/>
        <v>64.924506387921028</v>
      </c>
      <c r="AP224" s="618">
        <f t="shared" si="852"/>
        <v>59.835315645013722</v>
      </c>
      <c r="AQ224" s="618">
        <f t="shared" si="853"/>
        <v>56.789197299324833</v>
      </c>
      <c r="AR224" s="618">
        <f t="shared" si="854"/>
        <v>52.511125238397973</v>
      </c>
      <c r="AS224" s="618">
        <f t="shared" si="855"/>
        <v>53.407202216066487</v>
      </c>
      <c r="AT224" s="618">
        <f t="shared" si="856"/>
        <v>0</v>
      </c>
      <c r="AU224" s="618">
        <f t="shared" si="857"/>
        <v>0</v>
      </c>
      <c r="AV224" s="618">
        <f t="shared" si="858"/>
        <v>0</v>
      </c>
      <c r="AX224" t="str">
        <v>Penambahan Jumlah Pelanggan</v>
      </c>
      <c r="AY224" s="105" t="s">
        <v>458</v>
      </c>
      <c r="AZ224">
        <v>3</v>
      </c>
      <c r="BA224" s="618">
        <f t="shared" si="727"/>
        <v>2.29</v>
      </c>
      <c r="BB224" s="618">
        <f t="shared" si="728"/>
        <v>2.1</v>
      </c>
      <c r="BC224" s="618">
        <f t="shared" si="729"/>
        <v>2.0699999999999998</v>
      </c>
      <c r="BD224" s="618">
        <f t="shared" si="730"/>
        <v>2.23</v>
      </c>
      <c r="BE224" s="618">
        <f t="shared" si="731"/>
        <v>1.94</v>
      </c>
      <c r="BF224" s="618">
        <f t="shared" si="732"/>
        <v>1.79</v>
      </c>
      <c r="BG224" s="618">
        <f t="shared" si="733"/>
        <v>1.7</v>
      </c>
      <c r="BH224" s="618">
        <f t="shared" si="734"/>
        <v>1.57</v>
      </c>
      <c r="BI224" s="618">
        <f t="shared" si="735"/>
        <v>1.6</v>
      </c>
      <c r="BJ224" s="618">
        <f t="shared" si="736"/>
        <v>0</v>
      </c>
      <c r="BK224" s="618">
        <f t="shared" si="737"/>
        <v>0</v>
      </c>
      <c r="BL224" s="618">
        <f t="shared" si="738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462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47"/>
        <v>110</v>
      </c>
      <c r="AL225" s="618">
        <f t="shared" si="848"/>
        <v>100</v>
      </c>
      <c r="AM225" s="618">
        <f t="shared" si="849"/>
        <v>106.66666666666667</v>
      </c>
      <c r="AN225" s="618">
        <f t="shared" si="850"/>
        <v>80</v>
      </c>
      <c r="AO225" s="618">
        <f t="shared" si="851"/>
        <v>97</v>
      </c>
      <c r="AP225" s="618">
        <f t="shared" si="852"/>
        <v>110</v>
      </c>
      <c r="AQ225" s="618">
        <f t="shared" si="853"/>
        <v>108.27067669172932</v>
      </c>
      <c r="AR225" s="618">
        <f t="shared" si="854"/>
        <v>110</v>
      </c>
      <c r="AS225" s="618">
        <f t="shared" si="855"/>
        <v>110</v>
      </c>
      <c r="AT225" s="618">
        <f t="shared" si="856"/>
        <v>0</v>
      </c>
      <c r="AU225" s="618">
        <f t="shared" si="857"/>
        <v>0</v>
      </c>
      <c r="AV225" s="618">
        <f t="shared" si="858"/>
        <v>0</v>
      </c>
      <c r="AX225" t="str">
        <v>Jumlah Penambahan Pelanggan Produk Tematik</v>
      </c>
      <c r="AY225" s="105" t="s">
        <v>458</v>
      </c>
      <c r="AZ225">
        <v>2</v>
      </c>
      <c r="BA225" s="618">
        <f t="shared" si="727"/>
        <v>2.2000000000000002</v>
      </c>
      <c r="BB225" s="618">
        <f t="shared" si="728"/>
        <v>2</v>
      </c>
      <c r="BC225" s="618">
        <f t="shared" si="729"/>
        <v>2.13</v>
      </c>
      <c r="BD225" s="618">
        <f t="shared" si="730"/>
        <v>1.6</v>
      </c>
      <c r="BE225" s="618">
        <f t="shared" si="731"/>
        <v>1.94</v>
      </c>
      <c r="BF225" s="618">
        <f t="shared" si="732"/>
        <v>2.2000000000000002</v>
      </c>
      <c r="BG225" s="618">
        <f t="shared" si="733"/>
        <v>2.16</v>
      </c>
      <c r="BH225" s="618">
        <f t="shared" si="734"/>
        <v>2.2000000000000002</v>
      </c>
      <c r="BI225" s="618">
        <f t="shared" si="735"/>
        <v>2.2000000000000002</v>
      </c>
      <c r="BJ225" s="618">
        <f t="shared" si="736"/>
        <v>0</v>
      </c>
      <c r="BK225" s="618">
        <f t="shared" si="737"/>
        <v>0</v>
      </c>
      <c r="BL225" s="618">
        <f t="shared" si="738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462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47"/>
        <v>100</v>
      </c>
      <c r="AL226" s="618">
        <f t="shared" si="848"/>
        <v>100</v>
      </c>
      <c r="AM226" s="618">
        <f t="shared" si="849"/>
        <v>100</v>
      </c>
      <c r="AN226" s="618">
        <f t="shared" si="850"/>
        <v>100</v>
      </c>
      <c r="AO226" s="618">
        <f t="shared" si="851"/>
        <v>100</v>
      </c>
      <c r="AP226" s="618">
        <f t="shared" si="852"/>
        <v>100</v>
      </c>
      <c r="AQ226" s="618">
        <f t="shared" si="853"/>
        <v>100</v>
      </c>
      <c r="AR226" s="618">
        <f t="shared" si="854"/>
        <v>100</v>
      </c>
      <c r="AS226" s="618">
        <f t="shared" si="855"/>
        <v>100</v>
      </c>
      <c r="AT226" s="618">
        <f t="shared" si="856"/>
        <v>100</v>
      </c>
      <c r="AU226" s="618">
        <f t="shared" si="857"/>
        <v>100</v>
      </c>
      <c r="AV226" s="618">
        <f t="shared" si="858"/>
        <v>100</v>
      </c>
      <c r="AX226" t="str">
        <v>Implementasi Kesesuaian Sektor Bisnis sesuai KBLI 2020</v>
      </c>
      <c r="AY226" s="105" t="s">
        <v>458</v>
      </c>
      <c r="AZ226">
        <v>2</v>
      </c>
      <c r="BA226" s="618">
        <f t="shared" si="727"/>
        <v>2</v>
      </c>
      <c r="BB226" s="618">
        <f t="shared" si="728"/>
        <v>2</v>
      </c>
      <c r="BC226" s="618">
        <f t="shared" si="729"/>
        <v>2</v>
      </c>
      <c r="BD226" s="618">
        <f t="shared" si="730"/>
        <v>2</v>
      </c>
      <c r="BE226" s="618">
        <f t="shared" si="731"/>
        <v>2</v>
      </c>
      <c r="BF226" s="618">
        <f t="shared" si="732"/>
        <v>2</v>
      </c>
      <c r="BG226" s="618">
        <f t="shared" si="733"/>
        <v>2</v>
      </c>
      <c r="BH226" s="618">
        <f t="shared" si="734"/>
        <v>2</v>
      </c>
      <c r="BI226" s="618">
        <f t="shared" si="735"/>
        <v>2</v>
      </c>
      <c r="BJ226" s="618">
        <f t="shared" si="736"/>
        <v>2</v>
      </c>
      <c r="BK226" s="618">
        <f t="shared" si="737"/>
        <v>2</v>
      </c>
      <c r="BL226" s="618">
        <f t="shared" si="738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462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47"/>
        <v>110</v>
      </c>
      <c r="AL227" s="618">
        <f t="shared" si="848"/>
        <v>110</v>
      </c>
      <c r="AM227" s="618">
        <f t="shared" si="849"/>
        <v>110</v>
      </c>
      <c r="AN227" s="618">
        <f t="shared" si="850"/>
        <v>110</v>
      </c>
      <c r="AO227" s="618">
        <f t="shared" si="851"/>
        <v>110</v>
      </c>
      <c r="AP227" s="618">
        <f t="shared" si="852"/>
        <v>110</v>
      </c>
      <c r="AQ227" s="618">
        <f t="shared" si="853"/>
        <v>110</v>
      </c>
      <c r="AR227" s="618">
        <f t="shared" si="854"/>
        <v>110</v>
      </c>
      <c r="AS227" s="618">
        <f t="shared" si="855"/>
        <v>110</v>
      </c>
      <c r="AT227" s="618">
        <f t="shared" si="856"/>
        <v>0</v>
      </c>
      <c r="AU227" s="618">
        <f t="shared" si="857"/>
        <v>0</v>
      </c>
      <c r="AV227" s="618">
        <f t="shared" si="858"/>
        <v>0</v>
      </c>
      <c r="AX227" t="str">
        <v>Penambahan Jumlah Pelanggan Rumah Tangga Lisdes</v>
      </c>
      <c r="AY227" s="105" t="s">
        <v>458</v>
      </c>
      <c r="AZ227">
        <v>2</v>
      </c>
      <c r="BA227" s="618">
        <f t="shared" si="727"/>
        <v>2.2000000000000002</v>
      </c>
      <c r="BB227" s="618">
        <f t="shared" si="728"/>
        <v>2.2000000000000002</v>
      </c>
      <c r="BC227" s="618">
        <f t="shared" si="729"/>
        <v>2.2000000000000002</v>
      </c>
      <c r="BD227" s="618">
        <f t="shared" si="730"/>
        <v>2.2000000000000002</v>
      </c>
      <c r="BE227" s="618">
        <f t="shared" si="731"/>
        <v>2.2000000000000002</v>
      </c>
      <c r="BF227" s="618">
        <f t="shared" si="732"/>
        <v>2.2000000000000002</v>
      </c>
      <c r="BG227" s="618">
        <f t="shared" si="733"/>
        <v>2.2000000000000002</v>
      </c>
      <c r="BH227" s="618">
        <f t="shared" si="734"/>
        <v>2.2000000000000002</v>
      </c>
      <c r="BI227" s="618">
        <f t="shared" si="735"/>
        <v>2.2000000000000002</v>
      </c>
      <c r="BJ227" s="618">
        <f t="shared" si="736"/>
        <v>0</v>
      </c>
      <c r="BK227" s="618">
        <f t="shared" si="737"/>
        <v>0</v>
      </c>
      <c r="BL227" s="618">
        <f t="shared" si="738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462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47"/>
        <v>110</v>
      </c>
      <c r="AL228" s="618">
        <f t="shared" si="848"/>
        <v>110</v>
      </c>
      <c r="AM228" s="618">
        <f t="shared" si="849"/>
        <v>110</v>
      </c>
      <c r="AN228" s="618">
        <f t="shared" si="850"/>
        <v>110</v>
      </c>
      <c r="AO228" s="618">
        <f t="shared" si="851"/>
        <v>110</v>
      </c>
      <c r="AP228" s="618">
        <f t="shared" si="852"/>
        <v>110</v>
      </c>
      <c r="AQ228" s="618">
        <f t="shared" si="853"/>
        <v>110</v>
      </c>
      <c r="AR228" s="618">
        <f t="shared" si="854"/>
        <v>110</v>
      </c>
      <c r="AS228" s="618">
        <f t="shared" si="855"/>
        <v>110</v>
      </c>
      <c r="AT228" s="618">
        <f t="shared" si="856"/>
        <v>0</v>
      </c>
      <c r="AU228" s="618">
        <f t="shared" si="857"/>
        <v>0</v>
      </c>
      <c r="AV228" s="618">
        <f t="shared" si="858"/>
        <v>0</v>
      </c>
      <c r="AX228" t="str">
        <v>Peningkatan kWh Penjualan dari Pelanggan Rumah Tangga Lisdes</v>
      </c>
      <c r="AY228" s="105" t="s">
        <v>458</v>
      </c>
      <c r="AZ228">
        <v>2</v>
      </c>
      <c r="BA228" s="618">
        <f t="shared" si="727"/>
        <v>2.2000000000000002</v>
      </c>
      <c r="BB228" s="618">
        <f t="shared" si="728"/>
        <v>2.2000000000000002</v>
      </c>
      <c r="BC228" s="618">
        <f t="shared" si="729"/>
        <v>2.2000000000000002</v>
      </c>
      <c r="BD228" s="618">
        <f t="shared" si="730"/>
        <v>2.2000000000000002</v>
      </c>
      <c r="BE228" s="618">
        <f t="shared" si="731"/>
        <v>2.2000000000000002</v>
      </c>
      <c r="BF228" s="618">
        <f t="shared" si="732"/>
        <v>2.2000000000000002</v>
      </c>
      <c r="BG228" s="618">
        <f t="shared" si="733"/>
        <v>2.2000000000000002</v>
      </c>
      <c r="BH228" s="618">
        <f t="shared" si="734"/>
        <v>2.2000000000000002</v>
      </c>
      <c r="BI228" s="618">
        <f t="shared" si="735"/>
        <v>2.2000000000000002</v>
      </c>
      <c r="BJ228" s="618">
        <f t="shared" si="736"/>
        <v>0</v>
      </c>
      <c r="BK228" s="618">
        <f t="shared" si="737"/>
        <v>0</v>
      </c>
      <c r="BL228" s="618">
        <f t="shared" si="738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462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47"/>
        <v>110</v>
      </c>
      <c r="AL229" s="618">
        <f t="shared" si="848"/>
        <v>110</v>
      </c>
      <c r="AM229" s="618">
        <f t="shared" si="849"/>
        <v>110</v>
      </c>
      <c r="AN229" s="618">
        <f t="shared" si="850"/>
        <v>110</v>
      </c>
      <c r="AO229" s="618">
        <f t="shared" si="851"/>
        <v>110</v>
      </c>
      <c r="AP229" s="618">
        <f t="shared" si="852"/>
        <v>110</v>
      </c>
      <c r="AQ229" s="618">
        <f t="shared" si="853"/>
        <v>110</v>
      </c>
      <c r="AR229" s="618">
        <f t="shared" si="854"/>
        <v>110</v>
      </c>
      <c r="AS229" s="618">
        <f t="shared" si="855"/>
        <v>110</v>
      </c>
      <c r="AT229" s="618">
        <f t="shared" si="856"/>
        <v>110</v>
      </c>
      <c r="AU229" s="618">
        <f t="shared" si="857"/>
        <v>110</v>
      </c>
      <c r="AV229" s="618">
        <f t="shared" si="858"/>
        <v>110</v>
      </c>
      <c r="AX229" t="str">
        <v>Jumlah Pengguna Swa Cam</v>
      </c>
      <c r="AY229" s="105" t="s">
        <v>458</v>
      </c>
      <c r="AZ229">
        <v>4</v>
      </c>
      <c r="BA229" s="618">
        <f t="shared" si="727"/>
        <v>4.4000000000000004</v>
      </c>
      <c r="BB229" s="618">
        <f t="shared" si="728"/>
        <v>4.4000000000000004</v>
      </c>
      <c r="BC229" s="618">
        <f t="shared" si="729"/>
        <v>4.4000000000000004</v>
      </c>
      <c r="BD229" s="618">
        <f t="shared" si="730"/>
        <v>4.4000000000000004</v>
      </c>
      <c r="BE229" s="618">
        <f t="shared" si="731"/>
        <v>4.4000000000000004</v>
      </c>
      <c r="BF229" s="618">
        <f t="shared" si="732"/>
        <v>4.4000000000000004</v>
      </c>
      <c r="BG229" s="618">
        <f t="shared" si="733"/>
        <v>4.4000000000000004</v>
      </c>
      <c r="BH229" s="618">
        <f t="shared" si="734"/>
        <v>4.4000000000000004</v>
      </c>
      <c r="BI229" s="618">
        <f t="shared" si="735"/>
        <v>4.4000000000000004</v>
      </c>
      <c r="BJ229" s="618">
        <f t="shared" si="736"/>
        <v>4.4000000000000004</v>
      </c>
      <c r="BK229" s="618">
        <f t="shared" si="737"/>
        <v>4.4000000000000004</v>
      </c>
      <c r="BL229" s="618">
        <f t="shared" si="738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462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47"/>
        <v>100</v>
      </c>
      <c r="AL230" s="618">
        <f t="shared" si="848"/>
        <v>100</v>
      </c>
      <c r="AM230" s="618">
        <f t="shared" si="849"/>
        <v>100</v>
      </c>
      <c r="AN230" s="618">
        <f t="shared" si="850"/>
        <v>100</v>
      </c>
      <c r="AO230" s="618">
        <f t="shared" si="851"/>
        <v>100</v>
      </c>
      <c r="AP230" s="618">
        <f t="shared" si="852"/>
        <v>100</v>
      </c>
      <c r="AQ230" s="618">
        <f t="shared" si="853"/>
        <v>100</v>
      </c>
      <c r="AR230" s="618">
        <f t="shared" si="854"/>
        <v>100</v>
      </c>
      <c r="AS230" s="618">
        <f t="shared" si="855"/>
        <v>100</v>
      </c>
      <c r="AT230" s="618">
        <f t="shared" si="856"/>
        <v>100</v>
      </c>
      <c r="AU230" s="618">
        <f t="shared" si="857"/>
        <v>100</v>
      </c>
      <c r="AV230" s="618">
        <f t="shared" si="858"/>
        <v>100</v>
      </c>
      <c r="AX230" t="str">
        <v>Tindak Lanjut LBKB (Laporan Bulanan Kelainan Baca Meter)</v>
      </c>
      <c r="AY230" s="105" t="s">
        <v>458</v>
      </c>
      <c r="AZ230">
        <v>4</v>
      </c>
      <c r="BA230" s="618">
        <f t="shared" si="727"/>
        <v>4</v>
      </c>
      <c r="BB230" s="618">
        <f t="shared" si="728"/>
        <v>4</v>
      </c>
      <c r="BC230" s="618">
        <f t="shared" si="729"/>
        <v>4</v>
      </c>
      <c r="BD230" s="618">
        <f t="shared" si="730"/>
        <v>4</v>
      </c>
      <c r="BE230" s="618">
        <f t="shared" si="731"/>
        <v>4</v>
      </c>
      <c r="BF230" s="618">
        <f t="shared" si="732"/>
        <v>4</v>
      </c>
      <c r="BG230" s="618">
        <f t="shared" si="733"/>
        <v>4</v>
      </c>
      <c r="BH230" s="618">
        <f t="shared" si="734"/>
        <v>4</v>
      </c>
      <c r="BI230" s="618">
        <f t="shared" si="735"/>
        <v>4</v>
      </c>
      <c r="BJ230" s="618">
        <f t="shared" si="736"/>
        <v>4</v>
      </c>
      <c r="BK230" s="618">
        <f t="shared" si="737"/>
        <v>4</v>
      </c>
      <c r="BL230" s="618">
        <f t="shared" si="738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462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47"/>
        <v>100</v>
      </c>
      <c r="AL231" s="618">
        <f t="shared" si="848"/>
        <v>100</v>
      </c>
      <c r="AM231" s="618">
        <f t="shared" si="849"/>
        <v>100</v>
      </c>
      <c r="AN231" s="618">
        <f t="shared" si="850"/>
        <v>100</v>
      </c>
      <c r="AO231" s="618">
        <f t="shared" si="851"/>
        <v>100</v>
      </c>
      <c r="AP231" s="618">
        <f t="shared" si="852"/>
        <v>100</v>
      </c>
      <c r="AQ231" s="618">
        <f t="shared" si="853"/>
        <v>100</v>
      </c>
      <c r="AR231" s="618">
        <f t="shared" si="854"/>
        <v>100</v>
      </c>
      <c r="AS231" s="618">
        <f t="shared" si="855"/>
        <v>100</v>
      </c>
      <c r="AT231" s="618">
        <f t="shared" si="856"/>
        <v>100</v>
      </c>
      <c r="AU231" s="618">
        <f t="shared" si="857"/>
        <v>100</v>
      </c>
      <c r="AV231" s="618">
        <f t="shared" si="858"/>
        <v>100</v>
      </c>
      <c r="AX231" t="str">
        <v>Sisa Stand Bongkar Migrasi</v>
      </c>
      <c r="AY231" s="105" t="s">
        <v>458</v>
      </c>
      <c r="AZ231">
        <v>3</v>
      </c>
      <c r="BA231" s="618">
        <f t="shared" si="727"/>
        <v>3</v>
      </c>
      <c r="BB231" s="618">
        <f t="shared" si="728"/>
        <v>3</v>
      </c>
      <c r="BC231" s="618">
        <f t="shared" si="729"/>
        <v>3</v>
      </c>
      <c r="BD231" s="618">
        <f t="shared" si="730"/>
        <v>3</v>
      </c>
      <c r="BE231" s="618">
        <f t="shared" si="731"/>
        <v>3</v>
      </c>
      <c r="BF231" s="618">
        <f t="shared" si="732"/>
        <v>3</v>
      </c>
      <c r="BG231" s="618">
        <f t="shared" si="733"/>
        <v>3</v>
      </c>
      <c r="BH231" s="618">
        <f t="shared" si="734"/>
        <v>3</v>
      </c>
      <c r="BI231" s="618">
        <f t="shared" si="735"/>
        <v>3</v>
      </c>
      <c r="BJ231" s="618">
        <f t="shared" si="736"/>
        <v>3</v>
      </c>
      <c r="BK231" s="618">
        <f t="shared" si="737"/>
        <v>3</v>
      </c>
      <c r="BL231" s="618">
        <f t="shared" si="738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462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59">IFERROR(IF((2-(V232/G232))*100&gt;110,110,(2-(V232/G232))*100),100)</f>
        <v>83.459028719723193</v>
      </c>
      <c r="AL232" s="618">
        <f t="shared" ref="AL232:AL233" si="860">IFERROR(IF((2-(W232/H232))*100&gt;110,110,(2-(W232/H232))*100),100)</f>
        <v>75.780727335640137</v>
      </c>
      <c r="AM232" s="618">
        <f t="shared" ref="AM232:AM233" si="861">IFERROR(IF((2-(X232/I232))*100&gt;110,110,(2-(X232/I232))*100),100)</f>
        <v>67.434544982698981</v>
      </c>
      <c r="AN232" s="618">
        <f t="shared" ref="AN232:AN233" si="862">IFERROR(IF((2-(Y232/J232))*100&gt;110,110,(2-(Y232/J232))*100),100)</f>
        <v>65.353213148788953</v>
      </c>
      <c r="AO232" s="618">
        <f t="shared" ref="AO232:AO233" si="863">IFERROR(IF((2-(Z232/K232))*100&gt;110,110,(2-(Z232/K232))*100),100)</f>
        <v>64.885336124567488</v>
      </c>
      <c r="AP232" s="618">
        <f t="shared" ref="AP232:AP233" si="864">IFERROR(IF((2-(AA232/L232))*100&gt;110,110,(2-(AA232/L232))*100),100)</f>
        <v>67.929113494809684</v>
      </c>
      <c r="AQ232" s="618">
        <f t="shared" ref="AQ232:AQ233" si="865">IFERROR(IF((2-(AB232/M232))*100&gt;110,110,(2-(AB232/M232))*100),100)</f>
        <v>70.585809342560538</v>
      </c>
      <c r="AR232" s="618">
        <f t="shared" ref="AR232:AR233" si="866">IFERROR(IF((2-(AC232/N232))*100&gt;110,110,(2-(AC232/N232))*100),100)</f>
        <v>84.527460683391013</v>
      </c>
      <c r="AS232" s="618">
        <f t="shared" ref="AS232:AS233" si="867">IFERROR(IF((2-(AD232/O232))*100&gt;110,110,(2-(AD232/O232))*100),100)</f>
        <v>95.137952287581712</v>
      </c>
      <c r="AT232" s="618">
        <f t="shared" ref="AT232:AT233" si="868">IFERROR(IF((2-(AE232/P232))*100&gt;110,110,(2-(AE232/P232))*100),100)</f>
        <v>95.137952287581712</v>
      </c>
      <c r="AU232" s="618">
        <f t="shared" ref="AU232:AU233" si="869">IFERROR(IF((2-(AF232/Q232))*100&gt;110,110,(2-(AF232/Q232))*100),100)</f>
        <v>95.137952287581712</v>
      </c>
      <c r="AV232" s="618">
        <f t="shared" ref="AV232:AV233" si="870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458</v>
      </c>
      <c r="AZ232">
        <v>3</v>
      </c>
      <c r="BA232" s="618">
        <f t="shared" si="727"/>
        <v>2.5</v>
      </c>
      <c r="BB232" s="618">
        <f t="shared" si="728"/>
        <v>2.27</v>
      </c>
      <c r="BC232" s="618">
        <f t="shared" si="729"/>
        <v>2.02</v>
      </c>
      <c r="BD232" s="618">
        <f t="shared" si="730"/>
        <v>1.96</v>
      </c>
      <c r="BE232" s="618">
        <f t="shared" si="731"/>
        <v>1.94</v>
      </c>
      <c r="BF232" s="618">
        <f t="shared" si="732"/>
        <v>2.0299999999999998</v>
      </c>
      <c r="BG232" s="618">
        <f t="shared" si="733"/>
        <v>2.11</v>
      </c>
      <c r="BH232" s="618">
        <f t="shared" si="734"/>
        <v>2.5299999999999998</v>
      </c>
      <c r="BI232" s="618">
        <f t="shared" si="735"/>
        <v>2.85</v>
      </c>
      <c r="BJ232" s="618">
        <f t="shared" si="736"/>
        <v>2.85</v>
      </c>
      <c r="BK232" s="618">
        <f t="shared" si="737"/>
        <v>2.85</v>
      </c>
      <c r="BL232" s="618">
        <f t="shared" si="738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462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59"/>
        <v>31.501971228374792</v>
      </c>
      <c r="AL233" s="618">
        <f t="shared" si="860"/>
        <v>10.219307682768042</v>
      </c>
      <c r="AM233" s="618">
        <f t="shared" si="861"/>
        <v>17.465814059238149</v>
      </c>
      <c r="AN233" s="618">
        <f t="shared" si="862"/>
        <v>10.388321293482994</v>
      </c>
      <c r="AO233" s="618">
        <f t="shared" si="863"/>
        <v>14.697331679791681</v>
      </c>
      <c r="AP233" s="618">
        <f t="shared" si="864"/>
        <v>24.675526549678594</v>
      </c>
      <c r="AQ233" s="618">
        <f t="shared" si="865"/>
        <v>49.72187989972452</v>
      </c>
      <c r="AR233" s="618">
        <f t="shared" si="866"/>
        <v>68.506644912258949</v>
      </c>
      <c r="AS233" s="618">
        <f t="shared" si="867"/>
        <v>83.11701769978572</v>
      </c>
      <c r="AT233" s="618">
        <f t="shared" si="868"/>
        <v>94.805315929807165</v>
      </c>
      <c r="AU233" s="618">
        <f t="shared" si="869"/>
        <v>104.3684690270974</v>
      </c>
      <c r="AV233" s="618">
        <f t="shared" si="870"/>
        <v>110</v>
      </c>
      <c r="AX233" t="str">
        <v>Pencapaian Saldo Rata-Rata Akhir Bulan Non Kogol 1 dan Non Kogol 2</v>
      </c>
      <c r="AY233" s="105" t="s">
        <v>458</v>
      </c>
      <c r="AZ233">
        <v>3</v>
      </c>
      <c r="BA233" s="618">
        <f t="shared" si="727"/>
        <v>0.94</v>
      </c>
      <c r="BB233" s="618">
        <f t="shared" si="728"/>
        <v>0.3</v>
      </c>
      <c r="BC233" s="618">
        <f t="shared" si="729"/>
        <v>0.52</v>
      </c>
      <c r="BD233" s="618">
        <f t="shared" si="730"/>
        <v>0.31</v>
      </c>
      <c r="BE233" s="618">
        <f t="shared" si="731"/>
        <v>0.44</v>
      </c>
      <c r="BF233" s="618">
        <f t="shared" si="732"/>
        <v>0.74</v>
      </c>
      <c r="BG233" s="618">
        <f t="shared" si="733"/>
        <v>1.49</v>
      </c>
      <c r="BH233" s="618">
        <f t="shared" si="734"/>
        <v>2.0499999999999998</v>
      </c>
      <c r="BI233" s="618">
        <f t="shared" si="735"/>
        <v>2.4900000000000002</v>
      </c>
      <c r="BJ233" s="618">
        <f t="shared" si="736"/>
        <v>2.84</v>
      </c>
      <c r="BK233" s="618">
        <f t="shared" si="737"/>
        <v>3.13</v>
      </c>
      <c r="BL233" s="618">
        <f t="shared" si="738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462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71">IFERROR(IF(V234/G234*100&gt;110,110,V234/G234*100),100)</f>
        <v>100</v>
      </c>
      <c r="AL234" s="618">
        <f t="shared" ref="AL234" si="872">IFERROR(IF(W234/H234*100&gt;110,110,W234/H234*100),100)</f>
        <v>100</v>
      </c>
      <c r="AM234" s="618">
        <f t="shared" ref="AM234" si="873">IFERROR(IF(X234/I234*100&gt;110,110,X234/I234*100),100)</f>
        <v>100</v>
      </c>
      <c r="AN234" s="618">
        <f t="shared" ref="AN234" si="874">IFERROR(IF(Y234/J234*100&gt;110,110,Y234/J234*100),100)</f>
        <v>100</v>
      </c>
      <c r="AO234" s="618">
        <f t="shared" ref="AO234" si="875">IFERROR(IF(Z234/K234*100&gt;110,110,Z234/K234*100),100)</f>
        <v>100</v>
      </c>
      <c r="AP234" s="618">
        <f t="shared" ref="AP234" si="876">IFERROR(IF(AA234/L234*100&gt;110,110,AA234/L234*100),100)</f>
        <v>100</v>
      </c>
      <c r="AQ234" s="618">
        <f t="shared" ref="AQ234" si="877">IFERROR(IF(AB234/M234*100&gt;110,110,AB234/M234*100),100)</f>
        <v>100</v>
      </c>
      <c r="AR234" s="618">
        <f t="shared" ref="AR234" si="878">IFERROR(IF(AC234/N234*100&gt;110,110,AC234/N234*100),100)</f>
        <v>100</v>
      </c>
      <c r="AS234" s="618">
        <f t="shared" ref="AS234" si="879">IFERROR(IF(AD234/O234*100&gt;110,110,AD234/O234*100),100)</f>
        <v>100</v>
      </c>
      <c r="AT234" s="618">
        <f t="shared" ref="AT234" si="880">IFERROR(IF(AE234/P234*100&gt;110,110,AE234/P234*100),100)</f>
        <v>100</v>
      </c>
      <c r="AU234" s="618">
        <f t="shared" ref="AU234" si="881">IFERROR(IF(AF234/Q234*100&gt;110,110,AF234/Q234*100),100)</f>
        <v>100</v>
      </c>
      <c r="AV234" s="618">
        <f t="shared" ref="AV234" si="882">IFERROR(IF(AG234/R234*100&gt;110,110,AG234/R234*100),100)</f>
        <v>100</v>
      </c>
      <c r="AX234" t="str">
        <v>Pencapaian Pelunasan PRR</v>
      </c>
      <c r="AY234" s="105" t="s">
        <v>458</v>
      </c>
      <c r="AZ234">
        <v>3</v>
      </c>
      <c r="BA234" s="618">
        <f t="shared" si="727"/>
        <v>3</v>
      </c>
      <c r="BB234" s="618">
        <f t="shared" si="728"/>
        <v>3</v>
      </c>
      <c r="BC234" s="618">
        <f t="shared" si="729"/>
        <v>3</v>
      </c>
      <c r="BD234" s="618">
        <f t="shared" si="730"/>
        <v>3</v>
      </c>
      <c r="BE234" s="618">
        <f t="shared" si="731"/>
        <v>3</v>
      </c>
      <c r="BF234" s="618">
        <f t="shared" si="732"/>
        <v>3</v>
      </c>
      <c r="BG234" s="618">
        <f t="shared" si="733"/>
        <v>3</v>
      </c>
      <c r="BH234" s="618">
        <f t="shared" si="734"/>
        <v>3</v>
      </c>
      <c r="BI234" s="618">
        <f t="shared" si="735"/>
        <v>3</v>
      </c>
      <c r="BJ234" s="618">
        <f t="shared" si="736"/>
        <v>3</v>
      </c>
      <c r="BK234" s="618">
        <f t="shared" si="737"/>
        <v>3</v>
      </c>
      <c r="BL234" s="618">
        <f t="shared" si="738"/>
        <v>3</v>
      </c>
    </row>
    <row r="245" spans="1:64">
      <c r="A245" s="750" t="s">
        <v>5</v>
      </c>
      <c r="B245" s="750"/>
      <c r="C245" s="750"/>
      <c r="D245" s="750"/>
    </row>
    <row r="246" spans="1:64">
      <c r="A246" s="750"/>
      <c r="B246" s="750"/>
      <c r="C246" s="750"/>
      <c r="D246" s="750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0"/>
      <c r="B247" s="750"/>
      <c r="C247" s="750"/>
      <c r="D247" s="750"/>
      <c r="AZ247" t="s">
        <v>254</v>
      </c>
      <c r="BA247" s="625">
        <f>SUM(BA250:BA279)</f>
        <v>88.97</v>
      </c>
      <c r="BB247" s="625">
        <f t="shared" ref="BB247:BI247" si="883">SUM(BB250:BB279)</f>
        <v>91.439999999999984</v>
      </c>
      <c r="BC247" s="625">
        <f t="shared" si="883"/>
        <v>96.59999999999998</v>
      </c>
      <c r="BD247" s="625">
        <f t="shared" si="883"/>
        <v>95.49</v>
      </c>
      <c r="BE247" s="625">
        <f t="shared" si="883"/>
        <v>96.419999999999987</v>
      </c>
      <c r="BF247" s="625">
        <f t="shared" si="883"/>
        <v>98.09</v>
      </c>
      <c r="BG247" s="625">
        <f t="shared" si="883"/>
        <v>98.420000000000016</v>
      </c>
      <c r="BH247" s="625">
        <f t="shared" si="883"/>
        <v>98.890000000000015</v>
      </c>
      <c r="BI247" s="625">
        <f t="shared" si="883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454</v>
      </c>
      <c r="B249" t="s">
        <v>455</v>
      </c>
      <c r="C249" t="s">
        <v>456</v>
      </c>
      <c r="E249" s="21" t="s">
        <v>457</v>
      </c>
      <c r="G249" s="616">
        <f>DATE(2025,G248+1,0)</f>
        <v>45688</v>
      </c>
      <c r="H249" s="616">
        <f t="shared" ref="H249:R249" si="884">DATE(2025,H248+1,0)</f>
        <v>45716</v>
      </c>
      <c r="I249" s="616">
        <f t="shared" si="884"/>
        <v>45747</v>
      </c>
      <c r="J249" s="616">
        <f t="shared" si="884"/>
        <v>45777</v>
      </c>
      <c r="K249" s="616">
        <f t="shared" si="884"/>
        <v>45808</v>
      </c>
      <c r="L249" s="616">
        <f t="shared" si="884"/>
        <v>45838</v>
      </c>
      <c r="M249" s="616">
        <f t="shared" si="884"/>
        <v>45869</v>
      </c>
      <c r="N249" s="616">
        <f t="shared" si="884"/>
        <v>45900</v>
      </c>
      <c r="O249" s="616">
        <f t="shared" si="884"/>
        <v>45930</v>
      </c>
      <c r="P249" s="616">
        <f t="shared" si="884"/>
        <v>45961</v>
      </c>
      <c r="Q249" s="616">
        <f t="shared" si="884"/>
        <v>45991</v>
      </c>
      <c r="R249" s="616">
        <f t="shared" si="884"/>
        <v>46022</v>
      </c>
      <c r="T249" s="21" t="s">
        <v>457</v>
      </c>
      <c r="V249" s="616">
        <f>DATE(2025,V248+1,0)</f>
        <v>45688</v>
      </c>
      <c r="W249" s="616">
        <f t="shared" ref="W249:AG249" si="885">DATE(2025,W248+1,0)</f>
        <v>45716</v>
      </c>
      <c r="X249" s="616">
        <f t="shared" si="885"/>
        <v>45747</v>
      </c>
      <c r="Y249" s="616">
        <f t="shared" si="885"/>
        <v>45777</v>
      </c>
      <c r="Z249" s="616">
        <f t="shared" si="885"/>
        <v>45808</v>
      </c>
      <c r="AA249" s="616">
        <f t="shared" si="885"/>
        <v>45838</v>
      </c>
      <c r="AB249" s="616">
        <f t="shared" si="885"/>
        <v>45869</v>
      </c>
      <c r="AC249" s="616">
        <f t="shared" si="885"/>
        <v>45900</v>
      </c>
      <c r="AD249" s="616">
        <f t="shared" si="885"/>
        <v>45930</v>
      </c>
      <c r="AE249" s="616">
        <f t="shared" si="885"/>
        <v>45961</v>
      </c>
      <c r="AF249" s="616">
        <f t="shared" si="885"/>
        <v>45991</v>
      </c>
      <c r="AG249" s="616">
        <f t="shared" si="885"/>
        <v>46022</v>
      </c>
      <c r="AI249" s="21" t="s">
        <v>457</v>
      </c>
      <c r="AK249" s="616">
        <f>DATE(2025,AK248+1,0)</f>
        <v>45688</v>
      </c>
      <c r="AL249" s="616">
        <f t="shared" ref="AL249:AV249" si="886">DATE(2025,AL248+1,0)</f>
        <v>45716</v>
      </c>
      <c r="AM249" s="616">
        <f t="shared" si="886"/>
        <v>45747</v>
      </c>
      <c r="AN249" s="616">
        <f t="shared" si="886"/>
        <v>45777</v>
      </c>
      <c r="AO249" s="616">
        <f t="shared" si="886"/>
        <v>45808</v>
      </c>
      <c r="AP249" s="616">
        <f t="shared" si="886"/>
        <v>45838</v>
      </c>
      <c r="AQ249" s="616">
        <f t="shared" si="886"/>
        <v>45869</v>
      </c>
      <c r="AR249" s="616">
        <f t="shared" si="886"/>
        <v>45900</v>
      </c>
      <c r="AS249" s="616">
        <f t="shared" si="886"/>
        <v>45930</v>
      </c>
      <c r="AT249" s="616">
        <f t="shared" si="886"/>
        <v>45961</v>
      </c>
      <c r="AU249" s="616">
        <f t="shared" si="886"/>
        <v>45991</v>
      </c>
      <c r="AV249" s="616">
        <f t="shared" si="886"/>
        <v>46022</v>
      </c>
      <c r="AX249" s="21" t="s">
        <v>457</v>
      </c>
      <c r="BA249" s="616">
        <f>DATE(2025,BA248+1,0)</f>
        <v>45688</v>
      </c>
      <c r="BB249" s="616">
        <f t="shared" ref="BB249:BL249" si="887">DATE(2025,BB248+1,0)</f>
        <v>45716</v>
      </c>
      <c r="BC249" s="616">
        <f t="shared" si="887"/>
        <v>45747</v>
      </c>
      <c r="BD249" s="616">
        <f t="shared" si="887"/>
        <v>45777</v>
      </c>
      <c r="BE249" s="616">
        <f t="shared" si="887"/>
        <v>45808</v>
      </c>
      <c r="BF249" s="616">
        <f t="shared" si="887"/>
        <v>45838</v>
      </c>
      <c r="BG249" s="616">
        <f t="shared" si="887"/>
        <v>45869</v>
      </c>
      <c r="BH249" s="616">
        <f t="shared" si="887"/>
        <v>45900</v>
      </c>
      <c r="BI249" s="616">
        <f t="shared" si="887"/>
        <v>45930</v>
      </c>
      <c r="BJ249" s="616">
        <f t="shared" si="887"/>
        <v>45961</v>
      </c>
      <c r="BK249" s="616">
        <f t="shared" si="887"/>
        <v>45991</v>
      </c>
      <c r="BL249" s="616">
        <f t="shared" si="887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462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88">IF(W250/H250*100&gt;110,110,W250/H250*100)</f>
        <v>105.2538673818182</v>
      </c>
      <c r="AM250" s="618">
        <f t="shared" ref="AM250" si="889">IF(X250/I250*100&gt;110,110,X250/I250*100)</f>
        <v>100.17641333333333</v>
      </c>
      <c r="AN250" s="618">
        <f t="shared" ref="AN250" si="890">IF(Y250/J250*100&gt;110,110,Y250/J250*100)</f>
        <v>96.696735892700104</v>
      </c>
      <c r="AO250" s="618">
        <f t="shared" ref="AO250" si="891">IF(Z250/K250*100&gt;110,110,Z250/K250*100)</f>
        <v>96.249928995115155</v>
      </c>
      <c r="AP250" s="618">
        <f t="shared" ref="AP250" si="892">IF(AA250/L250*100&gt;110,110,AA250/L250*100)</f>
        <v>97.065169216832274</v>
      </c>
      <c r="AQ250" s="618">
        <f t="shared" ref="AQ250" si="893">IF(AB250/M250*100&gt;110,110,AB250/M250*100)</f>
        <v>96.912260411233703</v>
      </c>
      <c r="AR250" s="618">
        <f t="shared" ref="AR250" si="894">IF(AC250/N250*100&gt;110,110,AC250/N250*100)</f>
        <v>96.114327463863361</v>
      </c>
      <c r="AS250" s="618">
        <f t="shared" ref="AS250" si="895">IF(AD250/O250*100&gt;110,110,AD250/O250*100)</f>
        <v>95.794748093203893</v>
      </c>
      <c r="AT250" s="618">
        <f t="shared" ref="AT250" si="896">IF(AE250/P250*100&gt;110,110,AE250/P250*100)</f>
        <v>0</v>
      </c>
      <c r="AU250" s="618">
        <f t="shared" ref="AU250" si="897">IF(AF250/Q250*100&gt;110,110,AF250/Q250*100)</f>
        <v>0</v>
      </c>
      <c r="AV250" s="618">
        <f t="shared" ref="AV250" si="898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458</v>
      </c>
      <c r="AZ250">
        <v>14</v>
      </c>
      <c r="BA250" s="618">
        <f t="shared" ref="BA250:BA279" si="899">ROUNDDOWN(AK250/100*$AZ250,2)</f>
        <v>15.4</v>
      </c>
      <c r="BB250" s="618">
        <f t="shared" ref="BB250:BB279" si="900">ROUNDDOWN(AL250/100*$AZ250,2)</f>
        <v>14.73</v>
      </c>
      <c r="BC250" s="618">
        <f t="shared" ref="BC250:BC279" si="901">ROUNDDOWN(AM250/100*$AZ250,2)</f>
        <v>14.02</v>
      </c>
      <c r="BD250" s="618">
        <f t="shared" ref="BD250:BD279" si="902">ROUNDDOWN(AN250/100*$AZ250,2)</f>
        <v>13.53</v>
      </c>
      <c r="BE250" s="618">
        <f t="shared" ref="BE250:BE279" si="903">ROUNDDOWN(AO250/100*$AZ250,2)</f>
        <v>13.47</v>
      </c>
      <c r="BF250" s="618">
        <f t="shared" ref="BF250:BF279" si="904">ROUNDDOWN(AP250/100*$AZ250,2)</f>
        <v>13.58</v>
      </c>
      <c r="BG250" s="618">
        <f t="shared" ref="BG250:BG279" si="905">ROUNDDOWN(AQ250/100*$AZ250,2)</f>
        <v>13.56</v>
      </c>
      <c r="BH250" s="618">
        <f t="shared" ref="BH250:BH279" si="906">ROUNDDOWN(AR250/100*$AZ250,2)</f>
        <v>13.45</v>
      </c>
      <c r="BI250" s="618">
        <f t="shared" ref="BI250:BI279" si="907">ROUNDDOWN(AS250/100*$AZ250,2)</f>
        <v>13.41</v>
      </c>
      <c r="BJ250" s="618">
        <f t="shared" ref="BJ250:BJ279" si="908">ROUNDDOWN(AT250/100*$AZ250,2)</f>
        <v>0</v>
      </c>
      <c r="BK250" s="618">
        <f t="shared" ref="BK250:BK279" si="909">ROUNDDOWN(AU250/100*$AZ250,2)</f>
        <v>0</v>
      </c>
      <c r="BL250" s="618">
        <f t="shared" ref="BL250:BL279" si="910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462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911">IF((2-(V251/G251))*100&gt;110,110,(2-(V251/G251))*100)</f>
        <v>110</v>
      </c>
      <c r="AL251" s="618">
        <f t="shared" ref="AL251:AL252" si="912">IF((2-(W251/H251))*100&gt;110,110,(2-(W251/H251))*100)</f>
        <v>110</v>
      </c>
      <c r="AM251" s="618">
        <f t="shared" ref="AM251:AM252" si="913">IF((2-(X251/I251))*100&gt;110,110,(2-(X251/I251))*100)</f>
        <v>110</v>
      </c>
      <c r="AN251" s="618">
        <f t="shared" ref="AN251:AN252" si="914">IF((2-(Y251/J251))*100&gt;110,110,(2-(Y251/J251))*100)</f>
        <v>110</v>
      </c>
      <c r="AO251" s="618">
        <f t="shared" ref="AO251:AO252" si="915">IF((2-(Z251/K251))*100&gt;110,110,(2-(Z251/K251))*100)</f>
        <v>110</v>
      </c>
      <c r="AP251" s="618">
        <f t="shared" ref="AP251:AP252" si="916">IF((2-(AA251/L251))*100&gt;110,110,(2-(AA251/L251))*100)</f>
        <v>110</v>
      </c>
      <c r="AQ251" s="618">
        <f t="shared" ref="AQ251:AQ252" si="917">IF((2-(AB251/M251))*100&gt;110,110,(2-(AB251/M251))*100)</f>
        <v>110</v>
      </c>
      <c r="AR251" s="618">
        <f t="shared" ref="AR251:AR252" si="918">IF((2-(AC251/N251))*100&gt;110,110,(2-(AC251/N251))*100)</f>
        <v>110</v>
      </c>
      <c r="AS251" s="618">
        <f t="shared" ref="AS251:AS252" si="919">IF((2-(AD251/O251))*100&gt;110,110,(2-(AD251/O251))*100)</f>
        <v>110</v>
      </c>
      <c r="AT251" s="618">
        <f t="shared" ref="AT251:AT252" si="920">IF((2-(AE251/P251))*100&gt;110,110,(2-(AE251/P251))*100)</f>
        <v>110</v>
      </c>
      <c r="AU251" s="618">
        <f t="shared" ref="AU251:AU252" si="921">IF((2-(AF251/Q251))*100&gt;110,110,(2-(AF251/Q251))*100)</f>
        <v>110</v>
      </c>
      <c r="AV251" s="618">
        <f t="shared" ref="AV251:AV252" si="922">IF((2-(AG251/R251))*100&gt;110,110,(2-(AG251/R251))*100)</f>
        <v>110</v>
      </c>
      <c r="AX251" t="str">
        <v>SAIDI (sesuai kewenangan)</v>
      </c>
      <c r="AY251" s="105" t="s">
        <v>458</v>
      </c>
      <c r="AZ251">
        <v>6</v>
      </c>
      <c r="BA251" s="618">
        <f t="shared" si="899"/>
        <v>6.6</v>
      </c>
      <c r="BB251" s="618">
        <f t="shared" si="900"/>
        <v>6.6</v>
      </c>
      <c r="BC251" s="618">
        <f t="shared" si="901"/>
        <v>6.6</v>
      </c>
      <c r="BD251" s="618">
        <f t="shared" si="902"/>
        <v>6.6</v>
      </c>
      <c r="BE251" s="618">
        <f t="shared" si="903"/>
        <v>6.6</v>
      </c>
      <c r="BF251" s="618">
        <f t="shared" si="904"/>
        <v>6.6</v>
      </c>
      <c r="BG251" s="618">
        <f t="shared" si="905"/>
        <v>6.6</v>
      </c>
      <c r="BH251" s="618">
        <f t="shared" si="906"/>
        <v>6.6</v>
      </c>
      <c r="BI251" s="618">
        <f t="shared" si="907"/>
        <v>6.6</v>
      </c>
      <c r="BJ251" s="618">
        <f t="shared" si="908"/>
        <v>6.6</v>
      </c>
      <c r="BK251" s="618">
        <f t="shared" si="909"/>
        <v>6.6</v>
      </c>
      <c r="BL251" s="618">
        <f t="shared" si="910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462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911"/>
        <v>110</v>
      </c>
      <c r="AL252" s="618">
        <f t="shared" si="912"/>
        <v>110</v>
      </c>
      <c r="AM252" s="618">
        <f t="shared" si="913"/>
        <v>110</v>
      </c>
      <c r="AN252" s="618">
        <f t="shared" si="914"/>
        <v>110</v>
      </c>
      <c r="AO252" s="618">
        <f t="shared" si="915"/>
        <v>110</v>
      </c>
      <c r="AP252" s="618">
        <f t="shared" si="916"/>
        <v>110</v>
      </c>
      <c r="AQ252" s="618">
        <f t="shared" si="917"/>
        <v>110</v>
      </c>
      <c r="AR252" s="618">
        <f t="shared" si="918"/>
        <v>110</v>
      </c>
      <c r="AS252" s="618">
        <f t="shared" si="919"/>
        <v>110</v>
      </c>
      <c r="AT252" s="618">
        <f t="shared" si="920"/>
        <v>110</v>
      </c>
      <c r="AU252" s="618">
        <f t="shared" si="921"/>
        <v>110</v>
      </c>
      <c r="AV252" s="618">
        <f t="shared" si="922"/>
        <v>110</v>
      </c>
      <c r="AX252" t="str">
        <v>SAIFI (sesuai kewenangan)</v>
      </c>
      <c r="AY252" s="105" t="s">
        <v>458</v>
      </c>
      <c r="AZ252">
        <v>6</v>
      </c>
      <c r="BA252" s="618">
        <f t="shared" si="899"/>
        <v>6.6</v>
      </c>
      <c r="BB252" s="618">
        <f t="shared" si="900"/>
        <v>6.6</v>
      </c>
      <c r="BC252" s="618">
        <f t="shared" si="901"/>
        <v>6.6</v>
      </c>
      <c r="BD252" s="618">
        <f t="shared" si="902"/>
        <v>6.6</v>
      </c>
      <c r="BE252" s="618">
        <f t="shared" si="903"/>
        <v>6.6</v>
      </c>
      <c r="BF252" s="618">
        <f t="shared" si="904"/>
        <v>6.6</v>
      </c>
      <c r="BG252" s="618">
        <f t="shared" si="905"/>
        <v>6.6</v>
      </c>
      <c r="BH252" s="618">
        <f t="shared" si="906"/>
        <v>6.6</v>
      </c>
      <c r="BI252" s="618">
        <f t="shared" si="907"/>
        <v>6.6</v>
      </c>
      <c r="BJ252" s="618">
        <f t="shared" si="908"/>
        <v>6.6</v>
      </c>
      <c r="BK252" s="618">
        <f t="shared" si="909"/>
        <v>6.6</v>
      </c>
      <c r="BL252" s="618">
        <f t="shared" si="910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462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23">IF(((G253-(V253-G253))/G253)*100&gt;110,110,((G253-(V253-G253))/G253)*100)</f>
        <v>110</v>
      </c>
      <c r="AL253" s="618">
        <f t="shared" ref="AL253" si="924">IF(((H253-(W253-H253))/H253)*100&gt;110,110,((H253-(W253-H253))/H253)*100)</f>
        <v>110</v>
      </c>
      <c r="AM253" s="618">
        <f t="shared" ref="AM253" si="925">IF(((I253-(X253-I253))/I253)*100&gt;110,110,((I253-(X253-I253))/I253)*100)</f>
        <v>110</v>
      </c>
      <c r="AN253" s="618">
        <f t="shared" ref="AN253" si="926">IF(((J253-(Y253-J253))/J253)*100&gt;110,110,((J253-(Y253-J253))/J253)*100)</f>
        <v>110</v>
      </c>
      <c r="AO253" s="618">
        <f t="shared" ref="AO253" si="927">IF(((K253-(Z253-K253))/K253)*100&gt;110,110,((K253-(Z253-K253))/K253)*100)</f>
        <v>110</v>
      </c>
      <c r="AP253" s="618">
        <f t="shared" ref="AP253" si="928">IF(((L253-(AA253-L253))/L253)*100&gt;110,110,((L253-(AA253-L253))/L253)*100)</f>
        <v>110</v>
      </c>
      <c r="AQ253" s="618">
        <f t="shared" ref="AQ253" si="929">IF(((M253-(AB253-M253))/M253)*100&gt;110,110,((M253-(AB253-M253))/M253)*100)</f>
        <v>110</v>
      </c>
      <c r="AR253" s="618">
        <f t="shared" ref="AR253" si="930">IF(((N253-(AC253-N253))/N253)*100&gt;110,110,((N253-(AC253-N253))/N253)*100)</f>
        <v>110</v>
      </c>
      <c r="AS253" s="618">
        <f t="shared" ref="AS253" si="931">IF(((O253-(AD253-O253))/O253)*100&gt;110,110,((O253-(AD253-O253))/O253)*100)</f>
        <v>110</v>
      </c>
      <c r="AT253" s="618">
        <f t="shared" ref="AT253" si="932">IF(((P253-(AE253-P253))/P253)*100&gt;110,110,((P253-(AE253-P253))/P253)*100)</f>
        <v>110</v>
      </c>
      <c r="AU253" s="618">
        <f t="shared" ref="AU253" si="933">IF(((Q253-(AF253-Q253))/Q253)*100&gt;110,110,((Q253-(AF253-Q253))/Q253)*100)</f>
        <v>110</v>
      </c>
      <c r="AV253" s="618">
        <f t="shared" ref="AV253" si="934">IF(((R253-(AG253-R253))/R253)*100&gt;110,110,((R253-(AG253-R253))/R253)*100)</f>
        <v>110</v>
      </c>
      <c r="AX253" t="str">
        <v>ENS (sesuai kewenangan)</v>
      </c>
      <c r="AY253" s="105" t="s">
        <v>458</v>
      </c>
      <c r="AZ253">
        <v>2</v>
      </c>
      <c r="BA253" s="618">
        <f t="shared" si="899"/>
        <v>2.2000000000000002</v>
      </c>
      <c r="BB253" s="618">
        <f t="shared" si="900"/>
        <v>2.2000000000000002</v>
      </c>
      <c r="BC253" s="618">
        <f t="shared" si="901"/>
        <v>2.2000000000000002</v>
      </c>
      <c r="BD253" s="618">
        <f t="shared" si="902"/>
        <v>2.2000000000000002</v>
      </c>
      <c r="BE253" s="618">
        <f t="shared" si="903"/>
        <v>2.2000000000000002</v>
      </c>
      <c r="BF253" s="618">
        <f t="shared" si="904"/>
        <v>2.2000000000000002</v>
      </c>
      <c r="BG253" s="618">
        <f t="shared" si="905"/>
        <v>2.2000000000000002</v>
      </c>
      <c r="BH253" s="618">
        <f t="shared" si="906"/>
        <v>2.2000000000000002</v>
      </c>
      <c r="BI253" s="618">
        <f t="shared" si="907"/>
        <v>2.2000000000000002</v>
      </c>
      <c r="BJ253" s="618">
        <f t="shared" si="908"/>
        <v>2.2000000000000002</v>
      </c>
      <c r="BK253" s="618">
        <f t="shared" si="909"/>
        <v>2.2000000000000002</v>
      </c>
      <c r="BL253" s="618">
        <f t="shared" si="910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462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35">IF((2-(V254/G254))*100&gt;110,110,(2-(V254/G254))*100)</f>
        <v>110</v>
      </c>
      <c r="AL254" s="618">
        <f t="shared" ref="AL254" si="936">IF((2-(W254/H254))*100&gt;110,110,(2-(W254/H254))*100)</f>
        <v>110</v>
      </c>
      <c r="AM254" s="618">
        <f t="shared" ref="AM254" si="937">IF((2-(X254/I254))*100&gt;110,110,(2-(X254/I254))*100)</f>
        <v>110</v>
      </c>
      <c r="AN254" s="618">
        <f t="shared" ref="AN254" si="938">IF((2-(Y254/J254))*100&gt;110,110,(2-(Y254/J254))*100)</f>
        <v>110</v>
      </c>
      <c r="AO254" s="618">
        <f t="shared" ref="AO254" si="939">IF((2-(Z254/K254))*100&gt;110,110,(2-(Z254/K254))*100)</f>
        <v>109.36736176413544</v>
      </c>
      <c r="AP254" s="618">
        <f t="shared" ref="AP254" si="940">IF((2-(AA254/L254))*100&gt;110,110,(2-(AA254/L254))*100)</f>
        <v>105.69760772609646</v>
      </c>
      <c r="AQ254" s="618">
        <f t="shared" ref="AQ254" si="941">IF((2-(AB254/M254))*100&gt;110,110,(2-(AB254/M254))*100)</f>
        <v>104.64691986192859</v>
      </c>
      <c r="AR254" s="618">
        <f t="shared" ref="AR254" si="942">IF((2-(AC254/N254))*100&gt;110,110,(2-(AC254/N254))*100)</f>
        <v>101.14223637018456</v>
      </c>
      <c r="AS254" s="618">
        <f t="shared" ref="AS254" si="943">IF((2-(AD254/O254))*100&gt;110,110,(2-(AD254/O254))*100)</f>
        <v>99.1510504207412</v>
      </c>
      <c r="AT254" s="618">
        <f t="shared" ref="AT254" si="944">IF((2-(AE254/P254))*100&gt;110,110,(2-(AE254/P254))*100)</f>
        <v>110</v>
      </c>
      <c r="AU254" s="618">
        <f t="shared" ref="AU254" si="945">IF((2-(AF254/Q254))*100&gt;110,110,(2-(AF254/Q254))*100)</f>
        <v>110</v>
      </c>
      <c r="AV254" s="618">
        <f t="shared" ref="AV254" si="946">IF((2-(AG254/R254))*100&gt;110,110,(2-(AG254/R254))*100)</f>
        <v>110</v>
      </c>
      <c r="AX254" t="str">
        <v>Susut Distribusi Tanpa E-min (sesuai kewenangan)</v>
      </c>
      <c r="AY254" s="105" t="s">
        <v>458</v>
      </c>
      <c r="AZ254">
        <v>4</v>
      </c>
      <c r="BA254" s="618">
        <f t="shared" si="899"/>
        <v>4.4000000000000004</v>
      </c>
      <c r="BB254" s="618">
        <f t="shared" si="900"/>
        <v>4.4000000000000004</v>
      </c>
      <c r="BC254" s="618">
        <f t="shared" si="901"/>
        <v>4.4000000000000004</v>
      </c>
      <c r="BD254" s="618">
        <f t="shared" si="902"/>
        <v>4.4000000000000004</v>
      </c>
      <c r="BE254" s="618">
        <f t="shared" si="903"/>
        <v>4.37</v>
      </c>
      <c r="BF254" s="618">
        <f t="shared" si="904"/>
        <v>4.22</v>
      </c>
      <c r="BG254" s="618">
        <f t="shared" si="905"/>
        <v>4.18</v>
      </c>
      <c r="BH254" s="618">
        <f t="shared" si="906"/>
        <v>4.04</v>
      </c>
      <c r="BI254" s="618">
        <f t="shared" si="907"/>
        <v>3.96</v>
      </c>
      <c r="BJ254" s="618">
        <f t="shared" si="908"/>
        <v>4.4000000000000004</v>
      </c>
      <c r="BK254" s="618">
        <f t="shared" si="909"/>
        <v>4.4000000000000004</v>
      </c>
      <c r="BL254" s="618">
        <f t="shared" si="910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462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47">IF(V255/G255*100&gt;110,110,V255/G255*100)</f>
        <v>0</v>
      </c>
      <c r="AL255" s="618">
        <f t="shared" ref="AL255:AL256" si="948">IF(W255/H255*100&gt;110,110,W255/H255*100)</f>
        <v>0</v>
      </c>
      <c r="AM255" s="618">
        <f t="shared" ref="AM255:AM256" si="949">IF(X255/I255*100&gt;110,110,X255/I255*100)</f>
        <v>9.9160000000000004</v>
      </c>
      <c r="AN255" s="618">
        <f t="shared" ref="AN255:AN256" si="950">IF(Y255/J255*100&gt;110,110,Y255/J255*100)</f>
        <v>7.4369999999999994</v>
      </c>
      <c r="AO255" s="618">
        <f t="shared" ref="AO255:AO256" si="951">IF(Z255/K255*100&gt;110,110,Z255/K255*100)</f>
        <v>47.589599999999997</v>
      </c>
      <c r="AP255" s="618">
        <f t="shared" ref="AP255:AP256" si="952">IF(AA255/L255*100&gt;110,110,AA255/L255*100)</f>
        <v>103.54999999999997</v>
      </c>
      <c r="AQ255" s="618">
        <f t="shared" ref="AQ255:AQ256" si="953">IF(AB255/M255*100&gt;110,110,AB255/M255*100)</f>
        <v>110</v>
      </c>
      <c r="AR255" s="618">
        <f t="shared" ref="AR255:AR256" si="954">IF(AC255/N255*100&gt;110,110,AC255/N255*100)</f>
        <v>110</v>
      </c>
      <c r="AS255" s="618">
        <f t="shared" ref="AS255:AS256" si="955">IF(AD255/O255*100&gt;110,110,AD255/O255*100)</f>
        <v>110</v>
      </c>
      <c r="AT255" s="618">
        <f t="shared" ref="AT255:AT256" si="956">IF(AE255/P255*100&gt;110,110,AE255/P255*100)</f>
        <v>110</v>
      </c>
      <c r="AU255" s="618">
        <f t="shared" ref="AU255:AU256" si="957">IF(AF255/Q255*100&gt;110,110,AF255/Q255*100)</f>
        <v>101.76114285714286</v>
      </c>
      <c r="AV255" s="618">
        <f t="shared" ref="AV255:AV256" si="958">IF(AG255/R255*100&gt;110,110,AG255/R255*100)</f>
        <v>89.040999999999997</v>
      </c>
      <c r="AX255" t="str">
        <v>Penyelesaian Temuan P2TL</v>
      </c>
      <c r="AY255" s="105" t="s">
        <v>458</v>
      </c>
      <c r="AZ255">
        <v>4</v>
      </c>
      <c r="BA255" s="618">
        <f t="shared" si="899"/>
        <v>0</v>
      </c>
      <c r="BB255" s="618">
        <f t="shared" si="900"/>
        <v>0</v>
      </c>
      <c r="BC255" s="618">
        <f t="shared" si="901"/>
        <v>0.39</v>
      </c>
      <c r="BD255" s="618">
        <f t="shared" si="902"/>
        <v>0.28999999999999998</v>
      </c>
      <c r="BE255" s="618">
        <f t="shared" si="903"/>
        <v>1.9</v>
      </c>
      <c r="BF255" s="618">
        <f t="shared" si="904"/>
        <v>4.1399999999999997</v>
      </c>
      <c r="BG255" s="618">
        <f t="shared" si="905"/>
        <v>4.4000000000000004</v>
      </c>
      <c r="BH255" s="618">
        <f t="shared" si="906"/>
        <v>4.4000000000000004</v>
      </c>
      <c r="BI255" s="618">
        <f t="shared" si="907"/>
        <v>4.4000000000000004</v>
      </c>
      <c r="BJ255" s="618">
        <f t="shared" si="908"/>
        <v>4.4000000000000004</v>
      </c>
      <c r="BK255" s="618">
        <f t="shared" si="909"/>
        <v>4.07</v>
      </c>
      <c r="BL255" s="618">
        <f t="shared" si="910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462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47"/>
        <v>0</v>
      </c>
      <c r="AL256" s="618">
        <f t="shared" si="948"/>
        <v>85.882352941176464</v>
      </c>
      <c r="AM256" s="618">
        <f t="shared" si="949"/>
        <v>110</v>
      </c>
      <c r="AN256" s="618">
        <f t="shared" si="950"/>
        <v>110</v>
      </c>
      <c r="AO256" s="618">
        <f t="shared" si="951"/>
        <v>110</v>
      </c>
      <c r="AP256" s="618">
        <f t="shared" si="952"/>
        <v>110</v>
      </c>
      <c r="AQ256" s="618">
        <f t="shared" si="953"/>
        <v>110</v>
      </c>
      <c r="AR256" s="618">
        <f t="shared" si="954"/>
        <v>108.51063829787233</v>
      </c>
      <c r="AS256" s="618">
        <f t="shared" si="955"/>
        <v>102.91595197255575</v>
      </c>
      <c r="AT256" s="618">
        <f t="shared" si="956"/>
        <v>85.959885386819479</v>
      </c>
      <c r="AU256" s="618">
        <f t="shared" si="957"/>
        <v>85.959885386819479</v>
      </c>
      <c r="AV256" s="618">
        <f t="shared" si="958"/>
        <v>85.959885386819479</v>
      </c>
      <c r="AX256" t="str">
        <v>Penyelesaian Ganti Meter</v>
      </c>
      <c r="AY256" s="105" t="s">
        <v>458</v>
      </c>
      <c r="AZ256">
        <v>4</v>
      </c>
      <c r="BA256" s="618">
        <f t="shared" si="899"/>
        <v>0</v>
      </c>
      <c r="BB256" s="618">
        <f t="shared" si="900"/>
        <v>3.43</v>
      </c>
      <c r="BC256" s="618">
        <f t="shared" si="901"/>
        <v>4.4000000000000004</v>
      </c>
      <c r="BD256" s="618">
        <f t="shared" si="902"/>
        <v>4.4000000000000004</v>
      </c>
      <c r="BE256" s="618">
        <f t="shared" si="903"/>
        <v>4.4000000000000004</v>
      </c>
      <c r="BF256" s="618">
        <f t="shared" si="904"/>
        <v>4.4000000000000004</v>
      </c>
      <c r="BG256" s="618">
        <f t="shared" si="905"/>
        <v>4.4000000000000004</v>
      </c>
      <c r="BH256" s="618">
        <f t="shared" si="906"/>
        <v>4.34</v>
      </c>
      <c r="BI256" s="618">
        <f t="shared" si="907"/>
        <v>4.1100000000000003</v>
      </c>
      <c r="BJ256" s="618">
        <f t="shared" si="908"/>
        <v>3.43</v>
      </c>
      <c r="BK256" s="618">
        <f t="shared" si="909"/>
        <v>3.43</v>
      </c>
      <c r="BL256" s="618">
        <f t="shared" si="910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462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59">IF(((G257-(V257-G257))/G257)*100&gt;110,110,((G257-(V257-G257))/G257)*100)</f>
        <v>110</v>
      </c>
      <c r="AL257" s="618">
        <f t="shared" ref="AL257" si="960">IF(((H257-(W257-H257))/H257)*100&gt;110,110,((H257-(W257-H257))/H257)*100)</f>
        <v>110</v>
      </c>
      <c r="AM257" s="618">
        <f t="shared" ref="AM257" si="961">IF(((I257-(X257-I257))/I257)*100&gt;110,110,((I257-(X257-I257))/I257)*100)</f>
        <v>110</v>
      </c>
      <c r="AN257" s="618">
        <f t="shared" ref="AN257" si="962">IF(((J257-(Y257-J257))/J257)*100&gt;110,110,((J257-(Y257-J257))/J257)*100)</f>
        <v>110</v>
      </c>
      <c r="AO257" s="618">
        <f t="shared" ref="AO257" si="963">IF(((K257-(Z257-K257))/K257)*100&gt;110,110,((K257-(Z257-K257))/K257)*100)</f>
        <v>110</v>
      </c>
      <c r="AP257" s="618">
        <f t="shared" ref="AP257" si="964">IF(((L257-(AA257-L257))/L257)*100&gt;110,110,((L257-(AA257-L257))/L257)*100)</f>
        <v>110</v>
      </c>
      <c r="AQ257" s="618">
        <f t="shared" ref="AQ257" si="965">IF(((M257-(AB257-M257))/M257)*100&gt;110,110,((M257-(AB257-M257))/M257)*100)</f>
        <v>100</v>
      </c>
      <c r="AR257" s="618">
        <f t="shared" ref="AR257" si="966">IF(((N257-(AC257-N257))/N257)*100&gt;110,110,((N257-(AC257-N257))/N257)*100)</f>
        <v>110</v>
      </c>
      <c r="AS257" s="618">
        <f t="shared" ref="AS257" si="967">IF(((O257-(AD257-O257))/O257)*100&gt;110,110,((O257-(AD257-O257))/O257)*100)</f>
        <v>110</v>
      </c>
      <c r="AT257" s="618">
        <f t="shared" ref="AT257" si="968">IF(((P257-(AE257-P257))/P257)*100&gt;110,110,((P257-(AE257-P257))/P257)*100)</f>
        <v>110</v>
      </c>
      <c r="AU257" s="618">
        <f t="shared" ref="AU257" si="969">IF(((Q257-(AF257-Q257))/Q257)*100&gt;110,110,((Q257-(AF257-Q257))/Q257)*100)</f>
        <v>110</v>
      </c>
      <c r="AV257" s="618">
        <f t="shared" ref="AV257" si="970">IF(((R257-(AG257-R257))/R257)*100&gt;110,110,((R257-(AG257-R257))/R257)*100)</f>
        <v>110</v>
      </c>
      <c r="AX257" t="str">
        <v>Gangguan TM &gt; 5 Menit</v>
      </c>
      <c r="AY257" s="105" t="s">
        <v>458</v>
      </c>
      <c r="AZ257">
        <v>3</v>
      </c>
      <c r="BA257" s="618">
        <f t="shared" si="899"/>
        <v>3.3</v>
      </c>
      <c r="BB257" s="618">
        <f t="shared" si="900"/>
        <v>3.3</v>
      </c>
      <c r="BC257" s="618">
        <f t="shared" si="901"/>
        <v>3.3</v>
      </c>
      <c r="BD257" s="618">
        <f t="shared" si="902"/>
        <v>3.3</v>
      </c>
      <c r="BE257" s="618">
        <f t="shared" si="903"/>
        <v>3.3</v>
      </c>
      <c r="BF257" s="618">
        <f t="shared" si="904"/>
        <v>3.3</v>
      </c>
      <c r="BG257" s="618">
        <f t="shared" si="905"/>
        <v>3</v>
      </c>
      <c r="BH257" s="618">
        <f t="shared" si="906"/>
        <v>3.3</v>
      </c>
      <c r="BI257" s="618">
        <f t="shared" si="907"/>
        <v>3.3</v>
      </c>
      <c r="BJ257" s="618">
        <f t="shared" si="908"/>
        <v>3.3</v>
      </c>
      <c r="BK257" s="618">
        <f t="shared" si="909"/>
        <v>3.3</v>
      </c>
      <c r="BL257" s="618">
        <f t="shared" si="910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462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71">IF((2-(V258/G258))*100&gt;110,110,(2-(V258/G258))*100)</f>
        <v>110</v>
      </c>
      <c r="AL258" s="618">
        <f t="shared" ref="AL258" si="972">IF((2-(W258/H258))*100&gt;110,110,(2-(W258/H258))*100)</f>
        <v>110</v>
      </c>
      <c r="AM258" s="618">
        <f t="shared" ref="AM258" si="973">IF((2-(X258/I258))*100&gt;110,110,(2-(X258/I258))*100)</f>
        <v>110</v>
      </c>
      <c r="AN258" s="618">
        <f t="shared" ref="AN258" si="974">IF((2-(Y258/J258))*100&gt;110,110,(2-(Y258/J258))*100)</f>
        <v>110</v>
      </c>
      <c r="AO258" s="618">
        <f t="shared" ref="AO258" si="975">IF((2-(Z258/K258))*100&gt;110,110,(2-(Z258/K258))*100)</f>
        <v>110</v>
      </c>
      <c r="AP258" s="618">
        <f t="shared" ref="AP258" si="976">IF((2-(AA258/L258))*100&gt;110,110,(2-(AA258/L258))*100)</f>
        <v>110</v>
      </c>
      <c r="AQ258" s="618">
        <f t="shared" ref="AQ258" si="977">IF((2-(AB258/M258))*100&gt;110,110,(2-(AB258/M258))*100)</f>
        <v>110</v>
      </c>
      <c r="AR258" s="618">
        <f t="shared" ref="AR258" si="978">IF((2-(AC258/N258))*100&gt;110,110,(2-(AC258/N258))*100)</f>
        <v>110</v>
      </c>
      <c r="AS258" s="618">
        <f t="shared" ref="AS258" si="979">IF((2-(AD258/O258))*100&gt;110,110,(2-(AD258/O258))*100)</f>
        <v>110</v>
      </c>
      <c r="AT258" s="618">
        <f t="shared" ref="AT258" si="980">IF((2-(AE258/P258))*100&gt;110,110,(2-(AE258/P258))*100)</f>
        <v>110</v>
      </c>
      <c r="AU258" s="618">
        <f t="shared" ref="AU258" si="981">IF((2-(AF258/Q258))*100&gt;110,110,(2-(AF258/Q258))*100)</f>
        <v>110</v>
      </c>
      <c r="AV258" s="618">
        <f t="shared" ref="AV258" si="982">IF((2-(AG258/R258))*100&gt;110,110,(2-(AG258/R258))*100)</f>
        <v>110</v>
      </c>
      <c r="AX258" t="str">
        <v>Gangguan TM ≤ 5 Menit</v>
      </c>
      <c r="AY258" s="105" t="s">
        <v>458</v>
      </c>
      <c r="AZ258">
        <v>3</v>
      </c>
      <c r="BA258" s="618">
        <f t="shared" si="899"/>
        <v>3.3</v>
      </c>
      <c r="BB258" s="618">
        <f t="shared" si="900"/>
        <v>3.3</v>
      </c>
      <c r="BC258" s="618">
        <f t="shared" si="901"/>
        <v>3.3</v>
      </c>
      <c r="BD258" s="618">
        <f t="shared" si="902"/>
        <v>3.3</v>
      </c>
      <c r="BE258" s="618">
        <f t="shared" si="903"/>
        <v>3.3</v>
      </c>
      <c r="BF258" s="618">
        <f t="shared" si="904"/>
        <v>3.3</v>
      </c>
      <c r="BG258" s="618">
        <f t="shared" si="905"/>
        <v>3.3</v>
      </c>
      <c r="BH258" s="618">
        <f t="shared" si="906"/>
        <v>3.3</v>
      </c>
      <c r="BI258" s="618">
        <f t="shared" si="907"/>
        <v>3.3</v>
      </c>
      <c r="BJ258" s="618">
        <f t="shared" si="908"/>
        <v>3.3</v>
      </c>
      <c r="BK258" s="618">
        <f t="shared" si="909"/>
        <v>3.3</v>
      </c>
      <c r="BL258" s="618">
        <f t="shared" si="910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462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83">IFERROR(IF((2-(V259/G259))*100&gt;110,110,(2-(V259/G259))*100),100)</f>
        <v>100</v>
      </c>
      <c r="AL259" s="618">
        <f t="shared" ref="AL259:AL261" si="984">IFERROR(IF((2-(W259/H259))*100&gt;110,110,(2-(W259/H259))*100),100)</f>
        <v>100</v>
      </c>
      <c r="AM259" s="618">
        <f t="shared" ref="AM259:AM261" si="985">IFERROR(IF((2-(X259/I259))*100&gt;110,110,(2-(X259/I259))*100),100)</f>
        <v>110</v>
      </c>
      <c r="AN259" s="618">
        <f t="shared" ref="AN259:AN261" si="986">IFERROR(IF((2-(Y259/J259))*100&gt;110,110,(2-(Y259/J259))*100),100)</f>
        <v>110</v>
      </c>
      <c r="AO259" s="618">
        <f t="shared" ref="AO259:AO261" si="987">IFERROR(IF((2-(Z259/K259))*100&gt;110,110,(2-(Z259/K259))*100),100)</f>
        <v>110</v>
      </c>
      <c r="AP259" s="618">
        <f t="shared" ref="AP259:AP261" si="988">IFERROR(IF((2-(AA259/L259))*100&gt;110,110,(2-(AA259/L259))*100),100)</f>
        <v>110</v>
      </c>
      <c r="AQ259" s="618">
        <f t="shared" ref="AQ259:AQ261" si="989">IFERROR(IF((2-(AB259/M259))*100&gt;110,110,(2-(AB259/M259))*100),100)</f>
        <v>110</v>
      </c>
      <c r="AR259" s="618">
        <f t="shared" ref="AR259:AR261" si="990">IFERROR(IF((2-(AC259/N259))*100&gt;110,110,(2-(AC259/N259))*100),100)</f>
        <v>110</v>
      </c>
      <c r="AS259" s="618">
        <f t="shared" ref="AS259:AS261" si="991">IFERROR(IF((2-(AD259/O259))*100&gt;110,110,(2-(AD259/O259))*100),100)</f>
        <v>110</v>
      </c>
      <c r="AT259" s="618">
        <f t="shared" ref="AT259:AT261" si="992">IFERROR(IF((2-(AE259/P259))*100&gt;110,110,(2-(AE259/P259))*100),100)</f>
        <v>110</v>
      </c>
      <c r="AU259" s="618">
        <f t="shared" ref="AU259:AU261" si="993">IFERROR(IF((2-(AF259/Q259))*100&gt;110,110,(2-(AF259/Q259))*100),100)</f>
        <v>110</v>
      </c>
      <c r="AV259" s="618">
        <f t="shared" ref="AV259:AV261" si="994">IFERROR(IF((2-(AG259/R259))*100&gt;110,110,(2-(AG259/R259))*100),100)</f>
        <v>110</v>
      </c>
      <c r="AX259" t="str">
        <v>Kerusakan Peralatan Distribusi (PHB TM dan Trafo) Sesuai Kewenangan</v>
      </c>
      <c r="AY259" s="105" t="s">
        <v>458</v>
      </c>
      <c r="AZ259">
        <v>3</v>
      </c>
      <c r="BA259" s="618">
        <f t="shared" si="899"/>
        <v>3</v>
      </c>
      <c r="BB259" s="618">
        <f t="shared" si="900"/>
        <v>3</v>
      </c>
      <c r="BC259" s="618">
        <f t="shared" si="901"/>
        <v>3.3</v>
      </c>
      <c r="BD259" s="618">
        <f t="shared" si="902"/>
        <v>3.3</v>
      </c>
      <c r="BE259" s="618">
        <f t="shared" si="903"/>
        <v>3.3</v>
      </c>
      <c r="BF259" s="618">
        <f t="shared" si="904"/>
        <v>3.3</v>
      </c>
      <c r="BG259" s="618">
        <f t="shared" si="905"/>
        <v>3.3</v>
      </c>
      <c r="BH259" s="618">
        <f t="shared" si="906"/>
        <v>3.3</v>
      </c>
      <c r="BI259" s="618">
        <f t="shared" si="907"/>
        <v>3.3</v>
      </c>
      <c r="BJ259" s="618">
        <f t="shared" si="908"/>
        <v>3.3</v>
      </c>
      <c r="BK259" s="618">
        <f t="shared" si="909"/>
        <v>3.3</v>
      </c>
      <c r="BL259" s="618">
        <f t="shared" si="910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462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83"/>
        <v>110</v>
      </c>
      <c r="AL260" s="618">
        <f t="shared" si="984"/>
        <v>110</v>
      </c>
      <c r="AM260" s="618">
        <f t="shared" si="985"/>
        <v>110</v>
      </c>
      <c r="AN260" s="618">
        <f t="shared" si="986"/>
        <v>110</v>
      </c>
      <c r="AO260" s="618">
        <f t="shared" si="987"/>
        <v>110</v>
      </c>
      <c r="AP260" s="618">
        <f t="shared" si="988"/>
        <v>110</v>
      </c>
      <c r="AQ260" s="618">
        <f t="shared" si="989"/>
        <v>110</v>
      </c>
      <c r="AR260" s="618">
        <f t="shared" si="990"/>
        <v>110</v>
      </c>
      <c r="AS260" s="618">
        <f t="shared" si="991"/>
        <v>110</v>
      </c>
      <c r="AT260" s="618">
        <f t="shared" si="992"/>
        <v>110</v>
      </c>
      <c r="AU260" s="618">
        <f t="shared" si="993"/>
        <v>110</v>
      </c>
      <c r="AV260" s="618">
        <f t="shared" si="994"/>
        <v>110</v>
      </c>
      <c r="AX260" t="str">
        <v>Feedback Rating Negatif pada PLN Mobile - Gangguan</v>
      </c>
      <c r="AY260" s="105" t="s">
        <v>458</v>
      </c>
      <c r="AZ260">
        <v>2</v>
      </c>
      <c r="BA260" s="618">
        <f t="shared" si="899"/>
        <v>2.2000000000000002</v>
      </c>
      <c r="BB260" s="618">
        <f t="shared" si="900"/>
        <v>2.2000000000000002</v>
      </c>
      <c r="BC260" s="618">
        <f t="shared" si="901"/>
        <v>2.2000000000000002</v>
      </c>
      <c r="BD260" s="618">
        <f t="shared" si="902"/>
        <v>2.2000000000000002</v>
      </c>
      <c r="BE260" s="618">
        <f t="shared" si="903"/>
        <v>2.2000000000000002</v>
      </c>
      <c r="BF260" s="618">
        <f t="shared" si="904"/>
        <v>2.2000000000000002</v>
      </c>
      <c r="BG260" s="618">
        <f t="shared" si="905"/>
        <v>2.2000000000000002</v>
      </c>
      <c r="BH260" s="618">
        <f t="shared" si="906"/>
        <v>2.2000000000000002</v>
      </c>
      <c r="BI260" s="618">
        <f t="shared" si="907"/>
        <v>2.2000000000000002</v>
      </c>
      <c r="BJ260" s="618">
        <f t="shared" si="908"/>
        <v>2.2000000000000002</v>
      </c>
      <c r="BK260" s="618">
        <f t="shared" si="909"/>
        <v>2.2000000000000002</v>
      </c>
      <c r="BL260" s="618">
        <f t="shared" si="910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462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83"/>
        <v>110</v>
      </c>
      <c r="AL261" s="618">
        <f t="shared" si="984"/>
        <v>110</v>
      </c>
      <c r="AM261" s="618">
        <f t="shared" si="985"/>
        <v>110</v>
      </c>
      <c r="AN261" s="618">
        <f t="shared" si="986"/>
        <v>110</v>
      </c>
      <c r="AO261" s="618">
        <f t="shared" si="987"/>
        <v>110</v>
      </c>
      <c r="AP261" s="618">
        <f t="shared" si="988"/>
        <v>110</v>
      </c>
      <c r="AQ261" s="618">
        <f t="shared" si="989"/>
        <v>110</v>
      </c>
      <c r="AR261" s="618">
        <f t="shared" si="990"/>
        <v>110</v>
      </c>
      <c r="AS261" s="618">
        <f t="shared" si="991"/>
        <v>110</v>
      </c>
      <c r="AT261" s="618">
        <f t="shared" si="992"/>
        <v>110</v>
      </c>
      <c r="AU261" s="618">
        <f t="shared" si="993"/>
        <v>110</v>
      </c>
      <c r="AV261" s="618">
        <f t="shared" si="994"/>
        <v>110</v>
      </c>
      <c r="AX261" t="str">
        <v>Pengaduan Gangguan Berulang pada PLN Mobile</v>
      </c>
      <c r="AY261" s="105" t="s">
        <v>458</v>
      </c>
      <c r="AZ261">
        <v>2</v>
      </c>
      <c r="BA261" s="618">
        <f t="shared" si="899"/>
        <v>2.2000000000000002</v>
      </c>
      <c r="BB261" s="618">
        <f t="shared" si="900"/>
        <v>2.2000000000000002</v>
      </c>
      <c r="BC261" s="618">
        <f t="shared" si="901"/>
        <v>2.2000000000000002</v>
      </c>
      <c r="BD261" s="618">
        <f t="shared" si="902"/>
        <v>2.2000000000000002</v>
      </c>
      <c r="BE261" s="618">
        <f t="shared" si="903"/>
        <v>2.2000000000000002</v>
      </c>
      <c r="BF261" s="618">
        <f t="shared" si="904"/>
        <v>2.2000000000000002</v>
      </c>
      <c r="BG261" s="618">
        <f t="shared" si="905"/>
        <v>2.2000000000000002</v>
      </c>
      <c r="BH261" s="618">
        <f t="shared" si="906"/>
        <v>2.2000000000000002</v>
      </c>
      <c r="BI261" s="618">
        <f t="shared" si="907"/>
        <v>2.2000000000000002</v>
      </c>
      <c r="BJ261" s="618">
        <f t="shared" si="908"/>
        <v>2.2000000000000002</v>
      </c>
      <c r="BK261" s="618">
        <f t="shared" si="909"/>
        <v>2.2000000000000002</v>
      </c>
      <c r="BL261" s="618">
        <f t="shared" si="910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462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95">IF(V262/G262*100&gt;110,110,V262/G262*100)</f>
        <v>100.20408163265306</v>
      </c>
      <c r="AL262" s="618">
        <f t="shared" ref="AL262:AL263" si="996">IF(W262/H262*100&gt;110,110,W262/H262*100)</f>
        <v>100.20408163265306</v>
      </c>
      <c r="AM262" s="618">
        <f t="shared" ref="AM262:AM263" si="997">IF(X262/I262*100&gt;110,110,X262/I262*100)</f>
        <v>100.20408163265306</v>
      </c>
      <c r="AN262" s="618">
        <f t="shared" ref="AN262:AN263" si="998">IF(Y262/J262*100&gt;110,110,Y262/J262*100)</f>
        <v>100.20408163265306</v>
      </c>
      <c r="AO262" s="618">
        <f t="shared" ref="AO262:AO263" si="999">IF(Z262/K262*100&gt;110,110,Z262/K262*100)</f>
        <v>100</v>
      </c>
      <c r="AP262" s="618">
        <f t="shared" ref="AP262:AP263" si="1000">IF(AA262/L262*100&gt;110,110,AA262/L262*100)</f>
        <v>100</v>
      </c>
      <c r="AQ262" s="618">
        <f t="shared" ref="AQ262:AQ263" si="1001">IF(AB262/M262*100&gt;110,110,AB262/M262*100)</f>
        <v>100</v>
      </c>
      <c r="AR262" s="618">
        <f t="shared" ref="AR262:AR263" si="1002">IF(AC262/N262*100&gt;110,110,AC262/N262*100)</f>
        <v>100</v>
      </c>
      <c r="AS262" s="618">
        <f t="shared" ref="AS262:AS263" si="1003">IF(AD262/O262*100&gt;110,110,AD262/O262*100)</f>
        <v>100</v>
      </c>
      <c r="AT262" s="618">
        <f t="shared" ref="AT262:AT263" si="1004">IF(AE262/P262*100&gt;110,110,AE262/P262*100)</f>
        <v>100</v>
      </c>
      <c r="AU262" s="618">
        <f t="shared" ref="AU262:AU263" si="1005">IF(AF262/Q262*100&gt;110,110,AF262/Q262*100)</f>
        <v>100</v>
      </c>
      <c r="AV262" s="618">
        <f t="shared" ref="AV262:AV263" si="1006">IF(AG262/R262*100&gt;110,110,AG262/R262*100)</f>
        <v>100</v>
      </c>
      <c r="AX262" t="str">
        <v>Rating PLN Mobile</v>
      </c>
      <c r="AY262" s="105" t="s">
        <v>458</v>
      </c>
      <c r="AZ262">
        <v>2</v>
      </c>
      <c r="BA262" s="618">
        <f t="shared" si="899"/>
        <v>2</v>
      </c>
      <c r="BB262" s="618">
        <f t="shared" si="900"/>
        <v>2</v>
      </c>
      <c r="BC262" s="618">
        <f t="shared" si="901"/>
        <v>2</v>
      </c>
      <c r="BD262" s="618">
        <f t="shared" si="902"/>
        <v>2</v>
      </c>
      <c r="BE262" s="618">
        <f t="shared" si="903"/>
        <v>2</v>
      </c>
      <c r="BF262" s="618">
        <f t="shared" si="904"/>
        <v>2</v>
      </c>
      <c r="BG262" s="618">
        <f t="shared" si="905"/>
        <v>2</v>
      </c>
      <c r="BH262" s="618">
        <f t="shared" si="906"/>
        <v>2</v>
      </c>
      <c r="BI262" s="618">
        <f t="shared" si="907"/>
        <v>2</v>
      </c>
      <c r="BJ262" s="618">
        <f t="shared" si="908"/>
        <v>2</v>
      </c>
      <c r="BK262" s="618">
        <f t="shared" si="909"/>
        <v>2</v>
      </c>
      <c r="BL262" s="618">
        <f t="shared" si="910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462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95"/>
        <v>24.214792299898683</v>
      </c>
      <c r="AL263" s="618">
        <f t="shared" si="996"/>
        <v>33.386581469648561</v>
      </c>
      <c r="AM263" s="618">
        <f t="shared" si="997"/>
        <v>82.722513089005233</v>
      </c>
      <c r="AN263" s="618">
        <f t="shared" si="998"/>
        <v>108.58638743455498</v>
      </c>
      <c r="AO263" s="618">
        <f t="shared" si="999"/>
        <v>110</v>
      </c>
      <c r="AP263" s="618">
        <f t="shared" si="1000"/>
        <v>110</v>
      </c>
      <c r="AQ263" s="618">
        <f t="shared" si="1001"/>
        <v>110</v>
      </c>
      <c r="AR263" s="618">
        <f t="shared" si="1002"/>
        <v>110</v>
      </c>
      <c r="AS263" s="618">
        <f t="shared" si="1003"/>
        <v>110</v>
      </c>
      <c r="AT263" s="618">
        <f t="shared" si="1004"/>
        <v>0</v>
      </c>
      <c r="AU263" s="618">
        <f t="shared" si="1005"/>
        <v>0</v>
      </c>
      <c r="AV263" s="618">
        <f t="shared" si="1006"/>
        <v>0</v>
      </c>
      <c r="AX263" t="str">
        <v>Jumlah Kali Transaksi Keuangan melalui PLN Mobile</v>
      </c>
      <c r="AY263" s="105" t="s">
        <v>458</v>
      </c>
      <c r="AZ263">
        <v>2</v>
      </c>
      <c r="BA263" s="618">
        <f t="shared" si="899"/>
        <v>0.48</v>
      </c>
      <c r="BB263" s="618">
        <f t="shared" si="900"/>
        <v>0.66</v>
      </c>
      <c r="BC263" s="618">
        <f t="shared" si="901"/>
        <v>1.65</v>
      </c>
      <c r="BD263" s="618">
        <f t="shared" si="902"/>
        <v>2.17</v>
      </c>
      <c r="BE263" s="618">
        <f t="shared" si="903"/>
        <v>2.2000000000000002</v>
      </c>
      <c r="BF263" s="618">
        <f t="shared" si="904"/>
        <v>2.2000000000000002</v>
      </c>
      <c r="BG263" s="618">
        <f t="shared" si="905"/>
        <v>2.2000000000000002</v>
      </c>
      <c r="BH263" s="618">
        <f t="shared" si="906"/>
        <v>2.2000000000000002</v>
      </c>
      <c r="BI263" s="618">
        <f t="shared" si="907"/>
        <v>2.2000000000000002</v>
      </c>
      <c r="BJ263" s="618">
        <f t="shared" si="908"/>
        <v>0</v>
      </c>
      <c r="BK263" s="618">
        <f t="shared" si="909"/>
        <v>0</v>
      </c>
      <c r="BL263" s="618">
        <f t="shared" si="910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462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1007">IFERROR(IF((2-(V264/G264))*100&gt;110,110,(2-(V264/G264))*100),100)</f>
        <v>110</v>
      </c>
      <c r="AL264" s="618">
        <f t="shared" ref="AL264" si="1008">IFERROR(IF((2-(W264/H264))*100&gt;110,110,(2-(W264/H264))*100),100)</f>
        <v>110</v>
      </c>
      <c r="AM264" s="618">
        <f t="shared" ref="AM264" si="1009">IFERROR(IF((2-(X264/I264))*100&gt;110,110,(2-(X264/I264))*100),100)</f>
        <v>110</v>
      </c>
      <c r="AN264" s="618">
        <f t="shared" ref="AN264" si="1010">IFERROR(IF((2-(Y264/J264))*100&gt;110,110,(2-(Y264/J264))*100),100)</f>
        <v>110</v>
      </c>
      <c r="AO264" s="618">
        <f t="shared" ref="AO264" si="1011">IFERROR(IF((2-(Z264/K264))*100&gt;110,110,(2-(Z264/K264))*100),100)</f>
        <v>110</v>
      </c>
      <c r="AP264" s="618">
        <f t="shared" ref="AP264" si="1012">IFERROR(IF((2-(AA264/L264))*100&gt;110,110,(2-(AA264/L264))*100),100)</f>
        <v>110</v>
      </c>
      <c r="AQ264" s="618">
        <f t="shared" ref="AQ264" si="1013">IFERROR(IF((2-(AB264/M264))*100&gt;110,110,(2-(AB264/M264))*100),100)</f>
        <v>110</v>
      </c>
      <c r="AR264" s="618">
        <f t="shared" ref="AR264" si="1014">IFERROR(IF((2-(AC264/N264))*100&gt;110,110,(2-(AC264/N264))*100),100)</f>
        <v>110</v>
      </c>
      <c r="AS264" s="618">
        <f t="shared" ref="AS264" si="1015">IFERROR(IF((2-(AD264/O264))*100&gt;110,110,(2-(AD264/O264))*100),100)</f>
        <v>110</v>
      </c>
      <c r="AT264" s="618">
        <f t="shared" ref="AT264" si="1016">IFERROR(IF((2-(AE264/P264))*100&gt;110,110,(2-(AE264/P264))*100),100)</f>
        <v>110</v>
      </c>
      <c r="AU264" s="618">
        <f t="shared" ref="AU264" si="1017">IFERROR(IF((2-(AF264/Q264))*100&gt;110,110,(2-(AF264/Q264))*100),100)</f>
        <v>110</v>
      </c>
      <c r="AV264" s="618">
        <f t="shared" ref="AV264" si="1018">IFERROR(IF((2-(AG264/R264))*100&gt;110,110,(2-(AG264/R264))*100),100)</f>
        <v>110</v>
      </c>
      <c r="AX264" t="str">
        <v>Response Time atas Gangguan (diluar Clear Tamper)</v>
      </c>
      <c r="AY264" s="105" t="s">
        <v>458</v>
      </c>
      <c r="AZ264">
        <v>1.5</v>
      </c>
      <c r="BA264" s="618">
        <f t="shared" si="899"/>
        <v>1.65</v>
      </c>
      <c r="BB264" s="618">
        <f t="shared" si="900"/>
        <v>1.65</v>
      </c>
      <c r="BC264" s="618">
        <f t="shared" si="901"/>
        <v>1.65</v>
      </c>
      <c r="BD264" s="618">
        <f t="shared" si="902"/>
        <v>1.65</v>
      </c>
      <c r="BE264" s="618">
        <f t="shared" si="903"/>
        <v>1.65</v>
      </c>
      <c r="BF264" s="618">
        <f t="shared" si="904"/>
        <v>1.65</v>
      </c>
      <c r="BG264" s="618">
        <f t="shared" si="905"/>
        <v>1.65</v>
      </c>
      <c r="BH264" s="618">
        <f t="shared" si="906"/>
        <v>1.65</v>
      </c>
      <c r="BI264" s="618">
        <f t="shared" si="907"/>
        <v>1.65</v>
      </c>
      <c r="BJ264" s="618">
        <f t="shared" si="908"/>
        <v>1.65</v>
      </c>
      <c r="BK264" s="618">
        <f t="shared" si="909"/>
        <v>1.65</v>
      </c>
      <c r="BL264" s="618">
        <f t="shared" si="910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462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19">IFERROR(IF(V265/G265*100&gt;110,110,V265/G265*100),100)</f>
        <v>100</v>
      </c>
      <c r="AL265" s="618">
        <f t="shared" ref="AL265:AL276" si="1020">IFERROR(IF(W265/H265*100&gt;110,110,W265/H265*100),100)</f>
        <v>100</v>
      </c>
      <c r="AM265" s="618">
        <f t="shared" ref="AM265:AM276" si="1021">IFERROR(IF(X265/I265*100&gt;110,110,X265/I265*100),100)</f>
        <v>100</v>
      </c>
      <c r="AN265" s="618">
        <f t="shared" ref="AN265:AN276" si="1022">IFERROR(IF(Y265/J265*100&gt;110,110,Y265/J265*100),100)</f>
        <v>100</v>
      </c>
      <c r="AO265" s="618">
        <f t="shared" ref="AO265:AO276" si="1023">IFERROR(IF(Z265/K265*100&gt;110,110,Z265/K265*100),100)</f>
        <v>100</v>
      </c>
      <c r="AP265" s="618">
        <f t="shared" ref="AP265:AP276" si="1024">IFERROR(IF(AA265/L265*100&gt;110,110,AA265/L265*100),100)</f>
        <v>100</v>
      </c>
      <c r="AQ265" s="618">
        <f t="shared" ref="AQ265:AQ276" si="1025">IFERROR(IF(AB265/M265*100&gt;110,110,AB265/M265*100),100)</f>
        <v>100</v>
      </c>
      <c r="AR265" s="618">
        <f t="shared" ref="AR265:AR276" si="1026">IFERROR(IF(AC265/N265*100&gt;110,110,AC265/N265*100),100)</f>
        <v>100</v>
      </c>
      <c r="AS265" s="618">
        <f t="shared" ref="AS265:AS276" si="1027">IFERROR(IF(AD265/O265*100&gt;110,110,AD265/O265*100),100)</f>
        <v>100</v>
      </c>
      <c r="AT265" s="618">
        <f t="shared" ref="AT265:AT276" si="1028">IFERROR(IF(AE265/P265*100&gt;110,110,AE265/P265*100),100)</f>
        <v>100</v>
      </c>
      <c r="AU265" s="618">
        <f t="shared" ref="AU265:AU276" si="1029">IFERROR(IF(AF265/Q265*100&gt;110,110,AF265/Q265*100),100)</f>
        <v>100</v>
      </c>
      <c r="AV265" s="618">
        <f t="shared" ref="AV265:AV276" si="1030">IFERROR(IF(AG265/R265*100&gt;110,110,AG265/R265*100),100)</f>
        <v>100</v>
      </c>
      <c r="AX265" t="str">
        <v>Success Rate Auto Dispatch Gangguan Individual (diluar Clear Tamper)</v>
      </c>
      <c r="AY265" s="105" t="s">
        <v>458</v>
      </c>
      <c r="AZ265">
        <v>1.5</v>
      </c>
      <c r="BA265" s="618">
        <f t="shared" si="899"/>
        <v>1.5</v>
      </c>
      <c r="BB265" s="618">
        <f t="shared" si="900"/>
        <v>1.5</v>
      </c>
      <c r="BC265" s="618">
        <f t="shared" si="901"/>
        <v>1.5</v>
      </c>
      <c r="BD265" s="618">
        <f t="shared" si="902"/>
        <v>1.5</v>
      </c>
      <c r="BE265" s="618">
        <f t="shared" si="903"/>
        <v>1.5</v>
      </c>
      <c r="BF265" s="618">
        <f t="shared" si="904"/>
        <v>1.5</v>
      </c>
      <c r="BG265" s="618">
        <f t="shared" si="905"/>
        <v>1.5</v>
      </c>
      <c r="BH265" s="618">
        <f t="shared" si="906"/>
        <v>1.5</v>
      </c>
      <c r="BI265" s="618">
        <f t="shared" si="907"/>
        <v>1.5</v>
      </c>
      <c r="BJ265" s="618">
        <f t="shared" si="908"/>
        <v>1.5</v>
      </c>
      <c r="BK265" s="618">
        <f t="shared" si="909"/>
        <v>1.5</v>
      </c>
      <c r="BL265" s="618">
        <f t="shared" si="910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462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19"/>
        <v>110.00000000000001</v>
      </c>
      <c r="AL266" s="618">
        <f t="shared" si="1020"/>
        <v>110.00000000000001</v>
      </c>
      <c r="AM266" s="618">
        <f t="shared" si="1021"/>
        <v>110.00000000000001</v>
      </c>
      <c r="AN266" s="618">
        <f t="shared" si="1022"/>
        <v>110.00000000000001</v>
      </c>
      <c r="AO266" s="618">
        <f t="shared" si="1023"/>
        <v>110.00000000000001</v>
      </c>
      <c r="AP266" s="618">
        <f t="shared" si="1024"/>
        <v>110.00000000000001</v>
      </c>
      <c r="AQ266" s="618">
        <f t="shared" si="1025"/>
        <v>110.00000000000001</v>
      </c>
      <c r="AR266" s="618">
        <f t="shared" si="1026"/>
        <v>110.00000000000001</v>
      </c>
      <c r="AS266" s="618">
        <f t="shared" si="1027"/>
        <v>110.00000000000001</v>
      </c>
      <c r="AT266" s="618">
        <f t="shared" si="1028"/>
        <v>0</v>
      </c>
      <c r="AU266" s="618">
        <f t="shared" si="1029"/>
        <v>0</v>
      </c>
      <c r="AV266" s="618">
        <f t="shared" si="1030"/>
        <v>0</v>
      </c>
      <c r="AX266" t="str">
        <v>Recovery Time Gangguan Meluas TM</v>
      </c>
      <c r="AY266" s="105" t="s">
        <v>458</v>
      </c>
      <c r="AZ266">
        <v>3</v>
      </c>
      <c r="BA266" s="618">
        <f t="shared" si="899"/>
        <v>3.3</v>
      </c>
      <c r="BB266" s="618">
        <f t="shared" si="900"/>
        <v>3.3</v>
      </c>
      <c r="BC266" s="618">
        <f t="shared" si="901"/>
        <v>3.3</v>
      </c>
      <c r="BD266" s="618">
        <f t="shared" si="902"/>
        <v>3.3</v>
      </c>
      <c r="BE266" s="618">
        <f t="shared" si="903"/>
        <v>3.3</v>
      </c>
      <c r="BF266" s="618">
        <f t="shared" si="904"/>
        <v>3.3</v>
      </c>
      <c r="BG266" s="618">
        <f t="shared" si="905"/>
        <v>3.3</v>
      </c>
      <c r="BH266" s="618">
        <f t="shared" si="906"/>
        <v>3.3</v>
      </c>
      <c r="BI266" s="618">
        <f t="shared" si="907"/>
        <v>3.3</v>
      </c>
      <c r="BJ266" s="618">
        <f t="shared" si="908"/>
        <v>0</v>
      </c>
      <c r="BK266" s="618">
        <f t="shared" si="909"/>
        <v>0</v>
      </c>
      <c r="BL266" s="618">
        <f t="shared" si="910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462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19"/>
        <v>110.00000000000001</v>
      </c>
      <c r="AL267" s="618">
        <f t="shared" si="1020"/>
        <v>110.00000000000001</v>
      </c>
      <c r="AM267" s="618">
        <f t="shared" si="1021"/>
        <v>110.00000000000001</v>
      </c>
      <c r="AN267" s="618">
        <f t="shared" si="1022"/>
        <v>110.00000000000001</v>
      </c>
      <c r="AO267" s="618">
        <f t="shared" si="1023"/>
        <v>110.00000000000001</v>
      </c>
      <c r="AP267" s="618">
        <f t="shared" si="1024"/>
        <v>110.00000000000001</v>
      </c>
      <c r="AQ267" s="618">
        <f t="shared" si="1025"/>
        <v>110.00000000000001</v>
      </c>
      <c r="AR267" s="618">
        <f t="shared" si="1026"/>
        <v>110.00000000000001</v>
      </c>
      <c r="AS267" s="618">
        <f t="shared" si="1027"/>
        <v>110.00000000000001</v>
      </c>
      <c r="AT267" s="618">
        <f t="shared" si="1028"/>
        <v>0</v>
      </c>
      <c r="AU267" s="618">
        <f t="shared" si="1029"/>
        <v>0</v>
      </c>
      <c r="AV267" s="618">
        <f t="shared" si="1030"/>
        <v>0</v>
      </c>
      <c r="AX267" t="str">
        <v>Penormalan Siaga 1 Gangguan TM</v>
      </c>
      <c r="AY267" s="105" t="s">
        <v>458</v>
      </c>
      <c r="AZ267">
        <v>3</v>
      </c>
      <c r="BA267" s="618">
        <f t="shared" si="899"/>
        <v>3.3</v>
      </c>
      <c r="BB267" s="618">
        <f t="shared" si="900"/>
        <v>3.3</v>
      </c>
      <c r="BC267" s="618">
        <f t="shared" si="901"/>
        <v>3.3</v>
      </c>
      <c r="BD267" s="618">
        <f t="shared" si="902"/>
        <v>3.3</v>
      </c>
      <c r="BE267" s="618">
        <f t="shared" si="903"/>
        <v>3.3</v>
      </c>
      <c r="BF267" s="618">
        <f t="shared" si="904"/>
        <v>3.3</v>
      </c>
      <c r="BG267" s="618">
        <f t="shared" si="905"/>
        <v>3.3</v>
      </c>
      <c r="BH267" s="618">
        <f t="shared" si="906"/>
        <v>3.3</v>
      </c>
      <c r="BI267" s="618">
        <f t="shared" si="907"/>
        <v>3.3</v>
      </c>
      <c r="BJ267" s="618">
        <f t="shared" si="908"/>
        <v>0</v>
      </c>
      <c r="BK267" s="618">
        <f t="shared" si="909"/>
        <v>0</v>
      </c>
      <c r="BL267" s="618">
        <f t="shared" si="910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462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19"/>
        <v>77.785714285714278</v>
      </c>
      <c r="AL268" s="618">
        <f t="shared" si="1020"/>
        <v>94.214285714285722</v>
      </c>
      <c r="AM268" s="618">
        <f t="shared" si="1021"/>
        <v>90.428571428571431</v>
      </c>
      <c r="AN268" s="618">
        <f t="shared" si="1022"/>
        <v>90.428571428571416</v>
      </c>
      <c r="AO268" s="618">
        <f t="shared" si="1023"/>
        <v>75.730769230769226</v>
      </c>
      <c r="AP268" s="618">
        <f t="shared" si="1024"/>
        <v>70.36</v>
      </c>
      <c r="AQ268" s="618">
        <f t="shared" si="1025"/>
        <v>64.860655737704917</v>
      </c>
      <c r="AR268" s="618">
        <f t="shared" si="1026"/>
        <v>62.166666666666671</v>
      </c>
      <c r="AS268" s="618">
        <f t="shared" si="1027"/>
        <v>64.66463414634147</v>
      </c>
      <c r="AT268" s="618">
        <f t="shared" si="1028"/>
        <v>0</v>
      </c>
      <c r="AU268" s="618">
        <f t="shared" si="1029"/>
        <v>0</v>
      </c>
      <c r="AV268" s="618">
        <f t="shared" si="1030"/>
        <v>0</v>
      </c>
      <c r="AX268" t="str">
        <v>Penambahan Daya Tersambung</v>
      </c>
      <c r="AY268" s="105" t="s">
        <v>458</v>
      </c>
      <c r="AZ268">
        <v>3</v>
      </c>
      <c r="BA268" s="618">
        <f t="shared" si="899"/>
        <v>2.33</v>
      </c>
      <c r="BB268" s="618">
        <f t="shared" si="900"/>
        <v>2.82</v>
      </c>
      <c r="BC268" s="618">
        <f t="shared" si="901"/>
        <v>2.71</v>
      </c>
      <c r="BD268" s="618">
        <f t="shared" si="902"/>
        <v>2.71</v>
      </c>
      <c r="BE268" s="618">
        <f t="shared" si="903"/>
        <v>2.27</v>
      </c>
      <c r="BF268" s="618">
        <f t="shared" si="904"/>
        <v>2.11</v>
      </c>
      <c r="BG268" s="618">
        <f t="shared" si="905"/>
        <v>1.94</v>
      </c>
      <c r="BH268" s="618">
        <f t="shared" si="906"/>
        <v>1.86</v>
      </c>
      <c r="BI268" s="618">
        <f t="shared" si="907"/>
        <v>1.93</v>
      </c>
      <c r="BJ268" s="618">
        <f t="shared" si="908"/>
        <v>0</v>
      </c>
      <c r="BK268" s="618">
        <f t="shared" si="909"/>
        <v>0</v>
      </c>
      <c r="BL268" s="618">
        <f t="shared" si="910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462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19"/>
        <v>82.35294117647058</v>
      </c>
      <c r="AL269" s="618">
        <f t="shared" si="1020"/>
        <v>82.692307692307693</v>
      </c>
      <c r="AM269" s="618">
        <f t="shared" si="1021"/>
        <v>67.398119122257043</v>
      </c>
      <c r="AN269" s="618">
        <f t="shared" si="1022"/>
        <v>59.764705882352942</v>
      </c>
      <c r="AO269" s="618">
        <f t="shared" si="1023"/>
        <v>49.915110356536502</v>
      </c>
      <c r="AP269" s="618">
        <f t="shared" si="1024"/>
        <v>46.256684491978611</v>
      </c>
      <c r="AQ269" s="618">
        <f t="shared" si="1025"/>
        <v>43.09210526315789</v>
      </c>
      <c r="AR269" s="618">
        <f t="shared" si="1026"/>
        <v>38.382899628252787</v>
      </c>
      <c r="AS269" s="618">
        <f t="shared" si="1027"/>
        <v>37.03403565640194</v>
      </c>
      <c r="AT269" s="618">
        <f t="shared" si="1028"/>
        <v>0</v>
      </c>
      <c r="AU269" s="618">
        <f t="shared" si="1029"/>
        <v>0</v>
      </c>
      <c r="AV269" s="618">
        <f t="shared" si="1030"/>
        <v>0</v>
      </c>
      <c r="AX269" t="str">
        <v>Penambahan Jumlah Pelanggan</v>
      </c>
      <c r="AY269" s="105" t="s">
        <v>458</v>
      </c>
      <c r="AZ269">
        <v>3</v>
      </c>
      <c r="BA269" s="618">
        <f t="shared" si="899"/>
        <v>2.4700000000000002</v>
      </c>
      <c r="BB269" s="618">
        <f t="shared" si="900"/>
        <v>2.48</v>
      </c>
      <c r="BC269" s="618">
        <f t="shared" si="901"/>
        <v>2.02</v>
      </c>
      <c r="BD269" s="618">
        <f t="shared" si="902"/>
        <v>1.79</v>
      </c>
      <c r="BE269" s="618">
        <f t="shared" si="903"/>
        <v>1.49</v>
      </c>
      <c r="BF269" s="618">
        <f t="shared" si="904"/>
        <v>1.38</v>
      </c>
      <c r="BG269" s="618">
        <f t="shared" si="905"/>
        <v>1.29</v>
      </c>
      <c r="BH269" s="618">
        <f t="shared" si="906"/>
        <v>1.1499999999999999</v>
      </c>
      <c r="BI269" s="618">
        <f t="shared" si="907"/>
        <v>1.1100000000000001</v>
      </c>
      <c r="BJ269" s="618">
        <f t="shared" si="908"/>
        <v>0</v>
      </c>
      <c r="BK269" s="618">
        <f t="shared" si="909"/>
        <v>0</v>
      </c>
      <c r="BL269" s="618">
        <f t="shared" si="910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462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19"/>
        <v>53.333333333333336</v>
      </c>
      <c r="AL270" s="618">
        <f t="shared" si="1020"/>
        <v>40</v>
      </c>
      <c r="AM270" s="618">
        <f t="shared" si="1021"/>
        <v>73.333333333333329</v>
      </c>
      <c r="AN270" s="618">
        <f t="shared" si="1022"/>
        <v>55.000000000000007</v>
      </c>
      <c r="AO270" s="618">
        <f t="shared" si="1023"/>
        <v>56.000000000000007</v>
      </c>
      <c r="AP270" s="618">
        <f t="shared" si="1024"/>
        <v>46.666666666666664</v>
      </c>
      <c r="AQ270" s="618">
        <f t="shared" si="1025"/>
        <v>42</v>
      </c>
      <c r="AR270" s="618">
        <f t="shared" si="1026"/>
        <v>61.818181818181813</v>
      </c>
      <c r="AS270" s="618">
        <f t="shared" si="1027"/>
        <v>65</v>
      </c>
      <c r="AT270" s="618">
        <f t="shared" si="1028"/>
        <v>0</v>
      </c>
      <c r="AU270" s="618">
        <f t="shared" si="1029"/>
        <v>0</v>
      </c>
      <c r="AV270" s="618">
        <f t="shared" si="1030"/>
        <v>0</v>
      </c>
      <c r="AX270" t="str">
        <v>Jumlah Penambahan Pelanggan Produk Tematik</v>
      </c>
      <c r="AY270" s="105" t="s">
        <v>458</v>
      </c>
      <c r="AZ270">
        <v>2</v>
      </c>
      <c r="BA270" s="618">
        <f t="shared" si="899"/>
        <v>1.06</v>
      </c>
      <c r="BB270" s="618">
        <f t="shared" si="900"/>
        <v>0.8</v>
      </c>
      <c r="BC270" s="618">
        <f t="shared" si="901"/>
        <v>1.46</v>
      </c>
      <c r="BD270" s="618">
        <f t="shared" si="902"/>
        <v>1.1000000000000001</v>
      </c>
      <c r="BE270" s="618">
        <f t="shared" si="903"/>
        <v>1.1200000000000001</v>
      </c>
      <c r="BF270" s="618">
        <f t="shared" si="904"/>
        <v>0.93</v>
      </c>
      <c r="BG270" s="618">
        <f t="shared" si="905"/>
        <v>0.84</v>
      </c>
      <c r="BH270" s="618">
        <f t="shared" si="906"/>
        <v>1.23</v>
      </c>
      <c r="BI270" s="618">
        <f t="shared" si="907"/>
        <v>1.3</v>
      </c>
      <c r="BJ270" s="618">
        <f t="shared" si="908"/>
        <v>0</v>
      </c>
      <c r="BK270" s="618">
        <f t="shared" si="909"/>
        <v>0</v>
      </c>
      <c r="BL270" s="618">
        <f t="shared" si="910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462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19"/>
        <v>100</v>
      </c>
      <c r="AL271" s="618">
        <f t="shared" si="1020"/>
        <v>100</v>
      </c>
      <c r="AM271" s="618">
        <f t="shared" si="1021"/>
        <v>100</v>
      </c>
      <c r="AN271" s="618">
        <f t="shared" si="1022"/>
        <v>100</v>
      </c>
      <c r="AO271" s="618">
        <f t="shared" si="1023"/>
        <v>100</v>
      </c>
      <c r="AP271" s="618">
        <f t="shared" si="1024"/>
        <v>100</v>
      </c>
      <c r="AQ271" s="618">
        <f t="shared" si="1025"/>
        <v>100</v>
      </c>
      <c r="AR271" s="618">
        <f t="shared" si="1026"/>
        <v>100</v>
      </c>
      <c r="AS271" s="618">
        <f t="shared" si="1027"/>
        <v>100</v>
      </c>
      <c r="AT271" s="618">
        <f t="shared" si="1028"/>
        <v>0</v>
      </c>
      <c r="AU271" s="618">
        <f t="shared" si="1029"/>
        <v>0</v>
      </c>
      <c r="AV271" s="618">
        <f t="shared" si="1030"/>
        <v>0</v>
      </c>
      <c r="AX271" t="str">
        <v>Implementasi Kesesuaian Sektor Bisnis sesuai KBLI 2020</v>
      </c>
      <c r="AY271" s="105" t="s">
        <v>458</v>
      </c>
      <c r="AZ271">
        <v>2</v>
      </c>
      <c r="BA271" s="618">
        <f t="shared" si="899"/>
        <v>2</v>
      </c>
      <c r="BB271" s="618">
        <f t="shared" si="900"/>
        <v>2</v>
      </c>
      <c r="BC271" s="618">
        <f t="shared" si="901"/>
        <v>2</v>
      </c>
      <c r="BD271" s="618">
        <f t="shared" si="902"/>
        <v>2</v>
      </c>
      <c r="BE271" s="618">
        <f t="shared" si="903"/>
        <v>2</v>
      </c>
      <c r="BF271" s="618">
        <f t="shared" si="904"/>
        <v>2</v>
      </c>
      <c r="BG271" s="618">
        <f t="shared" si="905"/>
        <v>2</v>
      </c>
      <c r="BH271" s="618">
        <f t="shared" si="906"/>
        <v>2</v>
      </c>
      <c r="BI271" s="618">
        <f t="shared" si="907"/>
        <v>2</v>
      </c>
      <c r="BJ271" s="618">
        <f t="shared" si="908"/>
        <v>0</v>
      </c>
      <c r="BK271" s="618">
        <f t="shared" si="909"/>
        <v>0</v>
      </c>
      <c r="BL271" s="618">
        <f t="shared" si="910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462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19"/>
        <v>100</v>
      </c>
      <c r="AL272" s="618">
        <f t="shared" si="1020"/>
        <v>100</v>
      </c>
      <c r="AM272" s="618">
        <f t="shared" si="1021"/>
        <v>100</v>
      </c>
      <c r="AN272" s="618">
        <f t="shared" si="1022"/>
        <v>100</v>
      </c>
      <c r="AO272" s="618">
        <f t="shared" si="1023"/>
        <v>100</v>
      </c>
      <c r="AP272" s="618">
        <f t="shared" si="1024"/>
        <v>100</v>
      </c>
      <c r="AQ272" s="618">
        <f t="shared" si="1025"/>
        <v>100</v>
      </c>
      <c r="AR272" s="618">
        <f t="shared" si="1026"/>
        <v>100</v>
      </c>
      <c r="AS272" s="618">
        <f t="shared" si="1027"/>
        <v>100</v>
      </c>
      <c r="AT272" s="618">
        <f t="shared" si="1028"/>
        <v>100</v>
      </c>
      <c r="AU272" s="618">
        <f t="shared" si="1029"/>
        <v>100</v>
      </c>
      <c r="AV272" s="618">
        <f t="shared" si="1030"/>
        <v>100</v>
      </c>
      <c r="AX272" t="str">
        <v>Penambahan Jumlah Pelanggan Rumah Tangga Lisdes</v>
      </c>
      <c r="AY272" s="105" t="s">
        <v>458</v>
      </c>
      <c r="AZ272">
        <v>2</v>
      </c>
      <c r="BA272" s="618">
        <f t="shared" si="899"/>
        <v>2</v>
      </c>
      <c r="BB272" s="618">
        <f t="shared" si="900"/>
        <v>2</v>
      </c>
      <c r="BC272" s="618">
        <f t="shared" si="901"/>
        <v>2</v>
      </c>
      <c r="BD272" s="618">
        <f t="shared" si="902"/>
        <v>2</v>
      </c>
      <c r="BE272" s="618">
        <f t="shared" si="903"/>
        <v>2</v>
      </c>
      <c r="BF272" s="618">
        <f t="shared" si="904"/>
        <v>2</v>
      </c>
      <c r="BG272" s="618">
        <f t="shared" si="905"/>
        <v>2</v>
      </c>
      <c r="BH272" s="618">
        <f t="shared" si="906"/>
        <v>2</v>
      </c>
      <c r="BI272" s="618">
        <f t="shared" si="907"/>
        <v>2</v>
      </c>
      <c r="BJ272" s="618">
        <f t="shared" si="908"/>
        <v>2</v>
      </c>
      <c r="BK272" s="618">
        <f t="shared" si="909"/>
        <v>2</v>
      </c>
      <c r="BL272" s="618">
        <f t="shared" si="910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462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19"/>
        <v>100</v>
      </c>
      <c r="AL273" s="618">
        <f t="shared" si="1020"/>
        <v>100</v>
      </c>
      <c r="AM273" s="618">
        <f t="shared" si="1021"/>
        <v>100</v>
      </c>
      <c r="AN273" s="618">
        <f t="shared" si="1022"/>
        <v>100</v>
      </c>
      <c r="AO273" s="618">
        <f t="shared" si="1023"/>
        <v>100</v>
      </c>
      <c r="AP273" s="618">
        <f t="shared" si="1024"/>
        <v>100</v>
      </c>
      <c r="AQ273" s="618">
        <f t="shared" si="1025"/>
        <v>100</v>
      </c>
      <c r="AR273" s="618">
        <f t="shared" si="1026"/>
        <v>100</v>
      </c>
      <c r="AS273" s="618">
        <f t="shared" si="1027"/>
        <v>100</v>
      </c>
      <c r="AT273" s="618">
        <f t="shared" si="1028"/>
        <v>100</v>
      </c>
      <c r="AU273" s="618">
        <f t="shared" si="1029"/>
        <v>100</v>
      </c>
      <c r="AV273" s="618">
        <f t="shared" si="1030"/>
        <v>100</v>
      </c>
      <c r="AX273" t="str">
        <v>Peningkatan kWh Penjualan dari Pelanggan Rumah Tangga Lisdes</v>
      </c>
      <c r="AY273" s="105" t="s">
        <v>458</v>
      </c>
      <c r="AZ273">
        <v>2</v>
      </c>
      <c r="BA273" s="618">
        <f t="shared" si="899"/>
        <v>2</v>
      </c>
      <c r="BB273" s="618">
        <f t="shared" si="900"/>
        <v>2</v>
      </c>
      <c r="BC273" s="618">
        <f t="shared" si="901"/>
        <v>2</v>
      </c>
      <c r="BD273" s="618">
        <f t="shared" si="902"/>
        <v>2</v>
      </c>
      <c r="BE273" s="618">
        <f t="shared" si="903"/>
        <v>2</v>
      </c>
      <c r="BF273" s="618">
        <f t="shared" si="904"/>
        <v>2</v>
      </c>
      <c r="BG273" s="618">
        <f t="shared" si="905"/>
        <v>2</v>
      </c>
      <c r="BH273" s="618">
        <f t="shared" si="906"/>
        <v>2</v>
      </c>
      <c r="BI273" s="618">
        <f t="shared" si="907"/>
        <v>2</v>
      </c>
      <c r="BJ273" s="618">
        <f t="shared" si="908"/>
        <v>2</v>
      </c>
      <c r="BK273" s="618">
        <f t="shared" si="909"/>
        <v>2</v>
      </c>
      <c r="BL273" s="618">
        <f t="shared" si="910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462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19"/>
        <v>110</v>
      </c>
      <c r="AL274" s="618">
        <f t="shared" si="1020"/>
        <v>110</v>
      </c>
      <c r="AM274" s="618">
        <f t="shared" si="1021"/>
        <v>110</v>
      </c>
      <c r="AN274" s="618">
        <f t="shared" si="1022"/>
        <v>110</v>
      </c>
      <c r="AO274" s="618">
        <f t="shared" si="1023"/>
        <v>110</v>
      </c>
      <c r="AP274" s="618">
        <f t="shared" si="1024"/>
        <v>110</v>
      </c>
      <c r="AQ274" s="618">
        <f t="shared" si="1025"/>
        <v>110</v>
      </c>
      <c r="AR274" s="618">
        <f t="shared" si="1026"/>
        <v>110</v>
      </c>
      <c r="AS274" s="618">
        <f t="shared" si="1027"/>
        <v>110</v>
      </c>
      <c r="AT274" s="618">
        <f t="shared" si="1028"/>
        <v>110</v>
      </c>
      <c r="AU274" s="618">
        <f t="shared" si="1029"/>
        <v>110</v>
      </c>
      <c r="AV274" s="618">
        <f t="shared" si="1030"/>
        <v>110</v>
      </c>
      <c r="AX274" t="str">
        <v>Jumlah Pengguna Swa Cam</v>
      </c>
      <c r="AY274" s="105" t="s">
        <v>458</v>
      </c>
      <c r="AZ274">
        <v>4</v>
      </c>
      <c r="BA274" s="618">
        <f t="shared" si="899"/>
        <v>4.4000000000000004</v>
      </c>
      <c r="BB274" s="618">
        <f t="shared" si="900"/>
        <v>4.4000000000000004</v>
      </c>
      <c r="BC274" s="618">
        <f t="shared" si="901"/>
        <v>4.4000000000000004</v>
      </c>
      <c r="BD274" s="618">
        <f t="shared" si="902"/>
        <v>4.4000000000000004</v>
      </c>
      <c r="BE274" s="618">
        <f t="shared" si="903"/>
        <v>4.4000000000000004</v>
      </c>
      <c r="BF274" s="618">
        <f t="shared" si="904"/>
        <v>4.4000000000000004</v>
      </c>
      <c r="BG274" s="618">
        <f t="shared" si="905"/>
        <v>4.4000000000000004</v>
      </c>
      <c r="BH274" s="618">
        <f t="shared" si="906"/>
        <v>4.4000000000000004</v>
      </c>
      <c r="BI274" s="618">
        <f t="shared" si="907"/>
        <v>4.4000000000000004</v>
      </c>
      <c r="BJ274" s="618">
        <f t="shared" si="908"/>
        <v>4.4000000000000004</v>
      </c>
      <c r="BK274" s="618">
        <f t="shared" si="909"/>
        <v>4.4000000000000004</v>
      </c>
      <c r="BL274" s="618">
        <f t="shared" si="910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462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19"/>
        <v>100</v>
      </c>
      <c r="AL275" s="618">
        <f t="shared" si="1020"/>
        <v>100</v>
      </c>
      <c r="AM275" s="618">
        <f t="shared" si="1021"/>
        <v>100</v>
      </c>
      <c r="AN275" s="618">
        <f t="shared" si="1022"/>
        <v>100</v>
      </c>
      <c r="AO275" s="618">
        <f t="shared" si="1023"/>
        <v>100</v>
      </c>
      <c r="AP275" s="618">
        <f t="shared" si="1024"/>
        <v>100</v>
      </c>
      <c r="AQ275" s="618">
        <f t="shared" si="1025"/>
        <v>100</v>
      </c>
      <c r="AR275" s="618">
        <f t="shared" si="1026"/>
        <v>100</v>
      </c>
      <c r="AS275" s="618">
        <f t="shared" si="1027"/>
        <v>100</v>
      </c>
      <c r="AT275" s="618">
        <f t="shared" si="1028"/>
        <v>100</v>
      </c>
      <c r="AU275" s="618">
        <f t="shared" si="1029"/>
        <v>100</v>
      </c>
      <c r="AV275" s="618">
        <f t="shared" si="1030"/>
        <v>100</v>
      </c>
      <c r="AX275" t="str">
        <v>Tindak Lanjut LBKB (Laporan Bulanan Kelainan Baca Meter)</v>
      </c>
      <c r="AY275" s="105" t="s">
        <v>458</v>
      </c>
      <c r="AZ275">
        <v>4</v>
      </c>
      <c r="BA275" s="618">
        <f t="shared" si="899"/>
        <v>4</v>
      </c>
      <c r="BB275" s="618">
        <f t="shared" si="900"/>
        <v>4</v>
      </c>
      <c r="BC275" s="618">
        <f t="shared" si="901"/>
        <v>4</v>
      </c>
      <c r="BD275" s="618">
        <f t="shared" si="902"/>
        <v>4</v>
      </c>
      <c r="BE275" s="618">
        <f t="shared" si="903"/>
        <v>4</v>
      </c>
      <c r="BF275" s="618">
        <f t="shared" si="904"/>
        <v>4</v>
      </c>
      <c r="BG275" s="618">
        <f t="shared" si="905"/>
        <v>4</v>
      </c>
      <c r="BH275" s="618">
        <f t="shared" si="906"/>
        <v>4</v>
      </c>
      <c r="BI275" s="618">
        <f t="shared" si="907"/>
        <v>4</v>
      </c>
      <c r="BJ275" s="618">
        <f t="shared" si="908"/>
        <v>4</v>
      </c>
      <c r="BK275" s="618">
        <f t="shared" si="909"/>
        <v>4</v>
      </c>
      <c r="BL275" s="618">
        <f t="shared" si="910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462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19"/>
        <v>100</v>
      </c>
      <c r="AL276" s="618">
        <f t="shared" si="1020"/>
        <v>100</v>
      </c>
      <c r="AM276" s="618">
        <f t="shared" si="1021"/>
        <v>100</v>
      </c>
      <c r="AN276" s="618">
        <f t="shared" si="1022"/>
        <v>100</v>
      </c>
      <c r="AO276" s="618">
        <f t="shared" si="1023"/>
        <v>100</v>
      </c>
      <c r="AP276" s="618">
        <f t="shared" si="1024"/>
        <v>100</v>
      </c>
      <c r="AQ276" s="618">
        <f t="shared" si="1025"/>
        <v>100</v>
      </c>
      <c r="AR276" s="618">
        <f t="shared" si="1026"/>
        <v>100</v>
      </c>
      <c r="AS276" s="618">
        <f t="shared" si="1027"/>
        <v>100</v>
      </c>
      <c r="AT276" s="618">
        <f t="shared" si="1028"/>
        <v>100</v>
      </c>
      <c r="AU276" s="618">
        <f t="shared" si="1029"/>
        <v>100</v>
      </c>
      <c r="AV276" s="618">
        <f t="shared" si="1030"/>
        <v>100</v>
      </c>
      <c r="AX276" t="str">
        <v>Sisa Stand Bongkar Migrasi</v>
      </c>
      <c r="AY276" s="105" t="s">
        <v>458</v>
      </c>
      <c r="AZ276">
        <v>3</v>
      </c>
      <c r="BA276" s="618">
        <f t="shared" si="899"/>
        <v>3</v>
      </c>
      <c r="BB276" s="618">
        <f t="shared" si="900"/>
        <v>3</v>
      </c>
      <c r="BC276" s="618">
        <f t="shared" si="901"/>
        <v>3</v>
      </c>
      <c r="BD276" s="618">
        <f t="shared" si="902"/>
        <v>3</v>
      </c>
      <c r="BE276" s="618">
        <f t="shared" si="903"/>
        <v>3</v>
      </c>
      <c r="BF276" s="618">
        <f t="shared" si="904"/>
        <v>3</v>
      </c>
      <c r="BG276" s="618">
        <f t="shared" si="905"/>
        <v>3</v>
      </c>
      <c r="BH276" s="618">
        <f t="shared" si="906"/>
        <v>3</v>
      </c>
      <c r="BI276" s="618">
        <f t="shared" si="907"/>
        <v>3</v>
      </c>
      <c r="BJ276" s="618">
        <f t="shared" si="908"/>
        <v>3</v>
      </c>
      <c r="BK276" s="618">
        <f t="shared" si="909"/>
        <v>3</v>
      </c>
      <c r="BL276" s="618">
        <f t="shared" si="910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462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31">IFERROR(IF((2-(V277/G277))*100&gt;110,110,(2-(V277/G277))*100),100)</f>
        <v>97.711540375586864</v>
      </c>
      <c r="AL277" s="618">
        <f t="shared" ref="AL277:AL278" si="1032">IFERROR(IF((2-(W277/H277))*100&gt;110,110,(2-(W277/H277))*100),100)</f>
        <v>96.110760328638506</v>
      </c>
      <c r="AM277" s="618">
        <f t="shared" ref="AM277:AM278" si="1033">IFERROR(IF((2-(X277/I277))*100&gt;110,110,(2-(X277/I277))*100),100)</f>
        <v>82.794215336463225</v>
      </c>
      <c r="AN277" s="618">
        <f t="shared" ref="AN277:AN278" si="1034">IFERROR(IF((2-(Y277/J277))*100&gt;110,110,(2-(Y277/J277))*100),100)</f>
        <v>78.95732171361503</v>
      </c>
      <c r="AO277" s="618">
        <f t="shared" ref="AO277:AO278" si="1035">IFERROR(IF((2-(Z277/K277))*100&gt;110,110,(2-(Z277/K277))*100),100)</f>
        <v>77.227342816901398</v>
      </c>
      <c r="AP277" s="618">
        <f t="shared" ref="AP277:AP278" si="1036">IFERROR(IF((2-(AA277/L277))*100&gt;110,110,(2-(AA277/L277))*100),100)</f>
        <v>62.474827934272284</v>
      </c>
      <c r="AQ277" s="618">
        <f t="shared" ref="AQ277:AQ278" si="1037">IFERROR(IF((2-(AB277/M277))*100&gt;110,110,(2-(AB277/M277))*100),100)</f>
        <v>66.876832863849756</v>
      </c>
      <c r="AR277" s="618">
        <f t="shared" ref="AR277:AR278" si="1038">IFERROR(IF((2-(AC277/N277))*100&gt;110,110,(2-(AC277/N277))*100),100)</f>
        <v>78.485471537558666</v>
      </c>
      <c r="AS277" s="618">
        <f t="shared" ref="AS277:AS278" si="1039">IFERROR(IF((2-(AD277/O277))*100&gt;110,110,(2-(AD277/O277))*100),100)</f>
        <v>87.576701773604569</v>
      </c>
      <c r="AT277" s="618">
        <f t="shared" ref="AT277:AT278" si="1040">IFERROR(IF((2-(AE277/P277))*100&gt;110,110,(2-(AE277/P277))*100),100)</f>
        <v>87.576701773604569</v>
      </c>
      <c r="AU277" s="618">
        <f t="shared" ref="AU277:AU278" si="1041">IFERROR(IF((2-(AF277/Q277))*100&gt;110,110,(2-(AF277/Q277))*100),100)</f>
        <v>87.576701773604569</v>
      </c>
      <c r="AV277" s="618">
        <f t="shared" ref="AV277:AV278" si="1042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458</v>
      </c>
      <c r="AZ277">
        <v>3</v>
      </c>
      <c r="BA277" s="618">
        <f t="shared" si="899"/>
        <v>2.93</v>
      </c>
      <c r="BB277" s="618">
        <f t="shared" si="900"/>
        <v>2.88</v>
      </c>
      <c r="BC277" s="618">
        <f t="shared" si="901"/>
        <v>2.48</v>
      </c>
      <c r="BD277" s="618">
        <f t="shared" si="902"/>
        <v>2.36</v>
      </c>
      <c r="BE277" s="618">
        <f t="shared" si="903"/>
        <v>2.31</v>
      </c>
      <c r="BF277" s="618">
        <f t="shared" si="904"/>
        <v>1.87</v>
      </c>
      <c r="BG277" s="618">
        <f t="shared" si="905"/>
        <v>2</v>
      </c>
      <c r="BH277" s="618">
        <f t="shared" si="906"/>
        <v>2.35</v>
      </c>
      <c r="BI277" s="618">
        <f t="shared" si="907"/>
        <v>2.62</v>
      </c>
      <c r="BJ277" s="618">
        <f t="shared" si="908"/>
        <v>2.62</v>
      </c>
      <c r="BK277" s="618">
        <f t="shared" si="909"/>
        <v>2.62</v>
      </c>
      <c r="BL277" s="618">
        <f t="shared" si="910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462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31"/>
        <v>45.271842982090817</v>
      </c>
      <c r="AL278" s="618">
        <f t="shared" si="1032"/>
        <v>23.112117346938767</v>
      </c>
      <c r="AM278" s="618">
        <f t="shared" si="1033"/>
        <v>30.672551367485767</v>
      </c>
      <c r="AN278" s="618">
        <f t="shared" si="1034"/>
        <v>19.99382236568097</v>
      </c>
      <c r="AO278" s="618">
        <f t="shared" si="1035"/>
        <v>24.678804664723032</v>
      </c>
      <c r="AP278" s="618">
        <f t="shared" si="1036"/>
        <v>37.330666736082186</v>
      </c>
      <c r="AQ278" s="618">
        <f t="shared" si="1037"/>
        <v>59.71183375974298</v>
      </c>
      <c r="AR278" s="618">
        <f t="shared" si="1038"/>
        <v>76.647386245314465</v>
      </c>
      <c r="AS278" s="618">
        <f t="shared" si="1039"/>
        <v>89.56567622287011</v>
      </c>
      <c r="AT278" s="618">
        <f t="shared" si="1040"/>
        <v>89.56567622287011</v>
      </c>
      <c r="AU278" s="618">
        <f t="shared" si="1041"/>
        <v>89.56567622287011</v>
      </c>
      <c r="AV278" s="618">
        <f t="shared" si="1042"/>
        <v>89.56567622287011</v>
      </c>
      <c r="AX278" t="str">
        <v>Pencapaian Saldo Rata-Rata Akhir Bulan Non Kogol 1 dan Non Kogol 2</v>
      </c>
      <c r="AY278" s="105" t="s">
        <v>458</v>
      </c>
      <c r="AZ278">
        <v>3</v>
      </c>
      <c r="BA278" s="618">
        <f t="shared" si="899"/>
        <v>1.35</v>
      </c>
      <c r="BB278" s="618">
        <f t="shared" si="900"/>
        <v>0.69</v>
      </c>
      <c r="BC278" s="618">
        <f t="shared" si="901"/>
        <v>0.92</v>
      </c>
      <c r="BD278" s="618">
        <f t="shared" si="902"/>
        <v>0.59</v>
      </c>
      <c r="BE278" s="618">
        <f t="shared" si="903"/>
        <v>0.74</v>
      </c>
      <c r="BF278" s="618">
        <f t="shared" si="904"/>
        <v>1.1100000000000001</v>
      </c>
      <c r="BG278" s="618">
        <f t="shared" si="905"/>
        <v>1.79</v>
      </c>
      <c r="BH278" s="618">
        <f t="shared" si="906"/>
        <v>2.29</v>
      </c>
      <c r="BI278" s="618">
        <f t="shared" si="907"/>
        <v>2.68</v>
      </c>
      <c r="BJ278" s="618">
        <f t="shared" si="908"/>
        <v>2.68</v>
      </c>
      <c r="BK278" s="618">
        <f t="shared" si="909"/>
        <v>2.68</v>
      </c>
      <c r="BL278" s="618">
        <f t="shared" si="910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462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43">IFERROR(IF(V279/G279*100&gt;110,110,V279/G279*100),100)</f>
        <v>0</v>
      </c>
      <c r="AL279" s="618">
        <f t="shared" ref="AL279" si="1044">IFERROR(IF(W279/H279*100&gt;110,110,W279/H279*100),100)</f>
        <v>0</v>
      </c>
      <c r="AM279" s="618">
        <f t="shared" ref="AM279" si="1045">IFERROR(IF(X279/I279*100&gt;110,110,X279/I279*100),100)</f>
        <v>110</v>
      </c>
      <c r="AN279" s="618">
        <f t="shared" ref="AN279" si="1046">IFERROR(IF(Y279/J279*100&gt;110,110,Y279/J279*100),100)</f>
        <v>110</v>
      </c>
      <c r="AO279" s="618">
        <f t="shared" ref="AO279" si="1047">IFERROR(IF(Z279/K279*100&gt;110,110,Z279/K279*100),100)</f>
        <v>110</v>
      </c>
      <c r="AP279" s="618">
        <f t="shared" ref="AP279" si="1048">IFERROR(IF(AA279/L279*100&gt;110,110,AA279/L279*100),100)</f>
        <v>110</v>
      </c>
      <c r="AQ279" s="618">
        <f t="shared" ref="AQ279" si="1049">IFERROR(IF(AB279/M279*100&gt;110,110,AB279/M279*100),100)</f>
        <v>109.30101960784316</v>
      </c>
      <c r="AR279" s="618">
        <f t="shared" ref="AR279" si="1050">IFERROR(IF(AC279/N279*100&gt;110,110,AC279/N279*100),100)</f>
        <v>91.084183006535952</v>
      </c>
      <c r="AS279" s="618">
        <f t="shared" ref="AS279" si="1051">IFERROR(IF(AD279/O279*100&gt;110,110,AD279/O279*100),100)</f>
        <v>110</v>
      </c>
      <c r="AT279" s="618">
        <f t="shared" ref="AT279" si="1052">IFERROR(IF(AE279/P279*100&gt;110,110,AE279/P279*100),100)</f>
        <v>0</v>
      </c>
      <c r="AU279" s="618">
        <f t="shared" ref="AU279" si="1053">IFERROR(IF(AF279/Q279*100&gt;110,110,AF279/Q279*100),100)</f>
        <v>0</v>
      </c>
      <c r="AV279" s="618">
        <f t="shared" ref="AV279" si="1054">IFERROR(IF(AG279/R279*100&gt;110,110,AG279/R279*100),100)</f>
        <v>0</v>
      </c>
      <c r="AX279" t="str">
        <v>Pencapaian Pelunasan PRR</v>
      </c>
      <c r="AY279" s="105" t="s">
        <v>458</v>
      </c>
      <c r="AZ279">
        <v>3</v>
      </c>
      <c r="BA279" s="618">
        <f t="shared" si="899"/>
        <v>0</v>
      </c>
      <c r="BB279" s="618">
        <f t="shared" si="900"/>
        <v>0</v>
      </c>
      <c r="BC279" s="618">
        <f t="shared" si="901"/>
        <v>3.3</v>
      </c>
      <c r="BD279" s="618">
        <f t="shared" si="902"/>
        <v>3.3</v>
      </c>
      <c r="BE279" s="618">
        <f t="shared" si="903"/>
        <v>3.3</v>
      </c>
      <c r="BF279" s="618">
        <f t="shared" si="904"/>
        <v>3.3</v>
      </c>
      <c r="BG279" s="618">
        <f t="shared" si="905"/>
        <v>3.27</v>
      </c>
      <c r="BH279" s="618">
        <f t="shared" si="906"/>
        <v>2.73</v>
      </c>
      <c r="BI279" s="618">
        <f t="shared" si="907"/>
        <v>3.3</v>
      </c>
      <c r="BJ279" s="618">
        <f t="shared" si="908"/>
        <v>0</v>
      </c>
      <c r="BK279" s="618">
        <f t="shared" si="909"/>
        <v>0</v>
      </c>
      <c r="BL279" s="618">
        <f t="shared" si="910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117"/>
  <sheetViews>
    <sheetView showGridLines="0" tabSelected="1" topLeftCell="A51" zoomScale="48" zoomScaleNormal="70" workbookViewId="0">
      <selection activeCell="AH106" sqref="AH106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80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81"/>
      <c r="Z3" s="782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81"/>
      <c r="Z4" s="782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73" t="s">
        <v>473</v>
      </c>
      <c r="P11" s="773"/>
      <c r="Q11" s="773" t="s">
        <v>458</v>
      </c>
      <c r="R11" s="772">
        <v>45900</v>
      </c>
      <c r="S11" s="772"/>
      <c r="T11" s="772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73"/>
      <c r="P12" s="773"/>
      <c r="Q12" s="773"/>
      <c r="R12" s="772"/>
      <c r="S12" s="772"/>
      <c r="T12" s="772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74"/>
      <c r="P15" s="775"/>
      <c r="Q15" s="765" t="s">
        <v>9</v>
      </c>
      <c r="R15" s="765"/>
      <c r="S15" s="765">
        <f>STRG!BZ3</f>
        <v>6</v>
      </c>
      <c r="T15" s="766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6"/>
      <c r="P16" s="777"/>
      <c r="Q16" s="767"/>
      <c r="R16" s="767"/>
      <c r="S16" s="767"/>
      <c r="T16" s="768"/>
      <c r="AI16" s="612"/>
    </row>
    <row r="17" spans="1:35">
      <c r="A17" s="611"/>
      <c r="O17" s="776"/>
      <c r="P17" s="777"/>
      <c r="Q17" s="765" t="s">
        <v>463</v>
      </c>
      <c r="R17" s="765"/>
      <c r="S17" s="767">
        <f>STRG!BZ4</f>
        <v>26</v>
      </c>
      <c r="T17" s="768"/>
      <c r="AI17" s="612"/>
    </row>
    <row r="18" spans="1:35" ht="15" customHeight="1" thickBot="1">
      <c r="A18" s="611"/>
      <c r="O18" s="778"/>
      <c r="P18" s="779"/>
      <c r="Q18" s="769"/>
      <c r="R18" s="769"/>
      <c r="S18" s="769"/>
      <c r="T18" s="770"/>
      <c r="AE18" s="627"/>
      <c r="AF18" s="627"/>
      <c r="AI18" s="612"/>
    </row>
    <row r="19" spans="1:35" ht="14.45" customHeight="1">
      <c r="A19" s="611"/>
      <c r="O19" s="774"/>
      <c r="P19" s="775"/>
      <c r="Q19" s="765" t="s">
        <v>9</v>
      </c>
      <c r="R19" s="765"/>
      <c r="S19" s="765">
        <f>STRG!BZ5</f>
        <v>1</v>
      </c>
      <c r="T19" s="766"/>
      <c r="AE19" s="627"/>
      <c r="AF19" s="627"/>
      <c r="AI19" s="612"/>
    </row>
    <row r="20" spans="1:35" ht="14.45" customHeight="1">
      <c r="A20" s="611"/>
      <c r="O20" s="776"/>
      <c r="P20" s="777"/>
      <c r="Q20" s="767"/>
      <c r="R20" s="767"/>
      <c r="S20" s="767"/>
      <c r="T20" s="768"/>
      <c r="AD20" s="627"/>
      <c r="AE20" s="627"/>
      <c r="AF20" s="627"/>
      <c r="AI20" s="612"/>
    </row>
    <row r="21" spans="1:35" ht="14.45" customHeight="1">
      <c r="A21" s="611"/>
      <c r="O21" s="776"/>
      <c r="P21" s="777"/>
      <c r="Q21" s="767" t="s">
        <v>463</v>
      </c>
      <c r="R21" s="767"/>
      <c r="S21" s="767">
        <f>STRG!BZ6</f>
        <v>2</v>
      </c>
      <c r="T21" s="768"/>
      <c r="AD21" s="627"/>
      <c r="AE21" s="627"/>
      <c r="AF21" s="627"/>
      <c r="AI21" s="612"/>
    </row>
    <row r="22" spans="1:35" ht="15" customHeight="1" thickBot="1">
      <c r="A22" s="611"/>
      <c r="O22" s="778"/>
      <c r="P22" s="779"/>
      <c r="Q22" s="769"/>
      <c r="R22" s="769"/>
      <c r="S22" s="769"/>
      <c r="T22" s="770"/>
      <c r="AD22" s="627"/>
      <c r="AE22" s="627"/>
      <c r="AF22" s="627"/>
      <c r="AI22" s="612"/>
    </row>
    <row r="23" spans="1:35" ht="14.45" customHeight="1">
      <c r="A23" s="611"/>
      <c r="O23" s="776"/>
      <c r="P23" s="777"/>
      <c r="Q23" s="767" t="s">
        <v>9</v>
      </c>
      <c r="R23" s="767"/>
      <c r="S23" s="765">
        <f>STRG!BZ7</f>
        <v>0</v>
      </c>
      <c r="T23" s="766"/>
      <c r="AD23" s="627"/>
      <c r="AE23" s="627"/>
      <c r="AF23" s="627"/>
      <c r="AI23" s="612"/>
    </row>
    <row r="24" spans="1:35" ht="15.75" thickBot="1">
      <c r="A24" s="611"/>
      <c r="O24" s="776"/>
      <c r="P24" s="777"/>
      <c r="Q24" s="767"/>
      <c r="R24" s="767"/>
      <c r="S24" s="767"/>
      <c r="T24" s="768"/>
      <c r="AI24" s="612"/>
    </row>
    <row r="25" spans="1:35">
      <c r="A25" s="611"/>
      <c r="O25" s="776"/>
      <c r="P25" s="777"/>
      <c r="Q25" s="765" t="s">
        <v>463</v>
      </c>
      <c r="R25" s="765"/>
      <c r="S25" s="767">
        <f>STRG!BZ8</f>
        <v>4</v>
      </c>
      <c r="T25" s="768"/>
      <c r="AI25" s="612"/>
    </row>
    <row r="26" spans="1:35" ht="15" customHeight="1" thickBot="1">
      <c r="A26" s="611"/>
      <c r="O26" s="778"/>
      <c r="P26" s="779"/>
      <c r="Q26" s="769"/>
      <c r="R26" s="769"/>
      <c r="S26" s="769"/>
      <c r="T26" s="770"/>
      <c r="AB26" s="771">
        <f>SUM(STRG!CC3:CC5)</f>
        <v>39</v>
      </c>
      <c r="AC26" s="763" t="s">
        <v>474</v>
      </c>
      <c r="AD26" s="763"/>
      <c r="AI26" s="612"/>
    </row>
    <row r="27" spans="1:35" ht="14.45" customHeight="1">
      <c r="A27" s="611"/>
      <c r="AB27" s="771"/>
      <c r="AC27" s="763"/>
      <c r="AD27" s="763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64" t="s">
        <v>475</v>
      </c>
      <c r="P30" s="764"/>
      <c r="Q30" s="764"/>
      <c r="R30" s="764"/>
      <c r="S30" s="764"/>
      <c r="T30" s="764"/>
      <c r="U30" s="764"/>
      <c r="V30" s="764"/>
      <c r="W30" s="764"/>
      <c r="X30" s="764"/>
      <c r="Y30" s="764"/>
      <c r="Z30" s="764"/>
      <c r="AB30" s="764" t="s">
        <v>476</v>
      </c>
      <c r="AC30" s="764"/>
      <c r="AD30" s="764"/>
      <c r="AE30" s="764"/>
      <c r="AF30" s="764"/>
      <c r="AG30" s="764"/>
      <c r="AH30" s="764"/>
      <c r="AI30" s="612"/>
    </row>
    <row r="31" spans="1:35">
      <c r="A31" s="611"/>
      <c r="O31" s="764"/>
      <c r="P31" s="764"/>
      <c r="Q31" s="764"/>
      <c r="R31" s="764"/>
      <c r="S31" s="764"/>
      <c r="T31" s="764"/>
      <c r="U31" s="764"/>
      <c r="V31" s="764"/>
      <c r="W31" s="764"/>
      <c r="X31" s="764"/>
      <c r="Y31" s="764"/>
      <c r="Z31" s="764"/>
      <c r="AB31" s="764"/>
      <c r="AC31" s="764"/>
      <c r="AD31" s="764"/>
      <c r="AE31" s="764"/>
      <c r="AF31" s="764"/>
      <c r="AG31" s="764"/>
      <c r="AH31" s="764"/>
      <c r="AI31" s="612"/>
    </row>
    <row r="32" spans="1:35" ht="14.45" customHeight="1">
      <c r="A32" s="611"/>
      <c r="O32" s="764"/>
      <c r="P32" s="764"/>
      <c r="Q32" s="764"/>
      <c r="R32" s="764"/>
      <c r="S32" s="764"/>
      <c r="T32" s="764"/>
      <c r="U32" s="764"/>
      <c r="V32" s="764"/>
      <c r="W32" s="764"/>
      <c r="X32" s="764"/>
      <c r="Y32" s="764"/>
      <c r="Z32" s="764"/>
      <c r="AB32" s="764"/>
      <c r="AC32" s="764"/>
      <c r="AD32" s="764"/>
      <c r="AE32" s="764"/>
      <c r="AF32" s="764"/>
      <c r="AG32" s="764"/>
      <c r="AH32" s="764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  <row r="59" spans="1:35" ht="15.75" thickBot="1"/>
    <row r="60" spans="1:35">
      <c r="A60" s="608"/>
      <c r="B60" s="609"/>
      <c r="C60" s="609"/>
      <c r="D60" s="609"/>
      <c r="E60" s="609"/>
      <c r="F60" s="609"/>
      <c r="G60" s="609"/>
      <c r="H60" s="609"/>
      <c r="I60" s="609"/>
      <c r="J60" s="609"/>
      <c r="K60" s="609"/>
      <c r="L60" s="609"/>
      <c r="M60" s="609"/>
      <c r="N60" s="609"/>
      <c r="O60" s="609"/>
      <c r="P60" s="609"/>
      <c r="Q60" s="609"/>
      <c r="R60" s="609"/>
      <c r="S60" s="609"/>
      <c r="T60" s="609"/>
      <c r="U60" s="609"/>
      <c r="V60" s="609"/>
      <c r="W60" s="609"/>
      <c r="X60" s="609"/>
      <c r="Y60" s="609"/>
      <c r="Z60" s="609"/>
      <c r="AA60" s="609"/>
      <c r="AB60" s="609"/>
      <c r="AC60" s="609"/>
      <c r="AD60" s="609"/>
      <c r="AE60" s="609"/>
      <c r="AF60" s="609"/>
      <c r="AG60" s="609"/>
      <c r="AH60" s="609"/>
      <c r="AI60" s="610"/>
    </row>
    <row r="61" spans="1:35" ht="15" customHeight="1">
      <c r="A61" s="611"/>
      <c r="B61" s="783"/>
      <c r="C61" s="783"/>
      <c r="D61" s="783"/>
      <c r="E61" s="783"/>
      <c r="F61" s="783"/>
      <c r="G61" s="783"/>
      <c r="H61" s="783"/>
      <c r="I61" s="783"/>
      <c r="J61" s="783"/>
      <c r="K61" s="783"/>
      <c r="L61" s="783"/>
      <c r="M61" s="783"/>
      <c r="N61" s="783"/>
      <c r="O61" s="773" t="s">
        <v>477</v>
      </c>
      <c r="P61" s="773"/>
      <c r="Q61" s="773" t="s">
        <v>458</v>
      </c>
      <c r="R61" s="784" t="s">
        <v>481</v>
      </c>
      <c r="S61" s="784"/>
      <c r="T61" s="784"/>
      <c r="U61" s="784"/>
      <c r="V61" s="784"/>
      <c r="W61" s="784"/>
      <c r="X61" s="784"/>
      <c r="Y61" s="784"/>
      <c r="Z61" s="784"/>
      <c r="AA61" s="784"/>
      <c r="AB61" s="784"/>
      <c r="AC61" s="784"/>
      <c r="AD61" s="784"/>
      <c r="AE61" s="784"/>
      <c r="AF61" s="784"/>
      <c r="AG61" s="784"/>
      <c r="AH61" s="784"/>
      <c r="AI61" s="612"/>
    </row>
    <row r="62" spans="1:35" ht="15" customHeight="1">
      <c r="A62" s="611"/>
      <c r="B62" s="783"/>
      <c r="C62" s="783"/>
      <c r="D62" s="783"/>
      <c r="E62" s="783"/>
      <c r="F62" s="783"/>
      <c r="G62" s="783"/>
      <c r="H62" s="783"/>
      <c r="I62" s="783"/>
      <c r="J62" s="783"/>
      <c r="K62" s="783"/>
      <c r="L62" s="783"/>
      <c r="M62" s="783"/>
      <c r="N62" s="783"/>
      <c r="O62" s="773"/>
      <c r="P62" s="773"/>
      <c r="Q62" s="773"/>
      <c r="R62" s="784"/>
      <c r="S62" s="784"/>
      <c r="T62" s="784"/>
      <c r="U62" s="784"/>
      <c r="V62" s="784"/>
      <c r="W62" s="784"/>
      <c r="X62" s="784"/>
      <c r="Y62" s="784"/>
      <c r="Z62" s="784"/>
      <c r="AA62" s="784"/>
      <c r="AB62" s="784"/>
      <c r="AC62" s="784"/>
      <c r="AD62" s="784"/>
      <c r="AE62" s="784"/>
      <c r="AF62" s="784"/>
      <c r="AG62" s="784"/>
      <c r="AH62" s="784"/>
      <c r="AI62" s="612"/>
    </row>
    <row r="63" spans="1:35">
      <c r="A63" s="611"/>
      <c r="B63" s="783"/>
      <c r="C63" s="783"/>
      <c r="D63" s="783"/>
      <c r="E63" s="783"/>
      <c r="F63" s="783"/>
      <c r="G63" s="783"/>
      <c r="H63" s="783"/>
      <c r="I63" s="783"/>
      <c r="J63" s="783"/>
      <c r="K63" s="783"/>
      <c r="L63" s="783"/>
      <c r="M63" s="783"/>
      <c r="N63" s="783"/>
      <c r="O63" s="783"/>
      <c r="P63" s="783"/>
      <c r="Q63" s="783"/>
      <c r="R63" s="783"/>
      <c r="S63" s="783"/>
      <c r="T63" s="783"/>
      <c r="U63" s="783"/>
      <c r="V63" s="783"/>
      <c r="W63" s="783"/>
      <c r="X63" s="783"/>
      <c r="Y63" s="783"/>
      <c r="Z63" s="783"/>
      <c r="AA63" s="783"/>
      <c r="AB63" s="783"/>
      <c r="AC63" s="783"/>
      <c r="AD63" s="783"/>
      <c r="AE63" s="783"/>
      <c r="AF63" s="783"/>
      <c r="AG63" s="783"/>
      <c r="AH63" s="783"/>
      <c r="AI63" s="612"/>
    </row>
    <row r="64" spans="1:35">
      <c r="A64" s="611"/>
      <c r="B64" s="783"/>
      <c r="C64" s="783"/>
      <c r="D64" s="783"/>
      <c r="E64" s="783"/>
      <c r="F64" s="783"/>
      <c r="G64" s="783"/>
      <c r="H64" s="783"/>
      <c r="I64" s="783"/>
      <c r="J64" s="783"/>
      <c r="K64" s="783"/>
      <c r="L64" s="783"/>
      <c r="M64" s="783"/>
      <c r="N64" s="783"/>
      <c r="O64" s="783"/>
      <c r="P64" s="783"/>
      <c r="Q64" s="783"/>
      <c r="R64" s="783"/>
      <c r="S64" s="783"/>
      <c r="T64" s="783"/>
      <c r="U64" s="783"/>
      <c r="V64" s="783"/>
      <c r="W64" s="783"/>
      <c r="X64" s="783"/>
      <c r="Y64" s="783"/>
      <c r="Z64" s="783"/>
      <c r="AA64" s="783"/>
      <c r="AB64" s="783"/>
      <c r="AC64" s="783"/>
      <c r="AD64" s="783"/>
      <c r="AE64" s="783"/>
      <c r="AF64" s="783"/>
      <c r="AG64" s="783"/>
      <c r="AH64" s="783"/>
      <c r="AI64" s="612"/>
    </row>
    <row r="65" spans="1:35">
      <c r="A65" s="611"/>
      <c r="B65" s="783"/>
      <c r="C65" s="783"/>
      <c r="D65" s="783"/>
      <c r="E65" s="783"/>
      <c r="F65" s="783"/>
      <c r="G65" s="783"/>
      <c r="H65" s="783"/>
      <c r="I65" s="783"/>
      <c r="J65" s="783"/>
      <c r="K65" s="783"/>
      <c r="L65" s="783"/>
      <c r="M65" s="783"/>
      <c r="N65" s="783"/>
      <c r="O65" s="783"/>
      <c r="P65" s="783"/>
      <c r="Q65" s="783"/>
      <c r="R65" s="783"/>
      <c r="S65" s="783"/>
      <c r="T65" s="783"/>
      <c r="U65" s="783"/>
      <c r="V65" s="783"/>
      <c r="W65" s="783"/>
      <c r="X65" s="783"/>
      <c r="Y65" s="783"/>
      <c r="Z65" s="783"/>
      <c r="AA65" s="783"/>
      <c r="AB65" s="783"/>
      <c r="AC65" s="783"/>
      <c r="AD65" s="783"/>
      <c r="AE65" s="783"/>
      <c r="AF65" s="783"/>
      <c r="AG65" s="783"/>
      <c r="AH65" s="783"/>
      <c r="AI65" s="612"/>
    </row>
    <row r="66" spans="1:35">
      <c r="A66" s="611"/>
      <c r="B66" s="783"/>
      <c r="C66" s="783"/>
      <c r="D66" s="783"/>
      <c r="E66" s="783"/>
      <c r="F66" s="783"/>
      <c r="G66" s="783"/>
      <c r="H66" s="783"/>
      <c r="I66" s="783"/>
      <c r="J66" s="783"/>
      <c r="K66" s="783"/>
      <c r="L66" s="783"/>
      <c r="M66" s="783"/>
      <c r="N66" s="783"/>
      <c r="O66" s="783"/>
      <c r="P66" s="783"/>
      <c r="Q66" s="783"/>
      <c r="R66" s="783"/>
      <c r="S66" s="783"/>
      <c r="T66" s="783"/>
      <c r="U66" s="783"/>
      <c r="V66" s="783"/>
      <c r="W66" s="783"/>
      <c r="X66" s="783"/>
      <c r="Y66" s="783"/>
      <c r="Z66" s="783"/>
      <c r="AA66" s="783"/>
      <c r="AB66" s="783"/>
      <c r="AC66" s="783"/>
      <c r="AD66" s="783"/>
      <c r="AE66" s="783"/>
      <c r="AF66" s="783"/>
      <c r="AG66" s="783"/>
      <c r="AH66" s="783"/>
      <c r="AI66" s="612"/>
    </row>
    <row r="67" spans="1:35">
      <c r="A67" s="611"/>
      <c r="B67" s="783"/>
      <c r="C67" s="783"/>
      <c r="D67" s="783"/>
      <c r="E67" s="783"/>
      <c r="F67" s="783"/>
      <c r="G67" s="783"/>
      <c r="H67" s="783"/>
      <c r="I67" s="783"/>
      <c r="J67" s="783"/>
      <c r="K67" s="783"/>
      <c r="L67" s="783"/>
      <c r="M67" s="783"/>
      <c r="N67" s="783"/>
      <c r="O67" s="783"/>
      <c r="P67" s="783"/>
      <c r="Q67" s="783"/>
      <c r="R67" s="783"/>
      <c r="S67" s="783"/>
      <c r="T67" s="783"/>
      <c r="U67" s="783"/>
      <c r="V67" s="783"/>
      <c r="W67" s="783"/>
      <c r="X67" s="783"/>
      <c r="Y67" s="783"/>
      <c r="Z67" s="783"/>
      <c r="AA67" s="783"/>
      <c r="AB67" s="783"/>
      <c r="AC67" s="783"/>
      <c r="AD67" s="783"/>
      <c r="AE67" s="783"/>
      <c r="AF67" s="783"/>
      <c r="AG67" s="783"/>
      <c r="AH67" s="783"/>
      <c r="AI67" s="612"/>
    </row>
    <row r="68" spans="1:35">
      <c r="A68" s="611"/>
      <c r="B68" s="783"/>
      <c r="C68" s="783"/>
      <c r="D68" s="783"/>
      <c r="E68" s="783"/>
      <c r="F68" s="783"/>
      <c r="G68" s="783"/>
      <c r="H68" s="783"/>
      <c r="I68" s="783"/>
      <c r="J68" s="783"/>
      <c r="K68" s="783"/>
      <c r="L68" s="783"/>
      <c r="M68" s="783"/>
      <c r="N68" s="783"/>
      <c r="O68" s="783"/>
      <c r="P68" s="783"/>
      <c r="Q68" s="783"/>
      <c r="R68" s="783"/>
      <c r="S68" s="783"/>
      <c r="T68" s="783"/>
      <c r="U68" s="783"/>
      <c r="V68" s="783"/>
      <c r="W68" s="783"/>
      <c r="X68" s="783"/>
      <c r="Y68" s="783"/>
      <c r="Z68" s="783"/>
      <c r="AA68" s="783"/>
      <c r="AB68" s="783"/>
      <c r="AC68" s="783"/>
      <c r="AD68" s="783"/>
      <c r="AE68" s="783"/>
      <c r="AF68" s="783"/>
      <c r="AG68" s="783"/>
      <c r="AH68" s="783"/>
      <c r="AI68" s="612"/>
    </row>
    <row r="69" spans="1:35">
      <c r="A69" s="611"/>
      <c r="B69" s="783"/>
      <c r="C69" s="783"/>
      <c r="D69" s="783"/>
      <c r="E69" s="783"/>
      <c r="F69" s="783"/>
      <c r="G69" s="783"/>
      <c r="H69" s="783"/>
      <c r="I69" s="783"/>
      <c r="J69" s="783"/>
      <c r="K69" s="783"/>
      <c r="L69" s="783"/>
      <c r="M69" s="783"/>
      <c r="N69" s="783"/>
      <c r="O69" s="783"/>
      <c r="P69" s="783"/>
      <c r="Q69" s="783"/>
      <c r="R69" s="783"/>
      <c r="S69" s="783"/>
      <c r="T69" s="783"/>
      <c r="U69" s="783"/>
      <c r="V69" s="783"/>
      <c r="W69" s="783"/>
      <c r="X69" s="783"/>
      <c r="Y69" s="783"/>
      <c r="Z69" s="783"/>
      <c r="AA69" s="783"/>
      <c r="AB69" s="783"/>
      <c r="AC69" s="783"/>
      <c r="AD69" s="783"/>
      <c r="AE69" s="783"/>
      <c r="AF69" s="783"/>
      <c r="AG69" s="783"/>
      <c r="AH69" s="783"/>
      <c r="AI69" s="612"/>
    </row>
    <row r="70" spans="1:35">
      <c r="A70" s="611"/>
      <c r="B70" s="783"/>
      <c r="C70" s="783"/>
      <c r="D70" s="783"/>
      <c r="E70" s="783"/>
      <c r="F70" s="783"/>
      <c r="G70" s="783"/>
      <c r="H70" s="783"/>
      <c r="I70" s="783"/>
      <c r="J70" s="783"/>
      <c r="K70" s="783"/>
      <c r="L70" s="783"/>
      <c r="M70" s="783"/>
      <c r="N70" s="783"/>
      <c r="O70" s="783"/>
      <c r="P70" s="783"/>
      <c r="Q70" s="783"/>
      <c r="R70" s="783"/>
      <c r="S70" s="783"/>
      <c r="T70" s="783"/>
      <c r="U70" s="783"/>
      <c r="V70" s="783"/>
      <c r="W70" s="783"/>
      <c r="X70" s="783"/>
      <c r="Y70" s="783"/>
      <c r="Z70" s="783"/>
      <c r="AA70" s="783"/>
      <c r="AB70" s="783"/>
      <c r="AC70" s="783"/>
      <c r="AD70" s="783"/>
      <c r="AE70" s="783"/>
      <c r="AF70" s="783"/>
      <c r="AG70" s="783"/>
      <c r="AH70" s="783"/>
      <c r="AI70" s="612"/>
    </row>
    <row r="71" spans="1:35">
      <c r="A71" s="611"/>
      <c r="B71" s="783"/>
      <c r="C71" s="783"/>
      <c r="D71" s="783"/>
      <c r="E71" s="783"/>
      <c r="F71" s="783"/>
      <c r="G71" s="783"/>
      <c r="H71" s="783"/>
      <c r="I71" s="783"/>
      <c r="J71" s="783"/>
      <c r="K71" s="783"/>
      <c r="L71" s="783"/>
      <c r="M71" s="783"/>
      <c r="N71" s="783"/>
      <c r="O71" s="783"/>
      <c r="P71" s="783"/>
      <c r="Q71" s="783"/>
      <c r="R71" s="783"/>
      <c r="S71" s="783"/>
      <c r="T71" s="783"/>
      <c r="U71" s="783"/>
      <c r="V71" s="783"/>
      <c r="W71" s="783"/>
      <c r="X71" s="783"/>
      <c r="Y71" s="783"/>
      <c r="Z71" s="783"/>
      <c r="AA71" s="783"/>
      <c r="AB71" s="783"/>
      <c r="AC71" s="783"/>
      <c r="AD71" s="783"/>
      <c r="AE71" s="783"/>
      <c r="AF71" s="783"/>
      <c r="AG71" s="783"/>
      <c r="AH71" s="783"/>
      <c r="AI71" s="612"/>
    </row>
    <row r="72" spans="1:35">
      <c r="A72" s="611"/>
      <c r="B72" s="783"/>
      <c r="C72" s="783"/>
      <c r="D72" s="783"/>
      <c r="E72" s="783"/>
      <c r="F72" s="783"/>
      <c r="G72" s="783"/>
      <c r="H72" s="783"/>
      <c r="I72" s="783"/>
      <c r="J72" s="783"/>
      <c r="K72" s="783"/>
      <c r="L72" s="783"/>
      <c r="M72" s="783"/>
      <c r="N72" s="783"/>
      <c r="O72" s="783"/>
      <c r="P72" s="783"/>
      <c r="Q72" s="783"/>
      <c r="R72" s="783"/>
      <c r="S72" s="783"/>
      <c r="T72" s="783"/>
      <c r="U72" s="783"/>
      <c r="V72" s="783"/>
      <c r="W72" s="783"/>
      <c r="X72" s="783"/>
      <c r="Y72" s="783"/>
      <c r="Z72" s="783"/>
      <c r="AA72" s="783"/>
      <c r="AB72" s="783"/>
      <c r="AC72" s="783"/>
      <c r="AD72" s="783"/>
      <c r="AE72" s="783"/>
      <c r="AF72" s="783"/>
      <c r="AG72" s="783"/>
      <c r="AH72" s="783"/>
      <c r="AI72" s="612"/>
    </row>
    <row r="73" spans="1:35">
      <c r="A73" s="611"/>
      <c r="B73" s="783"/>
      <c r="C73" s="783"/>
      <c r="D73" s="783"/>
      <c r="E73" s="783"/>
      <c r="F73" s="783"/>
      <c r="G73" s="783"/>
      <c r="H73" s="783"/>
      <c r="I73" s="783"/>
      <c r="J73" s="783"/>
      <c r="K73" s="783"/>
      <c r="L73" s="783"/>
      <c r="M73" s="783"/>
      <c r="N73" s="783"/>
      <c r="O73" s="783"/>
      <c r="P73" s="783"/>
      <c r="Q73" s="783"/>
      <c r="R73" s="783"/>
      <c r="S73" s="783"/>
      <c r="T73" s="783"/>
      <c r="U73" s="783"/>
      <c r="V73" s="783"/>
      <c r="W73" s="783"/>
      <c r="X73" s="783"/>
      <c r="Y73" s="783"/>
      <c r="Z73" s="783"/>
      <c r="AA73" s="783"/>
      <c r="AB73" s="783"/>
      <c r="AC73" s="783"/>
      <c r="AD73" s="783"/>
      <c r="AE73" s="783"/>
      <c r="AF73" s="783"/>
      <c r="AG73" s="783"/>
      <c r="AH73" s="783"/>
      <c r="AI73" s="612"/>
    </row>
    <row r="74" spans="1:35">
      <c r="A74" s="611"/>
      <c r="B74" s="783"/>
      <c r="C74" s="783"/>
      <c r="D74" s="783"/>
      <c r="E74" s="783"/>
      <c r="F74" s="783"/>
      <c r="G74" s="783"/>
      <c r="H74" s="783"/>
      <c r="I74" s="783"/>
      <c r="J74" s="783"/>
      <c r="K74" s="783"/>
      <c r="L74" s="783"/>
      <c r="M74" s="783"/>
      <c r="N74" s="783"/>
      <c r="O74" s="783"/>
      <c r="P74" s="783"/>
      <c r="Q74" s="783"/>
      <c r="R74" s="783"/>
      <c r="S74" s="783"/>
      <c r="T74" s="783"/>
      <c r="U74" s="783"/>
      <c r="V74" s="783"/>
      <c r="W74" s="783"/>
      <c r="X74" s="783"/>
      <c r="Y74" s="783"/>
      <c r="Z74" s="783"/>
      <c r="AA74" s="783"/>
      <c r="AB74" s="783"/>
      <c r="AC74" s="783"/>
      <c r="AD74" s="783"/>
      <c r="AE74" s="783"/>
      <c r="AF74" s="783"/>
      <c r="AG74" s="783"/>
      <c r="AH74" s="783"/>
      <c r="AI74" s="612"/>
    </row>
    <row r="75" spans="1:35">
      <c r="A75" s="611"/>
      <c r="B75" s="783"/>
      <c r="C75" s="783"/>
      <c r="D75" s="783"/>
      <c r="E75" s="783"/>
      <c r="F75" s="783"/>
      <c r="G75" s="783"/>
      <c r="H75" s="783"/>
      <c r="I75" s="783"/>
      <c r="J75" s="783"/>
      <c r="K75" s="783"/>
      <c r="L75" s="783"/>
      <c r="M75" s="783"/>
      <c r="N75" s="783"/>
      <c r="O75" s="783"/>
      <c r="P75" s="783"/>
      <c r="Q75" s="783"/>
      <c r="R75" s="783"/>
      <c r="S75" s="783"/>
      <c r="T75" s="783"/>
      <c r="U75" s="783"/>
      <c r="V75" s="783"/>
      <c r="W75" s="783"/>
      <c r="X75" s="783"/>
      <c r="Y75" s="783"/>
      <c r="Z75" s="783"/>
      <c r="AA75" s="783"/>
      <c r="AB75" s="783"/>
      <c r="AC75" s="783"/>
      <c r="AD75" s="783"/>
      <c r="AE75" s="783"/>
      <c r="AF75" s="783"/>
      <c r="AG75" s="783"/>
      <c r="AH75" s="783"/>
      <c r="AI75" s="612"/>
    </row>
    <row r="76" spans="1:35">
      <c r="A76" s="611"/>
      <c r="B76" s="783"/>
      <c r="C76" s="783"/>
      <c r="D76" s="783"/>
      <c r="E76" s="783"/>
      <c r="F76" s="783"/>
      <c r="G76" s="783"/>
      <c r="H76" s="783"/>
      <c r="I76" s="783"/>
      <c r="J76" s="783"/>
      <c r="K76" s="783"/>
      <c r="L76" s="783"/>
      <c r="M76" s="783"/>
      <c r="N76" s="783"/>
      <c r="O76" s="783"/>
      <c r="P76" s="783"/>
      <c r="Q76" s="783"/>
      <c r="R76" s="783"/>
      <c r="S76" s="783"/>
      <c r="T76" s="783"/>
      <c r="U76" s="783"/>
      <c r="V76" s="783"/>
      <c r="W76" s="783"/>
      <c r="X76" s="783"/>
      <c r="Y76" s="783"/>
      <c r="Z76" s="783"/>
      <c r="AA76" s="783"/>
      <c r="AB76" s="783"/>
      <c r="AC76" s="783"/>
      <c r="AD76" s="783"/>
      <c r="AE76" s="783"/>
      <c r="AF76" s="783"/>
      <c r="AG76" s="783"/>
      <c r="AH76" s="783"/>
      <c r="AI76" s="612"/>
    </row>
    <row r="77" spans="1:35">
      <c r="A77" s="611"/>
      <c r="B77" s="783"/>
      <c r="C77" s="783"/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783"/>
      <c r="V77" s="783"/>
      <c r="W77" s="783"/>
      <c r="X77" s="783"/>
      <c r="Y77" s="783"/>
      <c r="Z77" s="783"/>
      <c r="AA77" s="783"/>
      <c r="AB77" s="783"/>
      <c r="AC77" s="783"/>
      <c r="AD77" s="783"/>
      <c r="AE77" s="783"/>
      <c r="AF77" s="783"/>
      <c r="AG77" s="783"/>
      <c r="AH77" s="783"/>
      <c r="AI77" s="612"/>
    </row>
    <row r="78" spans="1:35">
      <c r="A78" s="611"/>
      <c r="B78" s="783"/>
      <c r="C78" s="783"/>
      <c r="D78" s="783"/>
      <c r="E78" s="783"/>
      <c r="F78" s="783"/>
      <c r="G78" s="783"/>
      <c r="H78" s="783"/>
      <c r="I78" s="783"/>
      <c r="J78" s="783"/>
      <c r="K78" s="783"/>
      <c r="L78" s="783"/>
      <c r="M78" s="783"/>
      <c r="N78" s="783"/>
      <c r="O78" s="783"/>
      <c r="P78" s="783"/>
      <c r="Q78" s="783"/>
      <c r="R78" s="783"/>
      <c r="S78" s="783"/>
      <c r="T78" s="783"/>
      <c r="U78" s="783"/>
      <c r="V78" s="783"/>
      <c r="W78" s="783"/>
      <c r="X78" s="783"/>
      <c r="Y78" s="783"/>
      <c r="Z78" s="783"/>
      <c r="AA78" s="783"/>
      <c r="AB78" s="783"/>
      <c r="AC78" s="783"/>
      <c r="AD78" s="783"/>
      <c r="AE78" s="783"/>
      <c r="AF78" s="783"/>
      <c r="AG78" s="783"/>
      <c r="AH78" s="783"/>
      <c r="AI78" s="612"/>
    </row>
    <row r="79" spans="1:35">
      <c r="A79" s="611"/>
      <c r="B79" s="783"/>
      <c r="C79" s="783"/>
      <c r="D79" s="783"/>
      <c r="E79" s="783"/>
      <c r="F79" s="783"/>
      <c r="G79" s="783"/>
      <c r="H79" s="783"/>
      <c r="I79" s="783"/>
      <c r="J79" s="783"/>
      <c r="K79" s="783"/>
      <c r="L79" s="783"/>
      <c r="M79" s="783"/>
      <c r="N79" s="783"/>
      <c r="O79" s="783"/>
      <c r="P79" s="783"/>
      <c r="Q79" s="783"/>
      <c r="R79" s="783"/>
      <c r="S79" s="783"/>
      <c r="T79" s="783"/>
      <c r="U79" s="783"/>
      <c r="V79" s="783"/>
      <c r="W79" s="783"/>
      <c r="X79" s="783"/>
      <c r="Y79" s="783"/>
      <c r="Z79" s="783"/>
      <c r="AA79" s="783"/>
      <c r="AB79" s="783"/>
      <c r="AC79" s="783"/>
      <c r="AD79" s="783"/>
      <c r="AE79" s="783"/>
      <c r="AF79" s="783"/>
      <c r="AG79" s="783"/>
      <c r="AH79" s="783"/>
      <c r="AI79" s="612"/>
    </row>
    <row r="80" spans="1:35">
      <c r="A80" s="611"/>
      <c r="B80" s="783"/>
      <c r="C80" s="783"/>
      <c r="D80" s="783"/>
      <c r="E80" s="783"/>
      <c r="F80" s="783"/>
      <c r="G80" s="783"/>
      <c r="H80" s="783"/>
      <c r="I80" s="783"/>
      <c r="J80" s="783"/>
      <c r="K80" s="783"/>
      <c r="L80" s="783"/>
      <c r="M80" s="783"/>
      <c r="N80" s="783"/>
      <c r="O80" s="783"/>
      <c r="P80" s="783"/>
      <c r="Q80" s="783"/>
      <c r="R80" s="783"/>
      <c r="S80" s="783"/>
      <c r="T80" s="783"/>
      <c r="U80" s="783"/>
      <c r="V80" s="783"/>
      <c r="W80" s="783"/>
      <c r="X80" s="783"/>
      <c r="Y80" s="783"/>
      <c r="Z80" s="783"/>
      <c r="AA80" s="783"/>
      <c r="AB80" s="783"/>
      <c r="AC80" s="783"/>
      <c r="AD80" s="783"/>
      <c r="AE80" s="783"/>
      <c r="AF80" s="783"/>
      <c r="AG80" s="783"/>
      <c r="AH80" s="783"/>
      <c r="AI80" s="612"/>
    </row>
    <row r="81" spans="1:35">
      <c r="A81" s="611"/>
      <c r="B81" s="783"/>
      <c r="C81" s="783"/>
      <c r="D81" s="783"/>
      <c r="E81" s="783"/>
      <c r="F81" s="783"/>
      <c r="G81" s="783"/>
      <c r="H81" s="783"/>
      <c r="I81" s="783"/>
      <c r="J81" s="783"/>
      <c r="K81" s="783"/>
      <c r="L81" s="783"/>
      <c r="M81" s="783"/>
      <c r="N81" s="783"/>
      <c r="O81" s="783"/>
      <c r="P81" s="783"/>
      <c r="Q81" s="783"/>
      <c r="R81" s="783"/>
      <c r="S81" s="783"/>
      <c r="T81" s="783"/>
      <c r="U81" s="783"/>
      <c r="V81" s="783"/>
      <c r="W81" s="783"/>
      <c r="X81" s="783"/>
      <c r="Y81" s="783"/>
      <c r="Z81" s="783"/>
      <c r="AA81" s="783"/>
      <c r="AB81" s="783"/>
      <c r="AC81" s="783"/>
      <c r="AD81" s="783"/>
      <c r="AE81" s="783"/>
      <c r="AF81" s="783"/>
      <c r="AG81" s="783"/>
      <c r="AH81" s="783"/>
      <c r="AI81" s="612"/>
    </row>
    <row r="82" spans="1:35">
      <c r="A82" s="611"/>
      <c r="B82" s="783"/>
      <c r="C82" s="783"/>
      <c r="D82" s="783"/>
      <c r="E82" s="783"/>
      <c r="F82" s="783"/>
      <c r="G82" s="783"/>
      <c r="H82" s="783"/>
      <c r="I82" s="783"/>
      <c r="J82" s="783"/>
      <c r="K82" s="783"/>
      <c r="L82" s="783"/>
      <c r="M82" s="783"/>
      <c r="N82" s="783"/>
      <c r="O82" s="783"/>
      <c r="P82" s="783"/>
      <c r="Q82" s="783"/>
      <c r="R82" s="783"/>
      <c r="S82" s="783"/>
      <c r="T82" s="783"/>
      <c r="U82" s="783"/>
      <c r="V82" s="783"/>
      <c r="W82" s="783"/>
      <c r="X82" s="783"/>
      <c r="Y82" s="783"/>
      <c r="Z82" s="783"/>
      <c r="AA82" s="783"/>
      <c r="AB82" s="783"/>
      <c r="AC82" s="783"/>
      <c r="AD82" s="783"/>
      <c r="AE82" s="783"/>
      <c r="AF82" s="783"/>
      <c r="AG82" s="783"/>
      <c r="AH82" s="783"/>
      <c r="AI82" s="612"/>
    </row>
    <row r="83" spans="1:35">
      <c r="A83" s="611"/>
      <c r="B83" s="783"/>
      <c r="C83" s="783"/>
      <c r="D83" s="783"/>
      <c r="E83" s="783"/>
      <c r="F83" s="783"/>
      <c r="G83" s="783"/>
      <c r="H83" s="783"/>
      <c r="I83" s="783"/>
      <c r="J83" s="783"/>
      <c r="K83" s="783"/>
      <c r="L83" s="783"/>
      <c r="M83" s="783"/>
      <c r="N83" s="783"/>
      <c r="O83" s="783"/>
      <c r="P83" s="783"/>
      <c r="Q83" s="783"/>
      <c r="R83" s="783"/>
      <c r="S83" s="783"/>
      <c r="T83" s="783"/>
      <c r="U83" s="783"/>
      <c r="V83" s="783"/>
      <c r="W83" s="783"/>
      <c r="X83" s="783"/>
      <c r="Y83" s="783"/>
      <c r="Z83" s="783"/>
      <c r="AA83" s="783"/>
      <c r="AB83" s="783"/>
      <c r="AC83" s="783"/>
      <c r="AD83" s="783"/>
      <c r="AE83" s="783"/>
      <c r="AF83" s="783"/>
      <c r="AG83" s="783"/>
      <c r="AH83" s="783"/>
      <c r="AI83" s="612"/>
    </row>
    <row r="84" spans="1:35">
      <c r="A84" s="611"/>
      <c r="B84" s="783"/>
      <c r="C84" s="783"/>
      <c r="D84" s="783"/>
      <c r="E84" s="783"/>
      <c r="F84" s="783"/>
      <c r="G84" s="783"/>
      <c r="H84" s="783"/>
      <c r="I84" s="783"/>
      <c r="J84" s="783"/>
      <c r="K84" s="783"/>
      <c r="L84" s="783"/>
      <c r="M84" s="783"/>
      <c r="N84" s="783"/>
      <c r="O84" s="783"/>
      <c r="P84" s="783"/>
      <c r="Q84" s="783"/>
      <c r="R84" s="783"/>
      <c r="S84" s="783"/>
      <c r="T84" s="783"/>
      <c r="U84" s="783"/>
      <c r="V84" s="783"/>
      <c r="W84" s="783"/>
      <c r="X84" s="783"/>
      <c r="Y84" s="783"/>
      <c r="Z84" s="783"/>
      <c r="AA84" s="783"/>
      <c r="AB84" s="783"/>
      <c r="AC84" s="783"/>
      <c r="AD84" s="783"/>
      <c r="AE84" s="783"/>
      <c r="AF84" s="783"/>
      <c r="AG84" s="783"/>
      <c r="AH84" s="783"/>
      <c r="AI84" s="612"/>
    </row>
    <row r="85" spans="1:35">
      <c r="A85" s="611"/>
      <c r="B85" s="783"/>
      <c r="C85" s="783"/>
      <c r="D85" s="783"/>
      <c r="E85" s="783"/>
      <c r="F85" s="783"/>
      <c r="G85" s="783"/>
      <c r="H85" s="783"/>
      <c r="I85" s="783"/>
      <c r="J85" s="783"/>
      <c r="K85" s="783"/>
      <c r="L85" s="783"/>
      <c r="M85" s="783"/>
      <c r="N85" s="783"/>
      <c r="O85" s="783"/>
      <c r="P85" s="783"/>
      <c r="Q85" s="783"/>
      <c r="R85" s="783"/>
      <c r="S85" s="783"/>
      <c r="T85" s="783"/>
      <c r="U85" s="783"/>
      <c r="V85" s="783"/>
      <c r="W85" s="783"/>
      <c r="X85" s="783"/>
      <c r="Y85" s="783"/>
      <c r="Z85" s="783"/>
      <c r="AA85" s="783"/>
      <c r="AB85" s="783"/>
      <c r="AC85" s="783"/>
      <c r="AD85" s="783"/>
      <c r="AE85" s="783"/>
      <c r="AF85" s="783"/>
      <c r="AG85" s="783"/>
      <c r="AH85" s="783"/>
      <c r="AI85" s="612"/>
    </row>
    <row r="86" spans="1:35">
      <c r="A86" s="611"/>
      <c r="B86" s="783"/>
      <c r="C86" s="783"/>
      <c r="D86" s="783"/>
      <c r="E86" s="783"/>
      <c r="F86" s="783"/>
      <c r="G86" s="783"/>
      <c r="H86" s="783"/>
      <c r="I86" s="783"/>
      <c r="J86" s="783"/>
      <c r="K86" s="783"/>
      <c r="L86" s="783"/>
      <c r="M86" s="783"/>
      <c r="N86" s="783"/>
      <c r="O86" s="783"/>
      <c r="P86" s="783"/>
      <c r="Q86" s="783"/>
      <c r="R86" s="783"/>
      <c r="S86" s="783"/>
      <c r="T86" s="783"/>
      <c r="U86" s="783"/>
      <c r="V86" s="783"/>
      <c r="W86" s="783"/>
      <c r="X86" s="783"/>
      <c r="Y86" s="783"/>
      <c r="Z86" s="783"/>
      <c r="AA86" s="783"/>
      <c r="AB86" s="783"/>
      <c r="AC86" s="783"/>
      <c r="AD86" s="783"/>
      <c r="AE86" s="783"/>
      <c r="AF86" s="783"/>
      <c r="AG86" s="783"/>
      <c r="AH86" s="783"/>
      <c r="AI86" s="612"/>
    </row>
    <row r="87" spans="1:35">
      <c r="A87" s="611"/>
      <c r="B87" s="783"/>
      <c r="C87" s="783"/>
      <c r="D87" s="783"/>
      <c r="E87" s="783"/>
      <c r="F87" s="783"/>
      <c r="G87" s="783"/>
      <c r="H87" s="783"/>
      <c r="I87" s="783"/>
      <c r="J87" s="783"/>
      <c r="K87" s="783"/>
      <c r="L87" s="783"/>
      <c r="M87" s="783"/>
      <c r="N87" s="783"/>
      <c r="O87" s="783"/>
      <c r="P87" s="783"/>
      <c r="Q87" s="783"/>
      <c r="R87" s="783"/>
      <c r="S87" s="783"/>
      <c r="T87" s="783"/>
      <c r="U87" s="783"/>
      <c r="V87" s="783"/>
      <c r="W87" s="783"/>
      <c r="X87" s="783"/>
      <c r="Y87" s="783"/>
      <c r="Z87" s="783"/>
      <c r="AA87" s="783"/>
      <c r="AB87" s="783"/>
      <c r="AC87" s="783"/>
      <c r="AD87" s="783"/>
      <c r="AE87" s="783"/>
      <c r="AF87" s="783"/>
      <c r="AG87" s="783"/>
      <c r="AH87" s="783"/>
      <c r="AI87" s="612"/>
    </row>
    <row r="88" spans="1:35">
      <c r="A88" s="611"/>
      <c r="B88" s="783"/>
      <c r="C88" s="783"/>
      <c r="D88" s="783"/>
      <c r="E88" s="783"/>
      <c r="F88" s="783"/>
      <c r="G88" s="783"/>
      <c r="H88" s="783"/>
      <c r="I88" s="783"/>
      <c r="J88" s="783"/>
      <c r="K88" s="783"/>
      <c r="L88" s="783"/>
      <c r="M88" s="783"/>
      <c r="N88" s="783"/>
      <c r="O88" s="783"/>
      <c r="P88" s="783"/>
      <c r="Q88" s="783"/>
      <c r="R88" s="783"/>
      <c r="S88" s="783"/>
      <c r="T88" s="783"/>
      <c r="U88" s="783"/>
      <c r="V88" s="783"/>
      <c r="W88" s="783"/>
      <c r="X88" s="783"/>
      <c r="Y88" s="783"/>
      <c r="Z88" s="783"/>
      <c r="AA88" s="783"/>
      <c r="AB88" s="783"/>
      <c r="AC88" s="783"/>
      <c r="AD88" s="783"/>
      <c r="AE88" s="783"/>
      <c r="AF88" s="783"/>
      <c r="AG88" s="783"/>
      <c r="AH88" s="783"/>
      <c r="AI88" s="612"/>
    </row>
    <row r="89" spans="1:35">
      <c r="A89" s="611"/>
      <c r="B89" s="783"/>
      <c r="C89" s="783"/>
      <c r="D89" s="783"/>
      <c r="E89" s="783"/>
      <c r="F89" s="783"/>
      <c r="G89" s="783"/>
      <c r="H89" s="783"/>
      <c r="I89" s="783"/>
      <c r="J89" s="783"/>
      <c r="K89" s="783"/>
      <c r="L89" s="783"/>
      <c r="M89" s="783"/>
      <c r="N89" s="783"/>
      <c r="O89" s="783"/>
      <c r="P89" s="783"/>
      <c r="Q89" s="783"/>
      <c r="R89" s="783"/>
      <c r="S89" s="783"/>
      <c r="T89" s="783"/>
      <c r="U89" s="783"/>
      <c r="V89" s="783"/>
      <c r="W89" s="783"/>
      <c r="X89" s="783"/>
      <c r="Y89" s="783"/>
      <c r="Z89" s="783"/>
      <c r="AA89" s="783"/>
      <c r="AB89" s="783"/>
      <c r="AC89" s="783"/>
      <c r="AD89" s="783"/>
      <c r="AE89" s="783"/>
      <c r="AF89" s="783"/>
      <c r="AG89" s="783"/>
      <c r="AH89" s="783"/>
      <c r="AI89" s="612"/>
    </row>
    <row r="90" spans="1:35">
      <c r="A90" s="611"/>
      <c r="B90" s="783"/>
      <c r="C90" s="783"/>
      <c r="D90" s="783"/>
      <c r="E90" s="783"/>
      <c r="F90" s="783"/>
      <c r="G90" s="783"/>
      <c r="H90" s="783"/>
      <c r="I90" s="783"/>
      <c r="J90" s="783"/>
      <c r="K90" s="783"/>
      <c r="L90" s="783"/>
      <c r="M90" s="783"/>
      <c r="N90" s="783"/>
      <c r="O90" s="783"/>
      <c r="P90" s="783"/>
      <c r="Q90" s="783"/>
      <c r="R90" s="783"/>
      <c r="S90" s="783"/>
      <c r="T90" s="783"/>
      <c r="U90" s="783"/>
      <c r="V90" s="783"/>
      <c r="W90" s="783"/>
      <c r="X90" s="783"/>
      <c r="Y90" s="783"/>
      <c r="Z90" s="783"/>
      <c r="AA90" s="783"/>
      <c r="AB90" s="783"/>
      <c r="AC90" s="783"/>
      <c r="AD90" s="783"/>
      <c r="AE90" s="783"/>
      <c r="AF90" s="783"/>
      <c r="AG90" s="783"/>
      <c r="AH90" s="783"/>
      <c r="AI90" s="612"/>
    </row>
    <row r="91" spans="1:35">
      <c r="A91" s="611"/>
      <c r="B91" s="783"/>
      <c r="C91" s="783"/>
      <c r="D91" s="783"/>
      <c r="E91" s="783"/>
      <c r="F91" s="783"/>
      <c r="G91" s="783"/>
      <c r="H91" s="783"/>
      <c r="I91" s="783"/>
      <c r="J91" s="783"/>
      <c r="K91" s="783"/>
      <c r="L91" s="783"/>
      <c r="M91" s="783"/>
      <c r="N91" s="783"/>
      <c r="O91" s="783"/>
      <c r="P91" s="783"/>
      <c r="Q91" s="783"/>
      <c r="R91" s="783"/>
      <c r="S91" s="783"/>
      <c r="T91" s="783"/>
      <c r="U91" s="783"/>
      <c r="V91" s="783"/>
      <c r="W91" s="783"/>
      <c r="X91" s="783"/>
      <c r="Y91" s="783"/>
      <c r="Z91" s="783"/>
      <c r="AA91" s="783"/>
      <c r="AB91" s="783"/>
      <c r="AC91" s="783"/>
      <c r="AD91" s="783"/>
      <c r="AE91" s="783"/>
      <c r="AF91" s="783"/>
      <c r="AG91" s="783"/>
      <c r="AH91" s="783"/>
      <c r="AI91" s="612"/>
    </row>
    <row r="92" spans="1:35">
      <c r="A92" s="611"/>
      <c r="B92" s="783"/>
      <c r="C92" s="783"/>
      <c r="D92" s="783"/>
      <c r="E92" s="783"/>
      <c r="F92" s="783"/>
      <c r="G92" s="783"/>
      <c r="H92" s="783"/>
      <c r="I92" s="783"/>
      <c r="J92" s="783"/>
      <c r="K92" s="783"/>
      <c r="L92" s="783"/>
      <c r="M92" s="783"/>
      <c r="N92" s="783"/>
      <c r="O92" s="783"/>
      <c r="P92" s="783"/>
      <c r="Q92" s="783"/>
      <c r="R92" s="783"/>
      <c r="S92" s="783"/>
      <c r="T92" s="783"/>
      <c r="U92" s="783"/>
      <c r="V92" s="783"/>
      <c r="W92" s="783"/>
      <c r="X92" s="783"/>
      <c r="Y92" s="783"/>
      <c r="Z92" s="783"/>
      <c r="AA92" s="783"/>
      <c r="AB92" s="783"/>
      <c r="AC92" s="783"/>
      <c r="AD92" s="783"/>
      <c r="AE92" s="783"/>
      <c r="AF92" s="783"/>
      <c r="AG92" s="783"/>
      <c r="AH92" s="783"/>
      <c r="AI92" s="612"/>
    </row>
    <row r="93" spans="1:35">
      <c r="A93" s="611"/>
      <c r="B93" s="783"/>
      <c r="C93" s="783"/>
      <c r="D93" s="783"/>
      <c r="E93" s="783"/>
      <c r="F93" s="783"/>
      <c r="G93" s="783"/>
      <c r="H93" s="783"/>
      <c r="I93" s="783"/>
      <c r="J93" s="783"/>
      <c r="K93" s="783"/>
      <c r="L93" s="783"/>
      <c r="M93" s="783"/>
      <c r="N93" s="783"/>
      <c r="O93" s="783"/>
      <c r="P93" s="783"/>
      <c r="Q93" s="783"/>
      <c r="R93" s="783"/>
      <c r="S93" s="783"/>
      <c r="T93" s="783"/>
      <c r="U93" s="783"/>
      <c r="V93" s="783"/>
      <c r="W93" s="783"/>
      <c r="X93" s="783"/>
      <c r="Y93" s="783"/>
      <c r="Z93" s="783"/>
      <c r="AA93" s="783"/>
      <c r="AB93" s="783"/>
      <c r="AC93" s="783"/>
      <c r="AD93" s="783"/>
      <c r="AE93" s="783"/>
      <c r="AF93" s="783"/>
      <c r="AG93" s="783"/>
      <c r="AH93" s="783"/>
      <c r="AI93" s="612"/>
    </row>
    <row r="94" spans="1:35">
      <c r="A94" s="611"/>
      <c r="B94" s="783"/>
      <c r="C94" s="783"/>
      <c r="D94" s="783"/>
      <c r="E94" s="783"/>
      <c r="F94" s="783"/>
      <c r="G94" s="783"/>
      <c r="H94" s="783"/>
      <c r="I94" s="783"/>
      <c r="J94" s="783"/>
      <c r="K94" s="783"/>
      <c r="L94" s="783"/>
      <c r="M94" s="783"/>
      <c r="N94" s="783"/>
      <c r="O94" s="783"/>
      <c r="P94" s="783"/>
      <c r="Q94" s="783"/>
      <c r="R94" s="783"/>
      <c r="S94" s="783"/>
      <c r="T94" s="783"/>
      <c r="U94" s="783"/>
      <c r="V94" s="783"/>
      <c r="W94" s="783"/>
      <c r="X94" s="783"/>
      <c r="Y94" s="783"/>
      <c r="Z94" s="783"/>
      <c r="AA94" s="783"/>
      <c r="AB94" s="783"/>
      <c r="AC94" s="783"/>
      <c r="AD94" s="783"/>
      <c r="AE94" s="783"/>
      <c r="AF94" s="783"/>
      <c r="AG94" s="783"/>
      <c r="AH94" s="783"/>
      <c r="AI94" s="612"/>
    </row>
    <row r="95" spans="1:35">
      <c r="A95" s="611"/>
      <c r="B95" s="783"/>
      <c r="C95" s="783"/>
      <c r="D95" s="783"/>
      <c r="E95" s="783"/>
      <c r="F95" s="783"/>
      <c r="G95" s="783"/>
      <c r="H95" s="783"/>
      <c r="I95" s="783"/>
      <c r="J95" s="783"/>
      <c r="K95" s="783"/>
      <c r="L95" s="783"/>
      <c r="M95" s="783"/>
      <c r="N95" s="783"/>
      <c r="O95" s="783"/>
      <c r="P95" s="783"/>
      <c r="Q95" s="783"/>
      <c r="R95" s="783"/>
      <c r="S95" s="783"/>
      <c r="T95" s="783"/>
      <c r="U95" s="783"/>
      <c r="V95" s="783"/>
      <c r="W95" s="783"/>
      <c r="X95" s="783"/>
      <c r="Y95" s="783"/>
      <c r="Z95" s="783"/>
      <c r="AA95" s="783"/>
      <c r="AB95" s="783"/>
      <c r="AC95" s="783"/>
      <c r="AD95" s="783"/>
      <c r="AE95" s="783"/>
      <c r="AF95" s="783"/>
      <c r="AG95" s="783"/>
      <c r="AH95" s="783"/>
      <c r="AI95" s="612"/>
    </row>
    <row r="96" spans="1:35">
      <c r="A96" s="611"/>
      <c r="B96" s="783"/>
      <c r="C96" s="783"/>
      <c r="D96" s="783"/>
      <c r="E96" s="783"/>
      <c r="F96" s="783"/>
      <c r="G96" s="783"/>
      <c r="H96" s="783"/>
      <c r="I96" s="783"/>
      <c r="J96" s="783"/>
      <c r="K96" s="783"/>
      <c r="L96" s="783"/>
      <c r="M96" s="783"/>
      <c r="N96" s="783"/>
      <c r="O96" s="783"/>
      <c r="P96" s="783"/>
      <c r="Q96" s="783"/>
      <c r="R96" s="783"/>
      <c r="S96" s="783"/>
      <c r="T96" s="783"/>
      <c r="U96" s="783"/>
      <c r="V96" s="783"/>
      <c r="W96" s="783"/>
      <c r="X96" s="783"/>
      <c r="Y96" s="783"/>
      <c r="Z96" s="783"/>
      <c r="AA96" s="783"/>
      <c r="AB96" s="783"/>
      <c r="AC96" s="783"/>
      <c r="AD96" s="783"/>
      <c r="AE96" s="783"/>
      <c r="AF96" s="783"/>
      <c r="AG96" s="783"/>
      <c r="AH96" s="783"/>
      <c r="AI96" s="612"/>
    </row>
    <row r="97" spans="1:35">
      <c r="A97" s="611"/>
      <c r="B97" s="783"/>
      <c r="C97" s="783"/>
      <c r="D97" s="783"/>
      <c r="E97" s="783"/>
      <c r="F97" s="783"/>
      <c r="G97" s="783"/>
      <c r="H97" s="783"/>
      <c r="I97" s="783"/>
      <c r="J97" s="783"/>
      <c r="K97" s="783"/>
      <c r="L97" s="783"/>
      <c r="M97" s="783"/>
      <c r="N97" s="783"/>
      <c r="O97" s="773" t="s">
        <v>480</v>
      </c>
      <c r="P97" s="773"/>
      <c r="Q97" s="773" t="s">
        <v>458</v>
      </c>
      <c r="R97" s="784">
        <v>45838</v>
      </c>
      <c r="S97" s="784"/>
      <c r="T97" s="784"/>
      <c r="U97" s="784"/>
      <c r="V97" s="784"/>
      <c r="W97" s="784"/>
      <c r="X97" s="784"/>
      <c r="Y97" s="784"/>
      <c r="Z97" s="784"/>
      <c r="AA97" s="784"/>
      <c r="AB97" s="784"/>
      <c r="AC97" s="784"/>
      <c r="AD97" s="784"/>
      <c r="AE97" s="784"/>
      <c r="AF97" s="784"/>
      <c r="AG97" s="784"/>
      <c r="AH97" s="784"/>
      <c r="AI97" s="612"/>
    </row>
    <row r="98" spans="1:35">
      <c r="A98" s="611"/>
      <c r="B98" s="783"/>
      <c r="C98" s="783"/>
      <c r="D98" s="783"/>
      <c r="E98" s="783"/>
      <c r="F98" s="783"/>
      <c r="G98" s="783"/>
      <c r="H98" s="783"/>
      <c r="I98" s="783"/>
      <c r="J98" s="783"/>
      <c r="K98" s="783"/>
      <c r="L98" s="783"/>
      <c r="M98" s="783"/>
      <c r="N98" s="783"/>
      <c r="O98" s="773"/>
      <c r="P98" s="773"/>
      <c r="Q98" s="773"/>
      <c r="R98" s="784"/>
      <c r="S98" s="784"/>
      <c r="T98" s="784"/>
      <c r="U98" s="784"/>
      <c r="V98" s="784"/>
      <c r="W98" s="784"/>
      <c r="X98" s="784"/>
      <c r="Y98" s="784"/>
      <c r="Z98" s="784"/>
      <c r="AA98" s="784"/>
      <c r="AB98" s="784"/>
      <c r="AC98" s="784"/>
      <c r="AD98" s="784"/>
      <c r="AE98" s="784"/>
      <c r="AF98" s="784"/>
      <c r="AG98" s="784"/>
      <c r="AH98" s="784"/>
      <c r="AI98" s="612"/>
    </row>
    <row r="99" spans="1:35">
      <c r="A99" s="611"/>
      <c r="B99" s="783"/>
      <c r="C99" s="783"/>
      <c r="D99" s="783"/>
      <c r="E99" s="783"/>
      <c r="F99" s="783"/>
      <c r="G99" s="783"/>
      <c r="H99" s="783"/>
      <c r="I99" s="783"/>
      <c r="J99" s="783"/>
      <c r="K99" s="783"/>
      <c r="L99" s="783"/>
      <c r="M99" s="783"/>
      <c r="N99" s="783"/>
      <c r="AI99" s="612"/>
    </row>
    <row r="100" spans="1:35">
      <c r="A100" s="611"/>
      <c r="B100" s="783"/>
      <c r="C100" s="783"/>
      <c r="D100" s="783"/>
      <c r="E100" s="783"/>
      <c r="F100" s="783"/>
      <c r="G100" s="783"/>
      <c r="H100" s="783"/>
      <c r="I100" s="783"/>
      <c r="J100" s="783"/>
      <c r="K100" s="783"/>
      <c r="L100" s="783"/>
      <c r="M100" s="783"/>
      <c r="N100" s="783"/>
      <c r="AI100" s="612"/>
    </row>
    <row r="101" spans="1:35">
      <c r="A101" s="611"/>
      <c r="B101" s="783"/>
      <c r="C101" s="783"/>
      <c r="D101" s="783"/>
      <c r="E101" s="783"/>
      <c r="F101" s="783"/>
      <c r="G101" s="783"/>
      <c r="H101" s="783"/>
      <c r="I101" s="783"/>
      <c r="J101" s="783"/>
      <c r="K101" s="783"/>
      <c r="L101" s="783"/>
      <c r="M101" s="783"/>
      <c r="N101" s="783"/>
      <c r="O101" s="783"/>
      <c r="P101" s="783"/>
      <c r="Q101" s="783"/>
      <c r="R101" s="783"/>
      <c r="S101" s="783"/>
      <c r="T101" s="783"/>
      <c r="U101" s="783"/>
      <c r="V101" s="783"/>
      <c r="W101" s="783"/>
      <c r="X101" s="783"/>
      <c r="Y101" s="783"/>
      <c r="Z101" s="783"/>
      <c r="AA101" s="783"/>
      <c r="AB101" s="783"/>
      <c r="AC101" s="783"/>
      <c r="AD101" s="783"/>
      <c r="AE101" s="783"/>
      <c r="AF101" s="783"/>
      <c r="AG101" s="783"/>
      <c r="AH101" s="783"/>
      <c r="AI101" s="612"/>
    </row>
    <row r="102" spans="1:35">
      <c r="A102" s="611"/>
      <c r="B102" s="783"/>
      <c r="C102" s="783"/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783"/>
      <c r="V102" s="783"/>
      <c r="W102" s="783"/>
      <c r="X102" s="783"/>
      <c r="Y102" s="783"/>
      <c r="Z102" s="783"/>
      <c r="AA102" s="783"/>
      <c r="AB102" s="783"/>
      <c r="AC102" s="783"/>
      <c r="AD102" s="783"/>
      <c r="AE102" s="783"/>
      <c r="AF102" s="783"/>
      <c r="AG102" s="783"/>
      <c r="AH102" s="783"/>
      <c r="AI102" s="612"/>
    </row>
    <row r="103" spans="1:35">
      <c r="A103" s="611"/>
      <c r="B103" s="783"/>
      <c r="C103" s="783"/>
      <c r="D103" s="783"/>
      <c r="E103" s="783"/>
      <c r="F103" s="783"/>
      <c r="G103" s="783"/>
      <c r="H103" s="783"/>
      <c r="I103" s="783"/>
      <c r="J103" s="783"/>
      <c r="K103" s="783"/>
      <c r="L103" s="783"/>
      <c r="M103" s="783"/>
      <c r="N103" s="783"/>
      <c r="O103" s="783"/>
      <c r="P103" s="783"/>
      <c r="Q103" s="783"/>
      <c r="R103" s="783"/>
      <c r="S103" s="783"/>
      <c r="T103" s="783"/>
      <c r="U103" s="783"/>
      <c r="V103" s="783"/>
      <c r="W103" s="783"/>
      <c r="X103" s="783"/>
      <c r="Y103" s="783"/>
      <c r="Z103" s="783"/>
      <c r="AA103" s="783"/>
      <c r="AB103" s="783"/>
      <c r="AC103" s="783"/>
      <c r="AD103" s="783"/>
      <c r="AE103" s="783"/>
      <c r="AF103" s="783"/>
      <c r="AG103" s="783"/>
      <c r="AH103" s="783"/>
      <c r="AI103" s="612"/>
    </row>
    <row r="104" spans="1:35">
      <c r="A104" s="611"/>
      <c r="B104" s="783"/>
      <c r="C104" s="783"/>
      <c r="D104" s="783"/>
      <c r="E104" s="783"/>
      <c r="F104" s="783"/>
      <c r="G104" s="783"/>
      <c r="H104" s="783"/>
      <c r="I104" s="783"/>
      <c r="J104" s="783"/>
      <c r="K104" s="783"/>
      <c r="L104" s="783"/>
      <c r="M104" s="783"/>
      <c r="N104" s="783"/>
      <c r="O104" s="783"/>
      <c r="P104" s="783"/>
      <c r="Q104" s="783"/>
      <c r="R104" s="783"/>
      <c r="S104" s="783"/>
      <c r="T104" s="783"/>
      <c r="U104" s="783"/>
      <c r="V104" s="783"/>
      <c r="W104" s="783"/>
      <c r="X104" s="783"/>
      <c r="Y104" s="783"/>
      <c r="Z104" s="783"/>
      <c r="AA104" s="783"/>
      <c r="AB104" s="783"/>
      <c r="AC104" s="783"/>
      <c r="AD104" s="783"/>
      <c r="AE104" s="783"/>
      <c r="AF104" s="783"/>
      <c r="AG104" s="783"/>
      <c r="AH104" s="783"/>
      <c r="AI104" s="612"/>
    </row>
    <row r="105" spans="1:35">
      <c r="A105" s="611"/>
      <c r="B105" s="783"/>
      <c r="C105" s="783"/>
      <c r="D105" s="783"/>
      <c r="E105" s="783"/>
      <c r="F105" s="783"/>
      <c r="G105" s="783"/>
      <c r="H105" s="783"/>
      <c r="I105" s="783"/>
      <c r="J105" s="783"/>
      <c r="K105" s="783"/>
      <c r="L105" s="783"/>
      <c r="M105" s="783"/>
      <c r="N105" s="783"/>
      <c r="O105" s="783"/>
      <c r="P105" s="783"/>
      <c r="Q105" s="783"/>
      <c r="R105" s="783"/>
      <c r="S105" s="783"/>
      <c r="T105" s="783"/>
      <c r="U105" s="783"/>
      <c r="V105" s="783"/>
      <c r="W105" s="783"/>
      <c r="X105" s="783"/>
      <c r="Y105" s="783"/>
      <c r="Z105" s="783"/>
      <c r="AA105" s="783"/>
      <c r="AB105" s="783"/>
      <c r="AC105" s="783"/>
      <c r="AD105" s="783"/>
      <c r="AE105" s="783"/>
      <c r="AF105" s="783"/>
      <c r="AG105" s="783"/>
      <c r="AH105" s="783"/>
      <c r="AI105" s="612"/>
    </row>
    <row r="106" spans="1:35">
      <c r="A106" s="611"/>
      <c r="B106" s="783"/>
      <c r="C106" s="783"/>
      <c r="D106" s="783"/>
      <c r="E106" s="783"/>
      <c r="F106" s="783"/>
      <c r="G106" s="783"/>
      <c r="H106" s="783"/>
      <c r="I106" s="783"/>
      <c r="J106" s="783"/>
      <c r="K106" s="783"/>
      <c r="L106" s="783"/>
      <c r="M106" s="783"/>
      <c r="N106" s="783"/>
      <c r="O106" s="783"/>
      <c r="P106" s="783"/>
      <c r="Q106" s="783"/>
      <c r="R106" s="783"/>
      <c r="S106" s="783"/>
      <c r="T106" s="783"/>
      <c r="U106" s="783"/>
      <c r="V106" s="783"/>
      <c r="W106" s="783"/>
      <c r="X106" s="783"/>
      <c r="Y106" s="783"/>
      <c r="Z106" s="783"/>
      <c r="AA106" s="783"/>
      <c r="AB106" s="783"/>
      <c r="AC106" s="783"/>
      <c r="AD106" s="783"/>
      <c r="AE106" s="783"/>
      <c r="AF106" s="783"/>
      <c r="AG106" s="783"/>
      <c r="AH106" s="783"/>
      <c r="AI106" s="612"/>
    </row>
    <row r="107" spans="1:35">
      <c r="A107" s="611"/>
      <c r="B107" s="783"/>
      <c r="C107" s="783"/>
      <c r="D107" s="783"/>
      <c r="E107" s="783"/>
      <c r="F107" s="783"/>
      <c r="G107" s="783"/>
      <c r="H107" s="783"/>
      <c r="I107" s="783"/>
      <c r="J107" s="783"/>
      <c r="K107" s="783"/>
      <c r="L107" s="783"/>
      <c r="M107" s="783"/>
      <c r="N107" s="783"/>
      <c r="O107" s="783"/>
      <c r="P107" s="783"/>
      <c r="Q107" s="783"/>
      <c r="R107" s="783"/>
      <c r="S107" s="783"/>
      <c r="T107" s="783"/>
      <c r="U107" s="783"/>
      <c r="V107" s="783"/>
      <c r="W107" s="783"/>
      <c r="X107" s="783"/>
      <c r="Y107" s="783"/>
      <c r="Z107" s="783"/>
      <c r="AA107" s="783"/>
      <c r="AB107" s="783"/>
      <c r="AC107" s="783"/>
      <c r="AD107" s="783"/>
      <c r="AE107" s="783"/>
      <c r="AF107" s="783"/>
      <c r="AG107" s="783"/>
      <c r="AH107" s="783"/>
      <c r="AI107" s="612"/>
    </row>
    <row r="108" spans="1:35">
      <c r="A108" s="611"/>
      <c r="B108" s="783"/>
      <c r="C108" s="783"/>
      <c r="D108" s="783"/>
      <c r="E108" s="783"/>
      <c r="F108" s="783"/>
      <c r="G108" s="783"/>
      <c r="H108" s="783"/>
      <c r="I108" s="783"/>
      <c r="J108" s="783"/>
      <c r="K108" s="783"/>
      <c r="L108" s="783"/>
      <c r="M108" s="783"/>
      <c r="N108" s="783"/>
      <c r="O108" s="783"/>
      <c r="P108" s="783"/>
      <c r="Q108" s="783"/>
      <c r="R108" s="783"/>
      <c r="S108" s="783"/>
      <c r="T108" s="783"/>
      <c r="U108" s="783"/>
      <c r="V108" s="783"/>
      <c r="W108" s="783"/>
      <c r="X108" s="783"/>
      <c r="Y108" s="783"/>
      <c r="Z108" s="783"/>
      <c r="AA108" s="783"/>
      <c r="AB108" s="783"/>
      <c r="AC108" s="783"/>
      <c r="AD108" s="783"/>
      <c r="AE108" s="783"/>
      <c r="AF108" s="783"/>
      <c r="AG108" s="783"/>
      <c r="AH108" s="783"/>
      <c r="AI108" s="612"/>
    </row>
    <row r="109" spans="1:35">
      <c r="A109" s="611"/>
      <c r="B109" s="783"/>
      <c r="C109" s="783"/>
      <c r="D109" s="783"/>
      <c r="E109" s="783"/>
      <c r="F109" s="783"/>
      <c r="G109" s="783"/>
      <c r="H109" s="783"/>
      <c r="I109" s="783"/>
      <c r="J109" s="783"/>
      <c r="K109" s="783"/>
      <c r="L109" s="783"/>
      <c r="M109" s="783"/>
      <c r="N109" s="783"/>
      <c r="O109" s="783"/>
      <c r="P109" s="783"/>
      <c r="Q109" s="783"/>
      <c r="R109" s="783"/>
      <c r="S109" s="783"/>
      <c r="T109" s="783"/>
      <c r="U109" s="783"/>
      <c r="V109" s="783"/>
      <c r="W109" s="783"/>
      <c r="X109" s="783"/>
      <c r="Y109" s="783"/>
      <c r="Z109" s="783"/>
      <c r="AA109" s="783"/>
      <c r="AB109" s="783"/>
      <c r="AC109" s="783"/>
      <c r="AD109" s="783"/>
      <c r="AE109" s="783"/>
      <c r="AF109" s="783"/>
      <c r="AG109" s="783"/>
      <c r="AH109" s="783"/>
      <c r="AI109" s="612"/>
    </row>
    <row r="110" spans="1:35">
      <c r="A110" s="611"/>
      <c r="B110" s="783"/>
      <c r="C110" s="783"/>
      <c r="D110" s="783"/>
      <c r="E110" s="783"/>
      <c r="F110" s="783"/>
      <c r="G110" s="783"/>
      <c r="H110" s="783"/>
      <c r="I110" s="783"/>
      <c r="J110" s="783"/>
      <c r="K110" s="783"/>
      <c r="L110" s="783"/>
      <c r="M110" s="783"/>
      <c r="N110" s="783"/>
      <c r="O110" s="783"/>
      <c r="P110" s="783"/>
      <c r="Q110" s="783"/>
      <c r="R110" s="783"/>
      <c r="S110" s="783"/>
      <c r="T110" s="783"/>
      <c r="U110" s="783"/>
      <c r="V110" s="783"/>
      <c r="W110" s="783"/>
      <c r="X110" s="783"/>
      <c r="Y110" s="783"/>
      <c r="Z110" s="783"/>
      <c r="AA110" s="783"/>
      <c r="AB110" s="783"/>
      <c r="AC110" s="783"/>
      <c r="AD110" s="783"/>
      <c r="AE110" s="783"/>
      <c r="AF110" s="783"/>
      <c r="AG110" s="783"/>
      <c r="AH110" s="783"/>
      <c r="AI110" s="612"/>
    </row>
    <row r="111" spans="1:35">
      <c r="A111" s="611"/>
      <c r="B111" s="783"/>
      <c r="C111" s="783"/>
      <c r="D111" s="783"/>
      <c r="E111" s="783"/>
      <c r="F111" s="783"/>
      <c r="G111" s="783"/>
      <c r="H111" s="783"/>
      <c r="I111" s="783"/>
      <c r="J111" s="783"/>
      <c r="K111" s="783"/>
      <c r="L111" s="783"/>
      <c r="M111" s="783"/>
      <c r="N111" s="783"/>
      <c r="O111" s="783"/>
      <c r="P111" s="783"/>
      <c r="Q111" s="783"/>
      <c r="R111" s="783"/>
      <c r="S111" s="783"/>
      <c r="T111" s="783"/>
      <c r="U111" s="783"/>
      <c r="V111" s="783"/>
      <c r="W111" s="783"/>
      <c r="X111" s="783"/>
      <c r="Y111" s="783"/>
      <c r="Z111" s="783"/>
      <c r="AA111" s="783"/>
      <c r="AB111" s="783"/>
      <c r="AC111" s="783"/>
      <c r="AD111" s="783"/>
      <c r="AE111" s="783"/>
      <c r="AF111" s="783"/>
      <c r="AG111" s="783"/>
      <c r="AH111" s="783"/>
      <c r="AI111" s="612"/>
    </row>
    <row r="112" spans="1:35">
      <c r="A112" s="611"/>
      <c r="B112" s="783"/>
      <c r="C112" s="783"/>
      <c r="D112" s="783"/>
      <c r="E112" s="783"/>
      <c r="F112" s="783"/>
      <c r="G112" s="783"/>
      <c r="H112" s="783"/>
      <c r="I112" s="783"/>
      <c r="J112" s="783"/>
      <c r="K112" s="783"/>
      <c r="L112" s="783"/>
      <c r="M112" s="783"/>
      <c r="N112" s="783"/>
      <c r="O112" s="783"/>
      <c r="P112" s="783"/>
      <c r="Q112" s="783"/>
      <c r="R112" s="783"/>
      <c r="S112" s="783"/>
      <c r="T112" s="783"/>
      <c r="U112" s="783"/>
      <c r="V112" s="783"/>
      <c r="W112" s="783"/>
      <c r="X112" s="783"/>
      <c r="Y112" s="783"/>
      <c r="Z112" s="783"/>
      <c r="AA112" s="783"/>
      <c r="AB112" s="783"/>
      <c r="AC112" s="783"/>
      <c r="AD112" s="783"/>
      <c r="AE112" s="783"/>
      <c r="AF112" s="783"/>
      <c r="AG112" s="783"/>
      <c r="AH112" s="783"/>
      <c r="AI112" s="612"/>
    </row>
    <row r="113" spans="1:35">
      <c r="A113" s="611"/>
      <c r="B113" s="783"/>
      <c r="C113" s="783"/>
      <c r="D113" s="783"/>
      <c r="E113" s="783"/>
      <c r="F113" s="783"/>
      <c r="G113" s="783"/>
      <c r="H113" s="783"/>
      <c r="I113" s="783"/>
      <c r="J113" s="783"/>
      <c r="K113" s="783"/>
      <c r="L113" s="783"/>
      <c r="M113" s="783"/>
      <c r="N113" s="783"/>
      <c r="O113" s="783"/>
      <c r="P113" s="783"/>
      <c r="Q113" s="783"/>
      <c r="R113" s="783"/>
      <c r="S113" s="783"/>
      <c r="T113" s="783"/>
      <c r="U113" s="783"/>
      <c r="V113" s="783"/>
      <c r="W113" s="783"/>
      <c r="X113" s="783"/>
      <c r="Y113" s="783"/>
      <c r="Z113" s="783"/>
      <c r="AA113" s="783"/>
      <c r="AB113" s="783"/>
      <c r="AC113" s="783"/>
      <c r="AD113" s="783"/>
      <c r="AE113" s="783"/>
      <c r="AF113" s="783"/>
      <c r="AG113" s="783"/>
      <c r="AH113" s="783"/>
      <c r="AI113" s="612"/>
    </row>
    <row r="114" spans="1:35">
      <c r="A114" s="611"/>
      <c r="B114" s="783"/>
      <c r="C114" s="783"/>
      <c r="D114" s="783"/>
      <c r="E114" s="783"/>
      <c r="F114" s="783"/>
      <c r="G114" s="783"/>
      <c r="H114" s="783"/>
      <c r="I114" s="783"/>
      <c r="J114" s="783"/>
      <c r="K114" s="783"/>
      <c r="L114" s="783"/>
      <c r="M114" s="783"/>
      <c r="N114" s="783"/>
      <c r="O114" s="783"/>
      <c r="P114" s="783"/>
      <c r="Q114" s="783"/>
      <c r="R114" s="783"/>
      <c r="S114" s="783"/>
      <c r="T114" s="783"/>
      <c r="U114" s="783"/>
      <c r="V114" s="783"/>
      <c r="W114" s="783"/>
      <c r="X114" s="783"/>
      <c r="Y114" s="783"/>
      <c r="Z114" s="783"/>
      <c r="AA114" s="783"/>
      <c r="AB114" s="783"/>
      <c r="AC114" s="783"/>
      <c r="AD114" s="783"/>
      <c r="AE114" s="783"/>
      <c r="AF114" s="783"/>
      <c r="AG114" s="783"/>
      <c r="AH114" s="783"/>
      <c r="AI114" s="612"/>
    </row>
    <row r="115" spans="1:35">
      <c r="A115" s="611"/>
      <c r="B115" s="783"/>
      <c r="C115" s="783"/>
      <c r="D115" s="783"/>
      <c r="E115" s="783"/>
      <c r="F115" s="783"/>
      <c r="G115" s="783"/>
      <c r="H115" s="783"/>
      <c r="I115" s="783"/>
      <c r="J115" s="783"/>
      <c r="K115" s="783"/>
      <c r="L115" s="783"/>
      <c r="M115" s="783"/>
      <c r="N115" s="783"/>
      <c r="O115" s="783"/>
      <c r="P115" s="783"/>
      <c r="Q115" s="783"/>
      <c r="R115" s="783"/>
      <c r="S115" s="783"/>
      <c r="T115" s="783"/>
      <c r="U115" s="783"/>
      <c r="V115" s="783"/>
      <c r="W115" s="783"/>
      <c r="X115" s="783"/>
      <c r="Y115" s="783"/>
      <c r="Z115" s="783"/>
      <c r="AA115" s="783"/>
      <c r="AB115" s="783"/>
      <c r="AC115" s="783"/>
      <c r="AD115" s="783"/>
      <c r="AE115" s="783"/>
      <c r="AF115" s="783"/>
      <c r="AG115" s="783"/>
      <c r="AH115" s="783"/>
      <c r="AI115" s="612"/>
    </row>
    <row r="116" spans="1:35">
      <c r="A116" s="611"/>
      <c r="B116" s="783"/>
      <c r="C116" s="783"/>
      <c r="D116" s="783"/>
      <c r="E116" s="783"/>
      <c r="F116" s="783"/>
      <c r="G116" s="783"/>
      <c r="H116" s="783"/>
      <c r="I116" s="783"/>
      <c r="J116" s="783"/>
      <c r="K116" s="783"/>
      <c r="L116" s="783"/>
      <c r="M116" s="783"/>
      <c r="N116" s="783"/>
      <c r="O116" s="783"/>
      <c r="P116" s="783"/>
      <c r="Q116" s="783"/>
      <c r="R116" s="783"/>
      <c r="S116" s="783"/>
      <c r="T116" s="783"/>
      <c r="U116" s="783"/>
      <c r="V116" s="783"/>
      <c r="W116" s="783"/>
      <c r="X116" s="783"/>
      <c r="Y116" s="783"/>
      <c r="Z116" s="783"/>
      <c r="AA116" s="783"/>
      <c r="AB116" s="783"/>
      <c r="AC116" s="783"/>
      <c r="AD116" s="783"/>
      <c r="AE116" s="783"/>
      <c r="AF116" s="783"/>
      <c r="AG116" s="783"/>
      <c r="AH116" s="783"/>
      <c r="AI116" s="612"/>
    </row>
    <row r="117" spans="1:35" ht="15.75" thickBot="1">
      <c r="A117" s="613"/>
      <c r="B117" s="614"/>
      <c r="C117" s="614"/>
      <c r="D117" s="614"/>
      <c r="E117" s="614"/>
      <c r="F117" s="614"/>
      <c r="G117" s="614"/>
      <c r="H117" s="614"/>
      <c r="I117" s="614"/>
      <c r="J117" s="614"/>
      <c r="K117" s="614"/>
      <c r="L117" s="614"/>
      <c r="M117" s="614"/>
      <c r="N117" s="614"/>
      <c r="O117" s="614"/>
      <c r="P117" s="614"/>
      <c r="Q117" s="614"/>
      <c r="R117" s="614"/>
      <c r="S117" s="614"/>
      <c r="T117" s="614"/>
      <c r="U117" s="614"/>
      <c r="V117" s="614"/>
      <c r="W117" s="614"/>
      <c r="X117" s="614"/>
      <c r="Y117" s="614"/>
      <c r="Z117" s="614"/>
      <c r="AA117" s="614"/>
      <c r="AB117" s="614"/>
      <c r="AC117" s="614"/>
      <c r="AD117" s="614"/>
      <c r="AE117" s="614"/>
      <c r="AF117" s="614"/>
      <c r="AG117" s="614"/>
      <c r="AH117" s="614"/>
      <c r="AI117" s="615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" name="Range1"/>
  </protectedRanges>
  <mergeCells count="37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0:Z32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 R97:AH98" xr:uid="{9C9CF4C6-27E2-4DA4-BF6B-33EB04E80ADB}">
      <formula1>$AN$3:$AN$14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2025-11-07T09:13:28Z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