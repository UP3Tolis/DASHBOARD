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1949" documentId="8_{663FF9C3-06A9-4452-83FF-2366E21643C8}" xr6:coauthVersionLast="47" xr6:coauthVersionMax="47" xr10:uidLastSave="{17F5A64D-67E2-4F5F-B7B5-281C994B2162}"/>
  <bookViews>
    <workbookView xWindow="-120" yWindow="-120" windowWidth="29040" windowHeight="15720" firstSheet="24" activeTab="25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<sst xmlns="http://schemas.openxmlformats.org/spreadsheetml/2006/main" count="4797" uniqueCount="478">
  <si>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</si>
  <si>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</si>
  <si>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</si>
  <si>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</si>
  <si>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</si>
  <si>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</si>
  <si>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</si>
  <si>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</si>
  <si>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</si>
  <si>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</si>
  <si>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</si>
  <si>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</si>
  <si>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</si>
  <si>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</si>
  <si>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</si>
  <si>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</si>
  <si>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</si>
  <si>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</si>
  <si>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</si>
  <si>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</si>
  <si>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</si>
  <si>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</si>
  <si>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</si>
  <si>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</si>
  <si>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</si>
  <si>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</si>
  <si>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</si>
  <si>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</si>
  <si>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</si>
  <si>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</si>
  <si>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</si>
  <si>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</si>
  <si>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</si>
  <si>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</si>
  <si>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</si>
  <si>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</si>
  <si>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</si>
  <si>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</si>
  <si>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</si>
  <si>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</si>
  <si>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</si>
  <si>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</si>
  <si>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</si>
  <si>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</si>
  <si>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</si>
  <si>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</si>
  <si>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</si>
  <si>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</si>
  <si>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</si>
  <si>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</si>
  <si>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</si>
  <si>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</si>
  <si>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</si>
  <si>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</si>
  <si>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</si>
  <si>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</si>
  <si>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</si>
  <si>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</si>
  <si>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</si>
  <si>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</si>
  <si>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</si>
  <si>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</si>
  <si>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</si>
  <si>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</si>
  <si>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</si>
  <si>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</si>
  <si>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</si>
  <si>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</si>
  <si>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</si>
  <si>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</si>
  <si>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</si>
  <si>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</si>
  <si>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</si>
  <si>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</si>
  <si>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</si>
  <si>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</si>
  <si>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</si>
  <si>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</si>
  <si>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</si>
  <si>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</si>
  <si>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</si>
  <si>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</si>
  <si>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</si>
  <si>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</si>
  <si>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</si>
  <si>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</si>
  <si>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</si>
  <si>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</si>
  <si>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</si>
  <si>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</si>
  <si>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</si>
  <si>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</si>
  <si>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</si>
  <si>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</si>
  <si>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</si>
  <si>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</si>
  <si>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</si>
  <si>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</si>
  <si>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</si>
  <si>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</si>
  <si>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</si>
  <si>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</si>
  <si>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</si>
  <si>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</si>
  <si>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</si>
  <si>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</si>
  <si>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</si>
  <si>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</si>
  <si>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</si>
  <si>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</si>
  <si>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</si>
  <si>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</si>
  <si>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</si>
  <si>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</si>
  <si>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</si>
  <si>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</si>
  <si>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</si>
  <si>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</si>
  <si>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</si>
  <si>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</si>
  <si>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</si>
  <si>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</si>
  <si>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</si>
  <si>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</si>
  <si>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</si>
  <si>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</si>
  <si>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</si>
  <si>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</si>
  <si>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</si>
  <si>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</si>
  <si>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</si>
  <si>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</si>
  <si>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</si>
  <si>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</si>
  <si>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</si>
  <si>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</si>
  <si>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</si>
  <si>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</si>
  <si>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</si>
  <si>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</si>
  <si>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</si>
  <si>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</si>
  <si>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</si>
  <si>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</si>
  <si>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</si>
  <si>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</si>
  <si>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</si>
  <si>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</si>
  <si>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</si>
  <si>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</si>
  <si>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</si>
  <si>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</si>
  <si>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</si>
  <si>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</si>
  <si>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</si>
  <si>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</si>
  <si>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</si>
  <si>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</si>
  <si>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</si>
  <si>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</si>
  <si>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</si>
  <si>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</si>
  <si>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</si>
  <si>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</si>
  <si>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</si>
  <si>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</si>
  <si>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</si>
  <si>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</si>
  <si>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</si>
  <si>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</si>
  <si>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</si>
  <si>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</si>
  <si>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</si>
  <si>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</si>
  <si>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</si>
  <si>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</si>
  <si>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</si>
  <si>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</si>
  <si>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</si>
  <si>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</si>
  <si>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</si>
  <si>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</si>
  <si>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</si>
  <si>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</si>
  <si>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</si>
  <si>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</si>
  <si>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</si>
  <si>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</si>
  <si>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</si>
  <si>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</si>
  <si>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</si>
  <si>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</si>
  <si>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</si>
  <si>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</si>
  <si>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</si>
  <si>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</si>
  <si>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</si>
  <si>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</si>
  <si>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</si>
  <si>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</si>
  <si>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</si>
  <si>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</si>
  <si>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</si>
  <si>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</si>
  <si>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</si>
  <si>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</si>
  <si>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</si>
  <si>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</si>
  <si>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</si>
  <si>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</si>
  <si>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</si>
  <si>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</si>
  <si>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</si>
  <si>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</si>
  <si>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</si>
  <si>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</si>
  <si>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</si>
  <si>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</si>
  <si>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</si>
  <si>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</si>
  <si>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</si>
  <si>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</si>
  <si>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</si>
  <si>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</si>
  <si>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</si>
  <si>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</si>
  <si>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</si>
  <si>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</si>
  <si>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</si>
  <si>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</si>
  <si>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</si>
  <si>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</si>
  <si>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</si>
  <si>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</si>
  <si>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</si>
  <si>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</si>
  <si>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</si>
  <si>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</si>
  <si>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</si>
  <si>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</si>
  <si>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</si>
  <si>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</si>
  <si>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</si>
  <si>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</si>
  <si>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</si>
  <si>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</si>
  <si>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</si>
  <si>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</si>
  <si>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</si>
  <si>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</si>
  <si>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</si>
  <si>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</si>
  <si>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</si>
  <si>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</si>
  <si>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</si>
  <si>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</si>
  <si>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</si>
  <si>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</si>
  <si>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</si>
  <si>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</si>
  <si>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</si>
  <si>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</si>
  <si>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</si>
  <si>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</si>
  <si>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</si>
  <si>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</si>
  <si>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</si>
  <si>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</si>
  <si>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</si>
  <si>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</si>
  <si>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</si>
  <si>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</si>
  <si>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</si>
  <si>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</si>
  <si>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</si>
  <si>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</si>
  <si>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</si>
  <si>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</si>
  <si>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</si>
  <si>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</si>
  <si>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</si>
  <si>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</si>
  <si>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</si>
  <si>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</si>
  <si>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</si>
  <si>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</si>
  <si>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</si>
  <si>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</si>
  <si>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</si>
  <si>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</si>
  <si>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</si>
  <si>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</si>
  <si>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</si>
  <si>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</si>
  <si>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</si>
  <si>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</si>
  <si>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</si>
  <si>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</si>
  <si>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</si>
  <si>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</si>
  <si>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</si>
  <si>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</si>
  <si>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</si>
  <si>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</si>
  <si>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</si>
  <si>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</si>
  <si>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</si>
  <si>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</si>
  <si>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</si>
  <si>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</si>
  <si>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</si>
  <si>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</si>
  <si>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</si>
  <si>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</si>
  <si>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</si>
  <si>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</si>
  <si>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</si>
  <si>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</si>
  <si>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</si>
  <si>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</si>
  <si>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</si>
  <si>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</si>
  <si>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</si>
  <si>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</si>
  <si>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</si>
  <si>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</si>
  <si>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</si>
  <si>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</si>
  <si>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</si>
  <si>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</si>
  <si>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</si>
  <si>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</si>
  <si>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</si>
  <si>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</si>
  <si>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</si>
  <si>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</si>
  <si>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</si>
  <si>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</si>
  <si>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</si>
  <si>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</si>
  <si>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</si>
  <si>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</si>
  <si>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</si>
  <si>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</si>
  <si>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</si>
  <si>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</si>
  <si>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</si>
  <si>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</si>
  <si>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</si>
  <si>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</si>
  <si>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</si>
  <si>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</si>
  <si>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</si>
  <si>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</si>
  <si>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</si>
  <si>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</si>
  <si>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</si>
  <si>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</si>
  <si>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</si>
  <si>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</si>
  <si>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</si>
  <si>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</si>
  <si>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</si>
  <si>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</si>
  <si>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</si>
  <si>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</si>
  <si>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</si>
  <si>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</si>
  <si>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</si>
  <si>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</si>
  <si>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</si>
  <si>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</si>
  <si>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</si>
  <si>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</si>
  <si>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</si>
  <si>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</si>
  <si>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</si>
  <si>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</si>
  <si>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</si>
  <si>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</si>
  <si>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</si>
  <si>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</si>
  <si>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</si>
  <si>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</si>
  <si>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</si>
  <si>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</si>
  <si>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</si>
  <si>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</si>
  <si>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</si>
  <si>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</si>
  <si>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</si>
  <si>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</si>
  <si>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</si>
  <si>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</si>
  <si>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</si>
  <si>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</si>
  <si>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</si>
  <si>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</si>
  <si>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</si>
  <si>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</si>
  <si>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</si>
  <si>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</si>
  <si>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</si>
  <si>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</si>
  <si>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</si>
  <si>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</si>
  <si>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</si>
  <si>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</si>
  <si>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</si>
  <si>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</si>
  <si>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</si>
  <si>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</si>
  <si>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</si>
  <si>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</si>
  <si>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</si>
  <si>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</si>
  <si>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</si>
  <si>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</si>
  <si>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</si>
  <si>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</si>
  <si>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</si>
  <si>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</si>
  <si>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</si>
  <si>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</si>
  <si>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</si>
  <si>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</si>
  <si>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</si>
  <si>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</si>
  <si>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</si>
  <si>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</si>
  <si>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</si>
  <si>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</si>
  <si>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</si>
  <si>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</si>
  <si>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</si>
  <si>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</si>
  <si>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</si>
  <si>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</si>
  <si>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</si>
  <si>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</si>
  <si>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</si>
  <si>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</si>
  <si>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</si>
  <si>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</si>
  <si>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</si>
  <si>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</si>
  <si>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</si>
  <si>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</si>
  <si>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</si>
  <si>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</si>
  <si>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</si>
  <si>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</si>
  <si>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KHUSUS BAGIAN INI RUMUS HARUS DI INPUT SESUAI SETIAP INDIKATOR</t>
  </si>
  <si>
    <t>trial untuk update ke github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</si>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</sst>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783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66" xfId="0" applyFont="1" applyBorder="1" applyAlignment="1">
      <alignment vertical="center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13" fillId="2" borderId="66" xfId="3" applyNumberFormat="1" applyFont="1" applyFill="1" applyBorder="1" applyAlignment="1">
      <alignment horizontal="center" vertical="center" wrapText="1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80" fillId="55" borderId="0" xfId="0" applyFont="1" applyFill="1" applyAlignment="1">
      <alignment horizontal="left" vertical="center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80" fillId="0" borderId="0" xfId="0" applyFont="1" applyAlignment="1">
      <alignment horizontal="left"/>
    </xf>
    <xf numFmtId="0" fontId="185" fillId="0" borderId="0" xfId="0" applyFont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7" fillId="0" borderId="0" xfId="0" applyFont="1" applyAlignment="1">
      <alignment horizontal="right" vertical="center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62337AF-9B23-4ED5-86AE-1B4371393668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C6C1157-135F-4A58-AA46-28EBFD50CD5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C81E435-9FDB-40A6-AF14-F8F1B578ABEF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B27FA92-6B19-48AA-AFE1-A08762001BB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F043C5E-DFCD-4E95-A54D-560EEC7EBD68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D8A1722-0C39-4C7E-8960-8CBCCFA4EA1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5726CF7-1267-4AD6-B751-0213A3E7673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BA67A99-09C2-4491-86FF-C167CC16EDB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A057EB2-0E04-4885-8F9F-726D49786E1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619B9DD-B834-43C5-8A17-91B8BE5C733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38F296F-7242-4EC8-B3DA-438D07F9E5C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9B57968-E6F3-433A-8380-6103A0E746F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F965F38-29E1-4EFA-B680-318D749435D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716CC5C-651C-4C8C-9E26-6D153872733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FAB835D-98F0-4166-B1F8-7BFC494430E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2330C4E-3392-4469-B9F9-3B953C935D8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3125813-B0FC-46A2-9FD2-CD6A24314D4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5AEB75A-0E96-48BD-8DAA-8333B531CFD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7CE4679-F78D-476B-8BA2-BEFE4651B17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C28583B-FE0C-4471-B61F-F374DF6ABCA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6E84E1B-BB0E-4CC2-B52A-0C09F9EA7C4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C792AE9-46E7-470D-9317-799A1E993DB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5BFA6626-DE75-4134-8981-6FC1124043A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95C9842-8D4E-499A-906A-C9D96162E97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F009606-3B38-42FF-B25D-BDBE3DD3262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73A45AE6-8A36-4DFC-AD31-96B98D64B3F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6F95EFC-2DB3-4AE4-995D-2E78BB7D5CD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B2DAC90-5068-47D8-8E94-79D6CF07B3A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6AE9FB4-053A-44D5-A085-2490A76731B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89E6CEC-DEB3-49B0-88B4-1CBB61AEBE9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BBEE0E1D-A76C-4DD6-B90F-8D938EE4EA5B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50C72999-08BE-43E5-AB21-CECDB4D50D4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695C1B10-F2A3-4736-9F09-A4950F2C14B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CAEBA82C-0ACC-4B99-B8F6-A40958A4917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426EF6F-2D8D-4DBF-B139-BD4CA6A260E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18B8258C-584B-458E-AE34-69C24336785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5BC5729-595B-4A3C-895B-53BCF2C988F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8BA0132-F434-4E2D-A047-F766B11BC00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84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84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84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85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85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85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86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86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86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84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84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84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85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85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85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86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86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86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84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84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84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85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85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85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86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86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86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84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84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84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85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85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85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86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86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86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84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84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84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85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85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85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86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86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86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84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84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84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85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85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85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86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86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86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2" t="s">
        <v>72</v>
      </c>
      <c r="C29" s="683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2" t="s">
        <v>72</v>
      </c>
      <c r="R29" s="683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2" t="s">
        <v>72</v>
      </c>
      <c r="AG29" s="683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80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80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80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80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80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80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80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80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80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80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80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80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80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80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80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80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80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80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80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80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80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80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80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80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80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80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80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80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80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80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80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80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80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80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80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80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80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80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80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80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80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80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80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80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80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80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80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80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80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80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80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80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80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80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2" t="s">
        <v>72</v>
      </c>
      <c r="C51" s="683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2" t="s">
        <v>72</v>
      </c>
      <c r="R51" s="683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2" t="s">
        <v>72</v>
      </c>
      <c r="AG51" s="683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80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80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80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80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80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80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80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80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80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80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80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80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80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80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80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80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80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80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80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80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80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80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80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80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80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80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80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80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80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80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80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80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80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80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80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80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80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80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80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80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80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80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80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80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80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80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80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80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80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80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80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80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80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80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2" t="s">
        <v>72</v>
      </c>
      <c r="C73" s="683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2" t="s">
        <v>72</v>
      </c>
      <c r="R73" s="683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2" t="s">
        <v>72</v>
      </c>
      <c r="AG73" s="683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2" t="s">
        <v>72</v>
      </c>
      <c r="C85" s="683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2" t="s">
        <v>72</v>
      </c>
      <c r="R85" s="683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2" t="s">
        <v>72</v>
      </c>
      <c r="AG85" s="683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80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80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80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80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0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80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80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0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80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80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80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80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80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0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80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80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0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80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80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80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80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80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80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80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80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80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80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80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80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80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80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80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80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80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80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80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80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80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80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80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80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80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80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80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80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80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80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80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80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80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80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80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80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80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80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80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80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80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80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80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81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81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81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81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81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81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81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81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81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81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81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81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2" t="s">
        <v>72</v>
      </c>
      <c r="C113" s="683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90" t="s">
        <v>128</v>
      </c>
      <c r="C114" s="691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90" t="s">
        <v>87</v>
      </c>
      <c r="C116" s="691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90" t="s">
        <v>88</v>
      </c>
      <c r="C118" s="691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90" t="s">
        <v>121</v>
      </c>
      <c r="C120" s="691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90" t="s">
        <v>89</v>
      </c>
      <c r="C122" s="691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94" t="s">
        <v>90</v>
      </c>
      <c r="C124" s="69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94" t="s">
        <v>149</v>
      </c>
      <c r="C125" s="69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7" t="s">
        <v>72</v>
      </c>
      <c r="C129" s="687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7" t="s">
        <v>72</v>
      </c>
      <c r="R129" s="687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7" t="s">
        <v>72</v>
      </c>
      <c r="AG129" s="687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8" t="s">
        <v>128</v>
      </c>
      <c r="C130" s="689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8" t="s">
        <v>87</v>
      </c>
      <c r="C131" s="689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8" t="s">
        <v>88</v>
      </c>
      <c r="C132" s="689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8" t="s">
        <v>121</v>
      </c>
      <c r="C133" s="689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8" t="s">
        <v>89</v>
      </c>
      <c r="C134" s="689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92" t="s">
        <v>90</v>
      </c>
      <c r="C135" s="693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710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84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84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711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85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85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712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86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86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710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84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84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711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85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85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712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86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86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710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84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84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711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85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85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712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86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86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710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84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84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711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85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85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712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86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86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713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80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80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713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80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80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713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80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80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80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80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80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80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80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80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7" t="s">
        <v>72</v>
      </c>
      <c r="C30" s="687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7" t="s">
        <v>72</v>
      </c>
      <c r="R30" s="687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7" t="s">
        <v>72</v>
      </c>
      <c r="AG30" s="687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81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81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81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81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81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81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81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81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81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81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81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81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81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81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81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81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81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81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81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81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81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81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81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81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81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81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81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81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81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81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81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81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81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81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81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81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81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81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81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81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81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81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81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81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81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81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81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81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81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81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81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81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81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81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7" t="s">
        <v>72</v>
      </c>
      <c r="C52" s="687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7" t="s">
        <v>72</v>
      </c>
      <c r="R52" s="687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7" t="s">
        <v>72</v>
      </c>
      <c r="AG52" s="687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81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81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81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81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81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81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81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81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81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81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81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81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81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81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81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81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81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81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81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81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81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81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81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81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81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81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81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81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81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81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81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81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81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81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81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81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81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81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81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81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81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81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81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81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81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81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81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81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81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81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81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81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81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81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7" t="s">
        <v>72</v>
      </c>
      <c r="C74" s="687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7" t="s">
        <v>72</v>
      </c>
      <c r="R74" s="687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7" t="s">
        <v>72</v>
      </c>
      <c r="AG74" s="687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81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81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81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81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81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81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81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81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81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81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81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81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81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81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81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81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81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81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81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81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81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81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81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81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81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81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81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81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81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81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81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81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81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81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81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81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81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1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81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81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1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81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81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81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81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81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1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81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81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1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81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81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81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81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7" t="s">
        <v>72</v>
      </c>
      <c r="C96" s="687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7" t="s">
        <v>72</v>
      </c>
      <c r="R96" s="687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7" t="s">
        <v>72</v>
      </c>
      <c r="AG96" s="687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7" t="s">
        <v>72</v>
      </c>
      <c r="C101" s="687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7" t="s">
        <v>72</v>
      </c>
      <c r="R101" s="687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7" t="s">
        <v>72</v>
      </c>
      <c r="AG101" s="687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2" t="s">
        <v>72</v>
      </c>
      <c r="C112" s="683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2" t="s">
        <v>72</v>
      </c>
      <c r="R112" s="683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2" t="s">
        <v>72</v>
      </c>
      <c r="AG112" s="683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81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80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80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81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80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80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81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80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80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81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80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80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81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80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80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81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80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80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81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80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80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81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80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80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81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80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80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81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80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80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81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80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80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81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80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80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2" t="s">
        <v>72</v>
      </c>
      <c r="C128" s="683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2" t="s">
        <v>72</v>
      </c>
      <c r="R128" s="683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2" t="s">
        <v>72</v>
      </c>
      <c r="AG128" s="683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81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80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80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81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80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80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81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80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80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81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80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80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81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80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80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81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80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80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81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80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80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81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80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80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81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80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80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81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80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80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81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80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80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81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80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80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7" t="s">
        <v>72</v>
      </c>
      <c r="C144" s="687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7" t="s">
        <v>72</v>
      </c>
      <c r="R144" s="687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7" t="s">
        <v>72</v>
      </c>
      <c r="AG144" s="687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7" t="s">
        <v>72</v>
      </c>
      <c r="C166" s="687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7" t="s">
        <v>72</v>
      </c>
      <c r="R166" s="687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7" t="s">
        <v>72</v>
      </c>
      <c r="AG166" s="687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2" t="s">
        <v>72</v>
      </c>
      <c r="C188" s="683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2" t="s">
        <v>72</v>
      </c>
      <c r="R188" s="683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2" t="s">
        <v>72</v>
      </c>
      <c r="AG188" s="683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2" t="s">
        <v>72</v>
      </c>
      <c r="C193" s="683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2" t="s">
        <v>72</v>
      </c>
      <c r="R193" s="683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2" t="s">
        <v>72</v>
      </c>
      <c r="AG193" s="683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1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1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1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2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2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2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2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2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2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2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2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2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2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2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2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3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3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3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1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1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1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2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2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2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2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2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2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2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2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2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2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2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2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3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3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3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1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1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1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2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2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2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2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2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2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2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2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2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2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2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2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3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3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3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1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1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1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2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2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2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2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2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2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2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2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2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2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2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2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3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3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3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1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1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1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2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2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2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2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2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2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2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2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2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2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2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2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3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3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3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1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1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1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2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2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2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2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2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2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2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2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2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2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2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2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3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3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3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7" t="s">
        <v>72</v>
      </c>
      <c r="C233" s="687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7" t="s">
        <v>72</v>
      </c>
      <c r="R233" s="687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7" t="s">
        <v>72</v>
      </c>
      <c r="AG233" s="687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7" t="s">
        <v>72</v>
      </c>
      <c r="C243" s="687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7" t="s">
        <v>72</v>
      </c>
      <c r="R243" s="687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7" t="s">
        <v>72</v>
      </c>
      <c r="AG243" s="687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81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81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81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81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81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81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81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81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81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81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81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81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81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81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81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81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81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81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81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81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81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81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81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81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81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81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81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81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81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81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81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81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81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81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81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81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81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81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81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81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81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81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81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81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81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2" t="s">
        <v>72</v>
      </c>
      <c r="C263" s="683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2" t="s">
        <v>72</v>
      </c>
      <c r="R263" s="683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2" t="s">
        <v>72</v>
      </c>
      <c r="AG263" s="683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80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80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80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80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80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80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80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80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80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80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80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80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80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80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80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80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80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80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80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80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80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80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80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80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80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80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80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80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80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80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80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80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80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80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80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80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80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80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80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80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80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80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80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80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80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80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80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80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80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80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80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80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80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80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2" t="s">
        <v>72</v>
      </c>
      <c r="C285" s="683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2" t="s">
        <v>72</v>
      </c>
      <c r="R285" s="683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2" t="s">
        <v>72</v>
      </c>
      <c r="AG285" s="683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80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80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80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80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80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80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80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80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80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84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80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80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85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80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80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86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80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80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84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80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80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85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80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80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86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80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80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84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80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80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85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80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80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86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80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80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84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80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80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85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80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80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86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80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80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84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80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80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85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80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80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86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80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80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2" t="s">
        <v>72</v>
      </c>
      <c r="C307" s="683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2" t="s">
        <v>72</v>
      </c>
      <c r="R307" s="683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2" t="s">
        <v>72</v>
      </c>
      <c r="AG307" s="683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696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84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84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697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85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85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698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86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86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696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696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696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697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697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697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698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698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698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696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696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696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697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697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697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698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698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698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696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696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696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697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697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697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698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698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698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696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696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696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697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697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697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698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698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698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4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07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07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5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08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08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06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09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09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2" t="s">
        <v>72</v>
      </c>
      <c r="C330" s="683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2" t="s">
        <v>72</v>
      </c>
      <c r="R330" s="683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2" t="s">
        <v>72</v>
      </c>
      <c r="AG330" s="683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2" t="s">
        <v>72</v>
      </c>
      <c r="C337" s="683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2" t="s">
        <v>72</v>
      </c>
      <c r="R337" s="683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2" t="s">
        <v>72</v>
      </c>
      <c r="AG337" s="683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80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80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80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80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80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80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80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80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80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80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80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80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2" t="s">
        <v>72</v>
      </c>
      <c r="C345" s="683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2" t="s">
        <v>72</v>
      </c>
      <c r="R345" s="683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2" t="s">
        <v>72</v>
      </c>
      <c r="AG345" s="683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699" t="s">
        <v>90</v>
      </c>
      <c r="C346" s="700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2" t="s">
        <v>72</v>
      </c>
      <c r="C350" s="683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2" t="s">
        <v>72</v>
      </c>
      <c r="R350" s="683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2" t="s">
        <v>72</v>
      </c>
      <c r="AG350" s="683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80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80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80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80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80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80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80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80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80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2" t="s">
        <v>72</v>
      </c>
      <c r="C358" s="683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2" t="s">
        <v>72</v>
      </c>
      <c r="R358" s="683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2" t="s">
        <v>72</v>
      </c>
      <c r="AG358" s="683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699" t="s">
        <v>90</v>
      </c>
      <c r="C359" s="700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2" t="s">
        <v>72</v>
      </c>
      <c r="C363" s="683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2" t="s">
        <v>72</v>
      </c>
      <c r="R363" s="683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2" t="s">
        <v>72</v>
      </c>
      <c r="AG363" s="683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256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257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258</v>
      </c>
      <c r="U2" s="7" t="s">
        <v>258</v>
      </c>
      <c r="AO2" s="22"/>
    </row>
    <row r="3" spans="1:56" ht="15.75">
      <c r="D3" s="8" t="s">
        <v>259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260</v>
      </c>
      <c r="E4" s="459"/>
      <c r="O4" s="8" t="s">
        <v>261</v>
      </c>
      <c r="P4" s="459"/>
      <c r="V4" s="264"/>
      <c r="Y4" s="7"/>
      <c r="Z4" s="8" t="s">
        <v>262</v>
      </c>
      <c r="AA4" s="459"/>
      <c r="AB4" s="7"/>
      <c r="AC4" s="7"/>
      <c r="AD4" s="7"/>
      <c r="AJ4" s="7"/>
      <c r="AK4" s="8" t="s">
        <v>263</v>
      </c>
      <c r="AL4" s="459"/>
      <c r="AM4" s="7"/>
      <c r="AN4" s="7"/>
      <c r="AO4" s="7"/>
      <c r="AQ4" s="474"/>
      <c r="AU4" s="7"/>
      <c r="AV4" s="8" t="s">
        <v>264</v>
      </c>
      <c r="AW4" s="459"/>
      <c r="AX4" s="7"/>
      <c r="AY4" s="7"/>
      <c r="AZ4" s="7"/>
    </row>
    <row r="5" spans="1:56" ht="26.45" customHeight="1">
      <c r="A5" s="9" t="s">
        <v>265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4" t="s">
        <v>8</v>
      </c>
      <c r="D6" s="717" t="s">
        <v>266</v>
      </c>
      <c r="E6" s="460"/>
      <c r="F6" s="719" t="s">
        <v>93</v>
      </c>
      <c r="G6" s="714" t="s">
        <v>99</v>
      </c>
      <c r="H6" s="714" t="s">
        <v>267</v>
      </c>
      <c r="I6" s="716" t="str">
        <f>VLOOKUP($A$1,$K$74:$L$85,2,FALSE)</f>
        <v>S.D. AGUSTUS</v>
      </c>
      <c r="J6" s="716"/>
      <c r="K6" s="716"/>
      <c r="L6" s="716"/>
      <c r="N6" s="714" t="s">
        <v>8</v>
      </c>
      <c r="O6" s="717" t="s">
        <v>266</v>
      </c>
      <c r="P6" s="460"/>
      <c r="Q6" s="719" t="s">
        <v>93</v>
      </c>
      <c r="R6" s="714" t="s">
        <v>99</v>
      </c>
      <c r="S6" s="714" t="s">
        <v>267</v>
      </c>
      <c r="T6" s="716" t="str">
        <f>VLOOKUP($A$1,$K$74:$L$85,2,FALSE)</f>
        <v>S.D. AGUSTUS</v>
      </c>
      <c r="U6" s="716"/>
      <c r="V6" s="716"/>
      <c r="W6" s="716"/>
      <c r="Y6" s="714" t="s">
        <v>8</v>
      </c>
      <c r="Z6" s="717" t="s">
        <v>266</v>
      </c>
      <c r="AA6" s="460"/>
      <c r="AB6" s="719" t="s">
        <v>93</v>
      </c>
      <c r="AC6" s="714" t="s">
        <v>99</v>
      </c>
      <c r="AD6" s="714" t="s">
        <v>267</v>
      </c>
      <c r="AE6" s="716" t="str">
        <f>VLOOKUP($A$1,$K$74:$L$85,2,FALSE)</f>
        <v>S.D. AGUSTUS</v>
      </c>
      <c r="AF6" s="716"/>
      <c r="AG6" s="716"/>
      <c r="AH6" s="716"/>
      <c r="AJ6" s="714" t="s">
        <v>8</v>
      </c>
      <c r="AK6" s="717" t="s">
        <v>266</v>
      </c>
      <c r="AL6" s="460"/>
      <c r="AM6" s="719" t="s">
        <v>93</v>
      </c>
      <c r="AN6" s="714" t="s">
        <v>99</v>
      </c>
      <c r="AO6" s="714" t="s">
        <v>267</v>
      </c>
      <c r="AP6" s="716" t="str">
        <f>VLOOKUP($A$1,$K$74:$L$85,2,FALSE)</f>
        <v>S.D. AGUSTUS</v>
      </c>
      <c r="AQ6" s="716"/>
      <c r="AR6" s="716"/>
      <c r="AS6" s="716"/>
      <c r="AU6" s="714" t="s">
        <v>8</v>
      </c>
      <c r="AV6" s="717" t="s">
        <v>266</v>
      </c>
      <c r="AW6" s="460"/>
      <c r="AX6" s="719" t="s">
        <v>93</v>
      </c>
      <c r="AY6" s="714" t="s">
        <v>99</v>
      </c>
      <c r="AZ6" s="714" t="s">
        <v>267</v>
      </c>
      <c r="BA6" s="716" t="str">
        <f>VLOOKUP($A$1,$K$74:$L$85,2,FALSE)</f>
        <v>S.D. AGUSTUS</v>
      </c>
      <c r="BB6" s="716"/>
      <c r="BC6" s="716"/>
      <c r="BD6" s="716"/>
    </row>
    <row r="7" spans="1:56" s="11" customFormat="1" ht="30">
      <c r="B7" s="185"/>
      <c r="C7" s="715"/>
      <c r="D7" s="718"/>
      <c r="E7" s="461"/>
      <c r="F7" s="720"/>
      <c r="G7" s="715"/>
      <c r="H7" s="715"/>
      <c r="I7" s="602" t="s">
        <v>100</v>
      </c>
      <c r="J7" s="602" t="s">
        <v>254</v>
      </c>
      <c r="K7" s="602" t="s">
        <v>102</v>
      </c>
      <c r="L7" s="602" t="s">
        <v>103</v>
      </c>
      <c r="N7" s="715"/>
      <c r="O7" s="718"/>
      <c r="P7" s="461"/>
      <c r="Q7" s="720"/>
      <c r="R7" s="715"/>
      <c r="S7" s="715"/>
      <c r="T7" s="602" t="s">
        <v>100</v>
      </c>
      <c r="U7" s="602" t="s">
        <v>254</v>
      </c>
      <c r="V7" s="602" t="s">
        <v>102</v>
      </c>
      <c r="W7" s="602" t="s">
        <v>103</v>
      </c>
      <c r="Y7" s="715"/>
      <c r="Z7" s="718"/>
      <c r="AA7" s="461"/>
      <c r="AB7" s="720"/>
      <c r="AC7" s="715"/>
      <c r="AD7" s="715"/>
      <c r="AE7" s="602" t="s">
        <v>100</v>
      </c>
      <c r="AF7" s="602" t="s">
        <v>254</v>
      </c>
      <c r="AG7" s="602" t="s">
        <v>102</v>
      </c>
      <c r="AH7" s="602" t="s">
        <v>103</v>
      </c>
      <c r="AJ7" s="715"/>
      <c r="AK7" s="718"/>
      <c r="AL7" s="461"/>
      <c r="AM7" s="720"/>
      <c r="AN7" s="715"/>
      <c r="AO7" s="715"/>
      <c r="AP7" s="602" t="s">
        <v>100</v>
      </c>
      <c r="AQ7" s="602" t="s">
        <v>254</v>
      </c>
      <c r="AR7" s="602" t="s">
        <v>102</v>
      </c>
      <c r="AS7" s="602" t="s">
        <v>103</v>
      </c>
      <c r="AU7" s="715"/>
      <c r="AV7" s="718"/>
      <c r="AW7" s="461"/>
      <c r="AX7" s="720"/>
      <c r="AY7" s="715"/>
      <c r="AZ7" s="715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268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268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269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269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269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269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269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270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268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268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379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opLeftCell="AH1" zoomScale="85" zoomScaleNormal="85" workbookViewId="0">
      <selection activeCell="AZ4" sqref="AZ4:AZ44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 t="s">
        <v>90</v>
      </c>
      <c r="AJ1" s="753" t="s">
        <v>452</v>
      </c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3"/>
      <c r="BA1" s="753" t="s">
        <v>452</v>
      </c>
      <c r="BB1" s="753"/>
      <c r="BC1" s="753"/>
      <c r="BD1" s="753"/>
      <c r="BE1" s="753"/>
      <c r="BF1" s="753"/>
      <c r="BG1" s="753"/>
      <c r="BH1" s="753"/>
      <c r="BI1" s="753"/>
      <c r="BJ1" s="753"/>
      <c r="BK1" s="753"/>
      <c r="BL1" s="753"/>
      <c r="BM1" s="753"/>
    </row>
    <row r="2" spans="1:85">
      <c r="A2" t="s">
        <v>453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1" t="s">
        <v>454</v>
      </c>
      <c r="BQ2" s="751"/>
      <c r="BR2" s="751"/>
      <c r="BS2" s="751"/>
      <c r="BT2" s="751"/>
      <c r="BU2" s="751"/>
      <c r="BV2" s="751"/>
      <c r="BW2" s="751"/>
      <c r="BX2" s="751"/>
      <c r="BY2" s="751"/>
      <c r="BZ2" s="751"/>
      <c r="CA2" s="751"/>
      <c r="CB2" s="751"/>
      <c r="CC2" s="751"/>
    </row>
    <row r="3" spans="1:85">
      <c r="A3" t="s">
        <v>455</v>
      </c>
      <c r="B3" t="s">
        <v>456</v>
      </c>
      <c r="C3" t="s">
        <v>457</v>
      </c>
      <c r="E3" s="21" t="s">
        <v>458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458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458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458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459</v>
      </c>
      <c r="BR3" s="21"/>
      <c r="BS3" s="105" t="s">
        <v>460</v>
      </c>
      <c r="BT3" s="105" t="s">
        <v>461</v>
      </c>
      <c r="BU3" s="105" t="s">
        <v>462</v>
      </c>
      <c r="BX3" s="754" t="s">
        <v>460</v>
      </c>
      <c r="BY3" s="105" t="s">
        <v>9</v>
      </c>
      <c r="BZ3">
        <f>COUNT(BS4:BS10)</f>
        <v>5</v>
      </c>
      <c r="CB3" t="s">
        <v>460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463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459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4"/>
      <c r="BY4" s="105" t="s">
        <v>464</v>
      </c>
      <c r="BZ4">
        <f>COUNT(BS11:BS42)</f>
        <v>25</v>
      </c>
      <c r="CB4" t="s">
        <v>461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463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459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4" t="s">
        <v>461</v>
      </c>
      <c r="BY5" s="105" t="s">
        <v>9</v>
      </c>
      <c r="BZ5">
        <f>COUNT(BT4:BT10)</f>
        <v>0</v>
      </c>
      <c r="CB5" t="s">
        <v>462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463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459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4"/>
      <c r="BY6" s="105" t="s">
        <v>464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463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459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4" t="s">
        <v>462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463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459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4"/>
      <c r="BY8" s="105" t="s">
        <v>464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463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459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463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459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463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459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1" t="s">
        <v>465</v>
      </c>
      <c r="BY11" s="751"/>
      <c r="BZ11" s="751"/>
      <c r="CA11" s="751"/>
      <c r="CB11" s="751"/>
      <c r="CC11" s="751"/>
      <c r="CD11" s="751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463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459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461</v>
      </c>
      <c r="BZ12" s="105" t="s">
        <v>462</v>
      </c>
      <c r="CB12" t="s">
        <v>466</v>
      </c>
      <c r="CC12" s="105" t="s">
        <v>99</v>
      </c>
      <c r="CD12" s="105" t="s">
        <v>467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463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459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463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459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463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459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463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459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463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459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463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459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463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459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463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459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463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459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463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459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463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459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463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459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463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459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463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459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463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459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463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459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463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459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463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459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463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459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463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459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463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459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463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459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463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459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463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459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463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459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463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459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463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459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463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459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463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459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463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459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463</v>
      </c>
      <c r="BY42" s="649" t="s">
        <v>463</v>
      </c>
      <c r="BZ42" s="649" t="s">
        <v>463</v>
      </c>
      <c r="CA42" s="649" t="s">
        <v>463</v>
      </c>
      <c r="CB42" s="649" t="s">
        <v>463</v>
      </c>
      <c r="CC42" s="649" t="s">
        <v>463</v>
      </c>
      <c r="CD42" s="649" t="s">
        <v>463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463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459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463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459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81" t="s">
        <v>468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2" t="s">
        <v>107</v>
      </c>
      <c r="BQ46" s="752"/>
      <c r="BR46" s="752"/>
    </row>
    <row r="47" spans="1:82">
      <c r="AX47" s="681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459</v>
      </c>
      <c r="BR47" cm="1">
        <f t="array" ref="BR47">INDEX($BA$49:$BL$49,MATCH(MONTH(BP3),MONTH($BA$46:$BL$46),0))</f>
        <v>95.300000000000011</v>
      </c>
    </row>
    <row r="48" spans="1:82">
      <c r="AX48" s="681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81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0" t="s">
        <v>469</v>
      </c>
      <c r="B62" s="750"/>
      <c r="C62" s="750"/>
      <c r="D62" s="750"/>
    </row>
    <row r="63" spans="1:64" ht="15" customHeight="1">
      <c r="A63" s="750"/>
      <c r="B63" s="750"/>
      <c r="C63" s="750"/>
      <c r="D63" s="750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0"/>
      <c r="B64" s="750"/>
      <c r="C64" s="750"/>
      <c r="D64" s="750"/>
      <c r="AZ64" t="s">
        <v>254</v>
      </c>
      <c r="BA64" s="625">
        <f>SUM(BA67:BA96)</f>
        <v>72.37</v>
      </c>
      <c r="BB64" s="625">
        <f t="shared" ref="BB64:BI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455</v>
      </c>
      <c r="B66" t="s">
        <v>456</v>
      </c>
      <c r="C66" t="s">
        <v>457</v>
      </c>
      <c r="E66" s="21" t="s">
        <v>458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458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458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458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463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459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463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459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463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459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463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459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463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459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463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459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463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459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463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459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463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459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463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459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463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459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463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459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463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459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463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459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463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459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463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459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463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459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463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459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463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459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463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459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463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459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463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459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463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459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463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459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463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459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463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459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463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459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463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459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463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459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463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459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470</v>
      </c>
      <c r="D100" t="str" cm="1">
        <f t="array" ref="D100:D103">_xlfn._xlws.SORT(B100:B103)</f>
        <v>BANGKIR</v>
      </c>
    </row>
    <row r="101" spans="1:64">
      <c r="B101" t="s">
        <v>471</v>
      </c>
      <c r="D101" t="str">
        <v>KOTARAYA</v>
      </c>
    </row>
    <row r="102" spans="1:64">
      <c r="B102" t="s">
        <v>472</v>
      </c>
      <c r="D102" t="str">
        <v>LEOK</v>
      </c>
    </row>
    <row r="103" spans="1:64">
      <c r="B103" t="s">
        <v>473</v>
      </c>
      <c r="D103" t="str">
        <v>MOUTONH</v>
      </c>
    </row>
    <row r="110" spans="1:64">
      <c r="A110" s="750" t="s">
        <v>4</v>
      </c>
      <c r="B110" s="750"/>
      <c r="C110" s="750"/>
      <c r="D110" s="750"/>
    </row>
    <row r="111" spans="1:64">
      <c r="A111" s="750"/>
      <c r="B111" s="750"/>
      <c r="C111" s="750"/>
      <c r="D111" s="750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0"/>
      <c r="B112" s="750"/>
      <c r="C112" s="750"/>
      <c r="D112" s="750"/>
      <c r="AZ112" t="s">
        <v>254</v>
      </c>
      <c r="BA112" s="625">
        <f>SUM(BA115:BA144)</f>
        <v>96.929999999999993</v>
      </c>
      <c r="BB112" s="625">
        <f t="shared" ref="BB112:BI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455</v>
      </c>
      <c r="B114" t="s">
        <v>456</v>
      </c>
      <c r="C114" t="s">
        <v>457</v>
      </c>
      <c r="E114" s="21" t="s">
        <v>458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458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458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458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463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459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463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459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463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459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463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459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463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459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463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459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463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459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463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459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463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459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463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459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463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459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463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459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463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459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463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459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463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459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463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459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463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459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463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459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463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459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463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459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463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459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463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459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463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459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463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459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463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459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463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459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463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459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463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459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463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459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463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459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0" t="s">
        <v>3</v>
      </c>
      <c r="B155" s="750"/>
      <c r="C155" s="750"/>
      <c r="D155" s="750"/>
    </row>
    <row r="156" spans="1:64">
      <c r="A156" s="750"/>
      <c r="B156" s="750"/>
      <c r="C156" s="750"/>
      <c r="D156" s="750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0"/>
      <c r="B157" s="750"/>
      <c r="C157" s="750"/>
      <c r="D157" s="750"/>
      <c r="AZ157" t="s">
        <v>254</v>
      </c>
      <c r="BA157" s="625">
        <f>SUM(BA160:BA189)</f>
        <v>90.710000000000008</v>
      </c>
      <c r="BB157" s="625">
        <f t="shared" ref="BB157:BI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455</v>
      </c>
      <c r="B159" t="s">
        <v>456</v>
      </c>
      <c r="C159" t="s">
        <v>457</v>
      </c>
      <c r="E159" s="21" t="s">
        <v>458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458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458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458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463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459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463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459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463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459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463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459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463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459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463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459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463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459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463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459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463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459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463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459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463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459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463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459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463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459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463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459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463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459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463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459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463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459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463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459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463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459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463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459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463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459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463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459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463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459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463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459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463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459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463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459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463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459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463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459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463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459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463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459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50" t="s">
        <v>6</v>
      </c>
      <c r="B200" s="750"/>
      <c r="C200" s="750"/>
      <c r="D200" s="750"/>
    </row>
    <row r="201" spans="1:64">
      <c r="A201" s="750"/>
      <c r="B201" s="750"/>
      <c r="C201" s="750"/>
      <c r="D201" s="750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0"/>
      <c r="B202" s="750"/>
      <c r="C202" s="750"/>
      <c r="D202" s="750"/>
      <c r="AZ202" t="s">
        <v>254</v>
      </c>
      <c r="BA202" s="625">
        <f>SUM(BA205:BA234)</f>
        <v>93.620000000000019</v>
      </c>
      <c r="BB202" s="625">
        <f t="shared" ref="BB202:BI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455</v>
      </c>
      <c r="B204" t="s">
        <v>456</v>
      </c>
      <c r="C204" t="s">
        <v>457</v>
      </c>
      <c r="E204" s="21" t="s">
        <v>458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458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458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458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463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459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463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459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463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459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463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459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463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459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463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459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463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459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463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459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463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459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463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459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463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459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463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459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463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459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463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459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463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459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463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459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463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459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463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459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463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459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463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459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463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459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463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459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463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459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463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459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463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459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463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459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463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459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463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459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463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459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463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459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50" t="s">
        <v>5</v>
      </c>
      <c r="B245" s="750"/>
      <c r="C245" s="750"/>
      <c r="D245" s="750"/>
    </row>
    <row r="246" spans="1:64">
      <c r="A246" s="750"/>
      <c r="B246" s="750"/>
      <c r="C246" s="750"/>
      <c r="D246" s="750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0"/>
      <c r="B247" s="750"/>
      <c r="C247" s="750"/>
      <c r="D247" s="750"/>
      <c r="AZ247" t="s">
        <v>254</v>
      </c>
      <c r="BA247" s="625">
        <f>SUM(BA250:BA279)</f>
        <v>88.97</v>
      </c>
      <c r="BB247" s="625">
        <f t="shared" ref="BB247:BI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455</v>
      </c>
      <c r="B249" t="s">
        <v>456</v>
      </c>
      <c r="C249" t="s">
        <v>457</v>
      </c>
      <c r="E249" s="21" t="s">
        <v>458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458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458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458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463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459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463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459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463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459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463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459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463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459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463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459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463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459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463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459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463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459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463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459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463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459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463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459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463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459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463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459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463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459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463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459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463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459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463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459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463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459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463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459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463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459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463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459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463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459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463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459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463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459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463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459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463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459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463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459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463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459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463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459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tabSelected="1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80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81"/>
      <c r="Z3" s="782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81"/>
      <c r="Z4" s="782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73" t="s">
        <v>474</v>
      </c>
      <c r="P11" s="773"/>
      <c r="Q11" s="773" t="s">
        <v>459</v>
      </c>
      <c r="R11" s="772">
        <v>45688</v>
      </c>
      <c r="S11" s="772"/>
      <c r="T11" s="772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73"/>
      <c r="P12" s="773"/>
      <c r="Q12" s="773"/>
      <c r="R12" s="772"/>
      <c r="S12" s="772"/>
      <c r="T12" s="772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74"/>
      <c r="P15" s="775"/>
      <c r="Q15" s="765" t="s">
        <v>9</v>
      </c>
      <c r="R15" s="765"/>
      <c r="S15" s="765">
        <f>STRG!BZ3</f>
        <v>5</v>
      </c>
      <c r="T15" s="766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6"/>
      <c r="P16" s="777"/>
      <c r="Q16" s="767"/>
      <c r="R16" s="767"/>
      <c r="S16" s="767"/>
      <c r="T16" s="768"/>
      <c r="AI16" s="612"/>
    </row>
    <row r="17" spans="1:35">
      <c r="A17" s="611"/>
      <c r="O17" s="776"/>
      <c r="P17" s="777"/>
      <c r="Q17" s="765" t="s">
        <v>464</v>
      </c>
      <c r="R17" s="765"/>
      <c r="S17" s="767">
        <f>STRG!BZ4</f>
        <v>25</v>
      </c>
      <c r="T17" s="768"/>
      <c r="AI17" s="612"/>
    </row>
    <row r="18" spans="1:35" ht="15" customHeight="1" thickBot="1">
      <c r="A18" s="611"/>
      <c r="O18" s="778"/>
      <c r="P18" s="779"/>
      <c r="Q18" s="769"/>
      <c r="R18" s="769"/>
      <c r="S18" s="769"/>
      <c r="T18" s="770"/>
      <c r="AE18" s="627"/>
      <c r="AF18" s="627"/>
      <c r="AI18" s="612"/>
    </row>
    <row r="19" spans="1:35" ht="14.45" customHeight="1">
      <c r="A19" s="611"/>
      <c r="O19" s="774"/>
      <c r="P19" s="775"/>
      <c r="Q19" s="765" t="s">
        <v>9</v>
      </c>
      <c r="R19" s="765"/>
      <c r="S19" s="765">
        <f>STRG!BZ5</f>
        <v>0</v>
      </c>
      <c r="T19" s="766"/>
      <c r="AE19" s="627"/>
      <c r="AF19" s="627"/>
      <c r="AI19" s="612"/>
    </row>
    <row r="20" spans="1:35" ht="14.45" customHeight="1">
      <c r="A20" s="611"/>
      <c r="O20" s="776"/>
      <c r="P20" s="777"/>
      <c r="Q20" s="767"/>
      <c r="R20" s="767"/>
      <c r="S20" s="767"/>
      <c r="T20" s="768"/>
      <c r="AD20" s="627"/>
      <c r="AE20" s="627"/>
      <c r="AF20" s="627"/>
      <c r="AI20" s="612"/>
    </row>
    <row r="21" spans="1:35" ht="14.45" customHeight="1">
      <c r="A21" s="611"/>
      <c r="O21" s="776"/>
      <c r="P21" s="777"/>
      <c r="Q21" s="767" t="s">
        <v>464</v>
      </c>
      <c r="R21" s="767"/>
      <c r="S21" s="767">
        <f>STRG!BZ6</f>
        <v>1</v>
      </c>
      <c r="T21" s="768"/>
      <c r="AD21" s="627"/>
      <c r="AE21" s="627"/>
      <c r="AF21" s="627"/>
      <c r="AI21" s="612"/>
    </row>
    <row r="22" spans="1:35" ht="15" customHeight="1" thickBot="1">
      <c r="A22" s="611"/>
      <c r="O22" s="778"/>
      <c r="P22" s="779"/>
      <c r="Q22" s="769"/>
      <c r="R22" s="769"/>
      <c r="S22" s="769"/>
      <c r="T22" s="770"/>
      <c r="AD22" s="627"/>
      <c r="AE22" s="627"/>
      <c r="AF22" s="627"/>
      <c r="AI22" s="612"/>
    </row>
    <row r="23" spans="1:35" ht="14.45" customHeight="1">
      <c r="A23" s="611"/>
      <c r="O23" s="776"/>
      <c r="P23" s="777"/>
      <c r="Q23" s="767" t="s">
        <v>9</v>
      </c>
      <c r="R23" s="767"/>
      <c r="S23" s="765">
        <f>STRG!BZ7</f>
        <v>2</v>
      </c>
      <c r="T23" s="766"/>
      <c r="AD23" s="627"/>
      <c r="AE23" s="627"/>
      <c r="AF23" s="627"/>
      <c r="AI23" s="612"/>
    </row>
    <row r="24" spans="1:35" ht="15.75" thickBot="1">
      <c r="A24" s="611"/>
      <c r="O24" s="776"/>
      <c r="P24" s="777"/>
      <c r="Q24" s="767"/>
      <c r="R24" s="767"/>
      <c r="S24" s="767"/>
      <c r="T24" s="768"/>
      <c r="AI24" s="612"/>
    </row>
    <row r="25" spans="1:35">
      <c r="A25" s="611"/>
      <c r="O25" s="776"/>
      <c r="P25" s="777"/>
      <c r="Q25" s="765" t="s">
        <v>464</v>
      </c>
      <c r="R25" s="765"/>
      <c r="S25" s="767">
        <f>STRG!BZ8</f>
        <v>6</v>
      </c>
      <c r="T25" s="768"/>
      <c r="AI25" s="612"/>
    </row>
    <row r="26" spans="1:35" ht="15" customHeight="1" thickBot="1">
      <c r="A26" s="611"/>
      <c r="O26" s="778"/>
      <c r="P26" s="779"/>
      <c r="Q26" s="769"/>
      <c r="R26" s="769"/>
      <c r="S26" s="769"/>
      <c r="T26" s="770"/>
      <c r="AB26" s="771">
        <f>SUM(STRG!CC3:CC5)</f>
        <v>39</v>
      </c>
      <c r="AC26" s="763" t="s">
        <v>475</v>
      </c>
      <c r="AD26" s="763"/>
      <c r="AI26" s="612"/>
    </row>
    <row r="27" spans="1:35" ht="14.45" customHeight="1">
      <c r="A27" s="611"/>
      <c r="AB27" s="771"/>
      <c r="AC27" s="763"/>
      <c r="AD27" s="763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64" t="s">
        <v>476</v>
      </c>
      <c r="P30" s="764"/>
      <c r="Q30" s="764"/>
      <c r="R30" s="764"/>
      <c r="S30" s="764"/>
      <c r="T30" s="764"/>
      <c r="U30" s="764"/>
      <c r="V30" s="764"/>
      <c r="W30" s="764"/>
      <c r="X30" s="764"/>
      <c r="Y30" s="764"/>
      <c r="Z30" s="764"/>
      <c r="AB30" s="764" t="s">
        <v>477</v>
      </c>
      <c r="AC30" s="764"/>
      <c r="AD30" s="764"/>
      <c r="AE30" s="764"/>
      <c r="AF30" s="764"/>
      <c r="AG30" s="764"/>
      <c r="AH30" s="764"/>
      <c r="AI30" s="612"/>
    </row>
    <row r="31" spans="1:35">
      <c r="A31" s="611"/>
      <c r="O31" s="764"/>
      <c r="P31" s="764"/>
      <c r="Q31" s="764"/>
      <c r="R31" s="764"/>
      <c r="S31" s="764"/>
      <c r="T31" s="764"/>
      <c r="U31" s="764"/>
      <c r="V31" s="764"/>
      <c r="W31" s="764"/>
      <c r="X31" s="764"/>
      <c r="Y31" s="764"/>
      <c r="Z31" s="764"/>
      <c r="AB31" s="764"/>
      <c r="AC31" s="764"/>
      <c r="AD31" s="764"/>
      <c r="AE31" s="764"/>
      <c r="AF31" s="764"/>
      <c r="AG31" s="764"/>
      <c r="AH31" s="764"/>
      <c r="AI31" s="612"/>
    </row>
    <row r="32" spans="1:35" ht="14.45" customHeight="1">
      <c r="A32" s="611"/>
      <c r="O32" s="764"/>
      <c r="P32" s="764"/>
      <c r="Q32" s="764"/>
      <c r="R32" s="764"/>
      <c r="S32" s="764"/>
      <c r="T32" s="764"/>
      <c r="U32" s="764"/>
      <c r="V32" s="764"/>
      <c r="W32" s="764"/>
      <c r="X32" s="764"/>
      <c r="Y32" s="764"/>
      <c r="Z32" s="764"/>
      <c r="AB32" s="764"/>
      <c r="AC32" s="764"/>
      <c r="AD32" s="764"/>
      <c r="AE32" s="764"/>
      <c r="AF32" s="764"/>
      <c r="AG32" s="764"/>
      <c r="AH32" s="764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0:Z32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2025-11-06T11:56:37Z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