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7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8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9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omments1.xml" ContentType="application/vnd.openxmlformats-officedocument.spreadsheetml.comments+xml"/>
  <Override PartName="/xl/drawings/drawing22.xml" ContentType="application/vnd.openxmlformats-officedocument.drawing+xml"/>
  <Override PartName="/xl/charts/chart10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.xml" ContentType="application/vnd.openxmlformats-officedocument.themeOverride+xml"/>
  <Override PartName="/xl/charts/chart1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28a719c71767940/001. PLN/998. NKO/"/>
    </mc:Choice>
  </mc:AlternateContent>
  <xr:revisionPtr revIDLastSave="1542" documentId="8_{663FF9C3-06A9-4452-83FF-2366E21643C8}" xr6:coauthVersionLast="47" xr6:coauthVersionMax="47" xr10:uidLastSave="{26C7B778-BD1A-4029-A4A2-9041A3769927}"/>
  <bookViews>
    <workbookView minimized="1" xWindow="3465" yWindow="3465" windowWidth="21540" windowHeight="11265" firstSheet="9" activeTab="9" xr2:uid="{FBACFDA6-EC83-4457-B195-92AFE455FDD7}"/>
  </bookViews>
  <sheets>
    <sheet name="RANK" sheetId="24" r:id="rId1"/>
    <sheet name="CHECKLIST" sheetId="68" state="hidden" r:id="rId2"/>
    <sheet name="scoreboard" sheetId="71" state="hidden" r:id="rId3"/>
    <sheet name="TRACK" sheetId="115" state="hidden" r:id="rId4"/>
    <sheet name="DETAIL" sheetId="119" state="hidden" r:id="rId5"/>
    <sheet name="TREN" sheetId="120" state="hidden" r:id="rId6"/>
    <sheet name="KPI" sheetId="82" r:id="rId7"/>
    <sheet name="SIMULASI" sheetId="121" state="hidden" r:id="rId8"/>
    <sheet name="PI" sheetId="83" r:id="rId9"/>
    <sheet name="UP3" sheetId="35" r:id="rId10"/>
    <sheet name="PROG. JUNI" sheetId="133" state="hidden" r:id="rId11"/>
    <sheet name="ULP" sheetId="21" r:id="rId12"/>
    <sheet name="R.UP3" sheetId="36" r:id="rId13"/>
    <sheet name="R.TOLIS" sheetId="69" r:id="rId14"/>
    <sheet name="R.LEOK" sheetId="127" r:id="rId15"/>
    <sheet name="R.BANGKIR" sheetId="128" r:id="rId16"/>
    <sheet name="R.MOUTONG" sheetId="129" r:id="rId17"/>
    <sheet name="R.KOTARAYA" sheetId="131" r:id="rId18"/>
    <sheet name="T.UP3" sheetId="58" r:id="rId19"/>
    <sheet name="T.TOLIS" sheetId="73" r:id="rId20"/>
    <sheet name="T.LEOK" sheetId="134" r:id="rId21"/>
    <sheet name="T.BANGKIR" sheetId="135" r:id="rId22"/>
    <sheet name="T.MOUTONG" sheetId="136" r:id="rId23"/>
    <sheet name="T.KOTARAYA" sheetId="137" r:id="rId24"/>
    <sheet name="STRG" sheetId="138" r:id="rId25"/>
    <sheet name="DBRD" sheetId="140" r:id="rId26"/>
  </sheets>
  <definedNames>
    <definedName name="\0" localSheetId="8">#REF!</definedName>
    <definedName name="\0" localSheetId="21">#REF!</definedName>
    <definedName name="\0" localSheetId="23">#REF!</definedName>
    <definedName name="\0" localSheetId="20">#REF!</definedName>
    <definedName name="\0" localSheetId="22">#REF!</definedName>
    <definedName name="\0" localSheetId="19">#REF!</definedName>
    <definedName name="\0" localSheetId="5">#REF!</definedName>
    <definedName name="\0">#REF!</definedName>
    <definedName name="\1" localSheetId="8">#REF!</definedName>
    <definedName name="\1" localSheetId="21">#REF!</definedName>
    <definedName name="\1" localSheetId="23">#REF!</definedName>
    <definedName name="\1" localSheetId="20">#REF!</definedName>
    <definedName name="\1" localSheetId="22">#REF!</definedName>
    <definedName name="\1" localSheetId="19">#REF!</definedName>
    <definedName name="\1" localSheetId="5">#REF!</definedName>
    <definedName name="\1">#REF!</definedName>
    <definedName name="\a" localSheetId="8">#REF!</definedName>
    <definedName name="\a" localSheetId="12">#REF!</definedName>
    <definedName name="\a" localSheetId="21">#REF!</definedName>
    <definedName name="\a" localSheetId="23">#REF!</definedName>
    <definedName name="\a" localSheetId="20">#REF!</definedName>
    <definedName name="\a" localSheetId="22">#REF!</definedName>
    <definedName name="\a" localSheetId="19">#REF!</definedName>
    <definedName name="\a" localSheetId="18">#REF!</definedName>
    <definedName name="\a" localSheetId="5">#REF!</definedName>
    <definedName name="\a">#REF!</definedName>
    <definedName name="\b" localSheetId="8">#REF!</definedName>
    <definedName name="\b" localSheetId="12">#REF!</definedName>
    <definedName name="\b" localSheetId="21">#REF!</definedName>
    <definedName name="\b" localSheetId="23">#REF!</definedName>
    <definedName name="\b" localSheetId="20">#REF!</definedName>
    <definedName name="\b" localSheetId="22">#REF!</definedName>
    <definedName name="\b" localSheetId="19">#REF!</definedName>
    <definedName name="\b" localSheetId="18">#REF!</definedName>
    <definedName name="\b" localSheetId="5">#REF!</definedName>
    <definedName name="\b">#REF!</definedName>
    <definedName name="\b11_567891011" localSheetId="8">#REF!</definedName>
    <definedName name="\b11_567891011" localSheetId="21">#REF!</definedName>
    <definedName name="\b11_567891011" localSheetId="23">#REF!</definedName>
    <definedName name="\b11_567891011" localSheetId="20">#REF!</definedName>
    <definedName name="\b11_567891011" localSheetId="22">#REF!</definedName>
    <definedName name="\b11_567891011" localSheetId="19">#REF!</definedName>
    <definedName name="\b11_567891011">#REF!</definedName>
    <definedName name="\b12_567891011" localSheetId="8">#REF!</definedName>
    <definedName name="\b12_567891011" localSheetId="21">#REF!</definedName>
    <definedName name="\b12_567891011" localSheetId="23">#REF!</definedName>
    <definedName name="\b12_567891011" localSheetId="20">#REF!</definedName>
    <definedName name="\b12_567891011" localSheetId="22">#REF!</definedName>
    <definedName name="\b12_567891011" localSheetId="19">#REF!</definedName>
    <definedName name="\b12_567891011">#REF!</definedName>
    <definedName name="\b13_567891011" localSheetId="8">#REF!</definedName>
    <definedName name="\b13_567891011" localSheetId="21">#REF!</definedName>
    <definedName name="\b13_567891011" localSheetId="23">#REF!</definedName>
    <definedName name="\b13_567891011" localSheetId="20">#REF!</definedName>
    <definedName name="\b13_567891011" localSheetId="22">#REF!</definedName>
    <definedName name="\b13_567891011" localSheetId="19">#REF!</definedName>
    <definedName name="\b13_567891011">#REF!</definedName>
    <definedName name="\b14_567891011" localSheetId="8">#REF!</definedName>
    <definedName name="\b14_567891011" localSheetId="21">#REF!</definedName>
    <definedName name="\b14_567891011" localSheetId="23">#REF!</definedName>
    <definedName name="\b14_567891011" localSheetId="20">#REF!</definedName>
    <definedName name="\b14_567891011" localSheetId="22">#REF!</definedName>
    <definedName name="\b14_567891011" localSheetId="19">#REF!</definedName>
    <definedName name="\b14_567891011">#REF!</definedName>
    <definedName name="\b23">#REF!</definedName>
    <definedName name="\b23_567891011">#REF!</definedName>
    <definedName name="\b78">#REF!</definedName>
    <definedName name="\bbsuralaya">#REF!</definedName>
    <definedName name="\c" localSheetId="8">#REF!</definedName>
    <definedName name="\c" localSheetId="12">#REF!</definedName>
    <definedName name="\c" localSheetId="21">#REF!</definedName>
    <definedName name="\c" localSheetId="23">#REF!</definedName>
    <definedName name="\c" localSheetId="20">#REF!</definedName>
    <definedName name="\c" localSheetId="22">#REF!</definedName>
    <definedName name="\c" localSheetId="19">#REF!</definedName>
    <definedName name="\c" localSheetId="18">#REF!</definedName>
    <definedName name="\c" localSheetId="5">#REF!</definedName>
    <definedName name="\c">#REF!</definedName>
    <definedName name="\C309" localSheetId="8">#REF!</definedName>
    <definedName name="\C309" localSheetId="21">#REF!</definedName>
    <definedName name="\C309" localSheetId="23">#REF!</definedName>
    <definedName name="\C309" localSheetId="20">#REF!</definedName>
    <definedName name="\C309" localSheetId="22">#REF!</definedName>
    <definedName name="\C309" localSheetId="19">#REF!</definedName>
    <definedName name="\C309" localSheetId="5">#REF!</definedName>
    <definedName name="\C309">#REF!</definedName>
    <definedName name="\CDKWH" localSheetId="8">#REF!</definedName>
    <definedName name="\CDKWH" localSheetId="21">#REF!</definedName>
    <definedName name="\CDKWH" localSheetId="23">#REF!</definedName>
    <definedName name="\CDKWH" localSheetId="20">#REF!</definedName>
    <definedName name="\CDKWH" localSheetId="22">#REF!</definedName>
    <definedName name="\CDKWH" localSheetId="19">#REF!</definedName>
    <definedName name="\CDKWH" localSheetId="5">#REF!</definedName>
    <definedName name="\CDKWH">#REF!</definedName>
    <definedName name="\CDP" localSheetId="8">#REF!</definedName>
    <definedName name="\CDP" localSheetId="21">#REF!</definedName>
    <definedName name="\CDP" localSheetId="23">#REF!</definedName>
    <definedName name="\CDP" localSheetId="20">#REF!</definedName>
    <definedName name="\CDP" localSheetId="22">#REF!</definedName>
    <definedName name="\CDP" localSheetId="19">#REF!</definedName>
    <definedName name="\CDP" localSheetId="5">#REF!</definedName>
    <definedName name="\CDP">#REF!</definedName>
    <definedName name="\CDPLG" localSheetId="8">#REF!</definedName>
    <definedName name="\CDPLG" localSheetId="21">#REF!</definedName>
    <definedName name="\CDPLG" localSheetId="23">#REF!</definedName>
    <definedName name="\CDPLG" localSheetId="20">#REF!</definedName>
    <definedName name="\CDPLG" localSheetId="22">#REF!</definedName>
    <definedName name="\CDPLG" localSheetId="19">#REF!</definedName>
    <definedName name="\CDPLG">#REF!</definedName>
    <definedName name="\CDRP" localSheetId="8">#REF!</definedName>
    <definedName name="\CDRP" localSheetId="21">#REF!</definedName>
    <definedName name="\CDRP" localSheetId="23">#REF!</definedName>
    <definedName name="\CDRP" localSheetId="20">#REF!</definedName>
    <definedName name="\CDRP" localSheetId="22">#REF!</definedName>
    <definedName name="\CDRP" localSheetId="19">#REF!</definedName>
    <definedName name="\CDRP">#REF!</definedName>
    <definedName name="\CDRPKWH" localSheetId="8">#REF!</definedName>
    <definedName name="\CDRPKWH" localSheetId="21">#REF!</definedName>
    <definedName name="\CDRPKWH" localSheetId="23">#REF!</definedName>
    <definedName name="\CDRPKWH" localSheetId="20">#REF!</definedName>
    <definedName name="\CDRPKWH" localSheetId="22">#REF!</definedName>
    <definedName name="\CDRPKWH" localSheetId="19">#REF!</definedName>
    <definedName name="\CDRPKWH">#REF!</definedName>
    <definedName name="\CDVA" localSheetId="8">#REF!</definedName>
    <definedName name="\CDVA" localSheetId="21">#REF!</definedName>
    <definedName name="\CDVA" localSheetId="23">#REF!</definedName>
    <definedName name="\CDVA" localSheetId="20">#REF!</definedName>
    <definedName name="\CDVA" localSheetId="22">#REF!</definedName>
    <definedName name="\CDVA" localSheetId="19">#REF!</definedName>
    <definedName name="\CDVA">#REF!</definedName>
    <definedName name="\CHLM2" localSheetId="8">#REF!</definedName>
    <definedName name="\CHLM2" localSheetId="21">#REF!</definedName>
    <definedName name="\CHLM2" localSheetId="23">#REF!</definedName>
    <definedName name="\CHLM2" localSheetId="20">#REF!</definedName>
    <definedName name="\CHLM2" localSheetId="22">#REF!</definedName>
    <definedName name="\CHLM2" localSheetId="19">#REF!</definedName>
    <definedName name="\CHLM2">#REF!</definedName>
    <definedName name="\CHLM3" localSheetId="8">#REF!</definedName>
    <definedName name="\CHLM3" localSheetId="21">#REF!</definedName>
    <definedName name="\CHLM3" localSheetId="23">#REF!</definedName>
    <definedName name="\CHLM3" localSheetId="20">#REF!</definedName>
    <definedName name="\CHLM3" localSheetId="22">#REF!</definedName>
    <definedName name="\CHLM3" localSheetId="19">#REF!</definedName>
    <definedName name="\CHLM3">#REF!</definedName>
    <definedName name="\CREKAP" localSheetId="8">#REF!</definedName>
    <definedName name="\CREKAP" localSheetId="21">#REF!</definedName>
    <definedName name="\CREKAP" localSheetId="23">#REF!</definedName>
    <definedName name="\CREKAP" localSheetId="20">#REF!</definedName>
    <definedName name="\CREKAP" localSheetId="22">#REF!</definedName>
    <definedName name="\CREKAP" localSheetId="19">#REF!</definedName>
    <definedName name="\CREKAP">#REF!</definedName>
    <definedName name="\d" localSheetId="8">#REF!</definedName>
    <definedName name="\d" localSheetId="12">#REF!</definedName>
    <definedName name="\d" localSheetId="21">#REF!</definedName>
    <definedName name="\d" localSheetId="23">#REF!</definedName>
    <definedName name="\d" localSheetId="20">#REF!</definedName>
    <definedName name="\d" localSheetId="22">#REF!</definedName>
    <definedName name="\d" localSheetId="19">#REF!</definedName>
    <definedName name="\d" localSheetId="18">#REF!</definedName>
    <definedName name="\d" localSheetId="5">#REF!</definedName>
    <definedName name="\d">#REF!</definedName>
    <definedName name="\e" localSheetId="8">#REF!</definedName>
    <definedName name="\e" localSheetId="12">#REF!</definedName>
    <definedName name="\e" localSheetId="21">#REF!</definedName>
    <definedName name="\e" localSheetId="23">#REF!</definedName>
    <definedName name="\e" localSheetId="20">#REF!</definedName>
    <definedName name="\e" localSheetId="22">#REF!</definedName>
    <definedName name="\e" localSheetId="19">#REF!</definedName>
    <definedName name="\e" localSheetId="18">#REF!</definedName>
    <definedName name="\e" localSheetId="5">#REF!</definedName>
    <definedName name="\e">#REF!</definedName>
    <definedName name="\f" localSheetId="8">#REF!</definedName>
    <definedName name="\f" localSheetId="12">#REF!</definedName>
    <definedName name="\f" localSheetId="21">#REF!</definedName>
    <definedName name="\f" localSheetId="23">#REF!</definedName>
    <definedName name="\f" localSheetId="20">#REF!</definedName>
    <definedName name="\f" localSheetId="22">#REF!</definedName>
    <definedName name="\f" localSheetId="19">#REF!</definedName>
    <definedName name="\f" localSheetId="18">#REF!</definedName>
    <definedName name="\f" localSheetId="5">#REF!</definedName>
    <definedName name="\f">#REF!</definedName>
    <definedName name="\g" localSheetId="8">#REF!</definedName>
    <definedName name="\g" localSheetId="12">#REF!</definedName>
    <definedName name="\g" localSheetId="21">#REF!</definedName>
    <definedName name="\g" localSheetId="23">#REF!</definedName>
    <definedName name="\g" localSheetId="20">#REF!</definedName>
    <definedName name="\g" localSheetId="22">#REF!</definedName>
    <definedName name="\g" localSheetId="19">#REF!</definedName>
    <definedName name="\g" localSheetId="18">#REF!</definedName>
    <definedName name="\g">#REF!</definedName>
    <definedName name="\H">#REF!</definedName>
    <definedName name="\I">#REF!</definedName>
    <definedName name="\i11_567891011" localSheetId="8">#REF!</definedName>
    <definedName name="\i11_567891011" localSheetId="21">#REF!</definedName>
    <definedName name="\i11_567891011" localSheetId="23">#REF!</definedName>
    <definedName name="\i11_567891011" localSheetId="20">#REF!</definedName>
    <definedName name="\i11_567891011" localSheetId="22">#REF!</definedName>
    <definedName name="\i11_567891011" localSheetId="19">#REF!</definedName>
    <definedName name="\i11_567891011" localSheetId="5">#REF!</definedName>
    <definedName name="\i11_567891011">#REF!</definedName>
    <definedName name="\i12_567891011" localSheetId="8">#REF!</definedName>
    <definedName name="\i12_567891011" localSheetId="21">#REF!</definedName>
    <definedName name="\i12_567891011" localSheetId="23">#REF!</definedName>
    <definedName name="\i12_567891011" localSheetId="20">#REF!</definedName>
    <definedName name="\i12_567891011" localSheetId="22">#REF!</definedName>
    <definedName name="\i12_567891011" localSheetId="19">#REF!</definedName>
    <definedName name="\i12_567891011" localSheetId="5">#REF!</definedName>
    <definedName name="\i12_567891011">#REF!</definedName>
    <definedName name="\i13_567891011" localSheetId="8">#REF!</definedName>
    <definedName name="\i13_567891011" localSheetId="21">#REF!</definedName>
    <definedName name="\i13_567891011" localSheetId="23">#REF!</definedName>
    <definedName name="\i13_567891011" localSheetId="20">#REF!</definedName>
    <definedName name="\i13_567891011" localSheetId="22">#REF!</definedName>
    <definedName name="\i13_567891011" localSheetId="19">#REF!</definedName>
    <definedName name="\i13_567891011" localSheetId="5">#REF!</definedName>
    <definedName name="\i13_567891011">#REF!</definedName>
    <definedName name="\i14_567891011" localSheetId="8">#REF!</definedName>
    <definedName name="\i14_567891011" localSheetId="21">#REF!</definedName>
    <definedName name="\i14_567891011" localSheetId="23">#REF!</definedName>
    <definedName name="\i14_567891011" localSheetId="20">#REF!</definedName>
    <definedName name="\i14_567891011" localSheetId="22">#REF!</definedName>
    <definedName name="\i14_567891011" localSheetId="19">#REF!</definedName>
    <definedName name="\i14_567891011" localSheetId="5">#REF!</definedName>
    <definedName name="\i14_567891011">#REF!</definedName>
    <definedName name="\i23">#REF!</definedName>
    <definedName name="\i78">#REF!</definedName>
    <definedName name="\IPD">#REF!</definedName>
    <definedName name="\J">#REF!</definedName>
    <definedName name="\K">#REF!</definedName>
    <definedName name="\L">#REF!</definedName>
    <definedName name="\LIHAT" localSheetId="8">#REF!</definedName>
    <definedName name="\LIHAT" localSheetId="21">#REF!</definedName>
    <definedName name="\LIHAT" localSheetId="23">#REF!</definedName>
    <definedName name="\LIHAT" localSheetId="20">#REF!</definedName>
    <definedName name="\LIHAT" localSheetId="22">#REF!</definedName>
    <definedName name="\LIHAT" localSheetId="19">#REF!</definedName>
    <definedName name="\LIHAT" localSheetId="5">#REF!</definedName>
    <definedName name="\LIHAT">#REF!</definedName>
    <definedName name="\LX1" localSheetId="8">#REF!</definedName>
    <definedName name="\LX1" localSheetId="12">#REF!</definedName>
    <definedName name="\LX1" localSheetId="21">#REF!</definedName>
    <definedName name="\LX1" localSheetId="23">#REF!</definedName>
    <definedName name="\LX1" localSheetId="20">#REF!</definedName>
    <definedName name="\LX1" localSheetId="22">#REF!</definedName>
    <definedName name="\LX1" localSheetId="19">#REF!</definedName>
    <definedName name="\LX1" localSheetId="18">#REF!</definedName>
    <definedName name="\LX1" localSheetId="5">#REF!</definedName>
    <definedName name="\LX1">#REF!</definedName>
    <definedName name="\M">#REF!</definedName>
    <definedName name="\o" localSheetId="8">#REF!</definedName>
    <definedName name="\o" localSheetId="12">#REF!</definedName>
    <definedName name="\o" localSheetId="21">#REF!</definedName>
    <definedName name="\o" localSheetId="23">#REF!</definedName>
    <definedName name="\o" localSheetId="20">#REF!</definedName>
    <definedName name="\o" localSheetId="22">#REF!</definedName>
    <definedName name="\o" localSheetId="19">#REF!</definedName>
    <definedName name="\o" localSheetId="18">#REF!</definedName>
    <definedName name="\o" localSheetId="5">#REF!</definedName>
    <definedName name="\o">#REF!</definedName>
    <definedName name="\P">#REF!</definedName>
    <definedName name="\p23">#REF!</definedName>
    <definedName name="\p567891011">#REF!</definedName>
    <definedName name="\PSLD" localSheetId="8">#REF!</definedName>
    <definedName name="\PSLD" localSheetId="21">#REF!</definedName>
    <definedName name="\PSLD" localSheetId="23">#REF!</definedName>
    <definedName name="\PSLD" localSheetId="20">#REF!</definedName>
    <definedName name="\PSLD" localSheetId="22">#REF!</definedName>
    <definedName name="\PSLD" localSheetId="19">#REF!</definedName>
    <definedName name="\PSLD" localSheetId="5">#REF!</definedName>
    <definedName name="\PSLD">#REF!</definedName>
    <definedName name="\Q">#REF!</definedName>
    <definedName name="\R">#REF!</definedName>
    <definedName name="\r11_567891011" localSheetId="8">#REF!</definedName>
    <definedName name="\r11_567891011" localSheetId="21">#REF!</definedName>
    <definedName name="\r11_567891011" localSheetId="23">#REF!</definedName>
    <definedName name="\r11_567891011" localSheetId="20">#REF!</definedName>
    <definedName name="\r11_567891011" localSheetId="22">#REF!</definedName>
    <definedName name="\r11_567891011" localSheetId="19">#REF!</definedName>
    <definedName name="\r11_567891011" localSheetId="5">#REF!</definedName>
    <definedName name="\r11_567891011">#REF!</definedName>
    <definedName name="\r12_567891011" localSheetId="8">#REF!</definedName>
    <definedName name="\r12_567891011" localSheetId="21">#REF!</definedName>
    <definedName name="\r12_567891011" localSheetId="23">#REF!</definedName>
    <definedName name="\r12_567891011" localSheetId="20">#REF!</definedName>
    <definedName name="\r12_567891011" localSheetId="22">#REF!</definedName>
    <definedName name="\r12_567891011" localSheetId="19">#REF!</definedName>
    <definedName name="\r12_567891011" localSheetId="5">#REF!</definedName>
    <definedName name="\r12_567891011">#REF!</definedName>
    <definedName name="\r123_567891011">#REF!</definedName>
    <definedName name="\r13_567891011" localSheetId="8">#REF!</definedName>
    <definedName name="\r13_567891011" localSheetId="21">#REF!</definedName>
    <definedName name="\r13_567891011" localSheetId="23">#REF!</definedName>
    <definedName name="\r13_567891011" localSheetId="20">#REF!</definedName>
    <definedName name="\r13_567891011" localSheetId="22">#REF!</definedName>
    <definedName name="\r13_567891011" localSheetId="19">#REF!</definedName>
    <definedName name="\r13_567891011" localSheetId="5">#REF!</definedName>
    <definedName name="\r13_567891011">#REF!</definedName>
    <definedName name="\r23">#REF!</definedName>
    <definedName name="\r78">#REF!</definedName>
    <definedName name="\S">#REF!</definedName>
    <definedName name="\s1_567891011">#REF!</definedName>
    <definedName name="\s1011">#REF!</definedName>
    <definedName name="\s21_567891011" localSheetId="8">#REF!</definedName>
    <definedName name="\s21_567891011" localSheetId="21">#REF!</definedName>
    <definedName name="\s21_567891011" localSheetId="23">#REF!</definedName>
    <definedName name="\s21_567891011" localSheetId="20">#REF!</definedName>
    <definedName name="\s21_567891011" localSheetId="22">#REF!</definedName>
    <definedName name="\s21_567891011" localSheetId="19">#REF!</definedName>
    <definedName name="\s21_567891011" localSheetId="5">#REF!</definedName>
    <definedName name="\s21_567891011">#REF!</definedName>
    <definedName name="\s22_567891011" localSheetId="8">#REF!</definedName>
    <definedName name="\s22_567891011" localSheetId="21">#REF!</definedName>
    <definedName name="\s22_567891011" localSheetId="23">#REF!</definedName>
    <definedName name="\s22_567891011" localSheetId="20">#REF!</definedName>
    <definedName name="\s22_567891011" localSheetId="22">#REF!</definedName>
    <definedName name="\s22_567891011" localSheetId="19">#REF!</definedName>
    <definedName name="\s22_567891011" localSheetId="5">#REF!</definedName>
    <definedName name="\s22_567891011">#REF!</definedName>
    <definedName name="\s23">#REF!</definedName>
    <definedName name="\s23_567891011" localSheetId="8">#REF!</definedName>
    <definedName name="\s23_567891011" localSheetId="21">#REF!</definedName>
    <definedName name="\s23_567891011" localSheetId="23">#REF!</definedName>
    <definedName name="\s23_567891011" localSheetId="20">#REF!</definedName>
    <definedName name="\s23_567891011" localSheetId="22">#REF!</definedName>
    <definedName name="\s23_567891011" localSheetId="19">#REF!</definedName>
    <definedName name="\s23_567891011" localSheetId="5">#REF!</definedName>
    <definedName name="\s23_567891011">#REF!</definedName>
    <definedName name="\s24_567891011" localSheetId="8">#REF!</definedName>
    <definedName name="\s24_567891011" localSheetId="21">#REF!</definedName>
    <definedName name="\s24_567891011" localSheetId="23">#REF!</definedName>
    <definedName name="\s24_567891011" localSheetId="20">#REF!</definedName>
    <definedName name="\s24_567891011" localSheetId="22">#REF!</definedName>
    <definedName name="\s24_567891011" localSheetId="19">#REF!</definedName>
    <definedName name="\s24_567891011" localSheetId="5">#REF!</definedName>
    <definedName name="\s24_567891011">#REF!</definedName>
    <definedName name="\s25_567891011" localSheetId="8">#REF!</definedName>
    <definedName name="\s25_567891011" localSheetId="21">#REF!</definedName>
    <definedName name="\s25_567891011" localSheetId="23">#REF!</definedName>
    <definedName name="\s25_567891011" localSheetId="20">#REF!</definedName>
    <definedName name="\s25_567891011" localSheetId="22">#REF!</definedName>
    <definedName name="\s25_567891011" localSheetId="19">#REF!</definedName>
    <definedName name="\s25_567891011" localSheetId="5">#REF!</definedName>
    <definedName name="\s25_567891011">#REF!</definedName>
    <definedName name="\s3_567891011" localSheetId="8">#REF!</definedName>
    <definedName name="\s3_567891011" localSheetId="21">#REF!</definedName>
    <definedName name="\s3_567891011" localSheetId="23">#REF!</definedName>
    <definedName name="\s3_567891011" localSheetId="20">#REF!</definedName>
    <definedName name="\s3_567891011" localSheetId="22">#REF!</definedName>
    <definedName name="\s3_567891011" localSheetId="19">#REF!</definedName>
    <definedName name="\s3_567891011" localSheetId="5">#REF!</definedName>
    <definedName name="\s3_567891011">#REF!</definedName>
    <definedName name="\S309" localSheetId="8">#REF!</definedName>
    <definedName name="\S309" localSheetId="21">#REF!</definedName>
    <definedName name="\S309" localSheetId="23">#REF!</definedName>
    <definedName name="\S309" localSheetId="20">#REF!</definedName>
    <definedName name="\S309" localSheetId="22">#REF!</definedName>
    <definedName name="\S309" localSheetId="19">#REF!</definedName>
    <definedName name="\S309">#REF!</definedName>
    <definedName name="\s678">#REF!</definedName>
    <definedName name="\s78">#REF!</definedName>
    <definedName name="\SDP" localSheetId="8">#REF!</definedName>
    <definedName name="\SDP" localSheetId="21">#REF!</definedName>
    <definedName name="\SDP" localSheetId="23">#REF!</definedName>
    <definedName name="\SDP" localSheetId="20">#REF!</definedName>
    <definedName name="\SDP" localSheetId="22">#REF!</definedName>
    <definedName name="\SDP" localSheetId="19">#REF!</definedName>
    <definedName name="\SDP" localSheetId="5">#REF!</definedName>
    <definedName name="\SDP">#REF!</definedName>
    <definedName name="\T">#REF!</definedName>
    <definedName name="\tcm23">#REF!</definedName>
    <definedName name="\tcm567891011">#REF!</definedName>
    <definedName name="\U" localSheetId="8">#REF!</definedName>
    <definedName name="\U" localSheetId="21">#REF!</definedName>
    <definedName name="\U" localSheetId="23">#REF!</definedName>
    <definedName name="\U" localSheetId="20">#REF!</definedName>
    <definedName name="\U" localSheetId="22">#REF!</definedName>
    <definedName name="\U" localSheetId="19">#REF!</definedName>
    <definedName name="\U" localSheetId="5">#REF!</definedName>
    <definedName name="\U">#REF!</definedName>
    <definedName name="\V" localSheetId="8">#REF!</definedName>
    <definedName name="\V" localSheetId="12">#REF!</definedName>
    <definedName name="\V" localSheetId="21">#REF!</definedName>
    <definedName name="\V" localSheetId="23">#REF!</definedName>
    <definedName name="\V" localSheetId="20">#REF!</definedName>
    <definedName name="\V" localSheetId="22">#REF!</definedName>
    <definedName name="\V" localSheetId="19">#REF!</definedName>
    <definedName name="\V" localSheetId="18">#REF!</definedName>
    <definedName name="\V" localSheetId="5">#REF!</definedName>
    <definedName name="\V">#REF!</definedName>
    <definedName name="\W">#REF!</definedName>
    <definedName name="\X" localSheetId="8">#REF!</definedName>
    <definedName name="\X" localSheetId="21">#REF!</definedName>
    <definedName name="\X" localSheetId="23">#REF!</definedName>
    <definedName name="\X" localSheetId="20">#REF!</definedName>
    <definedName name="\X" localSheetId="22">#REF!</definedName>
    <definedName name="\X" localSheetId="19">#REF!</definedName>
    <definedName name="\X" localSheetId="5">#REF!</definedName>
    <definedName name="\X">#REF!</definedName>
    <definedName name="\Y" localSheetId="8">#REF!</definedName>
    <definedName name="\Y" localSheetId="21">#REF!</definedName>
    <definedName name="\Y" localSheetId="23">#REF!</definedName>
    <definedName name="\Y" localSheetId="20">#REF!</definedName>
    <definedName name="\Y" localSheetId="22">#REF!</definedName>
    <definedName name="\Y" localSheetId="19">#REF!</definedName>
    <definedName name="\Y" localSheetId="5">#REF!</definedName>
    <definedName name="\Y">#REF!</definedName>
    <definedName name="\Z">#REF!</definedName>
    <definedName name="_____________________JUL3" localSheetId="8">#REF!</definedName>
    <definedName name="_____________________JUL3" localSheetId="21">#REF!</definedName>
    <definedName name="_____________________JUL3" localSheetId="23">#REF!</definedName>
    <definedName name="_____________________JUL3" localSheetId="20">#REF!</definedName>
    <definedName name="_____________________JUL3" localSheetId="22">#REF!</definedName>
    <definedName name="_____________________JUL3" localSheetId="19">#REF!</definedName>
    <definedName name="_____________________JUL3" localSheetId="5">#REF!</definedName>
    <definedName name="_____________________JUL3">#REF!</definedName>
    <definedName name="____________________JUL3" localSheetId="8">#REF!</definedName>
    <definedName name="____________________JUL3" localSheetId="21">#REF!</definedName>
    <definedName name="____________________JUL3" localSheetId="23">#REF!</definedName>
    <definedName name="____________________JUL3" localSheetId="20">#REF!</definedName>
    <definedName name="____________________JUL3" localSheetId="22">#REF!</definedName>
    <definedName name="____________________JUL3" localSheetId="19">#REF!</definedName>
    <definedName name="____________________JUL3" localSheetId="5">#REF!</definedName>
    <definedName name="____________________JUL3">#REF!</definedName>
    <definedName name="____________JUL3" localSheetId="8">#REF!</definedName>
    <definedName name="____________JUL3" localSheetId="21">#REF!</definedName>
    <definedName name="____________JUL3" localSheetId="23">#REF!</definedName>
    <definedName name="____________JUL3" localSheetId="20">#REF!</definedName>
    <definedName name="____________JUL3" localSheetId="22">#REF!</definedName>
    <definedName name="____________JUL3" localSheetId="19">#REF!</definedName>
    <definedName name="____________JUL3" localSheetId="5">#REF!</definedName>
    <definedName name="____________JUL3">#REF!</definedName>
    <definedName name="___________JUL3" localSheetId="8">#REF!</definedName>
    <definedName name="___________JUL3" localSheetId="21">#REF!</definedName>
    <definedName name="___________JUL3" localSheetId="23">#REF!</definedName>
    <definedName name="___________JUL3" localSheetId="20">#REF!</definedName>
    <definedName name="___________JUL3" localSheetId="22">#REF!</definedName>
    <definedName name="___________JUL3" localSheetId="19">#REF!</definedName>
    <definedName name="___________JUL3">#REF!</definedName>
    <definedName name="__________JUL3" localSheetId="8">#REF!</definedName>
    <definedName name="__________JUL3" localSheetId="21">#REF!</definedName>
    <definedName name="__________JUL3" localSheetId="23">#REF!</definedName>
    <definedName name="__________JUL3" localSheetId="20">#REF!</definedName>
    <definedName name="__________JUL3" localSheetId="22">#REF!</definedName>
    <definedName name="__________JUL3" localSheetId="19">#REF!</definedName>
    <definedName name="__________JUL3">#REF!</definedName>
    <definedName name="________JUL3" localSheetId="8">#REF!</definedName>
    <definedName name="________JUL3" localSheetId="21">#REF!</definedName>
    <definedName name="________JUL3" localSheetId="23">#REF!</definedName>
    <definedName name="________JUL3" localSheetId="20">#REF!</definedName>
    <definedName name="________JUL3" localSheetId="22">#REF!</definedName>
    <definedName name="________JUL3" localSheetId="19">#REF!</definedName>
    <definedName name="________JUL3">#REF!</definedName>
    <definedName name="_______JUL3" localSheetId="8">#REF!</definedName>
    <definedName name="_______JUL3" localSheetId="21">#REF!</definedName>
    <definedName name="_______JUL3" localSheetId="23">#REF!</definedName>
    <definedName name="_______JUL3" localSheetId="20">#REF!</definedName>
    <definedName name="_______JUL3" localSheetId="22">#REF!</definedName>
    <definedName name="_______JUL3" localSheetId="19">#REF!</definedName>
    <definedName name="_______JUL3">#REF!</definedName>
    <definedName name="______hal1" localSheetId="8">#REF!</definedName>
    <definedName name="______hal1" localSheetId="21">#REF!</definedName>
    <definedName name="______hal1" localSheetId="23">#REF!</definedName>
    <definedName name="______hal1" localSheetId="20">#REF!</definedName>
    <definedName name="______hal1" localSheetId="22">#REF!</definedName>
    <definedName name="______hal1" localSheetId="19">#REF!</definedName>
    <definedName name="______hal1">#REF!</definedName>
    <definedName name="______hal2" localSheetId="8">#REF!</definedName>
    <definedName name="______hal2" localSheetId="21">#REF!</definedName>
    <definedName name="______hal2" localSheetId="23">#REF!</definedName>
    <definedName name="______hal2" localSheetId="20">#REF!</definedName>
    <definedName name="______hal2" localSheetId="22">#REF!</definedName>
    <definedName name="______hal2" localSheetId="19">#REF!</definedName>
    <definedName name="______hal2">#REF!</definedName>
    <definedName name="______hal3" localSheetId="8">#REF!</definedName>
    <definedName name="______hal3" localSheetId="21">#REF!</definedName>
    <definedName name="______hal3" localSheetId="23">#REF!</definedName>
    <definedName name="______hal3" localSheetId="20">#REF!</definedName>
    <definedName name="______hal3" localSheetId="22">#REF!</definedName>
    <definedName name="______hal3" localSheetId="19">#REF!</definedName>
    <definedName name="______hal3">#REF!</definedName>
    <definedName name="______JUL3" localSheetId="8">#REF!</definedName>
    <definedName name="______JUL3" localSheetId="21">#REF!</definedName>
    <definedName name="______JUL3" localSheetId="23">#REF!</definedName>
    <definedName name="______JUL3" localSheetId="20">#REF!</definedName>
    <definedName name="______JUL3" localSheetId="22">#REF!</definedName>
    <definedName name="______JUL3" localSheetId="19">#REF!</definedName>
    <definedName name="______JUL3">#REF!</definedName>
    <definedName name="______MEI92" localSheetId="8">#REF!</definedName>
    <definedName name="______MEI92" localSheetId="12">#REF!</definedName>
    <definedName name="______MEI92" localSheetId="21">#REF!</definedName>
    <definedName name="______MEI92" localSheetId="23">#REF!</definedName>
    <definedName name="______MEI92" localSheetId="20">#REF!</definedName>
    <definedName name="______MEI92" localSheetId="22">#REF!</definedName>
    <definedName name="______MEI92" localSheetId="19">#REF!</definedName>
    <definedName name="______MEI92" localSheetId="18">#REF!</definedName>
    <definedName name="______MEI92">#REF!</definedName>
    <definedName name="_____DAF1" localSheetId="8">#REF!</definedName>
    <definedName name="_____DAF1" localSheetId="21">#REF!</definedName>
    <definedName name="_____DAF1" localSheetId="23">#REF!</definedName>
    <definedName name="_____DAF1" localSheetId="20">#REF!</definedName>
    <definedName name="_____DAF1" localSheetId="22">#REF!</definedName>
    <definedName name="_____DAF1" localSheetId="19">#REF!</definedName>
    <definedName name="_____DAF1">#REF!</definedName>
    <definedName name="_____DAF11" localSheetId="8">#REF!</definedName>
    <definedName name="_____DAF11" localSheetId="21">#REF!</definedName>
    <definedName name="_____DAF11" localSheetId="23">#REF!</definedName>
    <definedName name="_____DAF11" localSheetId="20">#REF!</definedName>
    <definedName name="_____DAF11" localSheetId="22">#REF!</definedName>
    <definedName name="_____DAF11" localSheetId="19">#REF!</definedName>
    <definedName name="_____DAF11">#REF!</definedName>
    <definedName name="_____DAF12" localSheetId="8">#REF!</definedName>
    <definedName name="_____DAF12" localSheetId="21">#REF!</definedName>
    <definedName name="_____DAF12" localSheetId="23">#REF!</definedName>
    <definedName name="_____DAF12" localSheetId="20">#REF!</definedName>
    <definedName name="_____DAF12" localSheetId="22">#REF!</definedName>
    <definedName name="_____DAF12" localSheetId="19">#REF!</definedName>
    <definedName name="_____DAF12">#REF!</definedName>
    <definedName name="_____DAF13" localSheetId="8">#REF!</definedName>
    <definedName name="_____DAF13" localSheetId="21">#REF!</definedName>
    <definedName name="_____DAF13" localSheetId="23">#REF!</definedName>
    <definedName name="_____DAF13" localSheetId="20">#REF!</definedName>
    <definedName name="_____DAF13" localSheetId="22">#REF!</definedName>
    <definedName name="_____DAF13" localSheetId="19">#REF!</definedName>
    <definedName name="_____DAF13">#REF!</definedName>
    <definedName name="_____daf133" localSheetId="8">#REF!</definedName>
    <definedName name="_____daf133" localSheetId="21">#REF!</definedName>
    <definedName name="_____daf133" localSheetId="23">#REF!</definedName>
    <definedName name="_____daf133" localSheetId="20">#REF!</definedName>
    <definedName name="_____daf133" localSheetId="22">#REF!</definedName>
    <definedName name="_____daf133" localSheetId="19">#REF!</definedName>
    <definedName name="_____daf133">#REF!</definedName>
    <definedName name="_____DAF14" localSheetId="8">#REF!</definedName>
    <definedName name="_____DAF14" localSheetId="21">#REF!</definedName>
    <definedName name="_____DAF14" localSheetId="23">#REF!</definedName>
    <definedName name="_____DAF14" localSheetId="20">#REF!</definedName>
    <definedName name="_____DAF14" localSheetId="22">#REF!</definedName>
    <definedName name="_____DAF14" localSheetId="19">#REF!</definedName>
    <definedName name="_____DAF14">#REF!</definedName>
    <definedName name="_____DAF15" localSheetId="8">#REF!</definedName>
    <definedName name="_____DAF15" localSheetId="21">#REF!</definedName>
    <definedName name="_____DAF15" localSheetId="23">#REF!</definedName>
    <definedName name="_____DAF15" localSheetId="20">#REF!</definedName>
    <definedName name="_____DAF15" localSheetId="22">#REF!</definedName>
    <definedName name="_____DAF15" localSheetId="19">#REF!</definedName>
    <definedName name="_____DAF15">#REF!</definedName>
    <definedName name="_____DAF16" localSheetId="8">#REF!</definedName>
    <definedName name="_____DAF16" localSheetId="21">#REF!</definedName>
    <definedName name="_____DAF16" localSheetId="23">#REF!</definedName>
    <definedName name="_____DAF16" localSheetId="20">#REF!</definedName>
    <definedName name="_____DAF16" localSheetId="22">#REF!</definedName>
    <definedName name="_____DAF16" localSheetId="19">#REF!</definedName>
    <definedName name="_____DAF16">#REF!</definedName>
    <definedName name="_____DAF17" localSheetId="8">#REF!</definedName>
    <definedName name="_____DAF17" localSheetId="21">#REF!</definedName>
    <definedName name="_____DAF17" localSheetId="23">#REF!</definedName>
    <definedName name="_____DAF17" localSheetId="20">#REF!</definedName>
    <definedName name="_____DAF17" localSheetId="22">#REF!</definedName>
    <definedName name="_____DAF17" localSheetId="19">#REF!</definedName>
    <definedName name="_____DAF17">#REF!</definedName>
    <definedName name="_____DAF2" localSheetId="8">#REF!</definedName>
    <definedName name="_____DAF2" localSheetId="21">#REF!</definedName>
    <definedName name="_____DAF2" localSheetId="23">#REF!</definedName>
    <definedName name="_____DAF2" localSheetId="20">#REF!</definedName>
    <definedName name="_____DAF2" localSheetId="22">#REF!</definedName>
    <definedName name="_____DAF2" localSheetId="19">#REF!</definedName>
    <definedName name="_____DAF2">#REF!</definedName>
    <definedName name="_____DAF3" localSheetId="8">#REF!</definedName>
    <definedName name="_____DAF3" localSheetId="21">#REF!</definedName>
    <definedName name="_____DAF3" localSheetId="23">#REF!</definedName>
    <definedName name="_____DAF3" localSheetId="20">#REF!</definedName>
    <definedName name="_____DAF3" localSheetId="22">#REF!</definedName>
    <definedName name="_____DAF3" localSheetId="19">#REF!</definedName>
    <definedName name="_____DAF3">#REF!</definedName>
    <definedName name="_____hal1">#REF!</definedName>
    <definedName name="_____hal2" localSheetId="8">#REF!</definedName>
    <definedName name="_____hal2" localSheetId="21">#REF!</definedName>
    <definedName name="_____hal2" localSheetId="23">#REF!</definedName>
    <definedName name="_____hal2" localSheetId="20">#REF!</definedName>
    <definedName name="_____hal2" localSheetId="22">#REF!</definedName>
    <definedName name="_____hal2" localSheetId="19">#REF!</definedName>
    <definedName name="_____hal2" localSheetId="5">#REF!</definedName>
    <definedName name="_____hal2">#REF!</definedName>
    <definedName name="_____hal3" localSheetId="8">#REF!</definedName>
    <definedName name="_____hal3" localSheetId="21">#REF!</definedName>
    <definedName name="_____hal3" localSheetId="23">#REF!</definedName>
    <definedName name="_____hal3" localSheetId="20">#REF!</definedName>
    <definedName name="_____hal3" localSheetId="22">#REF!</definedName>
    <definedName name="_____hal3" localSheetId="19">#REF!</definedName>
    <definedName name="_____hal3" localSheetId="5">#REF!</definedName>
    <definedName name="_____hal3">#REF!</definedName>
    <definedName name="_____HLM1">#REF!</definedName>
    <definedName name="_____HLM2" localSheetId="8">#REF!</definedName>
    <definedName name="_____HLM2" localSheetId="21">#REF!</definedName>
    <definedName name="_____HLM2" localSheetId="23">#REF!</definedName>
    <definedName name="_____HLM2" localSheetId="20">#REF!</definedName>
    <definedName name="_____HLM2" localSheetId="22">#REF!</definedName>
    <definedName name="_____HLM2" localSheetId="19">#REF!</definedName>
    <definedName name="_____HLM2" localSheetId="5">#REF!</definedName>
    <definedName name="_____HLM2">#REF!</definedName>
    <definedName name="_____HLM3" localSheetId="8">#REF!</definedName>
    <definedName name="_____HLM3" localSheetId="21">#REF!</definedName>
    <definedName name="_____HLM3" localSheetId="23">#REF!</definedName>
    <definedName name="_____HLM3" localSheetId="20">#REF!</definedName>
    <definedName name="_____HLM3" localSheetId="22">#REF!</definedName>
    <definedName name="_____HLM3" localSheetId="19">#REF!</definedName>
    <definedName name="_____HLM3" localSheetId="5">#REF!</definedName>
    <definedName name="_____HLM3">#REF!</definedName>
    <definedName name="_____JUD1" localSheetId="8">#REF!</definedName>
    <definedName name="_____JUD1" localSheetId="21">#REF!</definedName>
    <definedName name="_____JUD1" localSheetId="23">#REF!</definedName>
    <definedName name="_____JUD1" localSheetId="20">#REF!</definedName>
    <definedName name="_____JUD1" localSheetId="22">#REF!</definedName>
    <definedName name="_____JUD1" localSheetId="19">#REF!</definedName>
    <definedName name="_____JUD1" localSheetId="5">#REF!</definedName>
    <definedName name="_____JUD1">#REF!</definedName>
    <definedName name="_____JUD2" localSheetId="8">#REF!</definedName>
    <definedName name="_____JUD2" localSheetId="21">#REF!</definedName>
    <definedName name="_____JUD2" localSheetId="23">#REF!</definedName>
    <definedName name="_____JUD2" localSheetId="20">#REF!</definedName>
    <definedName name="_____JUD2" localSheetId="22">#REF!</definedName>
    <definedName name="_____JUD2" localSheetId="19">#REF!</definedName>
    <definedName name="_____JUD2" localSheetId="5">#REF!</definedName>
    <definedName name="_____JUD2">#REF!</definedName>
    <definedName name="_____JUD3" localSheetId="8">#REF!</definedName>
    <definedName name="_____JUD3" localSheetId="21">#REF!</definedName>
    <definedName name="_____JUD3" localSheetId="23">#REF!</definedName>
    <definedName name="_____JUD3" localSheetId="20">#REF!</definedName>
    <definedName name="_____JUD3" localSheetId="22">#REF!</definedName>
    <definedName name="_____JUD3" localSheetId="19">#REF!</definedName>
    <definedName name="_____JUD3">#REF!</definedName>
    <definedName name="_____JUD4" localSheetId="8">#REF!</definedName>
    <definedName name="_____JUD4" localSheetId="21">#REF!</definedName>
    <definedName name="_____JUD4" localSheetId="23">#REF!</definedName>
    <definedName name="_____JUD4" localSheetId="20">#REF!</definedName>
    <definedName name="_____JUD4" localSheetId="22">#REF!</definedName>
    <definedName name="_____JUD4" localSheetId="19">#REF!</definedName>
    <definedName name="_____JUD4">#REF!</definedName>
    <definedName name="_____JUD5" localSheetId="8">#REF!</definedName>
    <definedName name="_____JUD5" localSheetId="21">#REF!</definedName>
    <definedName name="_____JUD5" localSheetId="23">#REF!</definedName>
    <definedName name="_____JUD5" localSheetId="20">#REF!</definedName>
    <definedName name="_____JUD5" localSheetId="22">#REF!</definedName>
    <definedName name="_____JUD5" localSheetId="19">#REF!</definedName>
    <definedName name="_____JUD5">#REF!</definedName>
    <definedName name="_____JUD6" localSheetId="8">#REF!</definedName>
    <definedName name="_____JUD6" localSheetId="21">#REF!</definedName>
    <definedName name="_____JUD6" localSheetId="23">#REF!</definedName>
    <definedName name="_____JUD6" localSheetId="20">#REF!</definedName>
    <definedName name="_____JUD6" localSheetId="22">#REF!</definedName>
    <definedName name="_____JUD6" localSheetId="19">#REF!</definedName>
    <definedName name="_____JUD6">#REF!</definedName>
    <definedName name="_____JUD7" localSheetId="8">#REF!</definedName>
    <definedName name="_____JUD7" localSheetId="21">#REF!</definedName>
    <definedName name="_____JUD7" localSheetId="23">#REF!</definedName>
    <definedName name="_____JUD7" localSheetId="20">#REF!</definedName>
    <definedName name="_____JUD7" localSheetId="22">#REF!</definedName>
    <definedName name="_____JUD7" localSheetId="19">#REF!</definedName>
    <definedName name="_____JUD7">#REF!</definedName>
    <definedName name="_____JUL3" localSheetId="8">#REF!</definedName>
    <definedName name="_____JUL3" localSheetId="21">#REF!</definedName>
    <definedName name="_____JUL3" localSheetId="23">#REF!</definedName>
    <definedName name="_____JUL3" localSheetId="20">#REF!</definedName>
    <definedName name="_____JUL3" localSheetId="22">#REF!</definedName>
    <definedName name="_____JUL3" localSheetId="19">#REF!</definedName>
    <definedName name="_____JUL3" localSheetId="5">#REF!</definedName>
    <definedName name="_____JUL3">#REF!</definedName>
    <definedName name="_____MAN1">#REF!</definedName>
    <definedName name="_____MAN2" localSheetId="8">#REF!</definedName>
    <definedName name="_____MAN2" localSheetId="21">#REF!</definedName>
    <definedName name="_____MAN2" localSheetId="23">#REF!</definedName>
    <definedName name="_____MAN2" localSheetId="20">#REF!</definedName>
    <definedName name="_____MAN2" localSheetId="22">#REF!</definedName>
    <definedName name="_____MAN2" localSheetId="19">#REF!</definedName>
    <definedName name="_____MAN2" localSheetId="5">#REF!</definedName>
    <definedName name="_____MAN2">#REF!</definedName>
    <definedName name="_____MAN3" localSheetId="8">#REF!</definedName>
    <definedName name="_____MAN3" localSheetId="21">#REF!</definedName>
    <definedName name="_____MAN3" localSheetId="23">#REF!</definedName>
    <definedName name="_____MAN3" localSheetId="20">#REF!</definedName>
    <definedName name="_____MAN3" localSheetId="22">#REF!</definedName>
    <definedName name="_____MAN3" localSheetId="19">#REF!</definedName>
    <definedName name="_____MAN3" localSheetId="5">#REF!</definedName>
    <definedName name="_____MAN3">#REF!</definedName>
    <definedName name="_____MEI92" localSheetId="8">#REF!</definedName>
    <definedName name="_____MEI92" localSheetId="12">#REF!</definedName>
    <definedName name="_____MEI92" localSheetId="21">#REF!</definedName>
    <definedName name="_____MEI92" localSheetId="23">#REF!</definedName>
    <definedName name="_____MEI92" localSheetId="20">#REF!</definedName>
    <definedName name="_____MEI92" localSheetId="22">#REF!</definedName>
    <definedName name="_____MEI92" localSheetId="19">#REF!</definedName>
    <definedName name="_____MEI92" localSheetId="18">#REF!</definedName>
    <definedName name="_____MEI92" localSheetId="5">#REF!</definedName>
    <definedName name="_____MEI92">#REF!</definedName>
    <definedName name="_____TRP1" localSheetId="8">#REF!</definedName>
    <definedName name="_____TRP1" localSheetId="21">#REF!</definedName>
    <definedName name="_____TRP1" localSheetId="23">#REF!</definedName>
    <definedName name="_____TRP1" localSheetId="20">#REF!</definedName>
    <definedName name="_____TRP1" localSheetId="22">#REF!</definedName>
    <definedName name="_____TRP1" localSheetId="19">#REF!</definedName>
    <definedName name="_____TRP1" localSheetId="5">#REF!</definedName>
    <definedName name="_____TRP1">#REF!</definedName>
    <definedName name="_____TVA1" localSheetId="8">#REF!</definedName>
    <definedName name="_____TVA1" localSheetId="21">#REF!</definedName>
    <definedName name="_____TVA1" localSheetId="23">#REF!</definedName>
    <definedName name="_____TVA1" localSheetId="20">#REF!</definedName>
    <definedName name="_____TVA1" localSheetId="22">#REF!</definedName>
    <definedName name="_____TVA1" localSheetId="19">#REF!</definedName>
    <definedName name="_____TVA1" localSheetId="5">#REF!</definedName>
    <definedName name="_____TVA1">#REF!</definedName>
    <definedName name="_____TW1" localSheetId="8">#REF!</definedName>
    <definedName name="_____TW1" localSheetId="12">#REF!</definedName>
    <definedName name="_____TW1" localSheetId="21">#REF!</definedName>
    <definedName name="_____TW1" localSheetId="23">#REF!</definedName>
    <definedName name="_____TW1" localSheetId="20">#REF!</definedName>
    <definedName name="_____TW1" localSheetId="22">#REF!</definedName>
    <definedName name="_____TW1" localSheetId="19">#REF!</definedName>
    <definedName name="_____TW1" localSheetId="18">#REF!</definedName>
    <definedName name="_____TW1" localSheetId="5">#REF!</definedName>
    <definedName name="_____TW1">#REF!</definedName>
    <definedName name="_____TW2" localSheetId="8">#REF!</definedName>
    <definedName name="_____TW2" localSheetId="12">#REF!</definedName>
    <definedName name="_____TW2" localSheetId="21">#REF!</definedName>
    <definedName name="_____TW2" localSheetId="23">#REF!</definedName>
    <definedName name="_____TW2" localSheetId="20">#REF!</definedName>
    <definedName name="_____TW2" localSheetId="22">#REF!</definedName>
    <definedName name="_____TW2" localSheetId="19">#REF!</definedName>
    <definedName name="_____TW2" localSheetId="18">#REF!</definedName>
    <definedName name="_____TW2" localSheetId="5">#REF!</definedName>
    <definedName name="_____TW2">#REF!</definedName>
    <definedName name="____DAF1" localSheetId="8">#REF!</definedName>
    <definedName name="____DAF1" localSheetId="12">#REF!</definedName>
    <definedName name="____DAF1" localSheetId="21">#REF!</definedName>
    <definedName name="____DAF1" localSheetId="23">#REF!</definedName>
    <definedName name="____DAF1" localSheetId="20">#REF!</definedName>
    <definedName name="____DAF1" localSheetId="22">#REF!</definedName>
    <definedName name="____DAF1" localSheetId="19">#REF!</definedName>
    <definedName name="____DAF1" localSheetId="18">#REF!</definedName>
    <definedName name="____DAF1" localSheetId="5">#REF!</definedName>
    <definedName name="____DAF1">#REF!</definedName>
    <definedName name="____DAF11" localSheetId="8">#REF!</definedName>
    <definedName name="____DAF11" localSheetId="12">#REF!</definedName>
    <definedName name="____DAF11" localSheetId="21">#REF!</definedName>
    <definedName name="____DAF11" localSheetId="23">#REF!</definedName>
    <definedName name="____DAF11" localSheetId="20">#REF!</definedName>
    <definedName name="____DAF11" localSheetId="22">#REF!</definedName>
    <definedName name="____DAF11" localSheetId="19">#REF!</definedName>
    <definedName name="____DAF11" localSheetId="18">#REF!</definedName>
    <definedName name="____DAF11">#REF!</definedName>
    <definedName name="____DAF12" localSheetId="8">#REF!</definedName>
    <definedName name="____DAF12" localSheetId="12">#REF!</definedName>
    <definedName name="____DAF12" localSheetId="21">#REF!</definedName>
    <definedName name="____DAF12" localSheetId="23">#REF!</definedName>
    <definedName name="____DAF12" localSheetId="20">#REF!</definedName>
    <definedName name="____DAF12" localSheetId="22">#REF!</definedName>
    <definedName name="____DAF12" localSheetId="19">#REF!</definedName>
    <definedName name="____DAF12" localSheetId="18">#REF!</definedName>
    <definedName name="____DAF12">#REF!</definedName>
    <definedName name="____DAF13" localSheetId="8">#REF!</definedName>
    <definedName name="____DAF13" localSheetId="12">#REF!</definedName>
    <definedName name="____DAF13" localSheetId="21">#REF!</definedName>
    <definedName name="____DAF13" localSheetId="23">#REF!</definedName>
    <definedName name="____DAF13" localSheetId="20">#REF!</definedName>
    <definedName name="____DAF13" localSheetId="22">#REF!</definedName>
    <definedName name="____DAF13" localSheetId="19">#REF!</definedName>
    <definedName name="____DAF13" localSheetId="18">#REF!</definedName>
    <definedName name="____DAF13">#REF!</definedName>
    <definedName name="____daf133" localSheetId="8">#REF!</definedName>
    <definedName name="____daf133" localSheetId="12">#REF!</definedName>
    <definedName name="____daf133" localSheetId="21">#REF!</definedName>
    <definedName name="____daf133" localSheetId="23">#REF!</definedName>
    <definedName name="____daf133" localSheetId="20">#REF!</definedName>
    <definedName name="____daf133" localSheetId="22">#REF!</definedName>
    <definedName name="____daf133" localSheetId="19">#REF!</definedName>
    <definedName name="____daf133" localSheetId="18">#REF!</definedName>
    <definedName name="____daf133">#REF!</definedName>
    <definedName name="____DAF14" localSheetId="8">#REF!</definedName>
    <definedName name="____DAF14" localSheetId="12">#REF!</definedName>
    <definedName name="____DAF14" localSheetId="21">#REF!</definedName>
    <definedName name="____DAF14" localSheetId="23">#REF!</definedName>
    <definedName name="____DAF14" localSheetId="20">#REF!</definedName>
    <definedName name="____DAF14" localSheetId="22">#REF!</definedName>
    <definedName name="____DAF14" localSheetId="19">#REF!</definedName>
    <definedName name="____DAF14" localSheetId="18">#REF!</definedName>
    <definedName name="____DAF14">#REF!</definedName>
    <definedName name="____DAF15" localSheetId="8">#REF!</definedName>
    <definedName name="____DAF15" localSheetId="12">#REF!</definedName>
    <definedName name="____DAF15" localSheetId="21">#REF!</definedName>
    <definedName name="____DAF15" localSheetId="23">#REF!</definedName>
    <definedName name="____DAF15" localSheetId="20">#REF!</definedName>
    <definedName name="____DAF15" localSheetId="22">#REF!</definedName>
    <definedName name="____DAF15" localSheetId="19">#REF!</definedName>
    <definedName name="____DAF15" localSheetId="18">#REF!</definedName>
    <definedName name="____DAF15">#REF!</definedName>
    <definedName name="____DAF16" localSheetId="8">#REF!</definedName>
    <definedName name="____DAF16" localSheetId="12">#REF!</definedName>
    <definedName name="____DAF16" localSheetId="21">#REF!</definedName>
    <definedName name="____DAF16" localSheetId="23">#REF!</definedName>
    <definedName name="____DAF16" localSheetId="20">#REF!</definedName>
    <definedName name="____DAF16" localSheetId="22">#REF!</definedName>
    <definedName name="____DAF16" localSheetId="19">#REF!</definedName>
    <definedName name="____DAF16" localSheetId="18">#REF!</definedName>
    <definedName name="____DAF16">#REF!</definedName>
    <definedName name="____DAF17" localSheetId="8">#REF!</definedName>
    <definedName name="____DAF17" localSheetId="12">#REF!</definedName>
    <definedName name="____DAF17" localSheetId="21">#REF!</definedName>
    <definedName name="____DAF17" localSheetId="23">#REF!</definedName>
    <definedName name="____DAF17" localSheetId="20">#REF!</definedName>
    <definedName name="____DAF17" localSheetId="22">#REF!</definedName>
    <definedName name="____DAF17" localSheetId="19">#REF!</definedName>
    <definedName name="____DAF17" localSheetId="18">#REF!</definedName>
    <definedName name="____DAF17">#REF!</definedName>
    <definedName name="____DAF2" localSheetId="8">#REF!</definedName>
    <definedName name="____DAF2" localSheetId="12">#REF!</definedName>
    <definedName name="____DAF2" localSheetId="21">#REF!</definedName>
    <definedName name="____DAF2" localSheetId="23">#REF!</definedName>
    <definedName name="____DAF2" localSheetId="20">#REF!</definedName>
    <definedName name="____DAF2" localSheetId="22">#REF!</definedName>
    <definedName name="____DAF2" localSheetId="19">#REF!</definedName>
    <definedName name="____DAF2" localSheetId="18">#REF!</definedName>
    <definedName name="____DAF2">#REF!</definedName>
    <definedName name="____DAF3" localSheetId="8">#REF!</definedName>
    <definedName name="____DAF3" localSheetId="12">#REF!</definedName>
    <definedName name="____DAF3" localSheetId="21">#REF!</definedName>
    <definedName name="____DAF3" localSheetId="23">#REF!</definedName>
    <definedName name="____DAF3" localSheetId="20">#REF!</definedName>
    <definedName name="____DAF3" localSheetId="22">#REF!</definedName>
    <definedName name="____DAF3" localSheetId="19">#REF!</definedName>
    <definedName name="____DAF3" localSheetId="18">#REF!</definedName>
    <definedName name="____DAF3">#REF!</definedName>
    <definedName name="____hal1" localSheetId="8">#REF!</definedName>
    <definedName name="____hal1" localSheetId="21">#REF!</definedName>
    <definedName name="____hal1" localSheetId="23">#REF!</definedName>
    <definedName name="____hal1" localSheetId="20">#REF!</definedName>
    <definedName name="____hal1" localSheetId="22">#REF!</definedName>
    <definedName name="____hal1" localSheetId="19">#REF!</definedName>
    <definedName name="____hal1">#REF!</definedName>
    <definedName name="____hal2" localSheetId="8">#REF!</definedName>
    <definedName name="____hal2" localSheetId="21">#REF!</definedName>
    <definedName name="____hal2" localSheetId="23">#REF!</definedName>
    <definedName name="____hal2" localSheetId="20">#REF!</definedName>
    <definedName name="____hal2" localSheetId="22">#REF!</definedName>
    <definedName name="____hal2" localSheetId="19">#REF!</definedName>
    <definedName name="____hal2" localSheetId="5">#REF!</definedName>
    <definedName name="____hal2">#REF!</definedName>
    <definedName name="____hal3" localSheetId="8">#REF!</definedName>
    <definedName name="____hal3" localSheetId="21">#REF!</definedName>
    <definedName name="____hal3" localSheetId="23">#REF!</definedName>
    <definedName name="____hal3" localSheetId="20">#REF!</definedName>
    <definedName name="____hal3" localSheetId="22">#REF!</definedName>
    <definedName name="____hal3" localSheetId="19">#REF!</definedName>
    <definedName name="____hal3" localSheetId="5">#REF!</definedName>
    <definedName name="____hal3">#REF!</definedName>
    <definedName name="____hal5" localSheetId="8">#REF!</definedName>
    <definedName name="____hal5" localSheetId="12">#REF!</definedName>
    <definedName name="____hal5" localSheetId="21">#REF!</definedName>
    <definedName name="____hal5" localSheetId="23">#REF!</definedName>
    <definedName name="____hal5" localSheetId="20">#REF!</definedName>
    <definedName name="____hal5" localSheetId="22">#REF!</definedName>
    <definedName name="____hal5" localSheetId="19">#REF!</definedName>
    <definedName name="____hal5" localSheetId="18">#REF!</definedName>
    <definedName name="____hal5" localSheetId="5">#REF!</definedName>
    <definedName name="____hal5">#REF!</definedName>
    <definedName name="____hal6" localSheetId="8">#REF!</definedName>
    <definedName name="____hal6" localSheetId="12">#REF!</definedName>
    <definedName name="____hal6" localSheetId="21">#REF!</definedName>
    <definedName name="____hal6" localSheetId="23">#REF!</definedName>
    <definedName name="____hal6" localSheetId="20">#REF!</definedName>
    <definedName name="____hal6" localSheetId="22">#REF!</definedName>
    <definedName name="____hal6" localSheetId="19">#REF!</definedName>
    <definedName name="____hal6" localSheetId="18">#REF!</definedName>
    <definedName name="____hal6" localSheetId="5">#REF!</definedName>
    <definedName name="____hal6">#REF!</definedName>
    <definedName name="____HLM1" localSheetId="8">#REF!</definedName>
    <definedName name="____HLM1" localSheetId="21">#REF!</definedName>
    <definedName name="____HLM1" localSheetId="23">#REF!</definedName>
    <definedName name="____HLM1" localSheetId="20">#REF!</definedName>
    <definedName name="____HLM1" localSheetId="22">#REF!</definedName>
    <definedName name="____HLM1" localSheetId="19">#REF!</definedName>
    <definedName name="____HLM1" localSheetId="5">#REF!</definedName>
    <definedName name="____HLM1">#REF!</definedName>
    <definedName name="____HLM2" localSheetId="8">#REF!</definedName>
    <definedName name="____HLM2" localSheetId="21">#REF!</definedName>
    <definedName name="____HLM2" localSheetId="23">#REF!</definedName>
    <definedName name="____HLM2" localSheetId="20">#REF!</definedName>
    <definedName name="____HLM2" localSheetId="22">#REF!</definedName>
    <definedName name="____HLM2" localSheetId="19">#REF!</definedName>
    <definedName name="____HLM2" localSheetId="5">#REF!</definedName>
    <definedName name="____HLM2">#REF!</definedName>
    <definedName name="____HLM3" localSheetId="8">#REF!</definedName>
    <definedName name="____HLM3" localSheetId="21">#REF!</definedName>
    <definedName name="____HLM3" localSheetId="23">#REF!</definedName>
    <definedName name="____HLM3" localSheetId="20">#REF!</definedName>
    <definedName name="____HLM3" localSheetId="22">#REF!</definedName>
    <definedName name="____HLM3" localSheetId="19">#REF!</definedName>
    <definedName name="____HLM3" localSheetId="5">#REF!</definedName>
    <definedName name="____HLM3">#REF!</definedName>
    <definedName name="____JUD1" localSheetId="8">#REF!</definedName>
    <definedName name="____JUD1" localSheetId="21">#REF!</definedName>
    <definedName name="____JUD1" localSheetId="23">#REF!</definedName>
    <definedName name="____JUD1" localSheetId="20">#REF!</definedName>
    <definedName name="____JUD1" localSheetId="22">#REF!</definedName>
    <definedName name="____JUD1" localSheetId="19">#REF!</definedName>
    <definedName name="____JUD1">#REF!</definedName>
    <definedName name="____JUD2" localSheetId="8">#REF!</definedName>
    <definedName name="____JUD2" localSheetId="21">#REF!</definedName>
    <definedName name="____JUD2" localSheetId="23">#REF!</definedName>
    <definedName name="____JUD2" localSheetId="20">#REF!</definedName>
    <definedName name="____JUD2" localSheetId="22">#REF!</definedName>
    <definedName name="____JUD2" localSheetId="19">#REF!</definedName>
    <definedName name="____JUD2">#REF!</definedName>
    <definedName name="____JUD3" localSheetId="8">#REF!</definedName>
    <definedName name="____JUD3" localSheetId="21">#REF!</definedName>
    <definedName name="____JUD3" localSheetId="23">#REF!</definedName>
    <definedName name="____JUD3" localSheetId="20">#REF!</definedName>
    <definedName name="____JUD3" localSheetId="22">#REF!</definedName>
    <definedName name="____JUD3" localSheetId="19">#REF!</definedName>
    <definedName name="____JUD3">#REF!</definedName>
    <definedName name="____JUD4" localSheetId="8">#REF!</definedName>
    <definedName name="____JUD4" localSheetId="21">#REF!</definedName>
    <definedName name="____JUD4" localSheetId="23">#REF!</definedName>
    <definedName name="____JUD4" localSheetId="20">#REF!</definedName>
    <definedName name="____JUD4" localSheetId="22">#REF!</definedName>
    <definedName name="____JUD4" localSheetId="19">#REF!</definedName>
    <definedName name="____JUD4">#REF!</definedName>
    <definedName name="____JUD5" localSheetId="8">#REF!</definedName>
    <definedName name="____JUD5" localSheetId="21">#REF!</definedName>
    <definedName name="____JUD5" localSheetId="23">#REF!</definedName>
    <definedName name="____JUD5" localSheetId="20">#REF!</definedName>
    <definedName name="____JUD5" localSheetId="22">#REF!</definedName>
    <definedName name="____JUD5" localSheetId="19">#REF!</definedName>
    <definedName name="____JUD5">#REF!</definedName>
    <definedName name="____JUD6" localSheetId="8">#REF!</definedName>
    <definedName name="____JUD6" localSheetId="21">#REF!</definedName>
    <definedName name="____JUD6" localSheetId="23">#REF!</definedName>
    <definedName name="____JUD6" localSheetId="20">#REF!</definedName>
    <definedName name="____JUD6" localSheetId="22">#REF!</definedName>
    <definedName name="____JUD6" localSheetId="19">#REF!</definedName>
    <definedName name="____JUD6">#REF!</definedName>
    <definedName name="____JUD7" localSheetId="8">#REF!</definedName>
    <definedName name="____JUD7" localSheetId="21">#REF!</definedName>
    <definedName name="____JUD7" localSheetId="23">#REF!</definedName>
    <definedName name="____JUD7" localSheetId="20">#REF!</definedName>
    <definedName name="____JUD7" localSheetId="22">#REF!</definedName>
    <definedName name="____JUD7" localSheetId="19">#REF!</definedName>
    <definedName name="____JUD7">#REF!</definedName>
    <definedName name="____JUL3" localSheetId="8">#REF!</definedName>
    <definedName name="____JUL3" localSheetId="21">#REF!</definedName>
    <definedName name="____JUL3" localSheetId="23">#REF!</definedName>
    <definedName name="____JUL3" localSheetId="20">#REF!</definedName>
    <definedName name="____JUL3" localSheetId="22">#REF!</definedName>
    <definedName name="____JUL3" localSheetId="19">#REF!</definedName>
    <definedName name="____JUL3" localSheetId="5">#REF!</definedName>
    <definedName name="____JUL3">#REF!</definedName>
    <definedName name="____kb1" localSheetId="8">#REF!</definedName>
    <definedName name="____kb1" localSheetId="12">#REF!</definedName>
    <definedName name="____kb1" localSheetId="21">#REF!</definedName>
    <definedName name="____kb1" localSheetId="23">#REF!</definedName>
    <definedName name="____kb1" localSheetId="20">#REF!</definedName>
    <definedName name="____kb1" localSheetId="22">#REF!</definedName>
    <definedName name="____kb1" localSheetId="19">#REF!</definedName>
    <definedName name="____kb1" localSheetId="18">#REF!</definedName>
    <definedName name="____kb1">#REF!</definedName>
    <definedName name="____kb2" localSheetId="8">#REF!</definedName>
    <definedName name="____kb2" localSheetId="12">#REF!</definedName>
    <definedName name="____kb2" localSheetId="21">#REF!</definedName>
    <definedName name="____kb2" localSheetId="23">#REF!</definedName>
    <definedName name="____kb2" localSheetId="20">#REF!</definedName>
    <definedName name="____kb2" localSheetId="22">#REF!</definedName>
    <definedName name="____kb2" localSheetId="19">#REF!</definedName>
    <definedName name="____kb2" localSheetId="18">#REF!</definedName>
    <definedName name="____kb2">#REF!</definedName>
    <definedName name="____kp1" localSheetId="8">#REF!</definedName>
    <definedName name="____kp1" localSheetId="12">#REF!</definedName>
    <definedName name="____kp1" localSheetId="21">#REF!</definedName>
    <definedName name="____kp1" localSheetId="23">#REF!</definedName>
    <definedName name="____kp1" localSheetId="20">#REF!</definedName>
    <definedName name="____kp1" localSheetId="22">#REF!</definedName>
    <definedName name="____kp1" localSheetId="19">#REF!</definedName>
    <definedName name="____kp1" localSheetId="18">#REF!</definedName>
    <definedName name="____kp1">#REF!</definedName>
    <definedName name="____MAN1" localSheetId="8">#REF!</definedName>
    <definedName name="____MAN1" localSheetId="21">#REF!</definedName>
    <definedName name="____MAN1" localSheetId="23">#REF!</definedName>
    <definedName name="____MAN1" localSheetId="20">#REF!</definedName>
    <definedName name="____MAN1" localSheetId="22">#REF!</definedName>
    <definedName name="____MAN1" localSheetId="19">#REF!</definedName>
    <definedName name="____MAN1" localSheetId="5">#REF!</definedName>
    <definedName name="____MAN1">#REF!</definedName>
    <definedName name="____MAN2" localSheetId="8">#REF!</definedName>
    <definedName name="____MAN2" localSheetId="21">#REF!</definedName>
    <definedName name="____MAN2" localSheetId="23">#REF!</definedName>
    <definedName name="____MAN2" localSheetId="20">#REF!</definedName>
    <definedName name="____MAN2" localSheetId="22">#REF!</definedName>
    <definedName name="____MAN2" localSheetId="19">#REF!</definedName>
    <definedName name="____MAN2">#REF!</definedName>
    <definedName name="____MAN3" localSheetId="8">#REF!</definedName>
    <definedName name="____MAN3" localSheetId="21">#REF!</definedName>
    <definedName name="____MAN3" localSheetId="23">#REF!</definedName>
    <definedName name="____MAN3" localSheetId="20">#REF!</definedName>
    <definedName name="____MAN3" localSheetId="22">#REF!</definedName>
    <definedName name="____MAN3" localSheetId="19">#REF!</definedName>
    <definedName name="____MAN3">#REF!</definedName>
    <definedName name="____MEI92" localSheetId="8">#REF!</definedName>
    <definedName name="____MEI92" localSheetId="21">#REF!</definedName>
    <definedName name="____MEI92" localSheetId="23">#REF!</definedName>
    <definedName name="____MEI92" localSheetId="20">#REF!</definedName>
    <definedName name="____MEI92" localSheetId="22">#REF!</definedName>
    <definedName name="____MEI92" localSheetId="19">#REF!</definedName>
    <definedName name="____MEI92" localSheetId="5">#REF!</definedName>
    <definedName name="____MEI92">#REF!</definedName>
    <definedName name="____sem1" localSheetId="8">#REF!</definedName>
    <definedName name="____sem1" localSheetId="12">#REF!</definedName>
    <definedName name="____sem1" localSheetId="21">#REF!</definedName>
    <definedName name="____sem1" localSheetId="23">#REF!</definedName>
    <definedName name="____sem1" localSheetId="20">#REF!</definedName>
    <definedName name="____sem1" localSheetId="22">#REF!</definedName>
    <definedName name="____sem1" localSheetId="19">#REF!</definedName>
    <definedName name="____sem1" localSheetId="18">#REF!</definedName>
    <definedName name="____sem1" localSheetId="5">#REF!</definedName>
    <definedName name="____sem1">#REF!</definedName>
    <definedName name="____sm1" localSheetId="8">#REF!</definedName>
    <definedName name="____sm1" localSheetId="12">#REF!</definedName>
    <definedName name="____sm1" localSheetId="21">#REF!</definedName>
    <definedName name="____sm1" localSheetId="23">#REF!</definedName>
    <definedName name="____sm1" localSheetId="20">#REF!</definedName>
    <definedName name="____sm1" localSheetId="22">#REF!</definedName>
    <definedName name="____sm1" localSheetId="19">#REF!</definedName>
    <definedName name="____sm1" localSheetId="18">#REF!</definedName>
    <definedName name="____sm1" localSheetId="5">#REF!</definedName>
    <definedName name="____sm1">#REF!</definedName>
    <definedName name="____Tab1" localSheetId="8">#REF!</definedName>
    <definedName name="____Tab1" localSheetId="12">#REF!</definedName>
    <definedName name="____Tab1" localSheetId="21">#REF!</definedName>
    <definedName name="____Tab1" localSheetId="23">#REF!</definedName>
    <definedName name="____Tab1" localSheetId="20">#REF!</definedName>
    <definedName name="____Tab1" localSheetId="22">#REF!</definedName>
    <definedName name="____Tab1" localSheetId="19">#REF!</definedName>
    <definedName name="____Tab1" localSheetId="18">#REF!</definedName>
    <definedName name="____Tab1">#REF!</definedName>
    <definedName name="____Tab2" localSheetId="8">#REF!</definedName>
    <definedName name="____Tab2" localSheetId="12">#REF!</definedName>
    <definedName name="____Tab2" localSheetId="21">#REF!</definedName>
    <definedName name="____Tab2" localSheetId="23">#REF!</definedName>
    <definedName name="____Tab2" localSheetId="20">#REF!</definedName>
    <definedName name="____Tab2" localSheetId="22">#REF!</definedName>
    <definedName name="____Tab2" localSheetId="19">#REF!</definedName>
    <definedName name="____Tab2" localSheetId="18">#REF!</definedName>
    <definedName name="____Tab2">#REF!</definedName>
    <definedName name="____Tab3" localSheetId="8">#REF!</definedName>
    <definedName name="____Tab3" localSheetId="12">#REF!</definedName>
    <definedName name="____Tab3" localSheetId="21">#REF!</definedName>
    <definedName name="____Tab3" localSheetId="23">#REF!</definedName>
    <definedName name="____Tab3" localSheetId="20">#REF!</definedName>
    <definedName name="____Tab3" localSheetId="22">#REF!</definedName>
    <definedName name="____Tab3" localSheetId="19">#REF!</definedName>
    <definedName name="____Tab3" localSheetId="18">#REF!</definedName>
    <definedName name="____Tab3">#REF!</definedName>
    <definedName name="____TRP1" localSheetId="8">#REF!</definedName>
    <definedName name="____TRP1" localSheetId="21">#REF!</definedName>
    <definedName name="____TRP1" localSheetId="23">#REF!</definedName>
    <definedName name="____TRP1" localSheetId="20">#REF!</definedName>
    <definedName name="____TRP1" localSheetId="22">#REF!</definedName>
    <definedName name="____TRP1" localSheetId="19">#REF!</definedName>
    <definedName name="____TRP1" localSheetId="5">#REF!</definedName>
    <definedName name="____TRP1">#REF!</definedName>
    <definedName name="____trw1" localSheetId="8">#REF!</definedName>
    <definedName name="____trw1" localSheetId="12">#REF!</definedName>
    <definedName name="____trw1" localSheetId="21">#REF!</definedName>
    <definedName name="____trw1" localSheetId="23">#REF!</definedName>
    <definedName name="____trw1" localSheetId="20">#REF!</definedName>
    <definedName name="____trw1" localSheetId="22">#REF!</definedName>
    <definedName name="____trw1" localSheetId="19">#REF!</definedName>
    <definedName name="____trw1" localSheetId="18">#REF!</definedName>
    <definedName name="____trw1" localSheetId="5">#REF!</definedName>
    <definedName name="____trw1">#REF!</definedName>
    <definedName name="____trw2" localSheetId="8">#REF!</definedName>
    <definedName name="____trw2" localSheetId="12">#REF!</definedName>
    <definedName name="____trw2" localSheetId="21">#REF!</definedName>
    <definedName name="____trw2" localSheetId="23">#REF!</definedName>
    <definedName name="____trw2" localSheetId="20">#REF!</definedName>
    <definedName name="____trw2" localSheetId="22">#REF!</definedName>
    <definedName name="____trw2" localSheetId="19">#REF!</definedName>
    <definedName name="____trw2" localSheetId="18">#REF!</definedName>
    <definedName name="____trw2" localSheetId="5">#REF!</definedName>
    <definedName name="____trw2">#REF!</definedName>
    <definedName name="____trw3" localSheetId="8">#REF!</definedName>
    <definedName name="____trw3" localSheetId="12">#REF!</definedName>
    <definedName name="____trw3" localSheetId="21">#REF!</definedName>
    <definedName name="____trw3" localSheetId="23">#REF!</definedName>
    <definedName name="____trw3" localSheetId="20">#REF!</definedName>
    <definedName name="____trw3" localSheetId="22">#REF!</definedName>
    <definedName name="____trw3" localSheetId="19">#REF!</definedName>
    <definedName name="____trw3" localSheetId="18">#REF!</definedName>
    <definedName name="____trw3" localSheetId="5">#REF!</definedName>
    <definedName name="____trw3">#REF!</definedName>
    <definedName name="____TVA1" localSheetId="8">#REF!</definedName>
    <definedName name="____TVA1" localSheetId="21">#REF!</definedName>
    <definedName name="____TVA1" localSheetId="23">#REF!</definedName>
    <definedName name="____TVA1" localSheetId="20">#REF!</definedName>
    <definedName name="____TVA1" localSheetId="22">#REF!</definedName>
    <definedName name="____TVA1" localSheetId="19">#REF!</definedName>
    <definedName name="____TVA1" localSheetId="5">#REF!</definedName>
    <definedName name="____TVA1">#REF!</definedName>
    <definedName name="____TW1" localSheetId="8">#REF!</definedName>
    <definedName name="____TW1" localSheetId="21">#REF!</definedName>
    <definedName name="____TW1" localSheetId="23">#REF!</definedName>
    <definedName name="____TW1" localSheetId="20">#REF!</definedName>
    <definedName name="____TW1" localSheetId="22">#REF!</definedName>
    <definedName name="____TW1" localSheetId="19">#REF!</definedName>
    <definedName name="____TW1" localSheetId="5">#REF!</definedName>
    <definedName name="____TW1">#REF!</definedName>
    <definedName name="____TW2" localSheetId="8">#REF!</definedName>
    <definedName name="____TW2" localSheetId="21">#REF!</definedName>
    <definedName name="____TW2" localSheetId="23">#REF!</definedName>
    <definedName name="____TW2" localSheetId="20">#REF!</definedName>
    <definedName name="____TW2" localSheetId="22">#REF!</definedName>
    <definedName name="____TW2" localSheetId="19">#REF!</definedName>
    <definedName name="____TW2" localSheetId="5">#REF!</definedName>
    <definedName name="____TW2">#REF!</definedName>
    <definedName name="___BAT48100">#REF!</definedName>
    <definedName name="___DAF1" localSheetId="8">#REF!</definedName>
    <definedName name="___DAF1" localSheetId="12">#REF!</definedName>
    <definedName name="___DAF1" localSheetId="21">#REF!</definedName>
    <definedName name="___DAF1" localSheetId="23">#REF!</definedName>
    <definedName name="___DAF1" localSheetId="20">#REF!</definedName>
    <definedName name="___DAF1" localSheetId="22">#REF!</definedName>
    <definedName name="___DAF1" localSheetId="19">#REF!</definedName>
    <definedName name="___DAF1" localSheetId="18">#REF!</definedName>
    <definedName name="___DAF1" localSheetId="5">#REF!</definedName>
    <definedName name="___DAF1">#REF!</definedName>
    <definedName name="___DAF11" localSheetId="8">#REF!</definedName>
    <definedName name="___DAF11" localSheetId="12">#REF!</definedName>
    <definedName name="___DAF11" localSheetId="21">#REF!</definedName>
    <definedName name="___DAF11" localSheetId="23">#REF!</definedName>
    <definedName name="___DAF11" localSheetId="20">#REF!</definedName>
    <definedName name="___DAF11" localSheetId="22">#REF!</definedName>
    <definedName name="___DAF11" localSheetId="19">#REF!</definedName>
    <definedName name="___DAF11" localSheetId="18">#REF!</definedName>
    <definedName name="___DAF11" localSheetId="5">#REF!</definedName>
    <definedName name="___DAF11">#REF!</definedName>
    <definedName name="___DAF12" localSheetId="8">#REF!</definedName>
    <definedName name="___DAF12" localSheetId="12">#REF!</definedName>
    <definedName name="___DAF12" localSheetId="21">#REF!</definedName>
    <definedName name="___DAF12" localSheetId="23">#REF!</definedName>
    <definedName name="___DAF12" localSheetId="20">#REF!</definedName>
    <definedName name="___DAF12" localSheetId="22">#REF!</definedName>
    <definedName name="___DAF12" localSheetId="19">#REF!</definedName>
    <definedName name="___DAF12" localSheetId="18">#REF!</definedName>
    <definedName name="___DAF12" localSheetId="5">#REF!</definedName>
    <definedName name="___DAF12">#REF!</definedName>
    <definedName name="___DAF13" localSheetId="8">#REF!</definedName>
    <definedName name="___DAF13" localSheetId="12">#REF!</definedName>
    <definedName name="___DAF13" localSheetId="21">#REF!</definedName>
    <definedName name="___DAF13" localSheetId="23">#REF!</definedName>
    <definedName name="___DAF13" localSheetId="20">#REF!</definedName>
    <definedName name="___DAF13" localSheetId="22">#REF!</definedName>
    <definedName name="___DAF13" localSheetId="19">#REF!</definedName>
    <definedName name="___DAF13" localSheetId="18">#REF!</definedName>
    <definedName name="___DAF13">#REF!</definedName>
    <definedName name="___daf133" localSheetId="8">#REF!</definedName>
    <definedName name="___daf133" localSheetId="12">#REF!</definedName>
    <definedName name="___daf133" localSheetId="21">#REF!</definedName>
    <definedName name="___daf133" localSheetId="23">#REF!</definedName>
    <definedName name="___daf133" localSheetId="20">#REF!</definedName>
    <definedName name="___daf133" localSheetId="22">#REF!</definedName>
    <definedName name="___daf133" localSheetId="19">#REF!</definedName>
    <definedName name="___daf133" localSheetId="18">#REF!</definedName>
    <definedName name="___daf133">#REF!</definedName>
    <definedName name="___DAF14" localSheetId="8">#REF!</definedName>
    <definedName name="___DAF14" localSheetId="12">#REF!</definedName>
    <definedName name="___DAF14" localSheetId="21">#REF!</definedName>
    <definedName name="___DAF14" localSheetId="23">#REF!</definedName>
    <definedName name="___DAF14" localSheetId="20">#REF!</definedName>
    <definedName name="___DAF14" localSheetId="22">#REF!</definedName>
    <definedName name="___DAF14" localSheetId="19">#REF!</definedName>
    <definedName name="___DAF14" localSheetId="18">#REF!</definedName>
    <definedName name="___DAF14">#REF!</definedName>
    <definedName name="___DAF15" localSheetId="8">#REF!</definedName>
    <definedName name="___DAF15" localSheetId="12">#REF!</definedName>
    <definedName name="___DAF15" localSheetId="21">#REF!</definedName>
    <definedName name="___DAF15" localSheetId="23">#REF!</definedName>
    <definedName name="___DAF15" localSheetId="20">#REF!</definedName>
    <definedName name="___DAF15" localSheetId="22">#REF!</definedName>
    <definedName name="___DAF15" localSheetId="19">#REF!</definedName>
    <definedName name="___DAF15" localSheetId="18">#REF!</definedName>
    <definedName name="___DAF15">#REF!</definedName>
    <definedName name="___DAF16" localSheetId="8">#REF!</definedName>
    <definedName name="___DAF16" localSheetId="12">#REF!</definedName>
    <definedName name="___DAF16" localSheetId="21">#REF!</definedName>
    <definedName name="___DAF16" localSheetId="23">#REF!</definedName>
    <definedName name="___DAF16" localSheetId="20">#REF!</definedName>
    <definedName name="___DAF16" localSheetId="22">#REF!</definedName>
    <definedName name="___DAF16" localSheetId="19">#REF!</definedName>
    <definedName name="___DAF16" localSheetId="18">#REF!</definedName>
    <definedName name="___DAF16">#REF!</definedName>
    <definedName name="___DAF17" localSheetId="8">#REF!</definedName>
    <definedName name="___DAF17" localSheetId="12">#REF!</definedName>
    <definedName name="___DAF17" localSheetId="21">#REF!</definedName>
    <definedName name="___DAF17" localSheetId="23">#REF!</definedName>
    <definedName name="___DAF17" localSheetId="20">#REF!</definedName>
    <definedName name="___DAF17" localSheetId="22">#REF!</definedName>
    <definedName name="___DAF17" localSheetId="19">#REF!</definedName>
    <definedName name="___DAF17" localSheetId="18">#REF!</definedName>
    <definedName name="___DAF17">#REF!</definedName>
    <definedName name="___DAF2" localSheetId="8">#REF!</definedName>
    <definedName name="___DAF2" localSheetId="12">#REF!</definedName>
    <definedName name="___DAF2" localSheetId="21">#REF!</definedName>
    <definedName name="___DAF2" localSheetId="23">#REF!</definedName>
    <definedName name="___DAF2" localSheetId="20">#REF!</definedName>
    <definedName name="___DAF2" localSheetId="22">#REF!</definedName>
    <definedName name="___DAF2" localSheetId="19">#REF!</definedName>
    <definedName name="___DAF2" localSheetId="18">#REF!</definedName>
    <definedName name="___DAF2">#REF!</definedName>
    <definedName name="___DAF3" localSheetId="8">#REF!</definedName>
    <definedName name="___DAF3" localSheetId="12">#REF!</definedName>
    <definedName name="___DAF3" localSheetId="21">#REF!</definedName>
    <definedName name="___DAF3" localSheetId="23">#REF!</definedName>
    <definedName name="___DAF3" localSheetId="20">#REF!</definedName>
    <definedName name="___DAF3" localSheetId="22">#REF!</definedName>
    <definedName name="___DAF3" localSheetId="19">#REF!</definedName>
    <definedName name="___DAF3" localSheetId="18">#REF!</definedName>
    <definedName name="___DAF3">#REF!</definedName>
    <definedName name="___hal1" localSheetId="8">#REF!</definedName>
    <definedName name="___hal1" localSheetId="12">#REF!</definedName>
    <definedName name="___hal1" localSheetId="21">#REF!</definedName>
    <definedName name="___hal1" localSheetId="23">#REF!</definedName>
    <definedName name="___hal1" localSheetId="20">#REF!</definedName>
    <definedName name="___hal1" localSheetId="22">#REF!</definedName>
    <definedName name="___hal1" localSheetId="19">#REF!</definedName>
    <definedName name="___hal1" localSheetId="18">#REF!</definedName>
    <definedName name="___hal1">#REF!</definedName>
    <definedName name="___hal2" localSheetId="8">#REF!</definedName>
    <definedName name="___hal2" localSheetId="12">#REF!</definedName>
    <definedName name="___hal2" localSheetId="21">#REF!</definedName>
    <definedName name="___hal2" localSheetId="23">#REF!</definedName>
    <definedName name="___hal2" localSheetId="20">#REF!</definedName>
    <definedName name="___hal2" localSheetId="22">#REF!</definedName>
    <definedName name="___hal2" localSheetId="19">#REF!</definedName>
    <definedName name="___hal2" localSheetId="18">#REF!</definedName>
    <definedName name="___hal2">#REF!</definedName>
    <definedName name="___hal3" localSheetId="8">#REF!</definedName>
    <definedName name="___hal3" localSheetId="12">#REF!</definedName>
    <definedName name="___hal3" localSheetId="21">#REF!</definedName>
    <definedName name="___hal3" localSheetId="23">#REF!</definedName>
    <definedName name="___hal3" localSheetId="20">#REF!</definedName>
    <definedName name="___hal3" localSheetId="22">#REF!</definedName>
    <definedName name="___hal3" localSheetId="19">#REF!</definedName>
    <definedName name="___hal3" localSheetId="18">#REF!</definedName>
    <definedName name="___hal3">#REF!</definedName>
    <definedName name="___hal4" localSheetId="8">#REF!</definedName>
    <definedName name="___hal4" localSheetId="12">#REF!</definedName>
    <definedName name="___hal4" localSheetId="21">#REF!</definedName>
    <definedName name="___hal4" localSheetId="23">#REF!</definedName>
    <definedName name="___hal4" localSheetId="20">#REF!</definedName>
    <definedName name="___hal4" localSheetId="22">#REF!</definedName>
    <definedName name="___hal4" localSheetId="19">#REF!</definedName>
    <definedName name="___hal4" localSheetId="18">#REF!</definedName>
    <definedName name="___hal4">#REF!</definedName>
    <definedName name="___hal5" localSheetId="8">#REF!</definedName>
    <definedName name="___hal5" localSheetId="21">#REF!</definedName>
    <definedName name="___hal5" localSheetId="23">#REF!</definedName>
    <definedName name="___hal5" localSheetId="20">#REF!</definedName>
    <definedName name="___hal5" localSheetId="22">#REF!</definedName>
    <definedName name="___hal5" localSheetId="19">#REF!</definedName>
    <definedName name="___hal5">#REF!</definedName>
    <definedName name="___hal6" localSheetId="8">#REF!</definedName>
    <definedName name="___hal6" localSheetId="21">#REF!</definedName>
    <definedName name="___hal6" localSheetId="23">#REF!</definedName>
    <definedName name="___hal6" localSheetId="20">#REF!</definedName>
    <definedName name="___hal6" localSheetId="22">#REF!</definedName>
    <definedName name="___hal6" localSheetId="19">#REF!</definedName>
    <definedName name="___hal6">#REF!</definedName>
    <definedName name="___HLM1">#REF!</definedName>
    <definedName name="___HLM2" localSheetId="8">#REF!</definedName>
    <definedName name="___HLM2" localSheetId="21">#REF!</definedName>
    <definedName name="___HLM2" localSheetId="23">#REF!</definedName>
    <definedName name="___HLM2" localSheetId="20">#REF!</definedName>
    <definedName name="___HLM2" localSheetId="22">#REF!</definedName>
    <definedName name="___HLM2" localSheetId="19">#REF!</definedName>
    <definedName name="___HLM2" localSheetId="5">#REF!</definedName>
    <definedName name="___HLM2">#REF!</definedName>
    <definedName name="___HLM3" localSheetId="8">#REF!</definedName>
    <definedName name="___HLM3" localSheetId="21">#REF!</definedName>
    <definedName name="___HLM3" localSheetId="23">#REF!</definedName>
    <definedName name="___HLM3" localSheetId="20">#REF!</definedName>
    <definedName name="___HLM3" localSheetId="22">#REF!</definedName>
    <definedName name="___HLM3" localSheetId="19">#REF!</definedName>
    <definedName name="___HLM3" localSheetId="5">#REF!</definedName>
    <definedName name="___HLM3">#REF!</definedName>
    <definedName name="___JUD1" localSheetId="8">#REF!</definedName>
    <definedName name="___JUD1" localSheetId="21">#REF!</definedName>
    <definedName name="___JUD1" localSheetId="23">#REF!</definedName>
    <definedName name="___JUD1" localSheetId="20">#REF!</definedName>
    <definedName name="___JUD1" localSheetId="22">#REF!</definedName>
    <definedName name="___JUD1" localSheetId="19">#REF!</definedName>
    <definedName name="___JUD1" localSheetId="5">#REF!</definedName>
    <definedName name="___JUD1">#REF!</definedName>
    <definedName name="___JUD2" localSheetId="8">#REF!</definedName>
    <definedName name="___JUD2" localSheetId="21">#REF!</definedName>
    <definedName name="___JUD2" localSheetId="23">#REF!</definedName>
    <definedName name="___JUD2" localSheetId="20">#REF!</definedName>
    <definedName name="___JUD2" localSheetId="22">#REF!</definedName>
    <definedName name="___JUD2" localSheetId="19">#REF!</definedName>
    <definedName name="___JUD2">#REF!</definedName>
    <definedName name="___JUD3" localSheetId="8">#REF!</definedName>
    <definedName name="___JUD3" localSheetId="21">#REF!</definedName>
    <definedName name="___JUD3" localSheetId="23">#REF!</definedName>
    <definedName name="___JUD3" localSheetId="20">#REF!</definedName>
    <definedName name="___JUD3" localSheetId="22">#REF!</definedName>
    <definedName name="___JUD3" localSheetId="19">#REF!</definedName>
    <definedName name="___JUD3">#REF!</definedName>
    <definedName name="___JUD4" localSheetId="8">#REF!</definedName>
    <definedName name="___JUD4" localSheetId="21">#REF!</definedName>
    <definedName name="___JUD4" localSheetId="23">#REF!</definedName>
    <definedName name="___JUD4" localSheetId="20">#REF!</definedName>
    <definedName name="___JUD4" localSheetId="22">#REF!</definedName>
    <definedName name="___JUD4" localSheetId="19">#REF!</definedName>
    <definedName name="___JUD4">#REF!</definedName>
    <definedName name="___JUD5" localSheetId="8">#REF!</definedName>
    <definedName name="___JUD5" localSheetId="21">#REF!</definedName>
    <definedName name="___JUD5" localSheetId="23">#REF!</definedName>
    <definedName name="___JUD5" localSheetId="20">#REF!</definedName>
    <definedName name="___JUD5" localSheetId="22">#REF!</definedName>
    <definedName name="___JUD5" localSheetId="19">#REF!</definedName>
    <definedName name="___JUD5">#REF!</definedName>
    <definedName name="___JUD6" localSheetId="8">#REF!</definedName>
    <definedName name="___JUD6" localSheetId="21">#REF!</definedName>
    <definedName name="___JUD6" localSheetId="23">#REF!</definedName>
    <definedName name="___JUD6" localSheetId="20">#REF!</definedName>
    <definedName name="___JUD6" localSheetId="22">#REF!</definedName>
    <definedName name="___JUD6" localSheetId="19">#REF!</definedName>
    <definedName name="___JUD6">#REF!</definedName>
    <definedName name="___JUD7" localSheetId="8">#REF!</definedName>
    <definedName name="___JUD7" localSheetId="21">#REF!</definedName>
    <definedName name="___JUD7" localSheetId="23">#REF!</definedName>
    <definedName name="___JUD7" localSheetId="20">#REF!</definedName>
    <definedName name="___JUD7" localSheetId="22">#REF!</definedName>
    <definedName name="___JUD7" localSheetId="19">#REF!</definedName>
    <definedName name="___JUD7">#REF!</definedName>
    <definedName name="___JUL3" localSheetId="8">#REF!</definedName>
    <definedName name="___JUL3" localSheetId="21">#REF!</definedName>
    <definedName name="___JUL3" localSheetId="23">#REF!</definedName>
    <definedName name="___JUL3" localSheetId="20">#REF!</definedName>
    <definedName name="___JUL3" localSheetId="22">#REF!</definedName>
    <definedName name="___JUL3" localSheetId="19">#REF!</definedName>
    <definedName name="___JUL3">#REF!</definedName>
    <definedName name="___kb1" localSheetId="8">#REF!</definedName>
    <definedName name="___kb1" localSheetId="21">#REF!</definedName>
    <definedName name="___kb1" localSheetId="23">#REF!</definedName>
    <definedName name="___kb1" localSheetId="20">#REF!</definedName>
    <definedName name="___kb1" localSheetId="22">#REF!</definedName>
    <definedName name="___kb1" localSheetId="19">#REF!</definedName>
    <definedName name="___kb1" localSheetId="5">#REF!</definedName>
    <definedName name="___kb1">#REF!</definedName>
    <definedName name="___kb2" localSheetId="8">#REF!</definedName>
    <definedName name="___kb2" localSheetId="21">#REF!</definedName>
    <definedName name="___kb2" localSheetId="23">#REF!</definedName>
    <definedName name="___kb2" localSheetId="20">#REF!</definedName>
    <definedName name="___kb2" localSheetId="22">#REF!</definedName>
    <definedName name="___kb2" localSheetId="19">#REF!</definedName>
    <definedName name="___kb2" localSheetId="5">#REF!</definedName>
    <definedName name="___kb2">#REF!</definedName>
    <definedName name="___kp1" localSheetId="8">#REF!</definedName>
    <definedName name="___kp1" localSheetId="21">#REF!</definedName>
    <definedName name="___kp1" localSheetId="23">#REF!</definedName>
    <definedName name="___kp1" localSheetId="20">#REF!</definedName>
    <definedName name="___kp1" localSheetId="22">#REF!</definedName>
    <definedName name="___kp1" localSheetId="19">#REF!</definedName>
    <definedName name="___kp1" localSheetId="5">#REF!</definedName>
    <definedName name="___kp1">#REF!</definedName>
    <definedName name="___la150">#REF!</definedName>
    <definedName name="___MAN1">#REF!</definedName>
    <definedName name="___MAN2" localSheetId="8">#REF!</definedName>
    <definedName name="___MAN2" localSheetId="21">#REF!</definedName>
    <definedName name="___MAN2" localSheetId="23">#REF!</definedName>
    <definedName name="___MAN2" localSheetId="20">#REF!</definedName>
    <definedName name="___MAN2" localSheetId="22">#REF!</definedName>
    <definedName name="___MAN2" localSheetId="19">#REF!</definedName>
    <definedName name="___MAN2" localSheetId="5">#REF!</definedName>
    <definedName name="___MAN2">#REF!</definedName>
    <definedName name="___MAN3" localSheetId="8">#REF!</definedName>
    <definedName name="___MAN3" localSheetId="21">#REF!</definedName>
    <definedName name="___MAN3" localSheetId="23">#REF!</definedName>
    <definedName name="___MAN3" localSheetId="20">#REF!</definedName>
    <definedName name="___MAN3" localSheetId="22">#REF!</definedName>
    <definedName name="___MAN3" localSheetId="19">#REF!</definedName>
    <definedName name="___MAN3" localSheetId="5">#REF!</definedName>
    <definedName name="___MAN3">#REF!</definedName>
    <definedName name="___MEI92" localSheetId="8">#REF!</definedName>
    <definedName name="___MEI92" localSheetId="12">#REF!</definedName>
    <definedName name="___MEI92" localSheetId="21">#REF!</definedName>
    <definedName name="___MEI92" localSheetId="23">#REF!</definedName>
    <definedName name="___MEI92" localSheetId="20">#REF!</definedName>
    <definedName name="___MEI92" localSheetId="22">#REF!</definedName>
    <definedName name="___MEI92" localSheetId="19">#REF!</definedName>
    <definedName name="___MEI92" localSheetId="18">#REF!</definedName>
    <definedName name="___MEI92" localSheetId="5">#REF!</definedName>
    <definedName name="___MEI92">#REF!</definedName>
    <definedName name="___npv1" localSheetId="8">#REF!</definedName>
    <definedName name="___npv1" localSheetId="12">#REF!</definedName>
    <definedName name="___npv1" localSheetId="21">#REF!</definedName>
    <definedName name="___npv1" localSheetId="23">#REF!</definedName>
    <definedName name="___npv1" localSheetId="20">#REF!</definedName>
    <definedName name="___npv1" localSheetId="22">#REF!</definedName>
    <definedName name="___npv1" localSheetId="19">#REF!</definedName>
    <definedName name="___npv1" localSheetId="18">#REF!</definedName>
    <definedName name="___npv1">#REF!</definedName>
    <definedName name="___npv2" localSheetId="8">#REF!</definedName>
    <definedName name="___npv2" localSheetId="12">#REF!</definedName>
    <definedName name="___npv2" localSheetId="21">#REF!</definedName>
    <definedName name="___npv2" localSheetId="23">#REF!</definedName>
    <definedName name="___npv2" localSheetId="20">#REF!</definedName>
    <definedName name="___npv2" localSheetId="22">#REF!</definedName>
    <definedName name="___npv2" localSheetId="19">#REF!</definedName>
    <definedName name="___npv2" localSheetId="18">#REF!</definedName>
    <definedName name="___npv2">#REF!</definedName>
    <definedName name="___pmt7040">#REF!</definedName>
    <definedName name="___rab1" localSheetId="8">#REF!</definedName>
    <definedName name="___rab1" localSheetId="12">#REF!</definedName>
    <definedName name="___rab1" localSheetId="21">#REF!</definedName>
    <definedName name="___rab1" localSheetId="23">#REF!</definedName>
    <definedName name="___rab1" localSheetId="20">#REF!</definedName>
    <definedName name="___rab1" localSheetId="22">#REF!</definedName>
    <definedName name="___rab1" localSheetId="19">#REF!</definedName>
    <definedName name="___rab1" localSheetId="18">#REF!</definedName>
    <definedName name="___rab1" localSheetId="5">#REF!</definedName>
    <definedName name="___rab1">#REF!</definedName>
    <definedName name="___rab2" localSheetId="8">#REF!</definedName>
    <definedName name="___rab2" localSheetId="12">#REF!</definedName>
    <definedName name="___rab2" localSheetId="21">#REF!</definedName>
    <definedName name="___rab2" localSheetId="23">#REF!</definedName>
    <definedName name="___rab2" localSheetId="20">#REF!</definedName>
    <definedName name="___rab2" localSheetId="22">#REF!</definedName>
    <definedName name="___rab2" localSheetId="19">#REF!</definedName>
    <definedName name="___rab2" localSheetId="18">#REF!</definedName>
    <definedName name="___rab2" localSheetId="5">#REF!</definedName>
    <definedName name="___rab2">#REF!</definedName>
    <definedName name="___sem1" localSheetId="8">#REF!</definedName>
    <definedName name="___sem1" localSheetId="21">#REF!</definedName>
    <definedName name="___sem1" localSheetId="23">#REF!</definedName>
    <definedName name="___sem1" localSheetId="20">#REF!</definedName>
    <definedName name="___sem1" localSheetId="22">#REF!</definedName>
    <definedName name="___sem1" localSheetId="19">#REF!</definedName>
    <definedName name="___sem1" localSheetId="5">#REF!</definedName>
    <definedName name="___sem1">#REF!</definedName>
    <definedName name="___sm1" localSheetId="8">#REF!</definedName>
    <definedName name="___sm1" localSheetId="21">#REF!</definedName>
    <definedName name="___sm1" localSheetId="23">#REF!</definedName>
    <definedName name="___sm1" localSheetId="20">#REF!</definedName>
    <definedName name="___sm1" localSheetId="22">#REF!</definedName>
    <definedName name="___sm1" localSheetId="19">#REF!</definedName>
    <definedName name="___sm1">#REF!</definedName>
    <definedName name="___Tab1" localSheetId="8">#REF!</definedName>
    <definedName name="___Tab1" localSheetId="21">#REF!</definedName>
    <definedName name="___Tab1" localSheetId="23">#REF!</definedName>
    <definedName name="___Tab1" localSheetId="20">#REF!</definedName>
    <definedName name="___Tab1" localSheetId="22">#REF!</definedName>
    <definedName name="___Tab1" localSheetId="19">#REF!</definedName>
    <definedName name="___Tab1">#REF!</definedName>
    <definedName name="___Tab2" localSheetId="8">#REF!</definedName>
    <definedName name="___Tab2" localSheetId="21">#REF!</definedName>
    <definedName name="___Tab2" localSheetId="23">#REF!</definedName>
    <definedName name="___Tab2" localSheetId="20">#REF!</definedName>
    <definedName name="___Tab2" localSheetId="22">#REF!</definedName>
    <definedName name="___Tab2" localSheetId="19">#REF!</definedName>
    <definedName name="___Tab2">#REF!</definedName>
    <definedName name="___Tab3" localSheetId="8">#REF!</definedName>
    <definedName name="___Tab3" localSheetId="21">#REF!</definedName>
    <definedName name="___Tab3" localSheetId="23">#REF!</definedName>
    <definedName name="___Tab3" localSheetId="20">#REF!</definedName>
    <definedName name="___Tab3" localSheetId="22">#REF!</definedName>
    <definedName name="___Tab3" localSheetId="19">#REF!</definedName>
    <definedName name="___Tab3">#REF!</definedName>
    <definedName name="___TRP1" localSheetId="8">#REF!</definedName>
    <definedName name="___TRP1" localSheetId="21">#REF!</definedName>
    <definedName name="___TRP1" localSheetId="23">#REF!</definedName>
    <definedName name="___TRP1" localSheetId="20">#REF!</definedName>
    <definedName name="___TRP1" localSheetId="22">#REF!</definedName>
    <definedName name="___TRP1" localSheetId="19">#REF!</definedName>
    <definedName name="___TRP1">#REF!</definedName>
    <definedName name="___trw1" localSheetId="8">#REF!</definedName>
    <definedName name="___trw1" localSheetId="21">#REF!</definedName>
    <definedName name="___trw1" localSheetId="23">#REF!</definedName>
    <definedName name="___trw1" localSheetId="20">#REF!</definedName>
    <definedName name="___trw1" localSheetId="22">#REF!</definedName>
    <definedName name="___trw1" localSheetId="19">#REF!</definedName>
    <definedName name="___trw1">#REF!</definedName>
    <definedName name="___trw2" localSheetId="8">#REF!</definedName>
    <definedName name="___trw2" localSheetId="21">#REF!</definedName>
    <definedName name="___trw2" localSheetId="23">#REF!</definedName>
    <definedName name="___trw2" localSheetId="20">#REF!</definedName>
    <definedName name="___trw2" localSheetId="22">#REF!</definedName>
    <definedName name="___trw2" localSheetId="19">#REF!</definedName>
    <definedName name="___trw2">#REF!</definedName>
    <definedName name="___trw3" localSheetId="8">#REF!</definedName>
    <definedName name="___trw3" localSheetId="21">#REF!</definedName>
    <definedName name="___trw3" localSheetId="23">#REF!</definedName>
    <definedName name="___trw3" localSheetId="20">#REF!</definedName>
    <definedName name="___trw3" localSheetId="22">#REF!</definedName>
    <definedName name="___trw3" localSheetId="19">#REF!</definedName>
    <definedName name="___trw3">#REF!</definedName>
    <definedName name="___TVA1" localSheetId="8">#REF!</definedName>
    <definedName name="___TVA1" localSheetId="21">#REF!</definedName>
    <definedName name="___TVA1" localSheetId="23">#REF!</definedName>
    <definedName name="___TVA1" localSheetId="20">#REF!</definedName>
    <definedName name="___TVA1" localSheetId="22">#REF!</definedName>
    <definedName name="___TVA1" localSheetId="19">#REF!</definedName>
    <definedName name="___TVA1">#REF!</definedName>
    <definedName name="___TW1" localSheetId="8">#REF!</definedName>
    <definedName name="___TW1" localSheetId="12">#REF!</definedName>
    <definedName name="___TW1" localSheetId="21">#REF!</definedName>
    <definedName name="___TW1" localSheetId="23">#REF!</definedName>
    <definedName name="___TW1" localSheetId="20">#REF!</definedName>
    <definedName name="___TW1" localSheetId="22">#REF!</definedName>
    <definedName name="___TW1" localSheetId="19">#REF!</definedName>
    <definedName name="___TW1" localSheetId="18">#REF!</definedName>
    <definedName name="___TW1">#REF!</definedName>
    <definedName name="___TW2" localSheetId="8">#REF!</definedName>
    <definedName name="___TW2" localSheetId="12">#REF!</definedName>
    <definedName name="___TW2" localSheetId="21">#REF!</definedName>
    <definedName name="___TW2" localSheetId="23">#REF!</definedName>
    <definedName name="___TW2" localSheetId="20">#REF!</definedName>
    <definedName name="___TW2" localSheetId="22">#REF!</definedName>
    <definedName name="___TW2" localSheetId="19">#REF!</definedName>
    <definedName name="___TW2" localSheetId="18">#REF!</definedName>
    <definedName name="___TW2">#REF!</definedName>
    <definedName name="__1_2002_VS_2001" localSheetId="8">#REF!</definedName>
    <definedName name="__1_2002_VS_2001" localSheetId="12">#REF!</definedName>
    <definedName name="__1_2002_VS_2001" localSheetId="21">#REF!</definedName>
    <definedName name="__1_2002_VS_2001" localSheetId="23">#REF!</definedName>
    <definedName name="__1_2002_VS_2001" localSheetId="20">#REF!</definedName>
    <definedName name="__1_2002_VS_2001" localSheetId="22">#REF!</definedName>
    <definedName name="__1_2002_VS_2001" localSheetId="19">#REF!</definedName>
    <definedName name="__1_2002_VS_2001" localSheetId="18">#REF!</definedName>
    <definedName name="__1_2002_VS_2001">#REF!</definedName>
    <definedName name="__10INV_PERUSAHAA_2" localSheetId="8">#REF!</definedName>
    <definedName name="__10INV_PERUSAHAA_2" localSheetId="12">#REF!</definedName>
    <definedName name="__10INV_PERUSAHAA_2" localSheetId="21">#REF!</definedName>
    <definedName name="__10INV_PERUSAHAA_2" localSheetId="23">#REF!</definedName>
    <definedName name="__10INV_PERUSAHAA_2" localSheetId="20">#REF!</definedName>
    <definedName name="__10INV_PERUSAHAA_2" localSheetId="22">#REF!</definedName>
    <definedName name="__10INV_PERUSAHAA_2" localSheetId="19">#REF!</definedName>
    <definedName name="__10INV_PERUSAHAA_2" localSheetId="18">#REF!</definedName>
    <definedName name="__10INV_PERUSAHAA_2">#REF!</definedName>
    <definedName name="__11INV_PERUSAHAAN" localSheetId="8">#REF!</definedName>
    <definedName name="__11INV_PERUSAHAAN" localSheetId="12">#REF!</definedName>
    <definedName name="__11INV_PERUSAHAAN" localSheetId="21">#REF!</definedName>
    <definedName name="__11INV_PERUSAHAAN" localSheetId="23">#REF!</definedName>
    <definedName name="__11INV_PERUSAHAAN" localSheetId="20">#REF!</definedName>
    <definedName name="__11INV_PERUSAHAAN" localSheetId="22">#REF!</definedName>
    <definedName name="__11INV_PERUSAHAAN" localSheetId="19">#REF!</definedName>
    <definedName name="__11INV_PERUSAHAAN" localSheetId="18">#REF!</definedName>
    <definedName name="__11INV_PERUSAHAAN">#REF!</definedName>
    <definedName name="__123Graph_A" localSheetId="8" hidden="1">#REF!</definedName>
    <definedName name="__123Graph_A" localSheetId="12" hidden="1">#REF!</definedName>
    <definedName name="__123Graph_A" localSheetId="21" hidden="1">#REF!</definedName>
    <definedName name="__123Graph_A" localSheetId="23" hidden="1">#REF!</definedName>
    <definedName name="__123Graph_A" localSheetId="20" hidden="1">#REF!</definedName>
    <definedName name="__123Graph_A" localSheetId="22" hidden="1">#REF!</definedName>
    <definedName name="__123Graph_A" localSheetId="19" hidden="1">#REF!</definedName>
    <definedName name="__123Graph_A" localSheetId="18" hidden="1">#REF!</definedName>
    <definedName name="__123Graph_A" localSheetId="5" hidden="1">#REF!</definedName>
    <definedName name="__123Graph_A" hidden="1">#REF!</definedName>
    <definedName name="__123Graph_A1" hidden="1">#REF!</definedName>
    <definedName name="__123Graph_A2" hidden="1">#REF!</definedName>
    <definedName name="__123Graph_ACPEXIND" hidden="1">#REF!</definedName>
    <definedName name="__123Graph_ACPEXJAVA" hidden="1">#REF!</definedName>
    <definedName name="__123Graph_ACPEXOUTS" hidden="1">#REF!</definedName>
    <definedName name="__123Graph_AFININDO" hidden="1">#REF!</definedName>
    <definedName name="__123Graph_AFINJAVA" hidden="1">#REF!</definedName>
    <definedName name="__123Graph_AFINOUTS" hidden="1">#REF!</definedName>
    <definedName name="__123Graph_AFUELINDO" hidden="1">#REF!</definedName>
    <definedName name="__123Graph_AFUELJAVA" hidden="1">#REF!</definedName>
    <definedName name="__123Graph_AFUELOUTS" hidden="1">#REF!</definedName>
    <definedName name="__123Graph_AKWH" localSheetId="8" hidden="1">#REF!</definedName>
    <definedName name="__123Graph_AKWH" localSheetId="21" hidden="1">#REF!</definedName>
    <definedName name="__123Graph_AKWH" localSheetId="23" hidden="1">#REF!</definedName>
    <definedName name="__123Graph_AKWH" localSheetId="20" hidden="1">#REF!</definedName>
    <definedName name="__123Graph_AKWH" localSheetId="22" hidden="1">#REF!</definedName>
    <definedName name="__123Graph_AKWH" localSheetId="19" hidden="1">#REF!</definedName>
    <definedName name="__123Graph_AKWH" localSheetId="5" hidden="1">#REF!</definedName>
    <definedName name="__123Graph_AKWH" hidden="1">#REF!</definedName>
    <definedName name="__123Graph_AOPEXIND" hidden="1">#REF!</definedName>
    <definedName name="__123Graph_AOPEXJAVA" hidden="1">#REF!</definedName>
    <definedName name="__123Graph_AOPEXOUTS" hidden="1">#REF!</definedName>
    <definedName name="__123Graph_AREIND" hidden="1">#REF!</definedName>
    <definedName name="__123Graph_AREJAVA" hidden="1">#REF!</definedName>
    <definedName name="__123Graph_AREOUTSIDE" hidden="1">#REF!</definedName>
    <definedName name="__123Graph_AVAPLG" localSheetId="8" hidden="1">#REF!</definedName>
    <definedName name="__123Graph_AVAPLG" localSheetId="21" hidden="1">#REF!</definedName>
    <definedName name="__123Graph_AVAPLG" localSheetId="23" hidden="1">#REF!</definedName>
    <definedName name="__123Graph_AVAPLG" localSheetId="20" hidden="1">#REF!</definedName>
    <definedName name="__123Graph_AVAPLG" localSheetId="22" hidden="1">#REF!</definedName>
    <definedName name="__123Graph_AVAPLG" localSheetId="19" hidden="1">#REF!</definedName>
    <definedName name="__123Graph_AVAPLG" localSheetId="5" hidden="1">#REF!</definedName>
    <definedName name="__123Graph_AVAPLG" hidden="1">#REF!</definedName>
    <definedName name="__123Graph_B" localSheetId="8" hidden="1">#REF!</definedName>
    <definedName name="__123Graph_B" localSheetId="12" hidden="1">#REF!</definedName>
    <definedName name="__123Graph_B" localSheetId="21" hidden="1">#REF!</definedName>
    <definedName name="__123Graph_B" localSheetId="23" hidden="1">#REF!</definedName>
    <definedName name="__123Graph_B" localSheetId="20" hidden="1">#REF!</definedName>
    <definedName name="__123Graph_B" localSheetId="22" hidden="1">#REF!</definedName>
    <definedName name="__123Graph_B" localSheetId="19" hidden="1">#REF!</definedName>
    <definedName name="__123Graph_B" localSheetId="18" hidden="1">#REF!</definedName>
    <definedName name="__123Graph_B" localSheetId="5" hidden="1">#REF!</definedName>
    <definedName name="__123Graph_B" hidden="1">#REF!</definedName>
    <definedName name="__123Graph_B1" hidden="1">#REF!</definedName>
    <definedName name="__123Graph_B2" hidden="1">#REF!</definedName>
    <definedName name="__123Graph_BCPEXIND" hidden="1">#REF!</definedName>
    <definedName name="__123Graph_BCPEXJAVA" hidden="1">#REF!</definedName>
    <definedName name="__123Graph_BCPEXOUTS" hidden="1">#REF!</definedName>
    <definedName name="__123Graph_BFININDO" hidden="1">#REF!</definedName>
    <definedName name="__123Graph_BFINJAVA" hidden="1">#REF!</definedName>
    <definedName name="__123Graph_BFINOUTS" hidden="1">#REF!</definedName>
    <definedName name="__123Graph_BFUELINDO" hidden="1">#REF!</definedName>
    <definedName name="__123Graph_BFUELJAVA" hidden="1">#REF!</definedName>
    <definedName name="__123Graph_BFUELOUTS" hidden="1">#REF!</definedName>
    <definedName name="__123Graph_BKWH" localSheetId="8" hidden="1">#REF!</definedName>
    <definedName name="__123Graph_BKWH" localSheetId="21" hidden="1">#REF!</definedName>
    <definedName name="__123Graph_BKWH" localSheetId="23" hidden="1">#REF!</definedName>
    <definedName name="__123Graph_BKWH" localSheetId="20" hidden="1">#REF!</definedName>
    <definedName name="__123Graph_BKWH" localSheetId="22" hidden="1">#REF!</definedName>
    <definedName name="__123Graph_BKWH" localSheetId="19" hidden="1">#REF!</definedName>
    <definedName name="__123Graph_BKWH" localSheetId="5" hidden="1">#REF!</definedName>
    <definedName name="__123Graph_BKWH" hidden="1">#REF!</definedName>
    <definedName name="__123Graph_BOPEXIND" hidden="1">#REF!</definedName>
    <definedName name="__123Graph_BOPEXJAVA" hidden="1">#REF!</definedName>
    <definedName name="__123Graph_BOPEXOUTS" hidden="1">#REF!</definedName>
    <definedName name="__123Graph_BREIND" hidden="1">#REF!</definedName>
    <definedName name="__123Graph_BREJAVA" hidden="1">#REF!</definedName>
    <definedName name="__123Graph_BREOUTSIDE" hidden="1">#REF!</definedName>
    <definedName name="__123Graph_BVAPLG" localSheetId="8" hidden="1">#REF!</definedName>
    <definedName name="__123Graph_BVAPLG" localSheetId="21" hidden="1">#REF!</definedName>
    <definedName name="__123Graph_BVAPLG" localSheetId="23" hidden="1">#REF!</definedName>
    <definedName name="__123Graph_BVAPLG" localSheetId="20" hidden="1">#REF!</definedName>
    <definedName name="__123Graph_BVAPLG" localSheetId="22" hidden="1">#REF!</definedName>
    <definedName name="__123Graph_BVAPLG" localSheetId="19" hidden="1">#REF!</definedName>
    <definedName name="__123Graph_BVAPLG" localSheetId="5" hidden="1">#REF!</definedName>
    <definedName name="__123Graph_BVAPLG" hidden="1">#REF!</definedName>
    <definedName name="__123Graph_C" localSheetId="8" hidden="1">#REF!</definedName>
    <definedName name="__123Graph_C" localSheetId="21" hidden="1">#REF!</definedName>
    <definedName name="__123Graph_C" localSheetId="23" hidden="1">#REF!</definedName>
    <definedName name="__123Graph_C" localSheetId="20" hidden="1">#REF!</definedName>
    <definedName name="__123Graph_C" localSheetId="22" hidden="1">#REF!</definedName>
    <definedName name="__123Graph_C" localSheetId="19" hidden="1">#REF!</definedName>
    <definedName name="__123Graph_C" localSheetId="5" hidden="1">#REF!</definedName>
    <definedName name="__123Graph_C" hidden="1">#REF!</definedName>
    <definedName name="__123Graph_CCPEXIND" hidden="1">#REF!</definedName>
    <definedName name="__123Graph_CCPEXJAVA" hidden="1">#REF!</definedName>
    <definedName name="__123Graph_CCPEXOUTS" hidden="1">#REF!</definedName>
    <definedName name="__123Graph_CFININDO" hidden="1">#REF!</definedName>
    <definedName name="__123Graph_CFINJAVA" hidden="1">#REF!</definedName>
    <definedName name="__123Graph_CFINOUTS" hidden="1">#REF!</definedName>
    <definedName name="__123Graph_CFUELINDO" hidden="1">#REF!</definedName>
    <definedName name="__123Graph_CFUELJAVA" hidden="1">#REF!</definedName>
    <definedName name="__123Graph_CFUELOUTS" hidden="1">#REF!</definedName>
    <definedName name="__123Graph_CKWH" localSheetId="8" hidden="1">#REF!</definedName>
    <definedName name="__123Graph_CKWH" localSheetId="21" hidden="1">#REF!</definedName>
    <definedName name="__123Graph_CKWH" localSheetId="23" hidden="1">#REF!</definedName>
    <definedName name="__123Graph_CKWH" localSheetId="20" hidden="1">#REF!</definedName>
    <definedName name="__123Graph_CKWH" localSheetId="22" hidden="1">#REF!</definedName>
    <definedName name="__123Graph_CKWH" localSheetId="19" hidden="1">#REF!</definedName>
    <definedName name="__123Graph_CKWH" localSheetId="5" hidden="1">#REF!</definedName>
    <definedName name="__123Graph_CKWH" hidden="1">#REF!</definedName>
    <definedName name="__123Graph_COPEXIND" hidden="1">#REF!</definedName>
    <definedName name="__123Graph_COPEXJAVA" hidden="1">#REF!</definedName>
    <definedName name="__123Graph_COPEXOUTS" hidden="1">#REF!</definedName>
    <definedName name="__123Graph_CVAPLG" localSheetId="8" hidden="1">#REF!</definedName>
    <definedName name="__123Graph_CVAPLG" localSheetId="21" hidden="1">#REF!</definedName>
    <definedName name="__123Graph_CVAPLG" localSheetId="23" hidden="1">#REF!</definedName>
    <definedName name="__123Graph_CVAPLG" localSheetId="20" hidden="1">#REF!</definedName>
    <definedName name="__123Graph_CVAPLG" localSheetId="22" hidden="1">#REF!</definedName>
    <definedName name="__123Graph_CVAPLG" localSheetId="19" hidden="1">#REF!</definedName>
    <definedName name="__123Graph_CVAPLG" localSheetId="5" hidden="1">#REF!</definedName>
    <definedName name="__123Graph_CVAPLG" hidden="1">#REF!</definedName>
    <definedName name="__123Graph_D" localSheetId="8" hidden="1">#REF!</definedName>
    <definedName name="__123Graph_D" localSheetId="12" hidden="1">#REF!</definedName>
    <definedName name="__123Graph_D" localSheetId="21" hidden="1">#REF!</definedName>
    <definedName name="__123Graph_D" localSheetId="23" hidden="1">#REF!</definedName>
    <definedName name="__123Graph_D" localSheetId="20" hidden="1">#REF!</definedName>
    <definedName name="__123Graph_D" localSheetId="22" hidden="1">#REF!</definedName>
    <definedName name="__123Graph_D" localSheetId="19" hidden="1">#REF!</definedName>
    <definedName name="__123Graph_D" localSheetId="18" hidden="1">#REF!</definedName>
    <definedName name="__123Graph_D" localSheetId="5" hidden="1">#REF!</definedName>
    <definedName name="__123Graph_D" hidden="1">#REF!</definedName>
    <definedName name="__123Graph_DCPEXIND" hidden="1">#REF!</definedName>
    <definedName name="__123Graph_DCPEXJAVA" hidden="1">#REF!</definedName>
    <definedName name="__123Graph_DCPEXOUTS" hidden="1">#REF!</definedName>
    <definedName name="__123Graph_DFUELINDO" hidden="1">#REF!</definedName>
    <definedName name="__123Graph_DFUELJAVA" hidden="1">#REF!</definedName>
    <definedName name="__123Graph_DFUELOUTS" hidden="1">#REF!</definedName>
    <definedName name="__123Graph_DOPEXIND" hidden="1">#REF!</definedName>
    <definedName name="__123Graph_DOPEXJAVA" hidden="1">#REF!</definedName>
    <definedName name="__123Graph_DOPEXOUTS" hidden="1">#REF!</definedName>
    <definedName name="__123Graph_X" localSheetId="8" hidden="1">#REF!</definedName>
    <definedName name="__123Graph_X" localSheetId="12" hidden="1">#REF!</definedName>
    <definedName name="__123Graph_X" localSheetId="21" hidden="1">#REF!</definedName>
    <definedName name="__123Graph_X" localSheetId="23" hidden="1">#REF!</definedName>
    <definedName name="__123Graph_X" localSheetId="20" hidden="1">#REF!</definedName>
    <definedName name="__123Graph_X" localSheetId="22" hidden="1">#REF!</definedName>
    <definedName name="__123Graph_X" localSheetId="19" hidden="1">#REF!</definedName>
    <definedName name="__123Graph_X" localSheetId="18" hidden="1">#REF!</definedName>
    <definedName name="__123Graph_X" localSheetId="5" hidden="1">#REF!</definedName>
    <definedName name="__123Graph_X" hidden="1">#REF!</definedName>
    <definedName name="__123Graph_XCPEXIND" hidden="1">#REF!</definedName>
    <definedName name="__123Graph_XCPEXJAVA" hidden="1">#REF!</definedName>
    <definedName name="__123Graph_XCPEXOUTS" hidden="1">#REF!</definedName>
    <definedName name="__123Graph_XFININDO" hidden="1">#REF!</definedName>
    <definedName name="__123Graph_XFINJAVA" hidden="1">#REF!</definedName>
    <definedName name="__123Graph_XFUELINDO" hidden="1">#REF!</definedName>
    <definedName name="__123Graph_XFUELJAVA" hidden="1">#REF!</definedName>
    <definedName name="__123Graph_XFUELOUTS" hidden="1">#REF!</definedName>
    <definedName name="__123Graph_XKWH" localSheetId="8" hidden="1">#REF!</definedName>
    <definedName name="__123Graph_XKWH" localSheetId="21" hidden="1">#REF!</definedName>
    <definedName name="__123Graph_XKWH" localSheetId="23" hidden="1">#REF!</definedName>
    <definedName name="__123Graph_XKWH" localSheetId="20" hidden="1">#REF!</definedName>
    <definedName name="__123Graph_XKWH" localSheetId="22" hidden="1">#REF!</definedName>
    <definedName name="__123Graph_XKWH" localSheetId="19" hidden="1">#REF!</definedName>
    <definedName name="__123Graph_XKWH" localSheetId="5" hidden="1">#REF!</definedName>
    <definedName name="__123Graph_XKWH" hidden="1">#REF!</definedName>
    <definedName name="__123Graph_XOPEXIND" hidden="1">#REF!</definedName>
    <definedName name="__123Graph_XOPEXJAVA" hidden="1">#REF!</definedName>
    <definedName name="__123Graph_XOPEXOUTS" hidden="1">#REF!</definedName>
    <definedName name="__123Graph_XREJAVA" hidden="1">#REF!</definedName>
    <definedName name="__123Graph_XREOUTSIDE" hidden="1">#REF!</definedName>
    <definedName name="__123Graph_XVAPLG" localSheetId="8" hidden="1">#REF!</definedName>
    <definedName name="__123Graph_XVAPLG" localSheetId="21" hidden="1">#REF!</definedName>
    <definedName name="__123Graph_XVAPLG" localSheetId="23" hidden="1">#REF!</definedName>
    <definedName name="__123Graph_XVAPLG" localSheetId="20" hidden="1">#REF!</definedName>
    <definedName name="__123Graph_XVAPLG" localSheetId="22" hidden="1">#REF!</definedName>
    <definedName name="__123Graph_XVAPLG" localSheetId="19" hidden="1">#REF!</definedName>
    <definedName name="__123Graph_XVAPLG" localSheetId="5" hidden="1">#REF!</definedName>
    <definedName name="__123Graph_XVAPLG" hidden="1">#REF!</definedName>
    <definedName name="__12JTM_PER_TW" localSheetId="8">#REF!</definedName>
    <definedName name="__12JTM_PER_TW" localSheetId="12">#REF!</definedName>
    <definedName name="__12JTM_PER_TW" localSheetId="21">#REF!</definedName>
    <definedName name="__12JTM_PER_TW" localSheetId="23">#REF!</definedName>
    <definedName name="__12JTM_PER_TW" localSheetId="20">#REF!</definedName>
    <definedName name="__12JTM_PER_TW" localSheetId="22">#REF!</definedName>
    <definedName name="__12JTM_PER_TW" localSheetId="19">#REF!</definedName>
    <definedName name="__12JTM_PER_TW" localSheetId="18">#REF!</definedName>
    <definedName name="__12JTM_PER_TW" localSheetId="5">#REF!</definedName>
    <definedName name="__12JTM_PER_TW">#REF!</definedName>
    <definedName name="__13REKAP_KEGIATAN" localSheetId="8">#REF!</definedName>
    <definedName name="__13REKAP_KEGIATAN" localSheetId="12">#REF!</definedName>
    <definedName name="__13REKAP_KEGIATAN" localSheetId="21">#REF!</definedName>
    <definedName name="__13REKAP_KEGIATAN" localSheetId="23">#REF!</definedName>
    <definedName name="__13REKAP_KEGIATAN" localSheetId="20">#REF!</definedName>
    <definedName name="__13REKAP_KEGIATAN" localSheetId="22">#REF!</definedName>
    <definedName name="__13REKAP_KEGIATAN" localSheetId="19">#REF!</definedName>
    <definedName name="__13REKAP_KEGIATAN" localSheetId="18">#REF!</definedName>
    <definedName name="__13REKAP_KEGIATAN" localSheetId="5">#REF!</definedName>
    <definedName name="__13REKAP_KEGIATAN">#REF!</definedName>
    <definedName name="__14REKAP_PAK_AEP" localSheetId="8">#REF!</definedName>
    <definedName name="__14REKAP_PAK_AEP" localSheetId="12">#REF!</definedName>
    <definedName name="__14REKAP_PAK_AEP" localSheetId="21">#REF!</definedName>
    <definedName name="__14REKAP_PAK_AEP" localSheetId="23">#REF!</definedName>
    <definedName name="__14REKAP_PAK_AEP" localSheetId="20">#REF!</definedName>
    <definedName name="__14REKAP_PAK_AEP" localSheetId="22">#REF!</definedName>
    <definedName name="__14REKAP_PAK_AEP" localSheetId="19">#REF!</definedName>
    <definedName name="__14REKAP_PAK_AEP" localSheetId="18">#REF!</definedName>
    <definedName name="__14REKAP_PAK_AEP" localSheetId="5">#REF!</definedName>
    <definedName name="__14REKAP_PAK_AEP">#REF!</definedName>
    <definedName name="__15SUM_MUTDAL" localSheetId="8">#REF!</definedName>
    <definedName name="__15SUM_MUTDAL" localSheetId="12">#REF!</definedName>
    <definedName name="__15SUM_MUTDAL" localSheetId="21">#REF!</definedName>
    <definedName name="__15SUM_MUTDAL" localSheetId="23">#REF!</definedName>
    <definedName name="__15SUM_MUTDAL" localSheetId="20">#REF!</definedName>
    <definedName name="__15SUM_MUTDAL" localSheetId="22">#REF!</definedName>
    <definedName name="__15SUM_MUTDAL" localSheetId="19">#REF!</definedName>
    <definedName name="__15SUM_MUTDAL" localSheetId="18">#REF!</definedName>
    <definedName name="__15SUM_MUTDAL">#REF!</definedName>
    <definedName name="__2ANGG_PERUSAHA_2" localSheetId="8">#REF!</definedName>
    <definedName name="__2ANGG_PERUSAHA_2" localSheetId="12">#REF!</definedName>
    <definedName name="__2ANGG_PERUSAHA_2" localSheetId="21">#REF!</definedName>
    <definedName name="__2ANGG_PERUSAHA_2" localSheetId="23">#REF!</definedName>
    <definedName name="__2ANGG_PERUSAHA_2" localSheetId="20">#REF!</definedName>
    <definedName name="__2ANGG_PERUSAHA_2" localSheetId="22">#REF!</definedName>
    <definedName name="__2ANGG_PERUSAHA_2" localSheetId="19">#REF!</definedName>
    <definedName name="__2ANGG_PERUSAHA_2" localSheetId="18">#REF!</definedName>
    <definedName name="__2ANGG_PERUSAHA_2">#REF!</definedName>
    <definedName name="__3ANGG_PERUSAHAAN" localSheetId="8">#REF!</definedName>
    <definedName name="__3ANGG_PERUSAHAAN" localSheetId="12">#REF!</definedName>
    <definedName name="__3ANGG_PERUSAHAAN" localSheetId="21">#REF!</definedName>
    <definedName name="__3ANGG_PERUSAHAAN" localSheetId="23">#REF!</definedName>
    <definedName name="__3ANGG_PERUSAHAAN" localSheetId="20">#REF!</definedName>
    <definedName name="__3ANGG_PERUSAHAAN" localSheetId="22">#REF!</definedName>
    <definedName name="__3ANGG_PERUSAHAAN" localSheetId="19">#REF!</definedName>
    <definedName name="__3ANGG_PERUSAHAAN" localSheetId="18">#REF!</definedName>
    <definedName name="__3ANGG_PERUSAHAAN">#REF!</definedName>
    <definedName name="__4BAHAS_ANGG." localSheetId="8">#REF!</definedName>
    <definedName name="__4BAHAS_ANGG." localSheetId="12">#REF!</definedName>
    <definedName name="__4BAHAS_ANGG." localSheetId="21">#REF!</definedName>
    <definedName name="__4BAHAS_ANGG." localSheetId="23">#REF!</definedName>
    <definedName name="__4BAHAS_ANGG." localSheetId="20">#REF!</definedName>
    <definedName name="__4BAHAS_ANGG." localSheetId="22">#REF!</definedName>
    <definedName name="__4BAHAS_ANGG." localSheetId="19">#REF!</definedName>
    <definedName name="__4BAHAS_ANGG." localSheetId="18">#REF!</definedName>
    <definedName name="__4BAHAS_ANGG.">#REF!</definedName>
    <definedName name="__5BAHAS_DISTURB" localSheetId="8">#REF!</definedName>
    <definedName name="__5BAHAS_DISTURB" localSheetId="12">#REF!</definedName>
    <definedName name="__5BAHAS_DISTURB" localSheetId="21">#REF!</definedName>
    <definedName name="__5BAHAS_DISTURB" localSheetId="23">#REF!</definedName>
    <definedName name="__5BAHAS_DISTURB" localSheetId="20">#REF!</definedName>
    <definedName name="__5BAHAS_DISTURB" localSheetId="22">#REF!</definedName>
    <definedName name="__5BAHAS_DISTURB" localSheetId="19">#REF!</definedName>
    <definedName name="__5BAHAS_DISTURB" localSheetId="18">#REF!</definedName>
    <definedName name="__5BAHAS_DISTURB">#REF!</definedName>
    <definedName name="__6FORM_A" localSheetId="8">#REF!</definedName>
    <definedName name="__6FORM_A" localSheetId="12">#REF!</definedName>
    <definedName name="__6FORM_A" localSheetId="21">#REF!</definedName>
    <definedName name="__6FORM_A" localSheetId="23">#REF!</definedName>
    <definedName name="__6FORM_A" localSheetId="20">#REF!</definedName>
    <definedName name="__6FORM_A" localSheetId="22">#REF!</definedName>
    <definedName name="__6FORM_A" localSheetId="19">#REF!</definedName>
    <definedName name="__6FORM_A" localSheetId="18">#REF!</definedName>
    <definedName name="__6FORM_A">#REF!</definedName>
    <definedName name="__7FORM_B" localSheetId="8">#REF!</definedName>
    <definedName name="__7FORM_B" localSheetId="12">#REF!</definedName>
    <definedName name="__7FORM_B" localSheetId="21">#REF!</definedName>
    <definedName name="__7FORM_B" localSheetId="23">#REF!</definedName>
    <definedName name="__7FORM_B" localSheetId="20">#REF!</definedName>
    <definedName name="__7FORM_B" localSheetId="22">#REF!</definedName>
    <definedName name="__7FORM_B" localSheetId="19">#REF!</definedName>
    <definedName name="__7FORM_B" localSheetId="18">#REF!</definedName>
    <definedName name="__7FORM_B">#REF!</definedName>
    <definedName name="__8GD_PER_TW" localSheetId="8">#REF!</definedName>
    <definedName name="__8GD_PER_TW" localSheetId="12">#REF!</definedName>
    <definedName name="__8GD_PER_TW" localSheetId="21">#REF!</definedName>
    <definedName name="__8GD_PER_TW" localSheetId="23">#REF!</definedName>
    <definedName name="__8GD_PER_TW" localSheetId="20">#REF!</definedName>
    <definedName name="__8GD_PER_TW" localSheetId="22">#REF!</definedName>
    <definedName name="__8GD_PER_TW" localSheetId="19">#REF!</definedName>
    <definedName name="__8GD_PER_TW" localSheetId="18">#REF!</definedName>
    <definedName name="__8GD_PER_TW">#REF!</definedName>
    <definedName name="__9GH_2_SPINDEL" localSheetId="8">#REF!</definedName>
    <definedName name="__9GH_2_SPINDEL" localSheetId="12">#REF!</definedName>
    <definedName name="__9GH_2_SPINDEL" localSheetId="21">#REF!</definedName>
    <definedName name="__9GH_2_SPINDEL" localSheetId="23">#REF!</definedName>
    <definedName name="__9GH_2_SPINDEL" localSheetId="20">#REF!</definedName>
    <definedName name="__9GH_2_SPINDEL" localSheetId="22">#REF!</definedName>
    <definedName name="__9GH_2_SPINDEL" localSheetId="19">#REF!</definedName>
    <definedName name="__9GH_2_SPINDEL" localSheetId="18">#REF!</definedName>
    <definedName name="__9GH_2_SPINDEL">#REF!</definedName>
    <definedName name="__BAT48100">#REF!</definedName>
    <definedName name="__DAF1" localSheetId="8">#REF!</definedName>
    <definedName name="__DAF1" localSheetId="12">#REF!</definedName>
    <definedName name="__DAF1" localSheetId="21">#REF!</definedName>
    <definedName name="__DAF1" localSheetId="23">#REF!</definedName>
    <definedName name="__DAF1" localSheetId="20">#REF!</definedName>
    <definedName name="__DAF1" localSheetId="22">#REF!</definedName>
    <definedName name="__DAF1" localSheetId="19">#REF!</definedName>
    <definedName name="__DAF1" localSheetId="18">#REF!</definedName>
    <definedName name="__DAF1" localSheetId="5">#REF!</definedName>
    <definedName name="__DAF1">#REF!</definedName>
    <definedName name="__DAF11" localSheetId="8">#REF!</definedName>
    <definedName name="__DAF11" localSheetId="12">#REF!</definedName>
    <definedName name="__DAF11" localSheetId="21">#REF!</definedName>
    <definedName name="__DAF11" localSheetId="23">#REF!</definedName>
    <definedName name="__DAF11" localSheetId="20">#REF!</definedName>
    <definedName name="__DAF11" localSheetId="22">#REF!</definedName>
    <definedName name="__DAF11" localSheetId="19">#REF!</definedName>
    <definedName name="__DAF11" localSheetId="18">#REF!</definedName>
    <definedName name="__DAF11" localSheetId="5">#REF!</definedName>
    <definedName name="__DAF11">#REF!</definedName>
    <definedName name="__DAF12" localSheetId="8">#REF!</definedName>
    <definedName name="__DAF12" localSheetId="12">#REF!</definedName>
    <definedName name="__DAF12" localSheetId="21">#REF!</definedName>
    <definedName name="__DAF12" localSheetId="23">#REF!</definedName>
    <definedName name="__DAF12" localSheetId="20">#REF!</definedName>
    <definedName name="__DAF12" localSheetId="22">#REF!</definedName>
    <definedName name="__DAF12" localSheetId="19">#REF!</definedName>
    <definedName name="__DAF12" localSheetId="18">#REF!</definedName>
    <definedName name="__DAF12" localSheetId="5">#REF!</definedName>
    <definedName name="__DAF12">#REF!</definedName>
    <definedName name="__DAF13" localSheetId="8">#REF!</definedName>
    <definedName name="__DAF13" localSheetId="12">#REF!</definedName>
    <definedName name="__DAF13" localSheetId="21">#REF!</definedName>
    <definedName name="__DAF13" localSheetId="23">#REF!</definedName>
    <definedName name="__DAF13" localSheetId="20">#REF!</definedName>
    <definedName name="__DAF13" localSheetId="22">#REF!</definedName>
    <definedName name="__DAF13" localSheetId="19">#REF!</definedName>
    <definedName name="__DAF13" localSheetId="18">#REF!</definedName>
    <definedName name="__DAF13">#REF!</definedName>
    <definedName name="__daf133" localSheetId="8">#REF!</definedName>
    <definedName name="__daf133" localSheetId="12">#REF!</definedName>
    <definedName name="__daf133" localSheetId="21">#REF!</definedName>
    <definedName name="__daf133" localSheetId="23">#REF!</definedName>
    <definedName name="__daf133" localSheetId="20">#REF!</definedName>
    <definedName name="__daf133" localSheetId="22">#REF!</definedName>
    <definedName name="__daf133" localSheetId="19">#REF!</definedName>
    <definedName name="__daf133" localSheetId="18">#REF!</definedName>
    <definedName name="__daf133">#REF!</definedName>
    <definedName name="__DAF14" localSheetId="8">#REF!</definedName>
    <definedName name="__DAF14" localSheetId="12">#REF!</definedName>
    <definedName name="__DAF14" localSheetId="21">#REF!</definedName>
    <definedName name="__DAF14" localSheetId="23">#REF!</definedName>
    <definedName name="__DAF14" localSheetId="20">#REF!</definedName>
    <definedName name="__DAF14" localSheetId="22">#REF!</definedName>
    <definedName name="__DAF14" localSheetId="19">#REF!</definedName>
    <definedName name="__DAF14" localSheetId="18">#REF!</definedName>
    <definedName name="__DAF14">#REF!</definedName>
    <definedName name="__DAF15" localSheetId="8">#REF!</definedName>
    <definedName name="__DAF15" localSheetId="12">#REF!</definedName>
    <definedName name="__DAF15" localSheetId="21">#REF!</definedName>
    <definedName name="__DAF15" localSheetId="23">#REF!</definedName>
    <definedName name="__DAF15" localSheetId="20">#REF!</definedName>
    <definedName name="__DAF15" localSheetId="22">#REF!</definedName>
    <definedName name="__DAF15" localSheetId="19">#REF!</definedName>
    <definedName name="__DAF15" localSheetId="18">#REF!</definedName>
    <definedName name="__DAF15">#REF!</definedName>
    <definedName name="__DAF16" localSheetId="8">#REF!</definedName>
    <definedName name="__DAF16" localSheetId="12">#REF!</definedName>
    <definedName name="__DAF16" localSheetId="21">#REF!</definedName>
    <definedName name="__DAF16" localSheetId="23">#REF!</definedName>
    <definedName name="__DAF16" localSheetId="20">#REF!</definedName>
    <definedName name="__DAF16" localSheetId="22">#REF!</definedName>
    <definedName name="__DAF16" localSheetId="19">#REF!</definedName>
    <definedName name="__DAF16" localSheetId="18">#REF!</definedName>
    <definedName name="__DAF16">#REF!</definedName>
    <definedName name="__DAF17" localSheetId="8">#REF!</definedName>
    <definedName name="__DAF17" localSheetId="12">#REF!</definedName>
    <definedName name="__DAF17" localSheetId="21">#REF!</definedName>
    <definedName name="__DAF17" localSheetId="23">#REF!</definedName>
    <definedName name="__DAF17" localSheetId="20">#REF!</definedName>
    <definedName name="__DAF17" localSheetId="22">#REF!</definedName>
    <definedName name="__DAF17" localSheetId="19">#REF!</definedName>
    <definedName name="__DAF17" localSheetId="18">#REF!</definedName>
    <definedName name="__DAF17">#REF!</definedName>
    <definedName name="__DAF2" localSheetId="8">#REF!</definedName>
    <definedName name="__DAF2" localSheetId="12">#REF!</definedName>
    <definedName name="__DAF2" localSheetId="21">#REF!</definedName>
    <definedName name="__DAF2" localSheetId="23">#REF!</definedName>
    <definedName name="__DAF2" localSheetId="20">#REF!</definedName>
    <definedName name="__DAF2" localSheetId="22">#REF!</definedName>
    <definedName name="__DAF2" localSheetId="19">#REF!</definedName>
    <definedName name="__DAF2" localSheetId="18">#REF!</definedName>
    <definedName name="__DAF2">#REF!</definedName>
    <definedName name="__DAF3" localSheetId="8">#REF!</definedName>
    <definedName name="__DAF3" localSheetId="12">#REF!</definedName>
    <definedName name="__DAF3" localSheetId="21">#REF!</definedName>
    <definedName name="__DAF3" localSheetId="23">#REF!</definedName>
    <definedName name="__DAF3" localSheetId="20">#REF!</definedName>
    <definedName name="__DAF3" localSheetId="22">#REF!</definedName>
    <definedName name="__DAF3" localSheetId="19">#REF!</definedName>
    <definedName name="__DAF3" localSheetId="18">#REF!</definedName>
    <definedName name="__DAF3">#REF!</definedName>
    <definedName name="__hal1" localSheetId="8">#REF!</definedName>
    <definedName name="__hal1" localSheetId="12">#REF!</definedName>
    <definedName name="__hal1" localSheetId="21">#REF!</definedName>
    <definedName name="__hal1" localSheetId="23">#REF!</definedName>
    <definedName name="__hal1" localSheetId="20">#REF!</definedName>
    <definedName name="__hal1" localSheetId="22">#REF!</definedName>
    <definedName name="__hal1" localSheetId="19">#REF!</definedName>
    <definedName name="__hal1" localSheetId="18">#REF!</definedName>
    <definedName name="__hal1">#REF!</definedName>
    <definedName name="__hal2" localSheetId="8">#REF!</definedName>
    <definedName name="__hal2" localSheetId="12">#REF!</definedName>
    <definedName name="__hal2" localSheetId="21">#REF!</definedName>
    <definedName name="__hal2" localSheetId="23">#REF!</definedName>
    <definedName name="__hal2" localSheetId="20">#REF!</definedName>
    <definedName name="__hal2" localSheetId="22">#REF!</definedName>
    <definedName name="__hal2" localSheetId="19">#REF!</definedName>
    <definedName name="__hal2" localSheetId="18">#REF!</definedName>
    <definedName name="__hal2">#REF!</definedName>
    <definedName name="__hal3" localSheetId="8">#REF!</definedName>
    <definedName name="__hal3" localSheetId="12">#REF!</definedName>
    <definedName name="__hal3" localSheetId="21">#REF!</definedName>
    <definedName name="__hal3" localSheetId="23">#REF!</definedName>
    <definedName name="__hal3" localSheetId="20">#REF!</definedName>
    <definedName name="__hal3" localSheetId="22">#REF!</definedName>
    <definedName name="__hal3" localSheetId="19">#REF!</definedName>
    <definedName name="__hal3" localSheetId="18">#REF!</definedName>
    <definedName name="__hal3">#REF!</definedName>
    <definedName name="__hal4" localSheetId="8">#REF!</definedName>
    <definedName name="__hal4" localSheetId="12">#REF!</definedName>
    <definedName name="__hal4" localSheetId="21">#REF!</definedName>
    <definedName name="__hal4" localSheetId="23">#REF!</definedName>
    <definedName name="__hal4" localSheetId="20">#REF!</definedName>
    <definedName name="__hal4" localSheetId="22">#REF!</definedName>
    <definedName name="__hal4" localSheetId="19">#REF!</definedName>
    <definedName name="__hal4" localSheetId="18">#REF!</definedName>
    <definedName name="__hal4">#REF!</definedName>
    <definedName name="__hal5" localSheetId="8">#REF!</definedName>
    <definedName name="__hal5" localSheetId="12">#REF!</definedName>
    <definedName name="__hal5" localSheetId="21">#REF!</definedName>
    <definedName name="__hal5" localSheetId="23">#REF!</definedName>
    <definedName name="__hal5" localSheetId="20">#REF!</definedName>
    <definedName name="__hal5" localSheetId="22">#REF!</definedName>
    <definedName name="__hal5" localSheetId="19">#REF!</definedName>
    <definedName name="__hal5" localSheetId="18">#REF!</definedName>
    <definedName name="__hal5">#REF!</definedName>
    <definedName name="__hal6" localSheetId="8">#REF!</definedName>
    <definedName name="__hal6" localSheetId="12">#REF!</definedName>
    <definedName name="__hal6" localSheetId="21">#REF!</definedName>
    <definedName name="__hal6" localSheetId="23">#REF!</definedName>
    <definedName name="__hal6" localSheetId="20">#REF!</definedName>
    <definedName name="__hal6" localSheetId="22">#REF!</definedName>
    <definedName name="__hal6" localSheetId="19">#REF!</definedName>
    <definedName name="__hal6" localSheetId="18">#REF!</definedName>
    <definedName name="__hal6">#REF!</definedName>
    <definedName name="__HLM1">#REF!</definedName>
    <definedName name="__HLM2" localSheetId="8">#REF!</definedName>
    <definedName name="__HLM2" localSheetId="21">#REF!</definedName>
    <definedName name="__HLM2" localSheetId="23">#REF!</definedName>
    <definedName name="__HLM2" localSheetId="20">#REF!</definedName>
    <definedName name="__HLM2" localSheetId="22">#REF!</definedName>
    <definedName name="__HLM2" localSheetId="19">#REF!</definedName>
    <definedName name="__HLM2" localSheetId="5">#REF!</definedName>
    <definedName name="__HLM2">#REF!</definedName>
    <definedName name="__HLM3" localSheetId="8">#REF!</definedName>
    <definedName name="__HLM3" localSheetId="21">#REF!</definedName>
    <definedName name="__HLM3" localSheetId="23">#REF!</definedName>
    <definedName name="__HLM3" localSheetId="20">#REF!</definedName>
    <definedName name="__HLM3" localSheetId="22">#REF!</definedName>
    <definedName name="__HLM3" localSheetId="19">#REF!</definedName>
    <definedName name="__HLM3" localSheetId="5">#REF!</definedName>
    <definedName name="__HLM3">#REF!</definedName>
    <definedName name="__JUD1" localSheetId="8">#REF!</definedName>
    <definedName name="__JUD1" localSheetId="21">#REF!</definedName>
    <definedName name="__JUD1" localSheetId="23">#REF!</definedName>
    <definedName name="__JUD1" localSheetId="20">#REF!</definedName>
    <definedName name="__JUD1" localSheetId="22">#REF!</definedName>
    <definedName name="__JUD1" localSheetId="19">#REF!</definedName>
    <definedName name="__JUD1" localSheetId="5">#REF!</definedName>
    <definedName name="__JUD1">#REF!</definedName>
    <definedName name="__JUD2" localSheetId="8">#REF!</definedName>
    <definedName name="__JUD2" localSheetId="21">#REF!</definedName>
    <definedName name="__JUD2" localSheetId="23">#REF!</definedName>
    <definedName name="__JUD2" localSheetId="20">#REF!</definedName>
    <definedName name="__JUD2" localSheetId="22">#REF!</definedName>
    <definedName name="__JUD2" localSheetId="19">#REF!</definedName>
    <definedName name="__JUD2" localSheetId="5">#REF!</definedName>
    <definedName name="__JUD2">#REF!</definedName>
    <definedName name="__JUD3" localSheetId="8">#REF!</definedName>
    <definedName name="__JUD3" localSheetId="21">#REF!</definedName>
    <definedName name="__JUD3" localSheetId="23">#REF!</definedName>
    <definedName name="__JUD3" localSheetId="20">#REF!</definedName>
    <definedName name="__JUD3" localSheetId="22">#REF!</definedName>
    <definedName name="__JUD3" localSheetId="19">#REF!</definedName>
    <definedName name="__JUD3">#REF!</definedName>
    <definedName name="__JUD4" localSheetId="8">#REF!</definedName>
    <definedName name="__JUD4" localSheetId="21">#REF!</definedName>
    <definedName name="__JUD4" localSheetId="23">#REF!</definedName>
    <definedName name="__JUD4" localSheetId="20">#REF!</definedName>
    <definedName name="__JUD4" localSheetId="22">#REF!</definedName>
    <definedName name="__JUD4" localSheetId="19">#REF!</definedName>
    <definedName name="__JUD4">#REF!</definedName>
    <definedName name="__JUD5" localSheetId="8">#REF!</definedName>
    <definedName name="__JUD5" localSheetId="21">#REF!</definedName>
    <definedName name="__JUD5" localSheetId="23">#REF!</definedName>
    <definedName name="__JUD5" localSheetId="20">#REF!</definedName>
    <definedName name="__JUD5" localSheetId="22">#REF!</definedName>
    <definedName name="__JUD5" localSheetId="19">#REF!</definedName>
    <definedName name="__JUD5">#REF!</definedName>
    <definedName name="__JUD6" localSheetId="8">#REF!</definedName>
    <definedName name="__JUD6" localSheetId="21">#REF!</definedName>
    <definedName name="__JUD6" localSheetId="23">#REF!</definedName>
    <definedName name="__JUD6" localSheetId="20">#REF!</definedName>
    <definedName name="__JUD6" localSheetId="22">#REF!</definedName>
    <definedName name="__JUD6" localSheetId="19">#REF!</definedName>
    <definedName name="__JUD6">#REF!</definedName>
    <definedName name="__JUD7" localSheetId="8">#REF!</definedName>
    <definedName name="__JUD7" localSheetId="21">#REF!</definedName>
    <definedName name="__JUD7" localSheetId="23">#REF!</definedName>
    <definedName name="__JUD7" localSheetId="20">#REF!</definedName>
    <definedName name="__JUD7" localSheetId="22">#REF!</definedName>
    <definedName name="__JUD7" localSheetId="19">#REF!</definedName>
    <definedName name="__JUD7">#REF!</definedName>
    <definedName name="__JUL3" localSheetId="8">#REF!</definedName>
    <definedName name="__JUL3" localSheetId="21">#REF!</definedName>
    <definedName name="__JUL3" localSheetId="23">#REF!</definedName>
    <definedName name="__JUL3" localSheetId="20">#REF!</definedName>
    <definedName name="__JUL3" localSheetId="22">#REF!</definedName>
    <definedName name="__JUL3" localSheetId="19">#REF!</definedName>
    <definedName name="__JUL3" localSheetId="5">#REF!</definedName>
    <definedName name="__JUL3">#REF!</definedName>
    <definedName name="__kb1" localSheetId="8">#REF!</definedName>
    <definedName name="__kb1" localSheetId="12">#REF!</definedName>
    <definedName name="__kb1" localSheetId="21">#REF!</definedName>
    <definedName name="__kb1" localSheetId="23">#REF!</definedName>
    <definedName name="__kb1" localSheetId="20">#REF!</definedName>
    <definedName name="__kb1" localSheetId="22">#REF!</definedName>
    <definedName name="__kb1" localSheetId="19">#REF!</definedName>
    <definedName name="__kb1" localSheetId="18">#REF!</definedName>
    <definedName name="__kb1">#REF!</definedName>
    <definedName name="__kb2" localSheetId="8">#REF!</definedName>
    <definedName name="__kb2" localSheetId="12">#REF!</definedName>
    <definedName name="__kb2" localSheetId="21">#REF!</definedName>
    <definedName name="__kb2" localSheetId="23">#REF!</definedName>
    <definedName name="__kb2" localSheetId="20">#REF!</definedName>
    <definedName name="__kb2" localSheetId="22">#REF!</definedName>
    <definedName name="__kb2" localSheetId="19">#REF!</definedName>
    <definedName name="__kb2" localSheetId="18">#REF!</definedName>
    <definedName name="__kb2">#REF!</definedName>
    <definedName name="__kp1" localSheetId="8">#REF!</definedName>
    <definedName name="__kp1" localSheetId="12">#REF!</definedName>
    <definedName name="__kp1" localSheetId="21">#REF!</definedName>
    <definedName name="__kp1" localSheetId="23">#REF!</definedName>
    <definedName name="__kp1" localSheetId="20">#REF!</definedName>
    <definedName name="__kp1" localSheetId="22">#REF!</definedName>
    <definedName name="__kp1" localSheetId="19">#REF!</definedName>
    <definedName name="__kp1" localSheetId="18">#REF!</definedName>
    <definedName name="__kp1">#REF!</definedName>
    <definedName name="__la150">#REF!</definedName>
    <definedName name="__MAN1">#REF!</definedName>
    <definedName name="__MAN2" localSheetId="8">#REF!</definedName>
    <definedName name="__MAN2" localSheetId="21">#REF!</definedName>
    <definedName name="__MAN2" localSheetId="23">#REF!</definedName>
    <definedName name="__MAN2" localSheetId="20">#REF!</definedName>
    <definedName name="__MAN2" localSheetId="22">#REF!</definedName>
    <definedName name="__MAN2" localSheetId="19">#REF!</definedName>
    <definedName name="__MAN2" localSheetId="5">#REF!</definedName>
    <definedName name="__MAN2">#REF!</definedName>
    <definedName name="__MAN3" localSheetId="8">#REF!</definedName>
    <definedName name="__MAN3" localSheetId="21">#REF!</definedName>
    <definedName name="__MAN3" localSheetId="23">#REF!</definedName>
    <definedName name="__MAN3" localSheetId="20">#REF!</definedName>
    <definedName name="__MAN3" localSheetId="22">#REF!</definedName>
    <definedName name="__MAN3" localSheetId="19">#REF!</definedName>
    <definedName name="__MAN3" localSheetId="5">#REF!</definedName>
    <definedName name="__MAN3">#REF!</definedName>
    <definedName name="__MEI92" localSheetId="8">#REF!</definedName>
    <definedName name="__MEI92" localSheetId="12">#REF!</definedName>
    <definedName name="__MEI92" localSheetId="21">#REF!</definedName>
    <definedName name="__MEI92" localSheetId="23">#REF!</definedName>
    <definedName name="__MEI92" localSheetId="20">#REF!</definedName>
    <definedName name="__MEI92" localSheetId="22">#REF!</definedName>
    <definedName name="__MEI92" localSheetId="19">#REF!</definedName>
    <definedName name="__MEI92" localSheetId="18">#REF!</definedName>
    <definedName name="__MEI92" localSheetId="5">#REF!</definedName>
    <definedName name="__MEI92">#REF!</definedName>
    <definedName name="__npv1" localSheetId="8">#REF!</definedName>
    <definedName name="__npv1" localSheetId="12">#REF!</definedName>
    <definedName name="__npv1" localSheetId="21">#REF!</definedName>
    <definedName name="__npv1" localSheetId="23">#REF!</definedName>
    <definedName name="__npv1" localSheetId="20">#REF!</definedName>
    <definedName name="__npv1" localSheetId="22">#REF!</definedName>
    <definedName name="__npv1" localSheetId="19">#REF!</definedName>
    <definedName name="__npv1" localSheetId="18">#REF!</definedName>
    <definedName name="__npv1" localSheetId="5">#REF!</definedName>
    <definedName name="__npv1">#REF!</definedName>
    <definedName name="__npv2" localSheetId="8">#REF!</definedName>
    <definedName name="__npv2" localSheetId="12">#REF!</definedName>
    <definedName name="__npv2" localSheetId="21">#REF!</definedName>
    <definedName name="__npv2" localSheetId="23">#REF!</definedName>
    <definedName name="__npv2" localSheetId="20">#REF!</definedName>
    <definedName name="__npv2" localSheetId="22">#REF!</definedName>
    <definedName name="__npv2" localSheetId="19">#REF!</definedName>
    <definedName name="__npv2" localSheetId="18">#REF!</definedName>
    <definedName name="__npv2" localSheetId="5">#REF!</definedName>
    <definedName name="__npv2">#REF!</definedName>
    <definedName name="__pmt7040">#REF!</definedName>
    <definedName name="__rab1" localSheetId="8">#REF!</definedName>
    <definedName name="__rab1" localSheetId="12">#REF!</definedName>
    <definedName name="__rab1" localSheetId="21">#REF!</definedName>
    <definedName name="__rab1" localSheetId="23">#REF!</definedName>
    <definedName name="__rab1" localSheetId="20">#REF!</definedName>
    <definedName name="__rab1" localSheetId="22">#REF!</definedName>
    <definedName name="__rab1" localSheetId="19">#REF!</definedName>
    <definedName name="__rab1" localSheetId="18">#REF!</definedName>
    <definedName name="__rab1" localSheetId="5">#REF!</definedName>
    <definedName name="__rab1">#REF!</definedName>
    <definedName name="__rab2" localSheetId="8">#REF!</definedName>
    <definedName name="__rab2" localSheetId="12">#REF!</definedName>
    <definedName name="__rab2" localSheetId="21">#REF!</definedName>
    <definedName name="__rab2" localSheetId="23">#REF!</definedName>
    <definedName name="__rab2" localSheetId="20">#REF!</definedName>
    <definedName name="__rab2" localSheetId="22">#REF!</definedName>
    <definedName name="__rab2" localSheetId="19">#REF!</definedName>
    <definedName name="__rab2" localSheetId="18">#REF!</definedName>
    <definedName name="__rab2" localSheetId="5">#REF!</definedName>
    <definedName name="__rab2">#REF!</definedName>
    <definedName name="__sem1" localSheetId="8">#REF!</definedName>
    <definedName name="__sem1" localSheetId="12">#REF!</definedName>
    <definedName name="__sem1" localSheetId="21">#REF!</definedName>
    <definedName name="__sem1" localSheetId="23">#REF!</definedName>
    <definedName name="__sem1" localSheetId="20">#REF!</definedName>
    <definedName name="__sem1" localSheetId="22">#REF!</definedName>
    <definedName name="__sem1" localSheetId="19">#REF!</definedName>
    <definedName name="__sem1" localSheetId="18">#REF!</definedName>
    <definedName name="__sem1" localSheetId="5">#REF!</definedName>
    <definedName name="__sem1">#REF!</definedName>
    <definedName name="__sm1" localSheetId="8">#REF!</definedName>
    <definedName name="__sm1" localSheetId="12">#REF!</definedName>
    <definedName name="__sm1" localSheetId="21">#REF!</definedName>
    <definedName name="__sm1" localSheetId="23">#REF!</definedName>
    <definedName name="__sm1" localSheetId="20">#REF!</definedName>
    <definedName name="__sm1" localSheetId="22">#REF!</definedName>
    <definedName name="__sm1" localSheetId="19">#REF!</definedName>
    <definedName name="__sm1" localSheetId="18">#REF!</definedName>
    <definedName name="__sm1">#REF!</definedName>
    <definedName name="__Tab1" localSheetId="8">#REF!</definedName>
    <definedName name="__Tab1" localSheetId="12">#REF!</definedName>
    <definedName name="__Tab1" localSheetId="21">#REF!</definedName>
    <definedName name="__Tab1" localSheetId="23">#REF!</definedName>
    <definedName name="__Tab1" localSheetId="20">#REF!</definedName>
    <definedName name="__Tab1" localSheetId="22">#REF!</definedName>
    <definedName name="__Tab1" localSheetId="19">#REF!</definedName>
    <definedName name="__Tab1" localSheetId="18">#REF!</definedName>
    <definedName name="__Tab1">#REF!</definedName>
    <definedName name="__Tab2" localSheetId="8">#REF!</definedName>
    <definedName name="__Tab2" localSheetId="12">#REF!</definedName>
    <definedName name="__Tab2" localSheetId="21">#REF!</definedName>
    <definedName name="__Tab2" localSheetId="23">#REF!</definedName>
    <definedName name="__Tab2" localSheetId="20">#REF!</definedName>
    <definedName name="__Tab2" localSheetId="22">#REF!</definedName>
    <definedName name="__Tab2" localSheetId="19">#REF!</definedName>
    <definedName name="__Tab2" localSheetId="18">#REF!</definedName>
    <definedName name="__Tab2">#REF!</definedName>
    <definedName name="__Tab3" localSheetId="8">#REF!</definedName>
    <definedName name="__Tab3" localSheetId="12">#REF!</definedName>
    <definedName name="__Tab3" localSheetId="21">#REF!</definedName>
    <definedName name="__Tab3" localSheetId="23">#REF!</definedName>
    <definedName name="__Tab3" localSheetId="20">#REF!</definedName>
    <definedName name="__Tab3" localSheetId="22">#REF!</definedName>
    <definedName name="__Tab3" localSheetId="19">#REF!</definedName>
    <definedName name="__Tab3" localSheetId="18">#REF!</definedName>
    <definedName name="__Tab3">#REF!</definedName>
    <definedName name="__TRP1" localSheetId="8">#REF!</definedName>
    <definedName name="__TRP1" localSheetId="21">#REF!</definedName>
    <definedName name="__TRP1" localSheetId="23">#REF!</definedName>
    <definedName name="__TRP1" localSheetId="20">#REF!</definedName>
    <definedName name="__TRP1" localSheetId="22">#REF!</definedName>
    <definedName name="__TRP1" localSheetId="19">#REF!</definedName>
    <definedName name="__TRP1" localSheetId="5">#REF!</definedName>
    <definedName name="__TRP1">#REF!</definedName>
    <definedName name="__trw1" localSheetId="8">#REF!</definedName>
    <definedName name="__trw1" localSheetId="12">#REF!</definedName>
    <definedName name="__trw1" localSheetId="21">#REF!</definedName>
    <definedName name="__trw1" localSheetId="23">#REF!</definedName>
    <definedName name="__trw1" localSheetId="20">#REF!</definedName>
    <definedName name="__trw1" localSheetId="22">#REF!</definedName>
    <definedName name="__trw1" localSheetId="19">#REF!</definedName>
    <definedName name="__trw1" localSheetId="18">#REF!</definedName>
    <definedName name="__trw1" localSheetId="5">#REF!</definedName>
    <definedName name="__trw1">#REF!</definedName>
    <definedName name="__trw2" localSheetId="8">#REF!</definedName>
    <definedName name="__trw2" localSheetId="12">#REF!</definedName>
    <definedName name="__trw2" localSheetId="21">#REF!</definedName>
    <definedName name="__trw2" localSheetId="23">#REF!</definedName>
    <definedName name="__trw2" localSheetId="20">#REF!</definedName>
    <definedName name="__trw2" localSheetId="22">#REF!</definedName>
    <definedName name="__trw2" localSheetId="19">#REF!</definedName>
    <definedName name="__trw2" localSheetId="18">#REF!</definedName>
    <definedName name="__trw2" localSheetId="5">#REF!</definedName>
    <definedName name="__trw2">#REF!</definedName>
    <definedName name="__trw3" localSheetId="8">#REF!</definedName>
    <definedName name="__trw3" localSheetId="12">#REF!</definedName>
    <definedName name="__trw3" localSheetId="21">#REF!</definedName>
    <definedName name="__trw3" localSheetId="23">#REF!</definedName>
    <definedName name="__trw3" localSheetId="20">#REF!</definedName>
    <definedName name="__trw3" localSheetId="22">#REF!</definedName>
    <definedName name="__trw3" localSheetId="19">#REF!</definedName>
    <definedName name="__trw3" localSheetId="18">#REF!</definedName>
    <definedName name="__trw3" localSheetId="5">#REF!</definedName>
    <definedName name="__trw3">#REF!</definedName>
    <definedName name="__TVA1" localSheetId="8">#REF!</definedName>
    <definedName name="__TVA1" localSheetId="21">#REF!</definedName>
    <definedName name="__TVA1" localSheetId="23">#REF!</definedName>
    <definedName name="__TVA1" localSheetId="20">#REF!</definedName>
    <definedName name="__TVA1" localSheetId="22">#REF!</definedName>
    <definedName name="__TVA1" localSheetId="19">#REF!</definedName>
    <definedName name="__TVA1" localSheetId="5">#REF!</definedName>
    <definedName name="__TVA1">#REF!</definedName>
    <definedName name="__TW1" localSheetId="8">#REF!</definedName>
    <definedName name="__TW1" localSheetId="12">#REF!</definedName>
    <definedName name="__TW1" localSheetId="21">#REF!</definedName>
    <definedName name="__TW1" localSheetId="23">#REF!</definedName>
    <definedName name="__TW1" localSheetId="20">#REF!</definedName>
    <definedName name="__TW1" localSheetId="22">#REF!</definedName>
    <definedName name="__TW1" localSheetId="19">#REF!</definedName>
    <definedName name="__TW1" localSheetId="18">#REF!</definedName>
    <definedName name="__TW1" localSheetId="5">#REF!</definedName>
    <definedName name="__TW1">#REF!</definedName>
    <definedName name="__TW2" localSheetId="8">#REF!</definedName>
    <definedName name="__TW2" localSheetId="12">#REF!</definedName>
    <definedName name="__TW2" localSheetId="21">#REF!</definedName>
    <definedName name="__TW2" localSheetId="23">#REF!</definedName>
    <definedName name="__TW2" localSheetId="20">#REF!</definedName>
    <definedName name="__TW2" localSheetId="22">#REF!</definedName>
    <definedName name="__TW2" localSheetId="19">#REF!</definedName>
    <definedName name="__TW2" localSheetId="18">#REF!</definedName>
    <definedName name="__TW2" localSheetId="5">#REF!</definedName>
    <definedName name="__TW2">#REF!</definedName>
    <definedName name="_1" localSheetId="8">#REF!</definedName>
    <definedName name="_1" localSheetId="12">#REF!</definedName>
    <definedName name="_1" localSheetId="21">#REF!</definedName>
    <definedName name="_1" localSheetId="23">#REF!</definedName>
    <definedName name="_1" localSheetId="20">#REF!</definedName>
    <definedName name="_1" localSheetId="22">#REF!</definedName>
    <definedName name="_1" localSheetId="19">#REF!</definedName>
    <definedName name="_1" localSheetId="18">#REF!</definedName>
    <definedName name="_1" localSheetId="5">#REF!</definedName>
    <definedName name="_1">#REF!</definedName>
    <definedName name="_1__123Graph_ACHART_1" localSheetId="8" hidden="1">#REF!</definedName>
    <definedName name="_1__123Graph_ACHART_1" localSheetId="21" hidden="1">#REF!</definedName>
    <definedName name="_1__123Graph_ACHART_1" localSheetId="23" hidden="1">#REF!</definedName>
    <definedName name="_1__123Graph_ACHART_1" localSheetId="20" hidden="1">#REF!</definedName>
    <definedName name="_1__123Graph_ACHART_1" localSheetId="22" hidden="1">#REF!</definedName>
    <definedName name="_1__123Graph_ACHART_1" localSheetId="19" hidden="1">#REF!</definedName>
    <definedName name="_1__123Graph_ACHART_1" localSheetId="5" hidden="1">#REF!</definedName>
    <definedName name="_1__123Graph_ACHART_1" hidden="1">#REF!</definedName>
    <definedName name="_1_2002_VS_2001" localSheetId="8">#REF!</definedName>
    <definedName name="_1_2002_VS_2001" localSheetId="12">#REF!</definedName>
    <definedName name="_1_2002_VS_2001" localSheetId="21">#REF!</definedName>
    <definedName name="_1_2002_VS_2001" localSheetId="23">#REF!</definedName>
    <definedName name="_1_2002_VS_2001" localSheetId="20">#REF!</definedName>
    <definedName name="_1_2002_VS_2001" localSheetId="22">#REF!</definedName>
    <definedName name="_1_2002_VS_2001" localSheetId="19">#REF!</definedName>
    <definedName name="_1_2002_VS_2001" localSheetId="18">#REF!</definedName>
    <definedName name="_1_2002_VS_2001" localSheetId="5">#REF!</definedName>
    <definedName name="_1_2002_VS_2001">#REF!</definedName>
    <definedName name="_10" localSheetId="8">#REF!</definedName>
    <definedName name="_10" localSheetId="12">#REF!</definedName>
    <definedName name="_10" localSheetId="21">#REF!</definedName>
    <definedName name="_10" localSheetId="23">#REF!</definedName>
    <definedName name="_10" localSheetId="20">#REF!</definedName>
    <definedName name="_10" localSheetId="22">#REF!</definedName>
    <definedName name="_10" localSheetId="19">#REF!</definedName>
    <definedName name="_10" localSheetId="18">#REF!</definedName>
    <definedName name="_10" localSheetId="5">#REF!</definedName>
    <definedName name="_10">#REF!</definedName>
    <definedName name="_10__123Graph_ACHART_5" localSheetId="8" hidden="1">#REF!</definedName>
    <definedName name="_10__123Graph_ACHART_5" localSheetId="21" hidden="1">#REF!</definedName>
    <definedName name="_10__123Graph_ACHART_5" localSheetId="23" hidden="1">#REF!</definedName>
    <definedName name="_10__123Graph_ACHART_5" localSheetId="20" hidden="1">#REF!</definedName>
    <definedName name="_10__123Graph_ACHART_5" localSheetId="22" hidden="1">#REF!</definedName>
    <definedName name="_10__123Graph_ACHART_5" localSheetId="19" hidden="1">#REF!</definedName>
    <definedName name="_10__123Graph_ACHART_5" localSheetId="5" hidden="1">#REF!</definedName>
    <definedName name="_10__123Graph_ACHART_5" hidden="1">#REF!</definedName>
    <definedName name="_10__123Graph_BCHART_5" localSheetId="8" hidden="1">#REF!</definedName>
    <definedName name="_10__123Graph_BCHART_5" localSheetId="21" hidden="1">#REF!</definedName>
    <definedName name="_10__123Graph_BCHART_5" localSheetId="23" hidden="1">#REF!</definedName>
    <definedName name="_10__123Graph_BCHART_5" localSheetId="20" hidden="1">#REF!</definedName>
    <definedName name="_10__123Graph_BCHART_5" localSheetId="22" hidden="1">#REF!</definedName>
    <definedName name="_10__123Graph_BCHART_5" localSheetId="19" hidden="1">#REF!</definedName>
    <definedName name="_10__123Graph_BCHART_5" localSheetId="5" hidden="1">#REF!</definedName>
    <definedName name="_10__123Graph_BCHART_5" hidden="1">#REF!</definedName>
    <definedName name="_10INV_PERUSAHAA_2" localSheetId="8">#REF!</definedName>
    <definedName name="_10INV_PERUSAHAA_2" localSheetId="12">#REF!</definedName>
    <definedName name="_10INV_PERUSAHAA_2" localSheetId="21">#REF!</definedName>
    <definedName name="_10INV_PERUSAHAA_2" localSheetId="23">#REF!</definedName>
    <definedName name="_10INV_PERUSAHAA_2" localSheetId="20">#REF!</definedName>
    <definedName name="_10INV_PERUSAHAA_2" localSheetId="22">#REF!</definedName>
    <definedName name="_10INV_PERUSAHAA_2" localSheetId="19">#REF!</definedName>
    <definedName name="_10INV_PERUSAHAA_2" localSheetId="18">#REF!</definedName>
    <definedName name="_10INV_PERUSAHAA_2" localSheetId="5">#REF!</definedName>
    <definedName name="_10INV_PERUSAHAA_2">#REF!</definedName>
    <definedName name="_11" localSheetId="8">#REF!</definedName>
    <definedName name="_11" localSheetId="12">#REF!</definedName>
    <definedName name="_11" localSheetId="21">#REF!</definedName>
    <definedName name="_11" localSheetId="23">#REF!</definedName>
    <definedName name="_11" localSheetId="20">#REF!</definedName>
    <definedName name="_11" localSheetId="22">#REF!</definedName>
    <definedName name="_11" localSheetId="19">#REF!</definedName>
    <definedName name="_11" localSheetId="18">#REF!</definedName>
    <definedName name="_11" localSheetId="5">#REF!</definedName>
    <definedName name="_11">#REF!</definedName>
    <definedName name="_11__123Graph_CCHART_1" localSheetId="8" hidden="1">#REF!</definedName>
    <definedName name="_11__123Graph_CCHART_1" localSheetId="21" hidden="1">#REF!</definedName>
    <definedName name="_11__123Graph_CCHART_1" localSheetId="23" hidden="1">#REF!</definedName>
    <definedName name="_11__123Graph_CCHART_1" localSheetId="20" hidden="1">#REF!</definedName>
    <definedName name="_11__123Graph_CCHART_1" localSheetId="22" hidden="1">#REF!</definedName>
    <definedName name="_11__123Graph_CCHART_1" localSheetId="19" hidden="1">#REF!</definedName>
    <definedName name="_11__123Graph_CCHART_1" hidden="1">#REF!</definedName>
    <definedName name="_11INV_PERUSAHAAN" localSheetId="8">#REF!</definedName>
    <definedName name="_11INV_PERUSAHAAN" localSheetId="12">#REF!</definedName>
    <definedName name="_11INV_PERUSAHAAN" localSheetId="21">#REF!</definedName>
    <definedName name="_11INV_PERUSAHAAN" localSheetId="23">#REF!</definedName>
    <definedName name="_11INV_PERUSAHAAN" localSheetId="20">#REF!</definedName>
    <definedName name="_11INV_PERUSAHAAN" localSheetId="22">#REF!</definedName>
    <definedName name="_11INV_PERUSAHAAN" localSheetId="19">#REF!</definedName>
    <definedName name="_11INV_PERUSAHAAN" localSheetId="18">#REF!</definedName>
    <definedName name="_11INV_PERUSAHAAN" localSheetId="5">#REF!</definedName>
    <definedName name="_11INV_PERUSAHAAN">#REF!</definedName>
    <definedName name="_12" localSheetId="8">#REF!</definedName>
    <definedName name="_12" localSheetId="12">#REF!</definedName>
    <definedName name="_12" localSheetId="21">#REF!</definedName>
    <definedName name="_12" localSheetId="23">#REF!</definedName>
    <definedName name="_12" localSheetId="20">#REF!</definedName>
    <definedName name="_12" localSheetId="22">#REF!</definedName>
    <definedName name="_12" localSheetId="19">#REF!</definedName>
    <definedName name="_12" localSheetId="18">#REF!</definedName>
    <definedName name="_12" localSheetId="5">#REF!</definedName>
    <definedName name="_12">#REF!</definedName>
    <definedName name="_12__123Graph_BCHART_1" localSheetId="8" hidden="1">#REF!</definedName>
    <definedName name="_12__123Graph_BCHART_1" localSheetId="21" hidden="1">#REF!</definedName>
    <definedName name="_12__123Graph_BCHART_1" localSheetId="23" hidden="1">#REF!</definedName>
    <definedName name="_12__123Graph_BCHART_1" localSheetId="20" hidden="1">#REF!</definedName>
    <definedName name="_12__123Graph_BCHART_1" localSheetId="22" hidden="1">#REF!</definedName>
    <definedName name="_12__123Graph_BCHART_1" localSheetId="19" hidden="1">#REF!</definedName>
    <definedName name="_12__123Graph_BCHART_1" hidden="1">#REF!</definedName>
    <definedName name="_12__123Graph_CCHART_2" localSheetId="8" hidden="1">#REF!</definedName>
    <definedName name="_12__123Graph_CCHART_2" localSheetId="21" hidden="1">#REF!</definedName>
    <definedName name="_12__123Graph_CCHART_2" localSheetId="23" hidden="1">#REF!</definedName>
    <definedName name="_12__123Graph_CCHART_2" localSheetId="20" hidden="1">#REF!</definedName>
    <definedName name="_12__123Graph_CCHART_2" localSheetId="22" hidden="1">#REF!</definedName>
    <definedName name="_12__123Graph_CCHART_2" localSheetId="19" hidden="1">#REF!</definedName>
    <definedName name="_12__123Graph_CCHART_2" hidden="1">#REF!</definedName>
    <definedName name="_128__123Graph_ACHART_4" localSheetId="8" hidden="1">#REF!</definedName>
    <definedName name="_128__123Graph_ACHART_4" localSheetId="21" hidden="1">#REF!</definedName>
    <definedName name="_128__123Graph_ACHART_4" localSheetId="23" hidden="1">#REF!</definedName>
    <definedName name="_128__123Graph_ACHART_4" localSheetId="20" hidden="1">#REF!</definedName>
    <definedName name="_128__123Graph_ACHART_4" localSheetId="22" hidden="1">#REF!</definedName>
    <definedName name="_128__123Graph_ACHART_4" localSheetId="19" hidden="1">#REF!</definedName>
    <definedName name="_128__123Graph_ACHART_4" hidden="1">#REF!</definedName>
    <definedName name="_12JTM_PER_TW" localSheetId="8">#REF!</definedName>
    <definedName name="_12JTM_PER_TW" localSheetId="12">#REF!</definedName>
    <definedName name="_12JTM_PER_TW" localSheetId="21">#REF!</definedName>
    <definedName name="_12JTM_PER_TW" localSheetId="23">#REF!</definedName>
    <definedName name="_12JTM_PER_TW" localSheetId="20">#REF!</definedName>
    <definedName name="_12JTM_PER_TW" localSheetId="22">#REF!</definedName>
    <definedName name="_12JTM_PER_TW" localSheetId="19">#REF!</definedName>
    <definedName name="_12JTM_PER_TW" localSheetId="18">#REF!</definedName>
    <definedName name="_12JTM_PER_TW" localSheetId="5">#REF!</definedName>
    <definedName name="_12JTM_PER_TW">#REF!</definedName>
    <definedName name="_13__123Graph_CCHART_3" localSheetId="8" hidden="1">#REF!</definedName>
    <definedName name="_13__123Graph_CCHART_3" localSheetId="21" hidden="1">#REF!</definedName>
    <definedName name="_13__123Graph_CCHART_3" localSheetId="23" hidden="1">#REF!</definedName>
    <definedName name="_13__123Graph_CCHART_3" localSheetId="20" hidden="1">#REF!</definedName>
    <definedName name="_13__123Graph_CCHART_3" localSheetId="22" hidden="1">#REF!</definedName>
    <definedName name="_13__123Graph_CCHART_3" localSheetId="19" hidden="1">#REF!</definedName>
    <definedName name="_13__123Graph_CCHART_3" hidden="1">#REF!</definedName>
    <definedName name="_13REKAP_KEGIATAN" localSheetId="8">#REF!</definedName>
    <definedName name="_13REKAP_KEGIATAN" localSheetId="12">#REF!</definedName>
    <definedName name="_13REKAP_KEGIATAN" localSheetId="21">#REF!</definedName>
    <definedName name="_13REKAP_KEGIATAN" localSheetId="23">#REF!</definedName>
    <definedName name="_13REKAP_KEGIATAN" localSheetId="20">#REF!</definedName>
    <definedName name="_13REKAP_KEGIATAN" localSheetId="22">#REF!</definedName>
    <definedName name="_13REKAP_KEGIATAN" localSheetId="19">#REF!</definedName>
    <definedName name="_13REKAP_KEGIATAN" localSheetId="18">#REF!</definedName>
    <definedName name="_13REKAP_KEGIATAN" localSheetId="5">#REF!</definedName>
    <definedName name="_13REKAP_KEGIATAN">#REF!</definedName>
    <definedName name="_14__123Graph_BCHART_2" localSheetId="8" hidden="1">#REF!</definedName>
    <definedName name="_14__123Graph_BCHART_2" localSheetId="21" hidden="1">#REF!</definedName>
    <definedName name="_14__123Graph_BCHART_2" localSheetId="23" hidden="1">#REF!</definedName>
    <definedName name="_14__123Graph_BCHART_2" localSheetId="20" hidden="1">#REF!</definedName>
    <definedName name="_14__123Graph_BCHART_2" localSheetId="22" hidden="1">#REF!</definedName>
    <definedName name="_14__123Graph_BCHART_2" localSheetId="19" hidden="1">#REF!</definedName>
    <definedName name="_14__123Graph_BCHART_2" hidden="1">#REF!</definedName>
    <definedName name="_14__123Graph_CCHART_4" localSheetId="8" hidden="1">#REF!</definedName>
    <definedName name="_14__123Graph_CCHART_4" localSheetId="21" hidden="1">#REF!</definedName>
    <definedName name="_14__123Graph_CCHART_4" localSheetId="23" hidden="1">#REF!</definedName>
    <definedName name="_14__123Graph_CCHART_4" localSheetId="20" hidden="1">#REF!</definedName>
    <definedName name="_14__123Graph_CCHART_4" localSheetId="22" hidden="1">#REF!</definedName>
    <definedName name="_14__123Graph_CCHART_4" localSheetId="19" hidden="1">#REF!</definedName>
    <definedName name="_14__123Graph_CCHART_4" hidden="1">#REF!</definedName>
    <definedName name="_14REKAP_PAK_AEP" localSheetId="8">#REF!</definedName>
    <definedName name="_14REKAP_PAK_AEP" localSheetId="12">#REF!</definedName>
    <definedName name="_14REKAP_PAK_AEP" localSheetId="21">#REF!</definedName>
    <definedName name="_14REKAP_PAK_AEP" localSheetId="23">#REF!</definedName>
    <definedName name="_14REKAP_PAK_AEP" localSheetId="20">#REF!</definedName>
    <definedName name="_14REKAP_PAK_AEP" localSheetId="22">#REF!</definedName>
    <definedName name="_14REKAP_PAK_AEP" localSheetId="19">#REF!</definedName>
    <definedName name="_14REKAP_PAK_AEP" localSheetId="18">#REF!</definedName>
    <definedName name="_14REKAP_PAK_AEP" localSheetId="5">#REF!</definedName>
    <definedName name="_14REKAP_PAK_AEP">#REF!</definedName>
    <definedName name="_15__123Graph_CCHART_5" localSheetId="8" hidden="1">#REF!</definedName>
    <definedName name="_15__123Graph_CCHART_5" localSheetId="21" hidden="1">#REF!</definedName>
    <definedName name="_15__123Graph_CCHART_5" localSheetId="23" hidden="1">#REF!</definedName>
    <definedName name="_15__123Graph_CCHART_5" localSheetId="20" hidden="1">#REF!</definedName>
    <definedName name="_15__123Graph_CCHART_5" localSheetId="22" hidden="1">#REF!</definedName>
    <definedName name="_15__123Graph_CCHART_5" localSheetId="19" hidden="1">#REF!</definedName>
    <definedName name="_15__123Graph_CCHART_5" hidden="1">#REF!</definedName>
    <definedName name="_15SUM_MUTDAL" localSheetId="8">#REF!</definedName>
    <definedName name="_15SUM_MUTDAL" localSheetId="12">#REF!</definedName>
    <definedName name="_15SUM_MUTDAL" localSheetId="21">#REF!</definedName>
    <definedName name="_15SUM_MUTDAL" localSheetId="23">#REF!</definedName>
    <definedName name="_15SUM_MUTDAL" localSheetId="20">#REF!</definedName>
    <definedName name="_15SUM_MUTDAL" localSheetId="22">#REF!</definedName>
    <definedName name="_15SUM_MUTDAL" localSheetId="19">#REF!</definedName>
    <definedName name="_15SUM_MUTDAL" localSheetId="18">#REF!</definedName>
    <definedName name="_15SUM_MUTDAL" localSheetId="5">#REF!</definedName>
    <definedName name="_15SUM_MUTDAL">#REF!</definedName>
    <definedName name="_16__123Graph_BCHART_3" localSheetId="8" hidden="1">#REF!</definedName>
    <definedName name="_16__123Graph_BCHART_3" localSheetId="21" hidden="1">#REF!</definedName>
    <definedName name="_16__123Graph_BCHART_3" localSheetId="23" hidden="1">#REF!</definedName>
    <definedName name="_16__123Graph_BCHART_3" localSheetId="20" hidden="1">#REF!</definedName>
    <definedName name="_16__123Graph_BCHART_3" localSheetId="22" hidden="1">#REF!</definedName>
    <definedName name="_16__123Graph_BCHART_3" localSheetId="19" hidden="1">#REF!</definedName>
    <definedName name="_16__123Graph_BCHART_3" hidden="1">#REF!</definedName>
    <definedName name="_16__123Graph_DCHART_5" localSheetId="8" hidden="1">#REF!</definedName>
    <definedName name="_16__123Graph_DCHART_5" localSheetId="21" hidden="1">#REF!</definedName>
    <definedName name="_16__123Graph_DCHART_5" localSheetId="23" hidden="1">#REF!</definedName>
    <definedName name="_16__123Graph_DCHART_5" localSheetId="20" hidden="1">#REF!</definedName>
    <definedName name="_16__123Graph_DCHART_5" localSheetId="22" hidden="1">#REF!</definedName>
    <definedName name="_16__123Graph_DCHART_5" localSheetId="19" hidden="1">#REF!</definedName>
    <definedName name="_16__123Graph_DCHART_5" hidden="1">#REF!</definedName>
    <definedName name="_160__123Graph_ACHART_5" localSheetId="8" hidden="1">#REF!</definedName>
    <definedName name="_160__123Graph_ACHART_5" localSheetId="21" hidden="1">#REF!</definedName>
    <definedName name="_160__123Graph_ACHART_5" localSheetId="23" hidden="1">#REF!</definedName>
    <definedName name="_160__123Graph_ACHART_5" localSheetId="20" hidden="1">#REF!</definedName>
    <definedName name="_160__123Graph_ACHART_5" localSheetId="22" hidden="1">#REF!</definedName>
    <definedName name="_160__123Graph_ACHART_5" localSheetId="19" hidden="1">#REF!</definedName>
    <definedName name="_160__123Graph_ACHART_5" hidden="1">#REF!</definedName>
    <definedName name="_17__123Graph_XCHART_1" localSheetId="8" hidden="1">#REF!</definedName>
    <definedName name="_17__123Graph_XCHART_1" localSheetId="21" hidden="1">#REF!</definedName>
    <definedName name="_17__123Graph_XCHART_1" localSheetId="23" hidden="1">#REF!</definedName>
    <definedName name="_17__123Graph_XCHART_1" localSheetId="20" hidden="1">#REF!</definedName>
    <definedName name="_17__123Graph_XCHART_1" localSheetId="22" hidden="1">#REF!</definedName>
    <definedName name="_17__123Graph_XCHART_1" localSheetId="19" hidden="1">#REF!</definedName>
    <definedName name="_17__123Graph_XCHART_1" hidden="1">#REF!</definedName>
    <definedName name="_18__123Graph_BCHART_4" localSheetId="8" hidden="1">#REF!</definedName>
    <definedName name="_18__123Graph_BCHART_4" localSheetId="21" hidden="1">#REF!</definedName>
    <definedName name="_18__123Graph_BCHART_4" localSheetId="23" hidden="1">#REF!</definedName>
    <definedName name="_18__123Graph_BCHART_4" localSheetId="20" hidden="1">#REF!</definedName>
    <definedName name="_18__123Graph_BCHART_4" localSheetId="22" hidden="1">#REF!</definedName>
    <definedName name="_18__123Graph_BCHART_4" localSheetId="19" hidden="1">#REF!</definedName>
    <definedName name="_18__123Graph_BCHART_4" hidden="1">#REF!</definedName>
    <definedName name="_18__123Graph_XCHART_2" localSheetId="8" hidden="1">#REF!</definedName>
    <definedName name="_18__123Graph_XCHART_2" localSheetId="21" hidden="1">#REF!</definedName>
    <definedName name="_18__123Graph_XCHART_2" localSheetId="23" hidden="1">#REF!</definedName>
    <definedName name="_18__123Graph_XCHART_2" localSheetId="20" hidden="1">#REF!</definedName>
    <definedName name="_18__123Graph_XCHART_2" localSheetId="22" hidden="1">#REF!</definedName>
    <definedName name="_18__123Graph_XCHART_2" localSheetId="19" hidden="1">#REF!</definedName>
    <definedName name="_18__123Graph_XCHART_2" hidden="1">#REF!</definedName>
    <definedName name="_19__123Graph_XCHART_3" localSheetId="8" hidden="1">#REF!</definedName>
    <definedName name="_19__123Graph_XCHART_3" localSheetId="21" hidden="1">#REF!</definedName>
    <definedName name="_19__123Graph_XCHART_3" localSheetId="23" hidden="1">#REF!</definedName>
    <definedName name="_19__123Graph_XCHART_3" localSheetId="20" hidden="1">#REF!</definedName>
    <definedName name="_19__123Graph_XCHART_3" localSheetId="22" hidden="1">#REF!</definedName>
    <definedName name="_19__123Graph_XCHART_3" localSheetId="19" hidden="1">#REF!</definedName>
    <definedName name="_19__123Graph_XCHART_3" hidden="1">#REF!</definedName>
    <definedName name="_192__123Graph_BCHART_1" localSheetId="8" hidden="1">#REF!</definedName>
    <definedName name="_192__123Graph_BCHART_1" localSheetId="21" hidden="1">#REF!</definedName>
    <definedName name="_192__123Graph_BCHART_1" localSheetId="23" hidden="1">#REF!</definedName>
    <definedName name="_192__123Graph_BCHART_1" localSheetId="20" hidden="1">#REF!</definedName>
    <definedName name="_192__123Graph_BCHART_1" localSheetId="22" hidden="1">#REF!</definedName>
    <definedName name="_192__123Graph_BCHART_1" localSheetId="19" hidden="1">#REF!</definedName>
    <definedName name="_192__123Graph_BCHART_1" hidden="1">#REF!</definedName>
    <definedName name="_1S" localSheetId="8">#REF!</definedName>
    <definedName name="_1S" localSheetId="12">#REF!</definedName>
    <definedName name="_1S" localSheetId="21">#REF!</definedName>
    <definedName name="_1S" localSheetId="23">#REF!</definedName>
    <definedName name="_1S" localSheetId="20">#REF!</definedName>
    <definedName name="_1S" localSheetId="22">#REF!</definedName>
    <definedName name="_1S" localSheetId="19">#REF!</definedName>
    <definedName name="_1S" localSheetId="18">#REF!</definedName>
    <definedName name="_1S" localSheetId="5">#REF!</definedName>
    <definedName name="_1S">#REF!</definedName>
    <definedName name="_1T" localSheetId="8">#REF!</definedName>
    <definedName name="_1T" localSheetId="12">#REF!</definedName>
    <definedName name="_1T" localSheetId="21">#REF!</definedName>
    <definedName name="_1T" localSheetId="23">#REF!</definedName>
    <definedName name="_1T" localSheetId="20">#REF!</definedName>
    <definedName name="_1T" localSheetId="22">#REF!</definedName>
    <definedName name="_1T" localSheetId="19">#REF!</definedName>
    <definedName name="_1T" localSheetId="18">#REF!</definedName>
    <definedName name="_1T" localSheetId="5">#REF!</definedName>
    <definedName name="_1T">#REF!</definedName>
    <definedName name="_2" localSheetId="8">#REF!</definedName>
    <definedName name="_2" localSheetId="12">#REF!</definedName>
    <definedName name="_2" localSheetId="21">#REF!</definedName>
    <definedName name="_2" localSheetId="23">#REF!</definedName>
    <definedName name="_2" localSheetId="20">#REF!</definedName>
    <definedName name="_2" localSheetId="22">#REF!</definedName>
    <definedName name="_2" localSheetId="19">#REF!</definedName>
    <definedName name="_2" localSheetId="18">#REF!</definedName>
    <definedName name="_2" localSheetId="5">#REF!</definedName>
    <definedName name="_2">#REF!</definedName>
    <definedName name="_2__123Graph_ACHART_1" localSheetId="8" hidden="1">#REF!</definedName>
    <definedName name="_2__123Graph_ACHART_1" localSheetId="21" hidden="1">#REF!</definedName>
    <definedName name="_2__123Graph_ACHART_1" localSheetId="23" hidden="1">#REF!</definedName>
    <definedName name="_2__123Graph_ACHART_1" localSheetId="20" hidden="1">#REF!</definedName>
    <definedName name="_2__123Graph_ACHART_1" localSheetId="22" hidden="1">#REF!</definedName>
    <definedName name="_2__123Graph_ACHART_1" localSheetId="19" hidden="1">#REF!</definedName>
    <definedName name="_2__123Graph_ACHART_1" localSheetId="5" hidden="1">#REF!</definedName>
    <definedName name="_2__123Graph_ACHART_1" hidden="1">#REF!</definedName>
    <definedName name="_2__123Graph_ACHART_2" localSheetId="8" hidden="1">#REF!</definedName>
    <definedName name="_2__123Graph_ACHART_2" localSheetId="21" hidden="1">#REF!</definedName>
    <definedName name="_2__123Graph_ACHART_2" localSheetId="23" hidden="1">#REF!</definedName>
    <definedName name="_2__123Graph_ACHART_2" localSheetId="20" hidden="1">#REF!</definedName>
    <definedName name="_2__123Graph_ACHART_2" localSheetId="22" hidden="1">#REF!</definedName>
    <definedName name="_2__123Graph_ACHART_2" localSheetId="19" hidden="1">#REF!</definedName>
    <definedName name="_2__123Graph_ACHART_2" localSheetId="5" hidden="1">#REF!</definedName>
    <definedName name="_2__123Graph_ACHART_2" hidden="1">#REF!</definedName>
    <definedName name="_20__123Graph_BCHART_5" localSheetId="8" hidden="1">#REF!</definedName>
    <definedName name="_20__123Graph_BCHART_5" localSheetId="21" hidden="1">#REF!</definedName>
    <definedName name="_20__123Graph_BCHART_5" localSheetId="23" hidden="1">#REF!</definedName>
    <definedName name="_20__123Graph_BCHART_5" localSheetId="20" hidden="1">#REF!</definedName>
    <definedName name="_20__123Graph_BCHART_5" localSheetId="22" hidden="1">#REF!</definedName>
    <definedName name="_20__123Graph_BCHART_5" localSheetId="19" hidden="1">#REF!</definedName>
    <definedName name="_20__123Graph_BCHART_5" hidden="1">#REF!</definedName>
    <definedName name="_20__123Graph_XCHART_4" localSheetId="8" hidden="1">#REF!</definedName>
    <definedName name="_20__123Graph_XCHART_4" localSheetId="21" hidden="1">#REF!</definedName>
    <definedName name="_20__123Graph_XCHART_4" localSheetId="23" hidden="1">#REF!</definedName>
    <definedName name="_20__123Graph_XCHART_4" localSheetId="20" hidden="1">#REF!</definedName>
    <definedName name="_20__123Graph_XCHART_4" localSheetId="22" hidden="1">#REF!</definedName>
    <definedName name="_20__123Graph_XCHART_4" localSheetId="19" hidden="1">#REF!</definedName>
    <definedName name="_20__123Graph_XCHART_4" hidden="1">#REF!</definedName>
    <definedName name="_21__123Graph_XCHART_5" localSheetId="8" hidden="1">#REF!</definedName>
    <definedName name="_21__123Graph_XCHART_5" localSheetId="21" hidden="1">#REF!</definedName>
    <definedName name="_21__123Graph_XCHART_5" localSheetId="23" hidden="1">#REF!</definedName>
    <definedName name="_21__123Graph_XCHART_5" localSheetId="20" hidden="1">#REF!</definedName>
    <definedName name="_21__123Graph_XCHART_5" localSheetId="22" hidden="1">#REF!</definedName>
    <definedName name="_21__123Graph_XCHART_5" localSheetId="19" hidden="1">#REF!</definedName>
    <definedName name="_21__123Graph_XCHART_5" hidden="1">#REF!</definedName>
    <definedName name="_22__123Graph_CCHART_1" localSheetId="8" hidden="1">#REF!</definedName>
    <definedName name="_22__123Graph_CCHART_1" localSheetId="21" hidden="1">#REF!</definedName>
    <definedName name="_22__123Graph_CCHART_1" localSheetId="23" hidden="1">#REF!</definedName>
    <definedName name="_22__123Graph_CCHART_1" localSheetId="20" hidden="1">#REF!</definedName>
    <definedName name="_22__123Graph_CCHART_1" localSheetId="22" hidden="1">#REF!</definedName>
    <definedName name="_22__123Graph_CCHART_1" localSheetId="19" hidden="1">#REF!</definedName>
    <definedName name="_22__123Graph_CCHART_1" hidden="1">#REF!</definedName>
    <definedName name="_224__123Graph_BCHART_2" localSheetId="8" hidden="1">#REF!</definedName>
    <definedName name="_224__123Graph_BCHART_2" localSheetId="21" hidden="1">#REF!</definedName>
    <definedName name="_224__123Graph_BCHART_2" localSheetId="23" hidden="1">#REF!</definedName>
    <definedName name="_224__123Graph_BCHART_2" localSheetId="20" hidden="1">#REF!</definedName>
    <definedName name="_224__123Graph_BCHART_2" localSheetId="22" hidden="1">#REF!</definedName>
    <definedName name="_224__123Graph_BCHART_2" localSheetId="19" hidden="1">#REF!</definedName>
    <definedName name="_224__123Graph_BCHART_2" hidden="1">#REF!</definedName>
    <definedName name="_24__123Graph_CCHART_2" localSheetId="8" hidden="1">#REF!</definedName>
    <definedName name="_24__123Graph_CCHART_2" localSheetId="21" hidden="1">#REF!</definedName>
    <definedName name="_24__123Graph_CCHART_2" localSheetId="23" hidden="1">#REF!</definedName>
    <definedName name="_24__123Graph_CCHART_2" localSheetId="20" hidden="1">#REF!</definedName>
    <definedName name="_24__123Graph_CCHART_2" localSheetId="22" hidden="1">#REF!</definedName>
    <definedName name="_24__123Graph_CCHART_2" localSheetId="19" hidden="1">#REF!</definedName>
    <definedName name="_24__123Graph_CCHART_2" hidden="1">#REF!</definedName>
    <definedName name="_256__123Graph_BCHART_3" localSheetId="8" hidden="1">#REF!</definedName>
    <definedName name="_256__123Graph_BCHART_3" localSheetId="21" hidden="1">#REF!</definedName>
    <definedName name="_256__123Graph_BCHART_3" localSheetId="23" hidden="1">#REF!</definedName>
    <definedName name="_256__123Graph_BCHART_3" localSheetId="20" hidden="1">#REF!</definedName>
    <definedName name="_256__123Graph_BCHART_3" localSheetId="22" hidden="1">#REF!</definedName>
    <definedName name="_256__123Graph_BCHART_3" localSheetId="19" hidden="1">#REF!</definedName>
    <definedName name="_256__123Graph_BCHART_3" hidden="1">#REF!</definedName>
    <definedName name="_26__123Graph_CCHART_3" localSheetId="8" hidden="1">#REF!</definedName>
    <definedName name="_26__123Graph_CCHART_3" localSheetId="21" hidden="1">#REF!</definedName>
    <definedName name="_26__123Graph_CCHART_3" localSheetId="23" hidden="1">#REF!</definedName>
    <definedName name="_26__123Graph_CCHART_3" localSheetId="20" hidden="1">#REF!</definedName>
    <definedName name="_26__123Graph_CCHART_3" localSheetId="22" hidden="1">#REF!</definedName>
    <definedName name="_26__123Graph_CCHART_3" localSheetId="19" hidden="1">#REF!</definedName>
    <definedName name="_26__123Graph_CCHART_3" hidden="1">#REF!</definedName>
    <definedName name="_28__123Graph_CCHART_4" localSheetId="8" hidden="1">#REF!</definedName>
    <definedName name="_28__123Graph_CCHART_4" localSheetId="21" hidden="1">#REF!</definedName>
    <definedName name="_28__123Graph_CCHART_4" localSheetId="23" hidden="1">#REF!</definedName>
    <definedName name="_28__123Graph_CCHART_4" localSheetId="20" hidden="1">#REF!</definedName>
    <definedName name="_28__123Graph_CCHART_4" localSheetId="22" hidden="1">#REF!</definedName>
    <definedName name="_28__123Graph_CCHART_4" localSheetId="19" hidden="1">#REF!</definedName>
    <definedName name="_28__123Graph_CCHART_4" hidden="1">#REF!</definedName>
    <definedName name="_288__123Graph_BCHART_4" localSheetId="8" hidden="1">#REF!</definedName>
    <definedName name="_288__123Graph_BCHART_4" localSheetId="21" hidden="1">#REF!</definedName>
    <definedName name="_288__123Graph_BCHART_4" localSheetId="23" hidden="1">#REF!</definedName>
    <definedName name="_288__123Graph_BCHART_4" localSheetId="20" hidden="1">#REF!</definedName>
    <definedName name="_288__123Graph_BCHART_4" localSheetId="22" hidden="1">#REF!</definedName>
    <definedName name="_288__123Graph_BCHART_4" localSheetId="19" hidden="1">#REF!</definedName>
    <definedName name="_288__123Graph_BCHART_4" hidden="1">#REF!</definedName>
    <definedName name="_2ANGG_PERUSAHA_2" localSheetId="8">#REF!</definedName>
    <definedName name="_2ANGG_PERUSAHA_2" localSheetId="12">#REF!</definedName>
    <definedName name="_2ANGG_PERUSAHA_2" localSheetId="21">#REF!</definedName>
    <definedName name="_2ANGG_PERUSAHA_2" localSheetId="23">#REF!</definedName>
    <definedName name="_2ANGG_PERUSAHA_2" localSheetId="20">#REF!</definedName>
    <definedName name="_2ANGG_PERUSAHA_2" localSheetId="22">#REF!</definedName>
    <definedName name="_2ANGG_PERUSAHA_2" localSheetId="19">#REF!</definedName>
    <definedName name="_2ANGG_PERUSAHA_2" localSheetId="18">#REF!</definedName>
    <definedName name="_2ANGG_PERUSAHA_2" localSheetId="5">#REF!</definedName>
    <definedName name="_2ANGG_PERUSAHA_2">#REF!</definedName>
    <definedName name="_2T" localSheetId="8">#REF!</definedName>
    <definedName name="_2T" localSheetId="12">#REF!</definedName>
    <definedName name="_2T" localSheetId="21">#REF!</definedName>
    <definedName name="_2T" localSheetId="23">#REF!</definedName>
    <definedName name="_2T" localSheetId="20">#REF!</definedName>
    <definedName name="_2T" localSheetId="22">#REF!</definedName>
    <definedName name="_2T" localSheetId="19">#REF!</definedName>
    <definedName name="_2T" localSheetId="18">#REF!</definedName>
    <definedName name="_2T" localSheetId="5">#REF!</definedName>
    <definedName name="_2T">#REF!</definedName>
    <definedName name="_3" localSheetId="8">#REF!</definedName>
    <definedName name="_3" localSheetId="12">#REF!</definedName>
    <definedName name="_3" localSheetId="21">#REF!</definedName>
    <definedName name="_3" localSheetId="23">#REF!</definedName>
    <definedName name="_3" localSheetId="20">#REF!</definedName>
    <definedName name="_3" localSheetId="22">#REF!</definedName>
    <definedName name="_3" localSheetId="19">#REF!</definedName>
    <definedName name="_3" localSheetId="18">#REF!</definedName>
    <definedName name="_3" localSheetId="5">#REF!</definedName>
    <definedName name="_3">#REF!</definedName>
    <definedName name="_3__123Graph_ACHART_3" localSheetId="8" hidden="1">#REF!</definedName>
    <definedName name="_3__123Graph_ACHART_3" localSheetId="21" hidden="1">#REF!</definedName>
    <definedName name="_3__123Graph_ACHART_3" localSheetId="23" hidden="1">#REF!</definedName>
    <definedName name="_3__123Graph_ACHART_3" localSheetId="20" hidden="1">#REF!</definedName>
    <definedName name="_3__123Graph_ACHART_3" localSheetId="22" hidden="1">#REF!</definedName>
    <definedName name="_3__123Graph_ACHART_3" localSheetId="19" hidden="1">#REF!</definedName>
    <definedName name="_3__123Graph_ACHART_3" localSheetId="5" hidden="1">#REF!</definedName>
    <definedName name="_3__123Graph_ACHART_3" hidden="1">#REF!</definedName>
    <definedName name="_30__123Graph_CCHART_5" localSheetId="8" hidden="1">#REF!</definedName>
    <definedName name="_30__123Graph_CCHART_5" localSheetId="21" hidden="1">#REF!</definedName>
    <definedName name="_30__123Graph_CCHART_5" localSheetId="23" hidden="1">#REF!</definedName>
    <definedName name="_30__123Graph_CCHART_5" localSheetId="20" hidden="1">#REF!</definedName>
    <definedName name="_30__123Graph_CCHART_5" localSheetId="22" hidden="1">#REF!</definedName>
    <definedName name="_30__123Graph_CCHART_5" localSheetId="19" hidden="1">#REF!</definedName>
    <definedName name="_30__123Graph_CCHART_5" localSheetId="5" hidden="1">#REF!</definedName>
    <definedName name="_30__123Graph_CCHART_5" hidden="1">#REF!</definedName>
    <definedName name="_32__123Graph_ACHART_1" localSheetId="8" hidden="1">#REF!</definedName>
    <definedName name="_32__123Graph_ACHART_1" localSheetId="21" hidden="1">#REF!</definedName>
    <definedName name="_32__123Graph_ACHART_1" localSheetId="23" hidden="1">#REF!</definedName>
    <definedName name="_32__123Graph_ACHART_1" localSheetId="20" hidden="1">#REF!</definedName>
    <definedName name="_32__123Graph_ACHART_1" localSheetId="22" hidden="1">#REF!</definedName>
    <definedName name="_32__123Graph_ACHART_1" localSheetId="19" hidden="1">#REF!</definedName>
    <definedName name="_32__123Graph_ACHART_1" hidden="1">#REF!</definedName>
    <definedName name="_32__123Graph_DCHART_5" localSheetId="8" hidden="1">#REF!</definedName>
    <definedName name="_32__123Graph_DCHART_5" localSheetId="21" hidden="1">#REF!</definedName>
    <definedName name="_32__123Graph_DCHART_5" localSheetId="23" hidden="1">#REF!</definedName>
    <definedName name="_32__123Graph_DCHART_5" localSheetId="20" hidden="1">#REF!</definedName>
    <definedName name="_32__123Graph_DCHART_5" localSheetId="22" hidden="1">#REF!</definedName>
    <definedName name="_32__123Graph_DCHART_5" localSheetId="19" hidden="1">#REF!</definedName>
    <definedName name="_32__123Graph_DCHART_5" hidden="1">#REF!</definedName>
    <definedName name="_320__123Graph_BCHART_5" localSheetId="8" hidden="1">#REF!</definedName>
    <definedName name="_320__123Graph_BCHART_5" localSheetId="21" hidden="1">#REF!</definedName>
    <definedName name="_320__123Graph_BCHART_5" localSheetId="23" hidden="1">#REF!</definedName>
    <definedName name="_320__123Graph_BCHART_5" localSheetId="20" hidden="1">#REF!</definedName>
    <definedName name="_320__123Graph_BCHART_5" localSheetId="22" hidden="1">#REF!</definedName>
    <definedName name="_320__123Graph_BCHART_5" localSheetId="19" hidden="1">#REF!</definedName>
    <definedName name="_320__123Graph_BCHART_5" hidden="1">#REF!</definedName>
    <definedName name="_34__123Graph_XCHART_1" localSheetId="8" hidden="1">#REF!</definedName>
    <definedName name="_34__123Graph_XCHART_1" localSheetId="21" hidden="1">#REF!</definedName>
    <definedName name="_34__123Graph_XCHART_1" localSheetId="23" hidden="1">#REF!</definedName>
    <definedName name="_34__123Graph_XCHART_1" localSheetId="20" hidden="1">#REF!</definedName>
    <definedName name="_34__123Graph_XCHART_1" localSheetId="22" hidden="1">#REF!</definedName>
    <definedName name="_34__123Graph_XCHART_1" localSheetId="19" hidden="1">#REF!</definedName>
    <definedName name="_34__123Graph_XCHART_1" hidden="1">#REF!</definedName>
    <definedName name="_352__123Graph_CCHART_1" localSheetId="8" hidden="1">#REF!</definedName>
    <definedName name="_352__123Graph_CCHART_1" localSheetId="21" hidden="1">#REF!</definedName>
    <definedName name="_352__123Graph_CCHART_1" localSheetId="23" hidden="1">#REF!</definedName>
    <definedName name="_352__123Graph_CCHART_1" localSheetId="20" hidden="1">#REF!</definedName>
    <definedName name="_352__123Graph_CCHART_1" localSheetId="22" hidden="1">#REF!</definedName>
    <definedName name="_352__123Graph_CCHART_1" localSheetId="19" hidden="1">#REF!</definedName>
    <definedName name="_352__123Graph_CCHART_1" hidden="1">#REF!</definedName>
    <definedName name="_36__123Graph_XCHART_2" localSheetId="8" hidden="1">#REF!</definedName>
    <definedName name="_36__123Graph_XCHART_2" localSheetId="21" hidden="1">#REF!</definedName>
    <definedName name="_36__123Graph_XCHART_2" localSheetId="23" hidden="1">#REF!</definedName>
    <definedName name="_36__123Graph_XCHART_2" localSheetId="20" hidden="1">#REF!</definedName>
    <definedName name="_36__123Graph_XCHART_2" localSheetId="22" hidden="1">#REF!</definedName>
    <definedName name="_36__123Graph_XCHART_2" localSheetId="19" hidden="1">#REF!</definedName>
    <definedName name="_36__123Graph_XCHART_2" hidden="1">#REF!</definedName>
    <definedName name="_38__123Graph_XCHART_3" localSheetId="8" hidden="1">#REF!</definedName>
    <definedName name="_38__123Graph_XCHART_3" localSheetId="21" hidden="1">#REF!</definedName>
    <definedName name="_38__123Graph_XCHART_3" localSheetId="23" hidden="1">#REF!</definedName>
    <definedName name="_38__123Graph_XCHART_3" localSheetId="20" hidden="1">#REF!</definedName>
    <definedName name="_38__123Graph_XCHART_3" localSheetId="22" hidden="1">#REF!</definedName>
    <definedName name="_38__123Graph_XCHART_3" localSheetId="19" hidden="1">#REF!</definedName>
    <definedName name="_38__123Graph_XCHART_3" hidden="1">#REF!</definedName>
    <definedName name="_384__123Graph_CCHART_2" localSheetId="8" hidden="1">#REF!</definedName>
    <definedName name="_384__123Graph_CCHART_2" localSheetId="21" hidden="1">#REF!</definedName>
    <definedName name="_384__123Graph_CCHART_2" localSheetId="23" hidden="1">#REF!</definedName>
    <definedName name="_384__123Graph_CCHART_2" localSheetId="20" hidden="1">#REF!</definedName>
    <definedName name="_384__123Graph_CCHART_2" localSheetId="22" hidden="1">#REF!</definedName>
    <definedName name="_384__123Graph_CCHART_2" localSheetId="19" hidden="1">#REF!</definedName>
    <definedName name="_384__123Graph_CCHART_2" hidden="1">#REF!</definedName>
    <definedName name="_3ANGG_PERUSAHAAN" localSheetId="8">#REF!</definedName>
    <definedName name="_3ANGG_PERUSAHAAN" localSheetId="12">#REF!</definedName>
    <definedName name="_3ANGG_PERUSAHAAN" localSheetId="21">#REF!</definedName>
    <definedName name="_3ANGG_PERUSAHAAN" localSheetId="23">#REF!</definedName>
    <definedName name="_3ANGG_PERUSAHAAN" localSheetId="20">#REF!</definedName>
    <definedName name="_3ANGG_PERUSAHAAN" localSheetId="22">#REF!</definedName>
    <definedName name="_3ANGG_PERUSAHAAN" localSheetId="19">#REF!</definedName>
    <definedName name="_3ANGG_PERUSAHAAN" localSheetId="18">#REF!</definedName>
    <definedName name="_3ANGG_PERUSAHAAN" localSheetId="5">#REF!</definedName>
    <definedName name="_3ANGG_PERUSAHAAN">#REF!</definedName>
    <definedName name="_3T" localSheetId="8">#REF!</definedName>
    <definedName name="_3T" localSheetId="12">#REF!</definedName>
    <definedName name="_3T" localSheetId="21">#REF!</definedName>
    <definedName name="_3T" localSheetId="23">#REF!</definedName>
    <definedName name="_3T" localSheetId="20">#REF!</definedName>
    <definedName name="_3T" localSheetId="22">#REF!</definedName>
    <definedName name="_3T" localSheetId="19">#REF!</definedName>
    <definedName name="_3T" localSheetId="18">#REF!</definedName>
    <definedName name="_3T" localSheetId="5">#REF!</definedName>
    <definedName name="_3T">#REF!</definedName>
    <definedName name="_3TR" localSheetId="8">#REF!</definedName>
    <definedName name="_3TR" localSheetId="12">#REF!</definedName>
    <definedName name="_3TR" localSheetId="21">#REF!</definedName>
    <definedName name="_3TR" localSheetId="23">#REF!</definedName>
    <definedName name="_3TR" localSheetId="20">#REF!</definedName>
    <definedName name="_3TR" localSheetId="22">#REF!</definedName>
    <definedName name="_3TR" localSheetId="19">#REF!</definedName>
    <definedName name="_3TR" localSheetId="18">#REF!</definedName>
    <definedName name="_3TR" localSheetId="5">#REF!</definedName>
    <definedName name="_3TR">#REF!</definedName>
    <definedName name="_4" localSheetId="8">#REF!</definedName>
    <definedName name="_4" localSheetId="12">#REF!</definedName>
    <definedName name="_4" localSheetId="21">#REF!</definedName>
    <definedName name="_4" localSheetId="23">#REF!</definedName>
    <definedName name="_4" localSheetId="20">#REF!</definedName>
    <definedName name="_4" localSheetId="22">#REF!</definedName>
    <definedName name="_4" localSheetId="19">#REF!</definedName>
    <definedName name="_4" localSheetId="18">#REF!</definedName>
    <definedName name="_4">#REF!</definedName>
    <definedName name="_4__123Graph_ACHART_2" localSheetId="8" hidden="1">#REF!</definedName>
    <definedName name="_4__123Graph_ACHART_2" localSheetId="21" hidden="1">#REF!</definedName>
    <definedName name="_4__123Graph_ACHART_2" localSheetId="23" hidden="1">#REF!</definedName>
    <definedName name="_4__123Graph_ACHART_2" localSheetId="20" hidden="1">#REF!</definedName>
    <definedName name="_4__123Graph_ACHART_2" localSheetId="22" hidden="1">#REF!</definedName>
    <definedName name="_4__123Graph_ACHART_2" localSheetId="19" hidden="1">#REF!</definedName>
    <definedName name="_4__123Graph_ACHART_2" localSheetId="5" hidden="1">#REF!</definedName>
    <definedName name="_4__123Graph_ACHART_2" hidden="1">#REF!</definedName>
    <definedName name="_4__123Graph_ACHART_4" localSheetId="8" hidden="1">#REF!</definedName>
    <definedName name="_4__123Graph_ACHART_4" localSheetId="21" hidden="1">#REF!</definedName>
    <definedName name="_4__123Graph_ACHART_4" localSheetId="23" hidden="1">#REF!</definedName>
    <definedName name="_4__123Graph_ACHART_4" localSheetId="20" hidden="1">#REF!</definedName>
    <definedName name="_4__123Graph_ACHART_4" localSheetId="22" hidden="1">#REF!</definedName>
    <definedName name="_4__123Graph_ACHART_4" localSheetId="19" hidden="1">#REF!</definedName>
    <definedName name="_4__123Graph_ACHART_4" localSheetId="5" hidden="1">#REF!</definedName>
    <definedName name="_4__123Graph_ACHART_4" hidden="1">#REF!</definedName>
    <definedName name="_40__123Graph_XCHART_4" localSheetId="8" hidden="1">#REF!</definedName>
    <definedName name="_40__123Graph_XCHART_4" localSheetId="21" hidden="1">#REF!</definedName>
    <definedName name="_40__123Graph_XCHART_4" localSheetId="23" hidden="1">#REF!</definedName>
    <definedName name="_40__123Graph_XCHART_4" localSheetId="20" hidden="1">#REF!</definedName>
    <definedName name="_40__123Graph_XCHART_4" localSheetId="22" hidden="1">#REF!</definedName>
    <definedName name="_40__123Graph_XCHART_4" localSheetId="19" hidden="1">#REF!</definedName>
    <definedName name="_40__123Graph_XCHART_4" localSheetId="5" hidden="1">#REF!</definedName>
    <definedName name="_40__123Graph_XCHART_4" hidden="1">#REF!</definedName>
    <definedName name="_416__123Graph_CCHART_3" localSheetId="8" hidden="1">#REF!</definedName>
    <definedName name="_416__123Graph_CCHART_3" localSheetId="21" hidden="1">#REF!</definedName>
    <definedName name="_416__123Graph_CCHART_3" localSheetId="23" hidden="1">#REF!</definedName>
    <definedName name="_416__123Graph_CCHART_3" localSheetId="20" hidden="1">#REF!</definedName>
    <definedName name="_416__123Graph_CCHART_3" localSheetId="22" hidden="1">#REF!</definedName>
    <definedName name="_416__123Graph_CCHART_3" localSheetId="19" hidden="1">#REF!</definedName>
    <definedName name="_416__123Graph_CCHART_3" localSheetId="5" hidden="1">#REF!</definedName>
    <definedName name="_416__123Graph_CCHART_3" hidden="1">#REF!</definedName>
    <definedName name="_42__123Graph_XCHART_5" localSheetId="8" hidden="1">#REF!</definedName>
    <definedName name="_42__123Graph_XCHART_5" localSheetId="21" hidden="1">#REF!</definedName>
    <definedName name="_42__123Graph_XCHART_5" localSheetId="23" hidden="1">#REF!</definedName>
    <definedName name="_42__123Graph_XCHART_5" localSheetId="20" hidden="1">#REF!</definedName>
    <definedName name="_42__123Graph_XCHART_5" localSheetId="22" hidden="1">#REF!</definedName>
    <definedName name="_42__123Graph_XCHART_5" localSheetId="19" hidden="1">#REF!</definedName>
    <definedName name="_42__123Graph_XCHART_5" hidden="1">#REF!</definedName>
    <definedName name="_448__123Graph_CCHART_4" localSheetId="8" hidden="1">#REF!</definedName>
    <definedName name="_448__123Graph_CCHART_4" localSheetId="21" hidden="1">#REF!</definedName>
    <definedName name="_448__123Graph_CCHART_4" localSheetId="23" hidden="1">#REF!</definedName>
    <definedName name="_448__123Graph_CCHART_4" localSheetId="20" hidden="1">#REF!</definedName>
    <definedName name="_448__123Graph_CCHART_4" localSheetId="22" hidden="1">#REF!</definedName>
    <definedName name="_448__123Graph_CCHART_4" localSheetId="19" hidden="1">#REF!</definedName>
    <definedName name="_448__123Graph_CCHART_4" hidden="1">#REF!</definedName>
    <definedName name="_480__123Graph_CCHART_5" localSheetId="8" hidden="1">#REF!</definedName>
    <definedName name="_480__123Graph_CCHART_5" localSheetId="21" hidden="1">#REF!</definedName>
    <definedName name="_480__123Graph_CCHART_5" localSheetId="23" hidden="1">#REF!</definedName>
    <definedName name="_480__123Graph_CCHART_5" localSheetId="20" hidden="1">#REF!</definedName>
    <definedName name="_480__123Graph_CCHART_5" localSheetId="22" hidden="1">#REF!</definedName>
    <definedName name="_480__123Graph_CCHART_5" localSheetId="19" hidden="1">#REF!</definedName>
    <definedName name="_480__123Graph_CCHART_5" hidden="1">#REF!</definedName>
    <definedName name="_4BAHAS_ANGG." localSheetId="8">#REF!</definedName>
    <definedName name="_4BAHAS_ANGG." localSheetId="12">#REF!</definedName>
    <definedName name="_4BAHAS_ANGG." localSheetId="21">#REF!</definedName>
    <definedName name="_4BAHAS_ANGG." localSheetId="23">#REF!</definedName>
    <definedName name="_4BAHAS_ANGG." localSheetId="20">#REF!</definedName>
    <definedName name="_4BAHAS_ANGG." localSheetId="22">#REF!</definedName>
    <definedName name="_4BAHAS_ANGG." localSheetId="19">#REF!</definedName>
    <definedName name="_4BAHAS_ANGG." localSheetId="18">#REF!</definedName>
    <definedName name="_4BAHAS_ANGG." localSheetId="5">#REF!</definedName>
    <definedName name="_4BAHAS_ANGG.">#REF!</definedName>
    <definedName name="_4T" localSheetId="8">#REF!</definedName>
    <definedName name="_4T" localSheetId="12">#REF!</definedName>
    <definedName name="_4T" localSheetId="21">#REF!</definedName>
    <definedName name="_4T" localSheetId="23">#REF!</definedName>
    <definedName name="_4T" localSheetId="20">#REF!</definedName>
    <definedName name="_4T" localSheetId="22">#REF!</definedName>
    <definedName name="_4T" localSheetId="19">#REF!</definedName>
    <definedName name="_4T" localSheetId="18">#REF!</definedName>
    <definedName name="_4T" localSheetId="5">#REF!</definedName>
    <definedName name="_4T">#REF!</definedName>
    <definedName name="_5" localSheetId="8">#REF!</definedName>
    <definedName name="_5" localSheetId="12">#REF!</definedName>
    <definedName name="_5" localSheetId="21">#REF!</definedName>
    <definedName name="_5" localSheetId="23">#REF!</definedName>
    <definedName name="_5" localSheetId="20">#REF!</definedName>
    <definedName name="_5" localSheetId="22">#REF!</definedName>
    <definedName name="_5" localSheetId="19">#REF!</definedName>
    <definedName name="_5" localSheetId="18">#REF!</definedName>
    <definedName name="_5" localSheetId="5">#REF!</definedName>
    <definedName name="_5">#REF!</definedName>
    <definedName name="_5__123Graph_ACHART_5" localSheetId="8" hidden="1">#REF!</definedName>
    <definedName name="_5__123Graph_ACHART_5" localSheetId="21" hidden="1">#REF!</definedName>
    <definedName name="_5__123Graph_ACHART_5" localSheetId="23" hidden="1">#REF!</definedName>
    <definedName name="_5__123Graph_ACHART_5" localSheetId="20" hidden="1">#REF!</definedName>
    <definedName name="_5__123Graph_ACHART_5" localSheetId="22" hidden="1">#REF!</definedName>
    <definedName name="_5__123Graph_ACHART_5" localSheetId="19" hidden="1">#REF!</definedName>
    <definedName name="_5__123Graph_ACHART_5" localSheetId="5" hidden="1">#REF!</definedName>
    <definedName name="_5__123Graph_ACHART_5" hidden="1">#REF!</definedName>
    <definedName name="_512__123Graph_DCHART_5" localSheetId="8" hidden="1">#REF!</definedName>
    <definedName name="_512__123Graph_DCHART_5" localSheetId="21" hidden="1">#REF!</definedName>
    <definedName name="_512__123Graph_DCHART_5" localSheetId="23" hidden="1">#REF!</definedName>
    <definedName name="_512__123Graph_DCHART_5" localSheetId="20" hidden="1">#REF!</definedName>
    <definedName name="_512__123Graph_DCHART_5" localSheetId="22" hidden="1">#REF!</definedName>
    <definedName name="_512__123Graph_DCHART_5" localSheetId="19" hidden="1">#REF!</definedName>
    <definedName name="_512__123Graph_DCHART_5" localSheetId="5" hidden="1">#REF!</definedName>
    <definedName name="_512__123Graph_DCHART_5" hidden="1">#REF!</definedName>
    <definedName name="_544__123Graph_XCHART_1" localSheetId="8" hidden="1">#REF!</definedName>
    <definedName name="_544__123Graph_XCHART_1" localSheetId="21" hidden="1">#REF!</definedName>
    <definedName name="_544__123Graph_XCHART_1" localSheetId="23" hidden="1">#REF!</definedName>
    <definedName name="_544__123Graph_XCHART_1" localSheetId="20" hidden="1">#REF!</definedName>
    <definedName name="_544__123Graph_XCHART_1" localSheetId="22" hidden="1">#REF!</definedName>
    <definedName name="_544__123Graph_XCHART_1" localSheetId="19" hidden="1">#REF!</definedName>
    <definedName name="_544__123Graph_XCHART_1" hidden="1">#REF!</definedName>
    <definedName name="_576__123Graph_XCHART_2" localSheetId="8" hidden="1">#REF!</definedName>
    <definedName name="_576__123Graph_XCHART_2" localSheetId="21" hidden="1">#REF!</definedName>
    <definedName name="_576__123Graph_XCHART_2" localSheetId="23" hidden="1">#REF!</definedName>
    <definedName name="_576__123Graph_XCHART_2" localSheetId="20" hidden="1">#REF!</definedName>
    <definedName name="_576__123Graph_XCHART_2" localSheetId="22" hidden="1">#REF!</definedName>
    <definedName name="_576__123Graph_XCHART_2" localSheetId="19" hidden="1">#REF!</definedName>
    <definedName name="_576__123Graph_XCHART_2" hidden="1">#REF!</definedName>
    <definedName name="_5BAHAS_DISTURB" localSheetId="8">#REF!</definedName>
    <definedName name="_5BAHAS_DISTURB" localSheetId="12">#REF!</definedName>
    <definedName name="_5BAHAS_DISTURB" localSheetId="21">#REF!</definedName>
    <definedName name="_5BAHAS_DISTURB" localSheetId="23">#REF!</definedName>
    <definedName name="_5BAHAS_DISTURB" localSheetId="20">#REF!</definedName>
    <definedName name="_5BAHAS_DISTURB" localSheetId="22">#REF!</definedName>
    <definedName name="_5BAHAS_DISTURB" localSheetId="19">#REF!</definedName>
    <definedName name="_5BAHAS_DISTURB" localSheetId="18">#REF!</definedName>
    <definedName name="_5BAHAS_DISTURB" localSheetId="5">#REF!</definedName>
    <definedName name="_5BAHAS_DISTURB">#REF!</definedName>
    <definedName name="_6" localSheetId="8">#REF!</definedName>
    <definedName name="_6" localSheetId="12">#REF!</definedName>
    <definedName name="_6" localSheetId="21">#REF!</definedName>
    <definedName name="_6" localSheetId="23">#REF!</definedName>
    <definedName name="_6" localSheetId="20">#REF!</definedName>
    <definedName name="_6" localSheetId="22">#REF!</definedName>
    <definedName name="_6" localSheetId="19">#REF!</definedName>
    <definedName name="_6" localSheetId="18">#REF!</definedName>
    <definedName name="_6" localSheetId="5">#REF!</definedName>
    <definedName name="_6">#REF!</definedName>
    <definedName name="_6__123Graph_ACHART_3" localSheetId="8" hidden="1">#REF!</definedName>
    <definedName name="_6__123Graph_ACHART_3" localSheetId="21" hidden="1">#REF!</definedName>
    <definedName name="_6__123Graph_ACHART_3" localSheetId="23" hidden="1">#REF!</definedName>
    <definedName name="_6__123Graph_ACHART_3" localSheetId="20" hidden="1">#REF!</definedName>
    <definedName name="_6__123Graph_ACHART_3" localSheetId="22" hidden="1">#REF!</definedName>
    <definedName name="_6__123Graph_ACHART_3" localSheetId="19" hidden="1">#REF!</definedName>
    <definedName name="_6__123Graph_ACHART_3" hidden="1">#REF!</definedName>
    <definedName name="_6__123Graph_BCHART_1" localSheetId="8" hidden="1">#REF!</definedName>
    <definedName name="_6__123Graph_BCHART_1" localSheetId="21" hidden="1">#REF!</definedName>
    <definedName name="_6__123Graph_BCHART_1" localSheetId="23" hidden="1">#REF!</definedName>
    <definedName name="_6__123Graph_BCHART_1" localSheetId="20" hidden="1">#REF!</definedName>
    <definedName name="_6__123Graph_BCHART_1" localSheetId="22" hidden="1">#REF!</definedName>
    <definedName name="_6__123Graph_BCHART_1" localSheetId="19" hidden="1">#REF!</definedName>
    <definedName name="_6__123Graph_BCHART_1" hidden="1">#REF!</definedName>
    <definedName name="_608__123Graph_XCHART_3" localSheetId="8" hidden="1">#REF!</definedName>
    <definedName name="_608__123Graph_XCHART_3" localSheetId="21" hidden="1">#REF!</definedName>
    <definedName name="_608__123Graph_XCHART_3" localSheetId="23" hidden="1">#REF!</definedName>
    <definedName name="_608__123Graph_XCHART_3" localSheetId="20" hidden="1">#REF!</definedName>
    <definedName name="_608__123Graph_XCHART_3" localSheetId="22" hidden="1">#REF!</definedName>
    <definedName name="_608__123Graph_XCHART_3" localSheetId="19" hidden="1">#REF!</definedName>
    <definedName name="_608__123Graph_XCHART_3" hidden="1">#REF!</definedName>
    <definedName name="_64__123Graph_ACHART_2" localSheetId="8" hidden="1">#REF!</definedName>
    <definedName name="_64__123Graph_ACHART_2" localSheetId="21" hidden="1">#REF!</definedName>
    <definedName name="_64__123Graph_ACHART_2" localSheetId="23" hidden="1">#REF!</definedName>
    <definedName name="_64__123Graph_ACHART_2" localSheetId="20" hidden="1">#REF!</definedName>
    <definedName name="_64__123Graph_ACHART_2" localSheetId="22" hidden="1">#REF!</definedName>
    <definedName name="_64__123Graph_ACHART_2" localSheetId="19" hidden="1">#REF!</definedName>
    <definedName name="_64__123Graph_ACHART_2" hidden="1">#REF!</definedName>
    <definedName name="_640__123Graph_XCHART_4" localSheetId="8" hidden="1">#REF!</definedName>
    <definedName name="_640__123Graph_XCHART_4" localSheetId="21" hidden="1">#REF!</definedName>
    <definedName name="_640__123Graph_XCHART_4" localSheetId="23" hidden="1">#REF!</definedName>
    <definedName name="_640__123Graph_XCHART_4" localSheetId="20" hidden="1">#REF!</definedName>
    <definedName name="_640__123Graph_XCHART_4" localSheetId="22" hidden="1">#REF!</definedName>
    <definedName name="_640__123Graph_XCHART_4" localSheetId="19" hidden="1">#REF!</definedName>
    <definedName name="_640__123Graph_XCHART_4" hidden="1">#REF!</definedName>
    <definedName name="_672__123Graph_XCHART_5" localSheetId="8" hidden="1">#REF!</definedName>
    <definedName name="_672__123Graph_XCHART_5" localSheetId="21" hidden="1">#REF!</definedName>
    <definedName name="_672__123Graph_XCHART_5" localSheetId="23" hidden="1">#REF!</definedName>
    <definedName name="_672__123Graph_XCHART_5" localSheetId="20" hidden="1">#REF!</definedName>
    <definedName name="_672__123Graph_XCHART_5" localSheetId="22" hidden="1">#REF!</definedName>
    <definedName name="_672__123Graph_XCHART_5" localSheetId="19" hidden="1">#REF!</definedName>
    <definedName name="_672__123Graph_XCHART_5" hidden="1">#REF!</definedName>
    <definedName name="_6A" localSheetId="8">#REF!</definedName>
    <definedName name="_6A" localSheetId="12">#REF!</definedName>
    <definedName name="_6A" localSheetId="21">#REF!</definedName>
    <definedName name="_6A" localSheetId="23">#REF!</definedName>
    <definedName name="_6A" localSheetId="20">#REF!</definedName>
    <definedName name="_6A" localSheetId="22">#REF!</definedName>
    <definedName name="_6A" localSheetId="19">#REF!</definedName>
    <definedName name="_6A" localSheetId="18">#REF!</definedName>
    <definedName name="_6A" localSheetId="5">#REF!</definedName>
    <definedName name="_6A">#REF!</definedName>
    <definedName name="_6B" localSheetId="8">#REF!</definedName>
    <definedName name="_6B" localSheetId="12">#REF!</definedName>
    <definedName name="_6B" localSheetId="21">#REF!</definedName>
    <definedName name="_6B" localSheetId="23">#REF!</definedName>
    <definedName name="_6B" localSheetId="20">#REF!</definedName>
    <definedName name="_6B" localSheetId="22">#REF!</definedName>
    <definedName name="_6B" localSheetId="19">#REF!</definedName>
    <definedName name="_6B" localSheetId="18">#REF!</definedName>
    <definedName name="_6B" localSheetId="5">#REF!</definedName>
    <definedName name="_6B">#REF!</definedName>
    <definedName name="_6FORM_A" localSheetId="8">#REF!</definedName>
    <definedName name="_6FORM_A" localSheetId="12">#REF!</definedName>
    <definedName name="_6FORM_A" localSheetId="21">#REF!</definedName>
    <definedName name="_6FORM_A" localSheetId="23">#REF!</definedName>
    <definedName name="_6FORM_A" localSheetId="20">#REF!</definedName>
    <definedName name="_6FORM_A" localSheetId="22">#REF!</definedName>
    <definedName name="_6FORM_A" localSheetId="19">#REF!</definedName>
    <definedName name="_6FORM_A" localSheetId="18">#REF!</definedName>
    <definedName name="_6FORM_A" localSheetId="5">#REF!</definedName>
    <definedName name="_6FORM_A">#REF!</definedName>
    <definedName name="_7" localSheetId="8">#REF!</definedName>
    <definedName name="_7" localSheetId="12">#REF!</definedName>
    <definedName name="_7" localSheetId="21">#REF!</definedName>
    <definedName name="_7" localSheetId="23">#REF!</definedName>
    <definedName name="_7" localSheetId="20">#REF!</definedName>
    <definedName name="_7" localSheetId="22">#REF!</definedName>
    <definedName name="_7" localSheetId="19">#REF!</definedName>
    <definedName name="_7" localSheetId="18">#REF!</definedName>
    <definedName name="_7">#REF!</definedName>
    <definedName name="_7__123Graph_BCHART_2" localSheetId="8" hidden="1">#REF!</definedName>
    <definedName name="_7__123Graph_BCHART_2" localSheetId="21" hidden="1">#REF!</definedName>
    <definedName name="_7__123Graph_BCHART_2" localSheetId="23" hidden="1">#REF!</definedName>
    <definedName name="_7__123Graph_BCHART_2" localSheetId="20" hidden="1">#REF!</definedName>
    <definedName name="_7__123Graph_BCHART_2" localSheetId="22" hidden="1">#REF!</definedName>
    <definedName name="_7__123Graph_BCHART_2" localSheetId="19" hidden="1">#REF!</definedName>
    <definedName name="_7__123Graph_BCHART_2" localSheetId="5" hidden="1">#REF!</definedName>
    <definedName name="_7__123Graph_BCHART_2" hidden="1">#REF!</definedName>
    <definedName name="_7FORM_B" localSheetId="8">#REF!</definedName>
    <definedName name="_7FORM_B" localSheetId="12">#REF!</definedName>
    <definedName name="_7FORM_B" localSheetId="21">#REF!</definedName>
    <definedName name="_7FORM_B" localSheetId="23">#REF!</definedName>
    <definedName name="_7FORM_B" localSheetId="20">#REF!</definedName>
    <definedName name="_7FORM_B" localSheetId="22">#REF!</definedName>
    <definedName name="_7FORM_B" localSheetId="19">#REF!</definedName>
    <definedName name="_7FORM_B" localSheetId="18">#REF!</definedName>
    <definedName name="_7FORM_B" localSheetId="5">#REF!</definedName>
    <definedName name="_7FORM_B">#REF!</definedName>
    <definedName name="_8" localSheetId="8">#REF!</definedName>
    <definedName name="_8" localSheetId="12">#REF!</definedName>
    <definedName name="_8" localSheetId="21">#REF!</definedName>
    <definedName name="_8" localSheetId="23">#REF!</definedName>
    <definedName name="_8" localSheetId="20">#REF!</definedName>
    <definedName name="_8" localSheetId="22">#REF!</definedName>
    <definedName name="_8" localSheetId="19">#REF!</definedName>
    <definedName name="_8" localSheetId="18">#REF!</definedName>
    <definedName name="_8" localSheetId="5">#REF!</definedName>
    <definedName name="_8">#REF!</definedName>
    <definedName name="_8__123Graph_ACHART_4" localSheetId="8" hidden="1">#REF!</definedName>
    <definedName name="_8__123Graph_ACHART_4" localSheetId="21" hidden="1">#REF!</definedName>
    <definedName name="_8__123Graph_ACHART_4" localSheetId="23" hidden="1">#REF!</definedName>
    <definedName name="_8__123Graph_ACHART_4" localSheetId="20" hidden="1">#REF!</definedName>
    <definedName name="_8__123Graph_ACHART_4" localSheetId="22" hidden="1">#REF!</definedName>
    <definedName name="_8__123Graph_ACHART_4" localSheetId="19" hidden="1">#REF!</definedName>
    <definedName name="_8__123Graph_ACHART_4" localSheetId="5" hidden="1">#REF!</definedName>
    <definedName name="_8__123Graph_ACHART_4" hidden="1">#REF!</definedName>
    <definedName name="_8__123Graph_BCHART_3" localSheetId="8" hidden="1">#REF!</definedName>
    <definedName name="_8__123Graph_BCHART_3" localSheetId="21" hidden="1">#REF!</definedName>
    <definedName name="_8__123Graph_BCHART_3" localSheetId="23" hidden="1">#REF!</definedName>
    <definedName name="_8__123Graph_BCHART_3" localSheetId="20" hidden="1">#REF!</definedName>
    <definedName name="_8__123Graph_BCHART_3" localSheetId="22" hidden="1">#REF!</definedName>
    <definedName name="_8__123Graph_BCHART_3" localSheetId="19" hidden="1">#REF!</definedName>
    <definedName name="_8__123Graph_BCHART_3" localSheetId="5" hidden="1">#REF!</definedName>
    <definedName name="_8__123Graph_BCHART_3" hidden="1">#REF!</definedName>
    <definedName name="_8GD_PER_TW" localSheetId="8">#REF!</definedName>
    <definedName name="_8GD_PER_TW" localSheetId="12">#REF!</definedName>
    <definedName name="_8GD_PER_TW" localSheetId="21">#REF!</definedName>
    <definedName name="_8GD_PER_TW" localSheetId="23">#REF!</definedName>
    <definedName name="_8GD_PER_TW" localSheetId="20">#REF!</definedName>
    <definedName name="_8GD_PER_TW" localSheetId="22">#REF!</definedName>
    <definedName name="_8GD_PER_TW" localSheetId="19">#REF!</definedName>
    <definedName name="_8GD_PER_TW" localSheetId="18">#REF!</definedName>
    <definedName name="_8GD_PER_TW" localSheetId="5">#REF!</definedName>
    <definedName name="_8GD_PER_TW">#REF!</definedName>
    <definedName name="_9" localSheetId="8">#REF!</definedName>
    <definedName name="_9" localSheetId="12">#REF!</definedName>
    <definedName name="_9" localSheetId="21">#REF!</definedName>
    <definedName name="_9" localSheetId="23">#REF!</definedName>
    <definedName name="_9" localSheetId="20">#REF!</definedName>
    <definedName name="_9" localSheetId="22">#REF!</definedName>
    <definedName name="_9" localSheetId="19">#REF!</definedName>
    <definedName name="_9" localSheetId="18">#REF!</definedName>
    <definedName name="_9" localSheetId="5">#REF!</definedName>
    <definedName name="_9">#REF!</definedName>
    <definedName name="_9__123Graph_BCHART_4" localSheetId="8" hidden="1">#REF!</definedName>
    <definedName name="_9__123Graph_BCHART_4" localSheetId="21" hidden="1">#REF!</definedName>
    <definedName name="_9__123Graph_BCHART_4" localSheetId="23" hidden="1">#REF!</definedName>
    <definedName name="_9__123Graph_BCHART_4" localSheetId="20" hidden="1">#REF!</definedName>
    <definedName name="_9__123Graph_BCHART_4" localSheetId="22" hidden="1">#REF!</definedName>
    <definedName name="_9__123Graph_BCHART_4" localSheetId="19" hidden="1">#REF!</definedName>
    <definedName name="_9__123Graph_BCHART_4" hidden="1">#REF!</definedName>
    <definedName name="_96__123Graph_ACHART_3" localSheetId="8" hidden="1">#REF!</definedName>
    <definedName name="_96__123Graph_ACHART_3" localSheetId="21" hidden="1">#REF!</definedName>
    <definedName name="_96__123Graph_ACHART_3" localSheetId="23" hidden="1">#REF!</definedName>
    <definedName name="_96__123Graph_ACHART_3" localSheetId="20" hidden="1">#REF!</definedName>
    <definedName name="_96__123Graph_ACHART_3" localSheetId="22" hidden="1">#REF!</definedName>
    <definedName name="_96__123Graph_ACHART_3" localSheetId="19" hidden="1">#REF!</definedName>
    <definedName name="_96__123Graph_ACHART_3" hidden="1">#REF!</definedName>
    <definedName name="_9GH_2_SPINDEL" localSheetId="8">#REF!</definedName>
    <definedName name="_9GH_2_SPINDEL" localSheetId="12">#REF!</definedName>
    <definedName name="_9GH_2_SPINDEL" localSheetId="21">#REF!</definedName>
    <definedName name="_9GH_2_SPINDEL" localSheetId="23">#REF!</definedName>
    <definedName name="_9GH_2_SPINDEL" localSheetId="20">#REF!</definedName>
    <definedName name="_9GH_2_SPINDEL" localSheetId="22">#REF!</definedName>
    <definedName name="_9GH_2_SPINDEL" localSheetId="19">#REF!</definedName>
    <definedName name="_9GH_2_SPINDEL" localSheetId="18">#REF!</definedName>
    <definedName name="_9GH_2_SPINDEL" localSheetId="5">#REF!</definedName>
    <definedName name="_9GH_2_SPINDEL">#REF!</definedName>
    <definedName name="_BAT48100">#REF!</definedName>
    <definedName name="_DAF1" localSheetId="8">#REF!</definedName>
    <definedName name="_DAF1" localSheetId="12">#REF!</definedName>
    <definedName name="_DAF1" localSheetId="21">#REF!</definedName>
    <definedName name="_DAF1" localSheetId="23">#REF!</definedName>
    <definedName name="_DAF1" localSheetId="20">#REF!</definedName>
    <definedName name="_DAF1" localSheetId="22">#REF!</definedName>
    <definedName name="_DAF1" localSheetId="19">#REF!</definedName>
    <definedName name="_DAF1" localSheetId="18">#REF!</definedName>
    <definedName name="_DAF1" localSheetId="5">#REF!</definedName>
    <definedName name="_DAF1">#REF!</definedName>
    <definedName name="_DAF11" localSheetId="8">#REF!</definedName>
    <definedName name="_DAF11" localSheetId="12">#REF!</definedName>
    <definedName name="_DAF11" localSheetId="21">#REF!</definedName>
    <definedName name="_DAF11" localSheetId="23">#REF!</definedName>
    <definedName name="_DAF11" localSheetId="20">#REF!</definedName>
    <definedName name="_DAF11" localSheetId="22">#REF!</definedName>
    <definedName name="_DAF11" localSheetId="19">#REF!</definedName>
    <definedName name="_DAF11" localSheetId="18">#REF!</definedName>
    <definedName name="_DAF11" localSheetId="5">#REF!</definedName>
    <definedName name="_DAF11">#REF!</definedName>
    <definedName name="_DAF12" localSheetId="8">#REF!</definedName>
    <definedName name="_DAF12" localSheetId="12">#REF!</definedName>
    <definedName name="_DAF12" localSheetId="21">#REF!</definedName>
    <definedName name="_DAF12" localSheetId="23">#REF!</definedName>
    <definedName name="_DAF12" localSheetId="20">#REF!</definedName>
    <definedName name="_DAF12" localSheetId="22">#REF!</definedName>
    <definedName name="_DAF12" localSheetId="19">#REF!</definedName>
    <definedName name="_DAF12" localSheetId="18">#REF!</definedName>
    <definedName name="_DAF12" localSheetId="5">#REF!</definedName>
    <definedName name="_DAF12">#REF!</definedName>
    <definedName name="_DAF13" localSheetId="8">#REF!</definedName>
    <definedName name="_DAF13" localSheetId="12">#REF!</definedName>
    <definedName name="_DAF13" localSheetId="21">#REF!</definedName>
    <definedName name="_DAF13" localSheetId="23">#REF!</definedName>
    <definedName name="_DAF13" localSheetId="20">#REF!</definedName>
    <definedName name="_DAF13" localSheetId="22">#REF!</definedName>
    <definedName name="_DAF13" localSheetId="19">#REF!</definedName>
    <definedName name="_DAF13" localSheetId="18">#REF!</definedName>
    <definedName name="_DAF13">#REF!</definedName>
    <definedName name="_daf133" localSheetId="8">#REF!</definedName>
    <definedName name="_daf133" localSheetId="12">#REF!</definedName>
    <definedName name="_daf133" localSheetId="21">#REF!</definedName>
    <definedName name="_daf133" localSheetId="23">#REF!</definedName>
    <definedName name="_daf133" localSheetId="20">#REF!</definedName>
    <definedName name="_daf133" localSheetId="22">#REF!</definedName>
    <definedName name="_daf133" localSheetId="19">#REF!</definedName>
    <definedName name="_daf133" localSheetId="18">#REF!</definedName>
    <definedName name="_daf133">#REF!</definedName>
    <definedName name="_DAF14" localSheetId="8">#REF!</definedName>
    <definedName name="_DAF14" localSheetId="12">#REF!</definedName>
    <definedName name="_DAF14" localSheetId="21">#REF!</definedName>
    <definedName name="_DAF14" localSheetId="23">#REF!</definedName>
    <definedName name="_DAF14" localSheetId="20">#REF!</definedName>
    <definedName name="_DAF14" localSheetId="22">#REF!</definedName>
    <definedName name="_DAF14" localSheetId="19">#REF!</definedName>
    <definedName name="_DAF14" localSheetId="18">#REF!</definedName>
    <definedName name="_DAF14">#REF!</definedName>
    <definedName name="_DAF15" localSheetId="8">#REF!</definedName>
    <definedName name="_DAF15" localSheetId="12">#REF!</definedName>
    <definedName name="_DAF15" localSheetId="21">#REF!</definedName>
    <definedName name="_DAF15" localSheetId="23">#REF!</definedName>
    <definedName name="_DAF15" localSheetId="20">#REF!</definedName>
    <definedName name="_DAF15" localSheetId="22">#REF!</definedName>
    <definedName name="_DAF15" localSheetId="19">#REF!</definedName>
    <definedName name="_DAF15" localSheetId="18">#REF!</definedName>
    <definedName name="_DAF15">#REF!</definedName>
    <definedName name="_DAF16" localSheetId="8">#REF!</definedName>
    <definedName name="_DAF16" localSheetId="12">#REF!</definedName>
    <definedName name="_DAF16" localSheetId="21">#REF!</definedName>
    <definedName name="_DAF16" localSheetId="23">#REF!</definedName>
    <definedName name="_DAF16" localSheetId="20">#REF!</definedName>
    <definedName name="_DAF16" localSheetId="22">#REF!</definedName>
    <definedName name="_DAF16" localSheetId="19">#REF!</definedName>
    <definedName name="_DAF16" localSheetId="18">#REF!</definedName>
    <definedName name="_DAF16">#REF!</definedName>
    <definedName name="_DAF17" localSheetId="8">#REF!</definedName>
    <definedName name="_DAF17" localSheetId="12">#REF!</definedName>
    <definedName name="_DAF17" localSheetId="21">#REF!</definedName>
    <definedName name="_DAF17" localSheetId="23">#REF!</definedName>
    <definedName name="_DAF17" localSheetId="20">#REF!</definedName>
    <definedName name="_DAF17" localSheetId="22">#REF!</definedName>
    <definedName name="_DAF17" localSheetId="19">#REF!</definedName>
    <definedName name="_DAF17" localSheetId="18">#REF!</definedName>
    <definedName name="_DAF17">#REF!</definedName>
    <definedName name="_DAF2" localSheetId="8">#REF!</definedName>
    <definedName name="_DAF2" localSheetId="12">#REF!</definedName>
    <definedName name="_DAF2" localSheetId="21">#REF!</definedName>
    <definedName name="_DAF2" localSheetId="23">#REF!</definedName>
    <definedName name="_DAF2" localSheetId="20">#REF!</definedName>
    <definedName name="_DAF2" localSheetId="22">#REF!</definedName>
    <definedName name="_DAF2" localSheetId="19">#REF!</definedName>
    <definedName name="_DAF2" localSheetId="18">#REF!</definedName>
    <definedName name="_DAF2">#REF!</definedName>
    <definedName name="_DAF3" localSheetId="8">#REF!</definedName>
    <definedName name="_DAF3" localSheetId="12">#REF!</definedName>
    <definedName name="_DAF3" localSheetId="21">#REF!</definedName>
    <definedName name="_DAF3" localSheetId="23">#REF!</definedName>
    <definedName name="_DAF3" localSheetId="20">#REF!</definedName>
    <definedName name="_DAF3" localSheetId="22">#REF!</definedName>
    <definedName name="_DAF3" localSheetId="19">#REF!</definedName>
    <definedName name="_DAF3" localSheetId="18">#REF!</definedName>
    <definedName name="_DAF3">#REF!</definedName>
    <definedName name="_Dist_Bin" localSheetId="8" hidden="1">#REF!</definedName>
    <definedName name="_Dist_Bin" localSheetId="12" hidden="1">#REF!</definedName>
    <definedName name="_Dist_Bin" localSheetId="21" hidden="1">#REF!</definedName>
    <definedName name="_Dist_Bin" localSheetId="23" hidden="1">#REF!</definedName>
    <definedName name="_Dist_Bin" localSheetId="20" hidden="1">#REF!</definedName>
    <definedName name="_Dist_Bin" localSheetId="22" hidden="1">#REF!</definedName>
    <definedName name="_Dist_Bin" localSheetId="19" hidden="1">#REF!</definedName>
    <definedName name="_Dist_Bin" localSheetId="18" hidden="1">#REF!</definedName>
    <definedName name="_Dist_Bin" hidden="1">#REF!</definedName>
    <definedName name="_Dist_Values" localSheetId="8" hidden="1">#REF!</definedName>
    <definedName name="_Dist_Values" localSheetId="12" hidden="1">#REF!</definedName>
    <definedName name="_Dist_Values" localSheetId="21" hidden="1">#REF!</definedName>
    <definedName name="_Dist_Values" localSheetId="23" hidden="1">#REF!</definedName>
    <definedName name="_Dist_Values" localSheetId="20" hidden="1">#REF!</definedName>
    <definedName name="_Dist_Values" localSheetId="22" hidden="1">#REF!</definedName>
    <definedName name="_Dist_Values" localSheetId="19" hidden="1">#REF!</definedName>
    <definedName name="_Dist_Values" localSheetId="18" hidden="1">#REF!</definedName>
    <definedName name="_Dist_Values" hidden="1">#REF!</definedName>
    <definedName name="_DMA7">#REF!</definedName>
    <definedName name="_Fill" localSheetId="8" hidden="1">#REF!</definedName>
    <definedName name="_Fill" localSheetId="12" hidden="1">#REF!</definedName>
    <definedName name="_Fill" localSheetId="21" hidden="1">#REF!</definedName>
    <definedName name="_Fill" localSheetId="23" hidden="1">#REF!</definedName>
    <definedName name="_Fill" localSheetId="20" hidden="1">#REF!</definedName>
    <definedName name="_Fill" localSheetId="22" hidden="1">#REF!</definedName>
    <definedName name="_Fill" localSheetId="19" hidden="1">#REF!</definedName>
    <definedName name="_Fill" localSheetId="18" hidden="1">#REF!</definedName>
    <definedName name="_Fill" localSheetId="5" hidden="1">#REF!</definedName>
    <definedName name="_Fill" hidden="1">#REF!</definedName>
    <definedName name="_hal1" localSheetId="8">#REF!</definedName>
    <definedName name="_hal1" localSheetId="12">#REF!</definedName>
    <definedName name="_hal1" localSheetId="21">#REF!</definedName>
    <definedName name="_hal1" localSheetId="23">#REF!</definedName>
    <definedName name="_hal1" localSheetId="20">#REF!</definedName>
    <definedName name="_hal1" localSheetId="22">#REF!</definedName>
    <definedName name="_hal1" localSheetId="19">#REF!</definedName>
    <definedName name="_hal1" localSheetId="18">#REF!</definedName>
    <definedName name="_hal1" localSheetId="5">#REF!</definedName>
    <definedName name="_hal1">#REF!</definedName>
    <definedName name="_hal2" localSheetId="8">#REF!</definedName>
    <definedName name="_hal2" localSheetId="12">#REF!</definedName>
    <definedName name="_hal2" localSheetId="21">#REF!</definedName>
    <definedName name="_hal2" localSheetId="23">#REF!</definedName>
    <definedName name="_hal2" localSheetId="20">#REF!</definedName>
    <definedName name="_hal2" localSheetId="22">#REF!</definedName>
    <definedName name="_hal2" localSheetId="19">#REF!</definedName>
    <definedName name="_hal2" localSheetId="18">#REF!</definedName>
    <definedName name="_hal2" localSheetId="5">#REF!</definedName>
    <definedName name="_hal2">#REF!</definedName>
    <definedName name="_hal3" localSheetId="8">#REF!</definedName>
    <definedName name="_hal3" localSheetId="12">#REF!</definedName>
    <definedName name="_hal3" localSheetId="21">#REF!</definedName>
    <definedName name="_hal3" localSheetId="23">#REF!</definedName>
    <definedName name="_hal3" localSheetId="20">#REF!</definedName>
    <definedName name="_hal3" localSheetId="22">#REF!</definedName>
    <definedName name="_hal3" localSheetId="19">#REF!</definedName>
    <definedName name="_hal3" localSheetId="18">#REF!</definedName>
    <definedName name="_hal3" localSheetId="5">#REF!</definedName>
    <definedName name="_hal3">#REF!</definedName>
    <definedName name="_hal4" localSheetId="8">#REF!</definedName>
    <definedName name="_hal4" localSheetId="12">#REF!</definedName>
    <definedName name="_hal4" localSheetId="21">#REF!</definedName>
    <definedName name="_hal4" localSheetId="23">#REF!</definedName>
    <definedName name="_hal4" localSheetId="20">#REF!</definedName>
    <definedName name="_hal4" localSheetId="22">#REF!</definedName>
    <definedName name="_hal4" localSheetId="19">#REF!</definedName>
    <definedName name="_hal4" localSheetId="18">#REF!</definedName>
    <definedName name="_hal4">#REF!</definedName>
    <definedName name="_hal5" localSheetId="8">#REF!</definedName>
    <definedName name="_hal5" localSheetId="12">#REF!</definedName>
    <definedName name="_hal5" localSheetId="21">#REF!</definedName>
    <definedName name="_hal5" localSheetId="23">#REF!</definedName>
    <definedName name="_hal5" localSheetId="20">#REF!</definedName>
    <definedName name="_hal5" localSheetId="22">#REF!</definedName>
    <definedName name="_hal5" localSheetId="19">#REF!</definedName>
    <definedName name="_hal5" localSheetId="18">#REF!</definedName>
    <definedName name="_hal5">#REF!</definedName>
    <definedName name="_hal6" localSheetId="8">#REF!</definedName>
    <definedName name="_hal6" localSheetId="12">#REF!</definedName>
    <definedName name="_hal6" localSheetId="21">#REF!</definedName>
    <definedName name="_hal6" localSheetId="23">#REF!</definedName>
    <definedName name="_hal6" localSheetId="20">#REF!</definedName>
    <definedName name="_hal6" localSheetId="22">#REF!</definedName>
    <definedName name="_hal6" localSheetId="19">#REF!</definedName>
    <definedName name="_hal6" localSheetId="18">#REF!</definedName>
    <definedName name="_hal6">#REF!</definedName>
    <definedName name="_HLM1">#REF!</definedName>
    <definedName name="_HLM2" localSheetId="8">#REF!</definedName>
    <definedName name="_HLM2" localSheetId="21">#REF!</definedName>
    <definedName name="_HLM2" localSheetId="23">#REF!</definedName>
    <definedName name="_HLM2" localSheetId="20">#REF!</definedName>
    <definedName name="_HLM2" localSheetId="22">#REF!</definedName>
    <definedName name="_HLM2" localSheetId="19">#REF!</definedName>
    <definedName name="_HLM2" localSheetId="5">#REF!</definedName>
    <definedName name="_HLM2">#REF!</definedName>
    <definedName name="_HLM3" localSheetId="8">#REF!</definedName>
    <definedName name="_HLM3" localSheetId="21">#REF!</definedName>
    <definedName name="_HLM3" localSheetId="23">#REF!</definedName>
    <definedName name="_HLM3" localSheetId="20">#REF!</definedName>
    <definedName name="_HLM3" localSheetId="22">#REF!</definedName>
    <definedName name="_HLM3" localSheetId="19">#REF!</definedName>
    <definedName name="_HLM3" localSheetId="5">#REF!</definedName>
    <definedName name="_HLM3">#REF!</definedName>
    <definedName name="_JUD1" localSheetId="8">#REF!</definedName>
    <definedName name="_JUD1" localSheetId="21">#REF!</definedName>
    <definedName name="_JUD1" localSheetId="23">#REF!</definedName>
    <definedName name="_JUD1" localSheetId="20">#REF!</definedName>
    <definedName name="_JUD1" localSheetId="22">#REF!</definedName>
    <definedName name="_JUD1" localSheetId="19">#REF!</definedName>
    <definedName name="_JUD1" localSheetId="5">#REF!</definedName>
    <definedName name="_JUD1">#REF!</definedName>
    <definedName name="_JUD2" localSheetId="8">#REF!</definedName>
    <definedName name="_JUD2" localSheetId="21">#REF!</definedName>
    <definedName name="_JUD2" localSheetId="23">#REF!</definedName>
    <definedName name="_JUD2" localSheetId="20">#REF!</definedName>
    <definedName name="_JUD2" localSheetId="22">#REF!</definedName>
    <definedName name="_JUD2" localSheetId="19">#REF!</definedName>
    <definedName name="_JUD2" localSheetId="5">#REF!</definedName>
    <definedName name="_JUD2">#REF!</definedName>
    <definedName name="_JUD3" localSheetId="8">#REF!</definedName>
    <definedName name="_JUD3" localSheetId="21">#REF!</definedName>
    <definedName name="_JUD3" localSheetId="23">#REF!</definedName>
    <definedName name="_JUD3" localSheetId="20">#REF!</definedName>
    <definedName name="_JUD3" localSheetId="22">#REF!</definedName>
    <definedName name="_JUD3" localSheetId="19">#REF!</definedName>
    <definedName name="_JUD3">#REF!</definedName>
    <definedName name="_JUD4" localSheetId="8">#REF!</definedName>
    <definedName name="_JUD4" localSheetId="21">#REF!</definedName>
    <definedName name="_JUD4" localSheetId="23">#REF!</definedName>
    <definedName name="_JUD4" localSheetId="20">#REF!</definedName>
    <definedName name="_JUD4" localSheetId="22">#REF!</definedName>
    <definedName name="_JUD4" localSheetId="19">#REF!</definedName>
    <definedName name="_JUD4">#REF!</definedName>
    <definedName name="_JUD5" localSheetId="8">#REF!</definedName>
    <definedName name="_JUD5" localSheetId="21">#REF!</definedName>
    <definedName name="_JUD5" localSheetId="23">#REF!</definedName>
    <definedName name="_JUD5" localSheetId="20">#REF!</definedName>
    <definedName name="_JUD5" localSheetId="22">#REF!</definedName>
    <definedName name="_JUD5" localSheetId="19">#REF!</definedName>
    <definedName name="_JUD5">#REF!</definedName>
    <definedName name="_JUD6" localSheetId="8">#REF!</definedName>
    <definedName name="_JUD6" localSheetId="21">#REF!</definedName>
    <definedName name="_JUD6" localSheetId="23">#REF!</definedName>
    <definedName name="_JUD6" localSheetId="20">#REF!</definedName>
    <definedName name="_JUD6" localSheetId="22">#REF!</definedName>
    <definedName name="_JUD6" localSheetId="19">#REF!</definedName>
    <definedName name="_JUD6">#REF!</definedName>
    <definedName name="_JUD7" localSheetId="8">#REF!</definedName>
    <definedName name="_JUD7" localSheetId="21">#REF!</definedName>
    <definedName name="_JUD7" localSheetId="23">#REF!</definedName>
    <definedName name="_JUD7" localSheetId="20">#REF!</definedName>
    <definedName name="_JUD7" localSheetId="22">#REF!</definedName>
    <definedName name="_JUD7" localSheetId="19">#REF!</definedName>
    <definedName name="_JUD7">#REF!</definedName>
    <definedName name="_JUL3" localSheetId="8">#REF!</definedName>
    <definedName name="_JUL3" localSheetId="21">#REF!</definedName>
    <definedName name="_JUL3" localSheetId="23">#REF!</definedName>
    <definedName name="_JUL3" localSheetId="20">#REF!</definedName>
    <definedName name="_JUL3" localSheetId="22">#REF!</definedName>
    <definedName name="_JUL3" localSheetId="19">#REF!</definedName>
    <definedName name="_JUL3" localSheetId="5">#REF!</definedName>
    <definedName name="_JUL3">#REF!</definedName>
    <definedName name="_kb1" localSheetId="8">#REF!</definedName>
    <definedName name="_kb1" localSheetId="12">#REF!</definedName>
    <definedName name="_kb1" localSheetId="21">#REF!</definedName>
    <definedName name="_kb1" localSheetId="23">#REF!</definedName>
    <definedName name="_kb1" localSheetId="20">#REF!</definedName>
    <definedName name="_kb1" localSheetId="22">#REF!</definedName>
    <definedName name="_kb1" localSheetId="19">#REF!</definedName>
    <definedName name="_kb1" localSheetId="18">#REF!</definedName>
    <definedName name="_kb1">#REF!</definedName>
    <definedName name="_kb2" localSheetId="8">#REF!</definedName>
    <definedName name="_kb2" localSheetId="12">#REF!</definedName>
    <definedName name="_kb2" localSheetId="21">#REF!</definedName>
    <definedName name="_kb2" localSheetId="23">#REF!</definedName>
    <definedName name="_kb2" localSheetId="20">#REF!</definedName>
    <definedName name="_kb2" localSheetId="22">#REF!</definedName>
    <definedName name="_kb2" localSheetId="19">#REF!</definedName>
    <definedName name="_kb2" localSheetId="18">#REF!</definedName>
    <definedName name="_kb2">#REF!</definedName>
    <definedName name="_Key1" localSheetId="8" hidden="1">#REF!</definedName>
    <definedName name="_Key1" localSheetId="12" hidden="1">#REF!</definedName>
    <definedName name="_Key1" localSheetId="21" hidden="1">#REF!</definedName>
    <definedName name="_Key1" localSheetId="23" hidden="1">#REF!</definedName>
    <definedName name="_Key1" localSheetId="20" hidden="1">#REF!</definedName>
    <definedName name="_Key1" localSheetId="22" hidden="1">#REF!</definedName>
    <definedName name="_Key1" localSheetId="19" hidden="1">#REF!</definedName>
    <definedName name="_Key1" localSheetId="18" hidden="1">#REF!</definedName>
    <definedName name="_Key1" localSheetId="5" hidden="1">#REF!</definedName>
    <definedName name="_Key1" hidden="1">#REF!</definedName>
    <definedName name="_Key2" localSheetId="8" hidden="1">#REF!</definedName>
    <definedName name="_Key2" localSheetId="12" hidden="1">#REF!</definedName>
    <definedName name="_Key2" localSheetId="21" hidden="1">#REF!</definedName>
    <definedName name="_Key2" localSheetId="23" hidden="1">#REF!</definedName>
    <definedName name="_Key2" localSheetId="20" hidden="1">#REF!</definedName>
    <definedName name="_Key2" localSheetId="22" hidden="1">#REF!</definedName>
    <definedName name="_Key2" localSheetId="19" hidden="1">#REF!</definedName>
    <definedName name="_Key2" localSheetId="18" hidden="1">#REF!</definedName>
    <definedName name="_Key2" localSheetId="5" hidden="1">#REF!</definedName>
    <definedName name="_Key2" hidden="1">#REF!</definedName>
    <definedName name="_kp1" localSheetId="8">#REF!</definedName>
    <definedName name="_kp1" localSheetId="12">#REF!</definedName>
    <definedName name="_kp1" localSheetId="21">#REF!</definedName>
    <definedName name="_kp1" localSheetId="23">#REF!</definedName>
    <definedName name="_kp1" localSheetId="20">#REF!</definedName>
    <definedName name="_kp1" localSheetId="22">#REF!</definedName>
    <definedName name="_kp1" localSheetId="19">#REF!</definedName>
    <definedName name="_kp1" localSheetId="18">#REF!</definedName>
    <definedName name="_kp1">#REF!</definedName>
    <definedName name="_la150">#REF!</definedName>
    <definedName name="_LinkPic_148B9ED1F0E34034A77CBB6312C3737E" localSheetId="8">#REF!</definedName>
    <definedName name="_LinkPic_148B9ED1F0E34034A77CBB6312C3737E" localSheetId="12">#REF!</definedName>
    <definedName name="_LinkPic_148B9ED1F0E34034A77CBB6312C3737E" localSheetId="21">#REF!</definedName>
    <definedName name="_LinkPic_148B9ED1F0E34034A77CBB6312C3737E" localSheetId="23">#REF!</definedName>
    <definedName name="_LinkPic_148B9ED1F0E34034A77CBB6312C3737E" localSheetId="20">#REF!</definedName>
    <definedName name="_LinkPic_148B9ED1F0E34034A77CBB6312C3737E" localSheetId="22">#REF!</definedName>
    <definedName name="_LinkPic_148B9ED1F0E34034A77CBB6312C3737E" localSheetId="19">#REF!</definedName>
    <definedName name="_LinkPic_148B9ED1F0E34034A77CBB6312C3737E" localSheetId="18">#REF!</definedName>
    <definedName name="_LinkPic_148B9ED1F0E34034A77CBB6312C3737E" localSheetId="5">#REF!</definedName>
    <definedName name="_LinkPic_148B9ED1F0E34034A77CBB6312C3737E">#REF!</definedName>
    <definedName name="_LinkPic_3BD6DC9EA1244135BB44D10D9B947A20" localSheetId="8">#REF!</definedName>
    <definedName name="_LinkPic_3BD6DC9EA1244135BB44D10D9B947A20" localSheetId="12">#REF!</definedName>
    <definedName name="_LinkPic_3BD6DC9EA1244135BB44D10D9B947A20" localSheetId="21">#REF!</definedName>
    <definedName name="_LinkPic_3BD6DC9EA1244135BB44D10D9B947A20" localSheetId="23">#REF!</definedName>
    <definedName name="_LinkPic_3BD6DC9EA1244135BB44D10D9B947A20" localSheetId="20">#REF!</definedName>
    <definedName name="_LinkPic_3BD6DC9EA1244135BB44D10D9B947A20" localSheetId="22">#REF!</definedName>
    <definedName name="_LinkPic_3BD6DC9EA1244135BB44D10D9B947A20" localSheetId="19">#REF!</definedName>
    <definedName name="_LinkPic_3BD6DC9EA1244135BB44D10D9B947A20" localSheetId="18">#REF!</definedName>
    <definedName name="_LinkPic_3BD6DC9EA1244135BB44D10D9B947A20" localSheetId="5">#REF!</definedName>
    <definedName name="_LinkPic_3BD6DC9EA1244135BB44D10D9B947A20">#REF!</definedName>
    <definedName name="_LinkPic_450384875BDD4637926F9BC2A5B87B18" localSheetId="8">#REF!</definedName>
    <definedName name="_LinkPic_450384875BDD4637926F9BC2A5B87B18" localSheetId="12">#REF!</definedName>
    <definedName name="_LinkPic_450384875BDD4637926F9BC2A5B87B18" localSheetId="21">#REF!</definedName>
    <definedName name="_LinkPic_450384875BDD4637926F9BC2A5B87B18" localSheetId="23">#REF!</definedName>
    <definedName name="_LinkPic_450384875BDD4637926F9BC2A5B87B18" localSheetId="20">#REF!</definedName>
    <definedName name="_LinkPic_450384875BDD4637926F9BC2A5B87B18" localSheetId="22">#REF!</definedName>
    <definedName name="_LinkPic_450384875BDD4637926F9BC2A5B87B18" localSheetId="19">#REF!</definedName>
    <definedName name="_LinkPic_450384875BDD4637926F9BC2A5B87B18" localSheetId="18">#REF!</definedName>
    <definedName name="_LinkPic_450384875BDD4637926F9BC2A5B87B18" localSheetId="5">#REF!</definedName>
    <definedName name="_LinkPic_450384875BDD4637926F9BC2A5B87B18">#REF!</definedName>
    <definedName name="_LinkPic_5D9A26180F9345689881A3AD580D3F7A">#REF!</definedName>
    <definedName name="_LinkPic_DC9E3C4193F340C38D569535AFB3BB77">#REF!</definedName>
    <definedName name="_LinkPic_E9349935B30E48F09406EDCF5D273022" localSheetId="8">#REF!</definedName>
    <definedName name="_LinkPic_E9349935B30E48F09406EDCF5D273022" localSheetId="12">#REF!</definedName>
    <definedName name="_LinkPic_E9349935B30E48F09406EDCF5D273022" localSheetId="21">#REF!</definedName>
    <definedName name="_LinkPic_E9349935B30E48F09406EDCF5D273022" localSheetId="23">#REF!</definedName>
    <definedName name="_LinkPic_E9349935B30E48F09406EDCF5D273022" localSheetId="20">#REF!</definedName>
    <definedName name="_LinkPic_E9349935B30E48F09406EDCF5D273022" localSheetId="22">#REF!</definedName>
    <definedName name="_LinkPic_E9349935B30E48F09406EDCF5D273022" localSheetId="19">#REF!</definedName>
    <definedName name="_LinkPic_E9349935B30E48F09406EDCF5D273022" localSheetId="18">#REF!</definedName>
    <definedName name="_LinkPic_E9349935B30E48F09406EDCF5D273022" localSheetId="5">#REF!</definedName>
    <definedName name="_LinkPic_E9349935B30E48F09406EDCF5D273022">#REF!</definedName>
    <definedName name="_LinkPic_F2A3E2A02A344C94935E694361951F2D" localSheetId="8">#REF!</definedName>
    <definedName name="_LinkPic_F2A3E2A02A344C94935E694361951F2D" localSheetId="12">#REF!</definedName>
    <definedName name="_LinkPic_F2A3E2A02A344C94935E694361951F2D" localSheetId="21">#REF!</definedName>
    <definedName name="_LinkPic_F2A3E2A02A344C94935E694361951F2D" localSheetId="23">#REF!</definedName>
    <definedName name="_LinkPic_F2A3E2A02A344C94935E694361951F2D" localSheetId="20">#REF!</definedName>
    <definedName name="_LinkPic_F2A3E2A02A344C94935E694361951F2D" localSheetId="22">#REF!</definedName>
    <definedName name="_LinkPic_F2A3E2A02A344C94935E694361951F2D" localSheetId="19">#REF!</definedName>
    <definedName name="_LinkPic_F2A3E2A02A344C94935E694361951F2D" localSheetId="18">#REF!</definedName>
    <definedName name="_LinkPic_F2A3E2A02A344C94935E694361951F2D" localSheetId="5">#REF!</definedName>
    <definedName name="_LinkPic_F2A3E2A02A344C94935E694361951F2D">#REF!</definedName>
    <definedName name="_LinkPic_F92207FEB2A6436FA348F7B54826350A" localSheetId="8">#REF!</definedName>
    <definedName name="_LinkPic_F92207FEB2A6436FA348F7B54826350A" localSheetId="12">#REF!</definedName>
    <definedName name="_LinkPic_F92207FEB2A6436FA348F7B54826350A" localSheetId="21">#REF!</definedName>
    <definedName name="_LinkPic_F92207FEB2A6436FA348F7B54826350A" localSheetId="23">#REF!</definedName>
    <definedName name="_LinkPic_F92207FEB2A6436FA348F7B54826350A" localSheetId="20">#REF!</definedName>
    <definedName name="_LinkPic_F92207FEB2A6436FA348F7B54826350A" localSheetId="22">#REF!</definedName>
    <definedName name="_LinkPic_F92207FEB2A6436FA348F7B54826350A" localSheetId="19">#REF!</definedName>
    <definedName name="_LinkPic_F92207FEB2A6436FA348F7B54826350A" localSheetId="18">#REF!</definedName>
    <definedName name="_LinkPic_F92207FEB2A6436FA348F7B54826350A" localSheetId="5">#REF!</definedName>
    <definedName name="_LinkPic_F92207FEB2A6436FA348F7B54826350A">#REF!</definedName>
    <definedName name="_LinkPic_FD057638FD704751A8053D1BA1E0275E" localSheetId="8">#REF!</definedName>
    <definedName name="_LinkPic_FD057638FD704751A8053D1BA1E0275E" localSheetId="12">#REF!</definedName>
    <definedName name="_LinkPic_FD057638FD704751A8053D1BA1E0275E" localSheetId="21">#REF!</definedName>
    <definedName name="_LinkPic_FD057638FD704751A8053D1BA1E0275E" localSheetId="23">#REF!</definedName>
    <definedName name="_LinkPic_FD057638FD704751A8053D1BA1E0275E" localSheetId="20">#REF!</definedName>
    <definedName name="_LinkPic_FD057638FD704751A8053D1BA1E0275E" localSheetId="22">#REF!</definedName>
    <definedName name="_LinkPic_FD057638FD704751A8053D1BA1E0275E" localSheetId="19">#REF!</definedName>
    <definedName name="_LinkPic_FD057638FD704751A8053D1BA1E0275E" localSheetId="18">#REF!</definedName>
    <definedName name="_LinkPic_FD057638FD704751A8053D1BA1E0275E">#REF!</definedName>
    <definedName name="_LinkPic_FF645AB2FF2843DCB43AEDF9934790E6" localSheetId="8">#REF!</definedName>
    <definedName name="_LinkPic_FF645AB2FF2843DCB43AEDF9934790E6" localSheetId="12">#REF!</definedName>
    <definedName name="_LinkPic_FF645AB2FF2843DCB43AEDF9934790E6" localSheetId="21">#REF!</definedName>
    <definedName name="_LinkPic_FF645AB2FF2843DCB43AEDF9934790E6" localSheetId="23">#REF!</definedName>
    <definedName name="_LinkPic_FF645AB2FF2843DCB43AEDF9934790E6" localSheetId="20">#REF!</definedName>
    <definedName name="_LinkPic_FF645AB2FF2843DCB43AEDF9934790E6" localSheetId="22">#REF!</definedName>
    <definedName name="_LinkPic_FF645AB2FF2843DCB43AEDF9934790E6" localSheetId="19">#REF!</definedName>
    <definedName name="_LinkPic_FF645AB2FF2843DCB43AEDF9934790E6" localSheetId="18">#REF!</definedName>
    <definedName name="_LinkPic_FF645AB2FF2843DCB43AEDF9934790E6">#REF!</definedName>
    <definedName name="_MAN1">#REF!</definedName>
    <definedName name="_MAN2" localSheetId="8">#REF!</definedName>
    <definedName name="_MAN2" localSheetId="21">#REF!</definedName>
    <definedName name="_MAN2" localSheetId="23">#REF!</definedName>
    <definedName name="_MAN2" localSheetId="20">#REF!</definedName>
    <definedName name="_MAN2" localSheetId="22">#REF!</definedName>
    <definedName name="_MAN2" localSheetId="19">#REF!</definedName>
    <definedName name="_MAN2" localSheetId="5">#REF!</definedName>
    <definedName name="_MAN2">#REF!</definedName>
    <definedName name="_MAN3" localSheetId="8">#REF!</definedName>
    <definedName name="_MAN3" localSheetId="21">#REF!</definedName>
    <definedName name="_MAN3" localSheetId="23">#REF!</definedName>
    <definedName name="_MAN3" localSheetId="20">#REF!</definedName>
    <definedName name="_MAN3" localSheetId="22">#REF!</definedName>
    <definedName name="_MAN3" localSheetId="19">#REF!</definedName>
    <definedName name="_MAN3" localSheetId="5">#REF!</definedName>
    <definedName name="_MAN3">#REF!</definedName>
    <definedName name="_MEI92" localSheetId="8">#REF!</definedName>
    <definedName name="_MEI92" localSheetId="12">#REF!</definedName>
    <definedName name="_MEI92" localSheetId="21">#REF!</definedName>
    <definedName name="_MEI92" localSheetId="23">#REF!</definedName>
    <definedName name="_MEI92" localSheetId="20">#REF!</definedName>
    <definedName name="_MEI92" localSheetId="22">#REF!</definedName>
    <definedName name="_MEI92" localSheetId="19">#REF!</definedName>
    <definedName name="_MEI92" localSheetId="18">#REF!</definedName>
    <definedName name="_MEI92" localSheetId="5">#REF!</definedName>
    <definedName name="_MEI92">#REF!</definedName>
    <definedName name="_npv1" localSheetId="8">#REF!</definedName>
    <definedName name="_npv1" localSheetId="12">#REF!</definedName>
    <definedName name="_npv1" localSheetId="21">#REF!</definedName>
    <definedName name="_npv1" localSheetId="23">#REF!</definedName>
    <definedName name="_npv1" localSheetId="20">#REF!</definedName>
    <definedName name="_npv1" localSheetId="22">#REF!</definedName>
    <definedName name="_npv1" localSheetId="19">#REF!</definedName>
    <definedName name="_npv1" localSheetId="18">#REF!</definedName>
    <definedName name="_npv1" localSheetId="5">#REF!</definedName>
    <definedName name="_npv1">#REF!</definedName>
    <definedName name="_npv2" localSheetId="8">#REF!</definedName>
    <definedName name="_npv2" localSheetId="12">#REF!</definedName>
    <definedName name="_npv2" localSheetId="21">#REF!</definedName>
    <definedName name="_npv2" localSheetId="23">#REF!</definedName>
    <definedName name="_npv2" localSheetId="20">#REF!</definedName>
    <definedName name="_npv2" localSheetId="22">#REF!</definedName>
    <definedName name="_npv2" localSheetId="19">#REF!</definedName>
    <definedName name="_npv2" localSheetId="18">#REF!</definedName>
    <definedName name="_npv2" localSheetId="5">#REF!</definedName>
    <definedName name="_npv2">#REF!</definedName>
    <definedName name="_Order1" hidden="1">0</definedName>
    <definedName name="_Order2" hidden="1">255</definedName>
    <definedName name="_pmt7040">#REF!</definedName>
    <definedName name="_PRSB_A11..B_O1" localSheetId="8">#REF!</definedName>
    <definedName name="_PRSB_A11..B_O1" localSheetId="12">#REF!</definedName>
    <definedName name="_PRSB_A11..B_O1" localSheetId="21">#REF!</definedName>
    <definedName name="_PRSB_A11..B_O1" localSheetId="23">#REF!</definedName>
    <definedName name="_PRSB_A11..B_O1" localSheetId="20">#REF!</definedName>
    <definedName name="_PRSB_A11..B_O1" localSheetId="22">#REF!</definedName>
    <definedName name="_PRSB_A11..B_O1" localSheetId="19">#REF!</definedName>
    <definedName name="_PRSB_A11..B_O1" localSheetId="18">#REF!</definedName>
    <definedName name="_PRSB_A11..B_O1" localSheetId="5">#REF!</definedName>
    <definedName name="_PRSB_A11..B_O1">#REF!</definedName>
    <definedName name="_PRSS1..AD1683_" localSheetId="8">#REF!</definedName>
    <definedName name="_PRSS1..AD1683_" localSheetId="12">#REF!</definedName>
    <definedName name="_PRSS1..AD1683_" localSheetId="21">#REF!</definedName>
    <definedName name="_PRSS1..AD1683_" localSheetId="23">#REF!</definedName>
    <definedName name="_PRSS1..AD1683_" localSheetId="20">#REF!</definedName>
    <definedName name="_PRSS1..AD1683_" localSheetId="22">#REF!</definedName>
    <definedName name="_PRSS1..AD1683_" localSheetId="19">#REF!</definedName>
    <definedName name="_PRSS1..AD1683_" localSheetId="18">#REF!</definedName>
    <definedName name="_PRSS1..AD1683_" localSheetId="5">#REF!</definedName>
    <definedName name="_PRSS1..AD1683_">#REF!</definedName>
    <definedName name="_rab1" localSheetId="8">#REF!</definedName>
    <definedName name="_rab1" localSheetId="12">#REF!</definedName>
    <definedName name="_rab1" localSheetId="21">#REF!</definedName>
    <definedName name="_rab1" localSheetId="23">#REF!</definedName>
    <definedName name="_rab1" localSheetId="20">#REF!</definedName>
    <definedName name="_rab1" localSheetId="22">#REF!</definedName>
    <definedName name="_rab1" localSheetId="19">#REF!</definedName>
    <definedName name="_rab1" localSheetId="18">#REF!</definedName>
    <definedName name="_rab1" localSheetId="5">#REF!</definedName>
    <definedName name="_rab1">#REF!</definedName>
    <definedName name="_rab2" localSheetId="8">#REF!</definedName>
    <definedName name="_rab2" localSheetId="12">#REF!</definedName>
    <definedName name="_rab2" localSheetId="21">#REF!</definedName>
    <definedName name="_rab2" localSheetId="23">#REF!</definedName>
    <definedName name="_rab2" localSheetId="20">#REF!</definedName>
    <definedName name="_rab2" localSheetId="22">#REF!</definedName>
    <definedName name="_rab2" localSheetId="19">#REF!</definedName>
    <definedName name="_rab2" localSheetId="18">#REF!</definedName>
    <definedName name="_rab2">#REF!</definedName>
    <definedName name="_Regression_Int">1</definedName>
    <definedName name="_sem1" localSheetId="8">#REF!</definedName>
    <definedName name="_sem1" localSheetId="12">#REF!</definedName>
    <definedName name="_sem1" localSheetId="21">#REF!</definedName>
    <definedName name="_sem1" localSheetId="23">#REF!</definedName>
    <definedName name="_sem1" localSheetId="20">#REF!</definedName>
    <definedName name="_sem1" localSheetId="22">#REF!</definedName>
    <definedName name="_sem1" localSheetId="19">#REF!</definedName>
    <definedName name="_sem1" localSheetId="18">#REF!</definedName>
    <definedName name="_sem1">#REF!</definedName>
    <definedName name="_sm1" localSheetId="8">#REF!</definedName>
    <definedName name="_sm1" localSheetId="12">#REF!</definedName>
    <definedName name="_sm1" localSheetId="21">#REF!</definedName>
    <definedName name="_sm1" localSheetId="23">#REF!</definedName>
    <definedName name="_sm1" localSheetId="20">#REF!</definedName>
    <definedName name="_sm1" localSheetId="22">#REF!</definedName>
    <definedName name="_sm1" localSheetId="19">#REF!</definedName>
    <definedName name="_sm1" localSheetId="18">#REF!</definedName>
    <definedName name="_sm1">#REF!</definedName>
    <definedName name="_Sort" localSheetId="8" hidden="1">#REF!</definedName>
    <definedName name="_Sort" localSheetId="12" hidden="1">#REF!</definedName>
    <definedName name="_Sort" localSheetId="21" hidden="1">#REF!</definedName>
    <definedName name="_Sort" localSheetId="23" hidden="1">#REF!</definedName>
    <definedName name="_Sort" localSheetId="20" hidden="1">#REF!</definedName>
    <definedName name="_Sort" localSheetId="22" hidden="1">#REF!</definedName>
    <definedName name="_Sort" localSheetId="19" hidden="1">#REF!</definedName>
    <definedName name="_Sort" localSheetId="18" hidden="1">#REF!</definedName>
    <definedName name="_Sort" hidden="1">#REF!</definedName>
    <definedName name="_Tab1" localSheetId="8">#REF!</definedName>
    <definedName name="_Tab1" localSheetId="12">#REF!</definedName>
    <definedName name="_Tab1" localSheetId="21">#REF!</definedName>
    <definedName name="_Tab1" localSheetId="23">#REF!</definedName>
    <definedName name="_Tab1" localSheetId="20">#REF!</definedName>
    <definedName name="_Tab1" localSheetId="22">#REF!</definedName>
    <definedName name="_Tab1" localSheetId="19">#REF!</definedName>
    <definedName name="_Tab1" localSheetId="18">#REF!</definedName>
    <definedName name="_Tab1" localSheetId="5">#REF!</definedName>
    <definedName name="_Tab1">#REF!</definedName>
    <definedName name="_Tab2" localSheetId="8">#REF!</definedName>
    <definedName name="_Tab2" localSheetId="12">#REF!</definedName>
    <definedName name="_Tab2" localSheetId="21">#REF!</definedName>
    <definedName name="_Tab2" localSheetId="23">#REF!</definedName>
    <definedName name="_Tab2" localSheetId="20">#REF!</definedName>
    <definedName name="_Tab2" localSheetId="22">#REF!</definedName>
    <definedName name="_Tab2" localSheetId="19">#REF!</definedName>
    <definedName name="_Tab2" localSheetId="18">#REF!</definedName>
    <definedName name="_Tab2" localSheetId="5">#REF!</definedName>
    <definedName name="_Tab2">#REF!</definedName>
    <definedName name="_Tab3" localSheetId="8">#REF!</definedName>
    <definedName name="_Tab3" localSheetId="12">#REF!</definedName>
    <definedName name="_Tab3" localSheetId="21">#REF!</definedName>
    <definedName name="_Tab3" localSheetId="23">#REF!</definedName>
    <definedName name="_Tab3" localSheetId="20">#REF!</definedName>
    <definedName name="_Tab3" localSheetId="22">#REF!</definedName>
    <definedName name="_Tab3" localSheetId="19">#REF!</definedName>
    <definedName name="_Tab3" localSheetId="18">#REF!</definedName>
    <definedName name="_Tab3" localSheetId="5">#REF!</definedName>
    <definedName name="_Tab3">#REF!</definedName>
    <definedName name="_TRP1" localSheetId="8">#REF!</definedName>
    <definedName name="_TRP1" localSheetId="21">#REF!</definedName>
    <definedName name="_TRP1" localSheetId="23">#REF!</definedName>
    <definedName name="_TRP1" localSheetId="20">#REF!</definedName>
    <definedName name="_TRP1" localSheetId="22">#REF!</definedName>
    <definedName name="_TRP1" localSheetId="19">#REF!</definedName>
    <definedName name="_TRP1" localSheetId="5">#REF!</definedName>
    <definedName name="_TRP1">#REF!</definedName>
    <definedName name="_trw1" localSheetId="8">#REF!</definedName>
    <definedName name="_trw1" localSheetId="12">#REF!</definedName>
    <definedName name="_trw1" localSheetId="21">#REF!</definedName>
    <definedName name="_trw1" localSheetId="23">#REF!</definedName>
    <definedName name="_trw1" localSheetId="20">#REF!</definedName>
    <definedName name="_trw1" localSheetId="22">#REF!</definedName>
    <definedName name="_trw1" localSheetId="19">#REF!</definedName>
    <definedName name="_trw1" localSheetId="18">#REF!</definedName>
    <definedName name="_trw1" localSheetId="5">#REF!</definedName>
    <definedName name="_trw1">#REF!</definedName>
    <definedName name="_trw2" localSheetId="8">#REF!</definedName>
    <definedName name="_trw2" localSheetId="12">#REF!</definedName>
    <definedName name="_trw2" localSheetId="21">#REF!</definedName>
    <definedName name="_trw2" localSheetId="23">#REF!</definedName>
    <definedName name="_trw2" localSheetId="20">#REF!</definedName>
    <definedName name="_trw2" localSheetId="22">#REF!</definedName>
    <definedName name="_trw2" localSheetId="19">#REF!</definedName>
    <definedName name="_trw2" localSheetId="18">#REF!</definedName>
    <definedName name="_trw2" localSheetId="5">#REF!</definedName>
    <definedName name="_trw2">#REF!</definedName>
    <definedName name="_trw3" localSheetId="8">#REF!</definedName>
    <definedName name="_trw3" localSheetId="12">#REF!</definedName>
    <definedName name="_trw3" localSheetId="21">#REF!</definedName>
    <definedName name="_trw3" localSheetId="23">#REF!</definedName>
    <definedName name="_trw3" localSheetId="20">#REF!</definedName>
    <definedName name="_trw3" localSheetId="22">#REF!</definedName>
    <definedName name="_trw3" localSheetId="19">#REF!</definedName>
    <definedName name="_trw3" localSheetId="18">#REF!</definedName>
    <definedName name="_trw3" localSheetId="5">#REF!</definedName>
    <definedName name="_trw3">#REF!</definedName>
    <definedName name="_TVA1" localSheetId="8">#REF!</definedName>
    <definedName name="_TVA1" localSheetId="21">#REF!</definedName>
    <definedName name="_TVA1" localSheetId="23">#REF!</definedName>
    <definedName name="_TVA1" localSheetId="20">#REF!</definedName>
    <definedName name="_TVA1" localSheetId="22">#REF!</definedName>
    <definedName name="_TVA1" localSheetId="19">#REF!</definedName>
    <definedName name="_TVA1" localSheetId="5">#REF!</definedName>
    <definedName name="_TVA1">#REF!</definedName>
    <definedName name="_TW1" localSheetId="8">#REF!</definedName>
    <definedName name="_TW1" localSheetId="12">#REF!</definedName>
    <definedName name="_TW1" localSheetId="21">#REF!</definedName>
    <definedName name="_TW1" localSheetId="23">#REF!</definedName>
    <definedName name="_TW1" localSheetId="20">#REF!</definedName>
    <definedName name="_TW1" localSheetId="22">#REF!</definedName>
    <definedName name="_TW1" localSheetId="19">#REF!</definedName>
    <definedName name="_TW1" localSheetId="18">#REF!</definedName>
    <definedName name="_TW1" localSheetId="5">#REF!</definedName>
    <definedName name="_TW1">#REF!</definedName>
    <definedName name="_TW2" localSheetId="8">#REF!</definedName>
    <definedName name="_TW2" localSheetId="12">#REF!</definedName>
    <definedName name="_TW2" localSheetId="21">#REF!</definedName>
    <definedName name="_TW2" localSheetId="23">#REF!</definedName>
    <definedName name="_TW2" localSheetId="20">#REF!</definedName>
    <definedName name="_TW2" localSheetId="22">#REF!</definedName>
    <definedName name="_TW2" localSheetId="19">#REF!</definedName>
    <definedName name="_TW2" localSheetId="18">#REF!</definedName>
    <definedName name="_TW2" localSheetId="5">#REF!</definedName>
    <definedName name="_TW2">#REF!</definedName>
    <definedName name="_UPI2">#REF!</definedName>
    <definedName name="A" localSheetId="8">#REF!</definedName>
    <definedName name="A" localSheetId="12">#REF!</definedName>
    <definedName name="A" localSheetId="21">#REF!</definedName>
    <definedName name="A" localSheetId="23">#REF!</definedName>
    <definedName name="A" localSheetId="20">#REF!</definedName>
    <definedName name="A" localSheetId="22">#REF!</definedName>
    <definedName name="A" localSheetId="19">#REF!</definedName>
    <definedName name="A" localSheetId="18">#REF!</definedName>
    <definedName name="A" localSheetId="5">#REF!</definedName>
    <definedName name="A">#REF!</definedName>
    <definedName name="a\" localSheetId="8">#REF!</definedName>
    <definedName name="a\" localSheetId="12">#REF!</definedName>
    <definedName name="a\" localSheetId="21">#REF!</definedName>
    <definedName name="a\" localSheetId="23">#REF!</definedName>
    <definedName name="a\" localSheetId="20">#REF!</definedName>
    <definedName name="a\" localSheetId="22">#REF!</definedName>
    <definedName name="a\" localSheetId="19">#REF!</definedName>
    <definedName name="a\" localSheetId="18">#REF!</definedName>
    <definedName name="a\" localSheetId="5">#REF!</definedName>
    <definedName name="a\">#REF!</definedName>
    <definedName name="AA" localSheetId="8">#REF!</definedName>
    <definedName name="AA" localSheetId="21">#REF!</definedName>
    <definedName name="AA" localSheetId="23">#REF!</definedName>
    <definedName name="AA" localSheetId="20">#REF!</definedName>
    <definedName name="AA" localSheetId="22">#REF!</definedName>
    <definedName name="AA" localSheetId="19">#REF!</definedName>
    <definedName name="AA" localSheetId="5">#REF!</definedName>
    <definedName name="AA">#REF!</definedName>
    <definedName name="ABS" localSheetId="8">#REF!</definedName>
    <definedName name="ABS" localSheetId="21">#REF!</definedName>
    <definedName name="ABS" localSheetId="23">#REF!</definedName>
    <definedName name="ABS" localSheetId="20">#REF!</definedName>
    <definedName name="ABS" localSheetId="22">#REF!</definedName>
    <definedName name="ABS" localSheetId="19">#REF!</definedName>
    <definedName name="ABS" localSheetId="5">#REF!</definedName>
    <definedName name="ABS">#REF!</definedName>
    <definedName name="ABULAN" localSheetId="8">#REF!</definedName>
    <definedName name="ABULAN" localSheetId="21">#REF!</definedName>
    <definedName name="ABULAN" localSheetId="23">#REF!</definedName>
    <definedName name="ABULAN" localSheetId="20">#REF!</definedName>
    <definedName name="ABULAN" localSheetId="22">#REF!</definedName>
    <definedName name="ABULAN" localSheetId="19">#REF!</definedName>
    <definedName name="ABULAN" localSheetId="5">#REF!</definedName>
    <definedName name="ABULAN">#REF!</definedName>
    <definedName name="ac" localSheetId="12">#REF!</definedName>
    <definedName name="ac" localSheetId="21">#REF!</definedName>
    <definedName name="ac" localSheetId="23">#REF!</definedName>
    <definedName name="ac" localSheetId="20">#REF!</definedName>
    <definedName name="ac" localSheetId="22">#REF!</definedName>
    <definedName name="ac" localSheetId="19">#REF!</definedName>
    <definedName name="ac" localSheetId="18">#REF!</definedName>
    <definedName name="ACUAN1" localSheetId="8">#REF!</definedName>
    <definedName name="ACUAN1" localSheetId="12">#REF!</definedName>
    <definedName name="ACUAN1" localSheetId="21">#REF!</definedName>
    <definedName name="ACUAN1" localSheetId="23">#REF!</definedName>
    <definedName name="ACUAN1" localSheetId="20">#REF!</definedName>
    <definedName name="ACUAN1" localSheetId="22">#REF!</definedName>
    <definedName name="ACUAN1" localSheetId="19">#REF!</definedName>
    <definedName name="ACUAN1" localSheetId="18">#REF!</definedName>
    <definedName name="ACUAN1" localSheetId="5">#REF!</definedName>
    <definedName name="ACUAN1">#REF!</definedName>
    <definedName name="ACUAN2" localSheetId="8">#REF!</definedName>
    <definedName name="ACUAN2" localSheetId="12">#REF!</definedName>
    <definedName name="ACUAN2" localSheetId="21">#REF!</definedName>
    <definedName name="ACUAN2" localSheetId="23">#REF!</definedName>
    <definedName name="ACUAN2" localSheetId="20">#REF!</definedName>
    <definedName name="ACUAN2" localSheetId="22">#REF!</definedName>
    <definedName name="ACUAN2" localSheetId="19">#REF!</definedName>
    <definedName name="ACUAN2" localSheetId="18">#REF!</definedName>
    <definedName name="ACUAN2" localSheetId="5">#REF!</definedName>
    <definedName name="ACUAN2">#REF!</definedName>
    <definedName name="ags" localSheetId="8">#REF!</definedName>
    <definedName name="ags" localSheetId="12">#REF!</definedName>
    <definedName name="ags" localSheetId="21">#REF!</definedName>
    <definedName name="ags" localSheetId="23">#REF!</definedName>
    <definedName name="ags" localSheetId="20">#REF!</definedName>
    <definedName name="ags" localSheetId="22">#REF!</definedName>
    <definedName name="ags" localSheetId="19">#REF!</definedName>
    <definedName name="ags" localSheetId="18">#REF!</definedName>
    <definedName name="ags" localSheetId="5">#REF!</definedName>
    <definedName name="ags">#REF!</definedName>
    <definedName name="AGUNG" localSheetId="8">#REF!</definedName>
    <definedName name="AGUNG" localSheetId="12">#REF!</definedName>
    <definedName name="AGUNG" localSheetId="21">#REF!</definedName>
    <definedName name="AGUNG" localSheetId="23">#REF!</definedName>
    <definedName name="AGUNG" localSheetId="20">#REF!</definedName>
    <definedName name="AGUNG" localSheetId="22">#REF!</definedName>
    <definedName name="AGUNG" localSheetId="19">#REF!</definedName>
    <definedName name="AGUNG" localSheetId="18">#REF!</definedName>
    <definedName name="AGUNG">#REF!</definedName>
    <definedName name="AGUNG1" localSheetId="8">#REF!</definedName>
    <definedName name="AGUNG1" localSheetId="12">#REF!</definedName>
    <definedName name="AGUNG1" localSheetId="21">#REF!</definedName>
    <definedName name="AGUNG1" localSheetId="23">#REF!</definedName>
    <definedName name="AGUNG1" localSheetId="20">#REF!</definedName>
    <definedName name="AGUNG1" localSheetId="22">#REF!</definedName>
    <definedName name="AGUNG1" localSheetId="19">#REF!</definedName>
    <definedName name="AGUNG1" localSheetId="18">#REF!</definedName>
    <definedName name="AGUNG1">#REF!</definedName>
    <definedName name="ah" localSheetId="8">#REF!</definedName>
    <definedName name="ah" localSheetId="21">#REF!</definedName>
    <definedName name="ah" localSheetId="23">#REF!</definedName>
    <definedName name="ah" localSheetId="20">#REF!</definedName>
    <definedName name="ah" localSheetId="22">#REF!</definedName>
    <definedName name="ah" localSheetId="19">#REF!</definedName>
    <definedName name="ah">#REF!</definedName>
    <definedName name="Ahir" localSheetId="12">#REF!</definedName>
    <definedName name="Ahir" localSheetId="21">#REF!</definedName>
    <definedName name="Ahir" localSheetId="23">#REF!</definedName>
    <definedName name="Ahir" localSheetId="20">#REF!</definedName>
    <definedName name="Ahir" localSheetId="22">#REF!</definedName>
    <definedName name="Ahir" localSheetId="19">#REF!</definedName>
    <definedName name="Ahir" localSheetId="18">#REF!</definedName>
    <definedName name="Ahirl" localSheetId="8">#REF!</definedName>
    <definedName name="Ahirl" localSheetId="12">#REF!</definedName>
    <definedName name="Ahirl" localSheetId="21">#REF!</definedName>
    <definedName name="Ahirl" localSheetId="23">#REF!</definedName>
    <definedName name="Ahirl" localSheetId="20">#REF!</definedName>
    <definedName name="Ahirl" localSheetId="22">#REF!</definedName>
    <definedName name="Ahirl" localSheetId="19">#REF!</definedName>
    <definedName name="Ahirl" localSheetId="18">#REF!</definedName>
    <definedName name="Ahirl">#REF!</definedName>
    <definedName name="akhir" localSheetId="8">#REF!</definedName>
    <definedName name="akhir" localSheetId="12">#REF!</definedName>
    <definedName name="akhir" localSheetId="21">#REF!</definedName>
    <definedName name="akhir" localSheetId="23">#REF!</definedName>
    <definedName name="akhir" localSheetId="20">#REF!</definedName>
    <definedName name="akhir" localSheetId="22">#REF!</definedName>
    <definedName name="akhir" localSheetId="19">#REF!</definedName>
    <definedName name="akhir" localSheetId="18">#REF!</definedName>
    <definedName name="akhir">#REF!</definedName>
    <definedName name="AkumATFungsi" localSheetId="8">#REF!</definedName>
    <definedName name="AkumATFungsi" localSheetId="12">#REF!</definedName>
    <definedName name="AkumATFungsi" localSheetId="21">#REF!</definedName>
    <definedName name="AkumATFungsi" localSheetId="23">#REF!</definedName>
    <definedName name="AkumATFungsi" localSheetId="20">#REF!</definedName>
    <definedName name="AkumATFungsi" localSheetId="22">#REF!</definedName>
    <definedName name="AkumATFungsi" localSheetId="19">#REF!</definedName>
    <definedName name="AkumATFungsi" localSheetId="18">#REF!</definedName>
    <definedName name="AkumATFungsi">#REF!</definedName>
    <definedName name="AkumATJenis" localSheetId="8">#REF!</definedName>
    <definedName name="AkumATJenis" localSheetId="12">#REF!</definedName>
    <definedName name="AkumATJenis" localSheetId="21">#REF!</definedName>
    <definedName name="AkumATJenis" localSheetId="23">#REF!</definedName>
    <definedName name="AkumATJenis" localSheetId="20">#REF!</definedName>
    <definedName name="AkumATJenis" localSheetId="22">#REF!</definedName>
    <definedName name="AkumATJenis" localSheetId="19">#REF!</definedName>
    <definedName name="AkumATJenis" localSheetId="18">#REF!</definedName>
    <definedName name="AkumATJenis">#REF!</definedName>
    <definedName name="analisa" localSheetId="8">#REF!</definedName>
    <definedName name="analisa" localSheetId="12">#REF!</definedName>
    <definedName name="analisa" localSheetId="21">#REF!</definedName>
    <definedName name="analisa" localSheetId="23">#REF!</definedName>
    <definedName name="analisa" localSheetId="20">#REF!</definedName>
    <definedName name="analisa" localSheetId="22">#REF!</definedName>
    <definedName name="analisa" localSheetId="19">#REF!</definedName>
    <definedName name="analisa" localSheetId="18">#REF!</definedName>
    <definedName name="analisa">#REF!</definedName>
    <definedName name="AnalisaPenjualan" localSheetId="8">#REF!</definedName>
    <definedName name="AnalisaPenjualan" localSheetId="12">#REF!</definedName>
    <definedName name="AnalisaPenjualan" localSheetId="21">#REF!</definedName>
    <definedName name="AnalisaPenjualan" localSheetId="23">#REF!</definedName>
    <definedName name="AnalisaPenjualan" localSheetId="20">#REF!</definedName>
    <definedName name="AnalisaPenjualan" localSheetId="22">#REF!</definedName>
    <definedName name="AnalisaPenjualan" localSheetId="19">#REF!</definedName>
    <definedName name="AnalisaPenjualan" localSheetId="18">#REF!</definedName>
    <definedName name="AnalisaPenjualan">#REF!</definedName>
    <definedName name="ANGGARAN">#REF!</definedName>
    <definedName name="apar" localSheetId="12">#REF!</definedName>
    <definedName name="apar" localSheetId="21">#REF!</definedName>
    <definedName name="apar" localSheetId="23">#REF!</definedName>
    <definedName name="apar" localSheetId="20">#REF!</definedName>
    <definedName name="apar" localSheetId="22">#REF!</definedName>
    <definedName name="apar" localSheetId="19">#REF!</definedName>
    <definedName name="apar" localSheetId="18">#REF!</definedName>
    <definedName name="apdes" localSheetId="8">#REF!</definedName>
    <definedName name="apdes" localSheetId="12">#REF!</definedName>
    <definedName name="apdes" localSheetId="21">#REF!</definedName>
    <definedName name="apdes" localSheetId="23">#REF!</definedName>
    <definedName name="apdes" localSheetId="20">#REF!</definedName>
    <definedName name="apdes" localSheetId="22">#REF!</definedName>
    <definedName name="apdes" localSheetId="19">#REF!</definedName>
    <definedName name="apdes" localSheetId="18">#REF!</definedName>
    <definedName name="apdes" localSheetId="5">#REF!</definedName>
    <definedName name="apdes">#REF!</definedName>
    <definedName name="apr" localSheetId="8">#REF!</definedName>
    <definedName name="apr" localSheetId="12">#REF!</definedName>
    <definedName name="apr" localSheetId="21">#REF!</definedName>
    <definedName name="apr" localSheetId="23">#REF!</definedName>
    <definedName name="apr" localSheetId="20">#REF!</definedName>
    <definedName name="apr" localSheetId="22">#REF!</definedName>
    <definedName name="apr" localSheetId="19">#REF!</definedName>
    <definedName name="apr" localSheetId="18">#REF!</definedName>
    <definedName name="apr" localSheetId="5">#REF!</definedName>
    <definedName name="apr">#REF!</definedName>
    <definedName name="APRIL92" localSheetId="8">#REF!</definedName>
    <definedName name="APRIL92" localSheetId="12">#REF!</definedName>
    <definedName name="APRIL92" localSheetId="21">#REF!</definedName>
    <definedName name="APRIL92" localSheetId="23">#REF!</definedName>
    <definedName name="APRIL92" localSheetId="20">#REF!</definedName>
    <definedName name="APRIL92" localSheetId="22">#REF!</definedName>
    <definedName name="APRIL92" localSheetId="19">#REF!</definedName>
    <definedName name="APRIL92" localSheetId="18">#REF!</definedName>
    <definedName name="APRIL92" localSheetId="5">#REF!</definedName>
    <definedName name="APRIL92">#REF!</definedName>
    <definedName name="AREA">#REF!</definedName>
    <definedName name="ART" localSheetId="8">#REF!</definedName>
    <definedName name="ART" localSheetId="12">#REF!</definedName>
    <definedName name="ART" localSheetId="21">#REF!</definedName>
    <definedName name="ART" localSheetId="23">#REF!</definedName>
    <definedName name="ART" localSheetId="20">#REF!</definedName>
    <definedName name="ART" localSheetId="22">#REF!</definedName>
    <definedName name="ART" localSheetId="19">#REF!</definedName>
    <definedName name="ART" localSheetId="18">#REF!</definedName>
    <definedName name="ART" localSheetId="5">#REF!</definedName>
    <definedName name="ART">#REF!</definedName>
    <definedName name="ArusKas" localSheetId="8">#REF!</definedName>
    <definedName name="ArusKas" localSheetId="12">#REF!</definedName>
    <definedName name="ArusKas" localSheetId="21">#REF!</definedName>
    <definedName name="ArusKas" localSheetId="23">#REF!</definedName>
    <definedName name="ArusKas" localSheetId="20">#REF!</definedName>
    <definedName name="ArusKas" localSheetId="22">#REF!</definedName>
    <definedName name="ArusKas" localSheetId="19">#REF!</definedName>
    <definedName name="ArusKas" localSheetId="18">#REF!</definedName>
    <definedName name="ArusKas" localSheetId="5">#REF!</definedName>
    <definedName name="ArusKas">#REF!</definedName>
    <definedName name="AS2DocOpenMode" hidden="1">"AS2DocumentEdit"</definedName>
    <definedName name="asdasd" localSheetId="8">#REF!</definedName>
    <definedName name="asdasd" localSheetId="21">#REF!</definedName>
    <definedName name="asdasd" localSheetId="23">#REF!</definedName>
    <definedName name="asdasd" localSheetId="20">#REF!</definedName>
    <definedName name="asdasd" localSheetId="22">#REF!</definedName>
    <definedName name="asdasd" localSheetId="19">#REF!</definedName>
    <definedName name="asdasd" localSheetId="5">#REF!</definedName>
    <definedName name="asdasd">#REF!</definedName>
    <definedName name="assumptions" localSheetId="8">#REF!</definedName>
    <definedName name="assumptions" localSheetId="12">#REF!</definedName>
    <definedName name="assumptions" localSheetId="21">#REF!</definedName>
    <definedName name="assumptions" localSheetId="23">#REF!</definedName>
    <definedName name="assumptions" localSheetId="20">#REF!</definedName>
    <definedName name="assumptions" localSheetId="22">#REF!</definedName>
    <definedName name="assumptions" localSheetId="19">#REF!</definedName>
    <definedName name="assumptions" localSheetId="18">#REF!</definedName>
    <definedName name="assumptions" localSheetId="5">#REF!</definedName>
    <definedName name="assumptions">#REF!</definedName>
    <definedName name="Asumsi" localSheetId="8">#REF!</definedName>
    <definedName name="Asumsi" localSheetId="12">#REF!</definedName>
    <definedName name="Asumsi" localSheetId="21">#REF!</definedName>
    <definedName name="Asumsi" localSheetId="23">#REF!</definedName>
    <definedName name="Asumsi" localSheetId="20">#REF!</definedName>
    <definedName name="Asumsi" localSheetId="22">#REF!</definedName>
    <definedName name="Asumsi" localSheetId="19">#REF!</definedName>
    <definedName name="Asumsi" localSheetId="18">#REF!</definedName>
    <definedName name="Asumsi" localSheetId="5">#REF!</definedName>
    <definedName name="Asumsi">#REF!</definedName>
    <definedName name="ATFungsi" localSheetId="8">#REF!</definedName>
    <definedName name="ATFungsi" localSheetId="12">#REF!</definedName>
    <definedName name="ATFungsi" localSheetId="21">#REF!</definedName>
    <definedName name="ATFungsi" localSheetId="23">#REF!</definedName>
    <definedName name="ATFungsi" localSheetId="20">#REF!</definedName>
    <definedName name="ATFungsi" localSheetId="22">#REF!</definedName>
    <definedName name="ATFungsi" localSheetId="19">#REF!</definedName>
    <definedName name="ATFungsi" localSheetId="18">#REF!</definedName>
    <definedName name="ATFungsi">#REF!</definedName>
    <definedName name="ATJenis" localSheetId="8">#REF!</definedName>
    <definedName name="ATJenis" localSheetId="12">#REF!</definedName>
    <definedName name="ATJenis" localSheetId="21">#REF!</definedName>
    <definedName name="ATJenis" localSheetId="23">#REF!</definedName>
    <definedName name="ATJenis" localSheetId="20">#REF!</definedName>
    <definedName name="ATJenis" localSheetId="22">#REF!</definedName>
    <definedName name="ATJenis" localSheetId="19">#REF!</definedName>
    <definedName name="ATJenis" localSheetId="18">#REF!</definedName>
    <definedName name="ATJenis">#REF!</definedName>
    <definedName name="AUD" localSheetId="8">#REF!</definedName>
    <definedName name="AUD" localSheetId="12">#REF!</definedName>
    <definedName name="AUD" localSheetId="21">#REF!</definedName>
    <definedName name="AUD" localSheetId="23">#REF!</definedName>
    <definedName name="AUD" localSheetId="20">#REF!</definedName>
    <definedName name="AUD" localSheetId="22">#REF!</definedName>
    <definedName name="AUD" localSheetId="19">#REF!</definedName>
    <definedName name="AUD" localSheetId="18">#REF!</definedName>
    <definedName name="AUD">#REF!</definedName>
    <definedName name="awal" localSheetId="8">#REF!</definedName>
    <definedName name="awal" localSheetId="12">#REF!</definedName>
    <definedName name="awal" localSheetId="21">#REF!</definedName>
    <definedName name="awal" localSheetId="23">#REF!</definedName>
    <definedName name="awal" localSheetId="20">#REF!</definedName>
    <definedName name="awal" localSheetId="22">#REF!</definedName>
    <definedName name="awal" localSheetId="19">#REF!</definedName>
    <definedName name="awal" localSheetId="18">#REF!</definedName>
    <definedName name="awal">#REF!</definedName>
    <definedName name="Basket">#REF!</definedName>
    <definedName name="Batt.110V300ah">#REF!</definedName>
    <definedName name="Battere48V300">#REF!</definedName>
    <definedName name="beban" localSheetId="8">#REF!</definedName>
    <definedName name="beban" localSheetId="12">#REF!</definedName>
    <definedName name="beban" localSheetId="21">#REF!</definedName>
    <definedName name="beban" localSheetId="23">#REF!</definedName>
    <definedName name="beban" localSheetId="20">#REF!</definedName>
    <definedName name="beban" localSheetId="22">#REF!</definedName>
    <definedName name="beban" localSheetId="19">#REF!</definedName>
    <definedName name="beban" localSheetId="18">#REF!</definedName>
    <definedName name="beban" localSheetId="5">#REF!</definedName>
    <definedName name="beban">#REF!</definedName>
    <definedName name="beli" localSheetId="8">#REF!</definedName>
    <definedName name="beli" localSheetId="12">#REF!</definedName>
    <definedName name="beli" localSheetId="21">#REF!</definedName>
    <definedName name="beli" localSheetId="23">#REF!</definedName>
    <definedName name="beli" localSheetId="20">#REF!</definedName>
    <definedName name="beli" localSheetId="22">#REF!</definedName>
    <definedName name="beli" localSheetId="19">#REF!</definedName>
    <definedName name="beli" localSheetId="18">#REF!</definedName>
    <definedName name="beli" localSheetId="5">#REF!</definedName>
    <definedName name="beli">#REF!</definedName>
    <definedName name="bh" localSheetId="8">#REF!</definedName>
    <definedName name="bh" localSheetId="12">#REF!</definedName>
    <definedName name="bh" localSheetId="21">#REF!</definedName>
    <definedName name="bh" localSheetId="23">#REF!</definedName>
    <definedName name="bh" localSheetId="20">#REF!</definedName>
    <definedName name="bh" localSheetId="22">#REF!</definedName>
    <definedName name="bh" localSheetId="19">#REF!</definedName>
    <definedName name="bh" localSheetId="18">#REF!</definedName>
    <definedName name="bh" localSheetId="5">#REF!</definedName>
    <definedName name="bh">#REF!</definedName>
    <definedName name="bhg" localSheetId="8">#REF!</definedName>
    <definedName name="bhg" localSheetId="21">#REF!</definedName>
    <definedName name="bhg" localSheetId="23">#REF!</definedName>
    <definedName name="bhg" localSheetId="20">#REF!</definedName>
    <definedName name="bhg" localSheetId="22">#REF!</definedName>
    <definedName name="bhg" localSheetId="19">#REF!</definedName>
    <definedName name="bhg" localSheetId="5">#REF!</definedName>
    <definedName name="bhg">#REF!</definedName>
    <definedName name="biaya1" localSheetId="8">#REF!</definedName>
    <definedName name="biaya1" localSheetId="12">#REF!</definedName>
    <definedName name="biaya1" localSheetId="21">#REF!</definedName>
    <definedName name="biaya1" localSheetId="23">#REF!</definedName>
    <definedName name="biaya1" localSheetId="20">#REF!</definedName>
    <definedName name="biaya1" localSheetId="22">#REF!</definedName>
    <definedName name="biaya1" localSheetId="19">#REF!</definedName>
    <definedName name="biaya1" localSheetId="18">#REF!</definedName>
    <definedName name="biaya1" localSheetId="5">#REF!</definedName>
    <definedName name="biaya1">#REF!</definedName>
    <definedName name="biaya2" localSheetId="8">#REF!</definedName>
    <definedName name="biaya2" localSheetId="12">#REF!</definedName>
    <definedName name="biaya2" localSheetId="21">#REF!</definedName>
    <definedName name="biaya2" localSheetId="23">#REF!</definedName>
    <definedName name="biaya2" localSheetId="20">#REF!</definedName>
    <definedName name="biaya2" localSheetId="22">#REF!</definedName>
    <definedName name="biaya2" localSheetId="19">#REF!</definedName>
    <definedName name="biaya2" localSheetId="18">#REF!</definedName>
    <definedName name="biaya2" localSheetId="5">#REF!</definedName>
    <definedName name="biaya2">#REF!</definedName>
    <definedName name="BiInvest" localSheetId="8">#REF!</definedName>
    <definedName name="BiInvest" localSheetId="12">#REF!</definedName>
    <definedName name="BiInvest" localSheetId="21">#REF!</definedName>
    <definedName name="BiInvest" localSheetId="23">#REF!</definedName>
    <definedName name="BiInvest" localSheetId="20">#REF!</definedName>
    <definedName name="BiInvest" localSheetId="22">#REF!</definedName>
    <definedName name="BiInvest" localSheetId="19">#REF!</definedName>
    <definedName name="BiInvest" localSheetId="18">#REF!</definedName>
    <definedName name="BiInvest">#REF!</definedName>
    <definedName name="bkimia4tb">#REF!</definedName>
    <definedName name="bkimia6tb">#REF!</definedName>
    <definedName name="bkimia7tb">#REF!</definedName>
    <definedName name="bkimiapjb1tb">#REF!</definedName>
    <definedName name="bkimiapjb2tb">#REF!</definedName>
    <definedName name="BLNINI" localSheetId="8">#REF!</definedName>
    <definedName name="BLNINI" localSheetId="21">#REF!</definedName>
    <definedName name="BLNINI" localSheetId="23">#REF!</definedName>
    <definedName name="BLNINI" localSheetId="20">#REF!</definedName>
    <definedName name="BLNINI" localSheetId="22">#REF!</definedName>
    <definedName name="BLNINI" localSheetId="19">#REF!</definedName>
    <definedName name="BLNINI" localSheetId="5">#REF!</definedName>
    <definedName name="BLNINI">#REF!</definedName>
    <definedName name="BLNINI1" localSheetId="8">#REF!</definedName>
    <definedName name="BLNINI1" localSheetId="21">#REF!</definedName>
    <definedName name="BLNINI1" localSheetId="23">#REF!</definedName>
    <definedName name="BLNINI1" localSheetId="20">#REF!</definedName>
    <definedName name="BLNINI1" localSheetId="22">#REF!</definedName>
    <definedName name="BLNINI1" localSheetId="19">#REF!</definedName>
    <definedName name="BLNINI1" localSheetId="5">#REF!</definedName>
    <definedName name="BLNINI1">#REF!</definedName>
    <definedName name="BLNLALU" localSheetId="8">#REF!</definedName>
    <definedName name="BLNLALU" localSheetId="21">#REF!</definedName>
    <definedName name="BLNLALU" localSheetId="23">#REF!</definedName>
    <definedName name="BLNLALU" localSheetId="20">#REF!</definedName>
    <definedName name="BLNLALU" localSheetId="22">#REF!</definedName>
    <definedName name="BLNLALU" localSheetId="19">#REF!</definedName>
    <definedName name="BLNLALU" localSheetId="5">#REF!</definedName>
    <definedName name="BLNLALU">#REF!</definedName>
    <definedName name="BLNLALU1" localSheetId="8">#REF!</definedName>
    <definedName name="BLNLALU1" localSheetId="21">#REF!</definedName>
    <definedName name="BLNLALU1" localSheetId="23">#REF!</definedName>
    <definedName name="BLNLALU1" localSheetId="20">#REF!</definedName>
    <definedName name="BLNLALU1" localSheetId="22">#REF!</definedName>
    <definedName name="BLNLALU1" localSheetId="19">#REF!</definedName>
    <definedName name="BLNLALU1" localSheetId="5">#REF!</definedName>
    <definedName name="BLNLALU1">#REF!</definedName>
    <definedName name="bnn" localSheetId="8">#REF!</definedName>
    <definedName name="bnn" localSheetId="12">#REF!</definedName>
    <definedName name="bnn" localSheetId="21">#REF!</definedName>
    <definedName name="bnn" localSheetId="23">#REF!</definedName>
    <definedName name="bnn" localSheetId="20">#REF!</definedName>
    <definedName name="bnn" localSheetId="22">#REF!</definedName>
    <definedName name="bnn" localSheetId="19">#REF!</definedName>
    <definedName name="bnn" localSheetId="18">#REF!</definedName>
    <definedName name="bnn">#REF!</definedName>
    <definedName name="bp" localSheetId="8">#REF!</definedName>
    <definedName name="bp" localSheetId="12">#REF!</definedName>
    <definedName name="bp" localSheetId="21">#REF!</definedName>
    <definedName name="bp" localSheetId="23">#REF!</definedName>
    <definedName name="bp" localSheetId="20">#REF!</definedName>
    <definedName name="bp" localSheetId="22">#REF!</definedName>
    <definedName name="bp" localSheetId="19">#REF!</definedName>
    <definedName name="bp" localSheetId="18">#REF!</definedName>
    <definedName name="bp" localSheetId="5">#REF!</definedName>
    <definedName name="bp">#REF!</definedName>
    <definedName name="BPP" localSheetId="8">#REF!</definedName>
    <definedName name="BPP" localSheetId="12">#REF!</definedName>
    <definedName name="BPP" localSheetId="21">#REF!</definedName>
    <definedName name="BPP" localSheetId="23">#REF!</definedName>
    <definedName name="BPP" localSheetId="20">#REF!</definedName>
    <definedName name="BPP" localSheetId="22">#REF!</definedName>
    <definedName name="BPP" localSheetId="19">#REF!</definedName>
    <definedName name="BPP" localSheetId="18">#REF!</definedName>
    <definedName name="BPP">#REF!</definedName>
    <definedName name="BukuBesar" localSheetId="8">#REF!</definedName>
    <definedName name="BukuBesar" localSheetId="12">#REF!</definedName>
    <definedName name="BukuBesar" localSheetId="21">#REF!</definedName>
    <definedName name="BukuBesar" localSheetId="23">#REF!</definedName>
    <definedName name="BukuBesar" localSheetId="20">#REF!</definedName>
    <definedName name="BukuBesar" localSheetId="22">#REF!</definedName>
    <definedName name="BukuBesar" localSheetId="19">#REF!</definedName>
    <definedName name="BukuBesar" localSheetId="18">#REF!</definedName>
    <definedName name="BukuBesar" localSheetId="5">#REF!</definedName>
    <definedName name="BukuBesar">#REF!</definedName>
    <definedName name="BukuBesarJawa" localSheetId="8">#REF!</definedName>
    <definedName name="BukuBesarJawa" localSheetId="12">#REF!</definedName>
    <definedName name="BukuBesarJawa" localSheetId="21">#REF!</definedName>
    <definedName name="BukuBesarJawa" localSheetId="23">#REF!</definedName>
    <definedName name="BukuBesarJawa" localSheetId="20">#REF!</definedName>
    <definedName name="BukuBesarJawa" localSheetId="22">#REF!</definedName>
    <definedName name="BukuBesarJawa" localSheetId="19">#REF!</definedName>
    <definedName name="BukuBesarJawa" localSheetId="18">#REF!</definedName>
    <definedName name="BukuBesarJawa">#REF!</definedName>
    <definedName name="BULAN" localSheetId="2">#REF!</definedName>
    <definedName name="Bulan">#REF!</definedName>
    <definedName name="byk" localSheetId="8">#REF!</definedName>
    <definedName name="byk" localSheetId="21">#REF!</definedName>
    <definedName name="byk" localSheetId="23">#REF!</definedName>
    <definedName name="byk" localSheetId="20">#REF!</definedName>
    <definedName name="byk" localSheetId="22">#REF!</definedName>
    <definedName name="byk" localSheetId="19">#REF!</definedName>
    <definedName name="byk" localSheetId="5">#REF!</definedName>
    <definedName name="byk">#REF!</definedName>
    <definedName name="C_" localSheetId="8">#REF!</definedName>
    <definedName name="C_" localSheetId="12">#REF!</definedName>
    <definedName name="C_" localSheetId="21">#REF!</definedName>
    <definedName name="C_" localSheetId="23">#REF!</definedName>
    <definedName name="C_" localSheetId="20">#REF!</definedName>
    <definedName name="C_" localSheetId="22">#REF!</definedName>
    <definedName name="C_" localSheetId="19">#REF!</definedName>
    <definedName name="C_" localSheetId="18">#REF!</definedName>
    <definedName name="C_" localSheetId="5">#REF!</definedName>
    <definedName name="C_">#REF!</definedName>
    <definedName name="Cabang">#REF!</definedName>
    <definedName name="CAPASITOR">#REF!</definedName>
    <definedName name="cashflowoperasi" localSheetId="8">#REF!</definedName>
    <definedName name="cashflowoperasi" localSheetId="12">#REF!</definedName>
    <definedName name="cashflowoperasi" localSheetId="21">#REF!</definedName>
    <definedName name="cashflowoperasi" localSheetId="23">#REF!</definedName>
    <definedName name="cashflowoperasi" localSheetId="20">#REF!</definedName>
    <definedName name="cashflowoperasi" localSheetId="22">#REF!</definedName>
    <definedName name="cashflowoperasi" localSheetId="19">#REF!</definedName>
    <definedName name="cashflowoperasi" localSheetId="18">#REF!</definedName>
    <definedName name="cashflowoperasi" localSheetId="5">#REF!</definedName>
    <definedName name="cashflowoperasi">#REF!</definedName>
    <definedName name="CETAK" localSheetId="8">#REF!</definedName>
    <definedName name="CETAK" localSheetId="21">#REF!</definedName>
    <definedName name="CETAK" localSheetId="23">#REF!</definedName>
    <definedName name="CETAK" localSheetId="20">#REF!</definedName>
    <definedName name="CETAK" localSheetId="22">#REF!</definedName>
    <definedName name="CETAK" localSheetId="19">#REF!</definedName>
    <definedName name="CETAK" localSheetId="5">#REF!</definedName>
    <definedName name="CETAK">#REF!</definedName>
    <definedName name="cf" localSheetId="8">#REF!</definedName>
    <definedName name="cf" localSheetId="12">#REF!</definedName>
    <definedName name="cf" localSheetId="21">#REF!</definedName>
    <definedName name="cf" localSheetId="23">#REF!</definedName>
    <definedName name="cf" localSheetId="20">#REF!</definedName>
    <definedName name="cf" localSheetId="22">#REF!</definedName>
    <definedName name="cf" localSheetId="19">#REF!</definedName>
    <definedName name="cf" localSheetId="18">#REF!</definedName>
    <definedName name="cf" localSheetId="5">#REF!</definedName>
    <definedName name="cf">#REF!</definedName>
    <definedName name="Charger75">#REF!</definedName>
    <definedName name="COUNTER" localSheetId="8">#REF!</definedName>
    <definedName name="COUNTER" localSheetId="12">#REF!</definedName>
    <definedName name="COUNTER" localSheetId="21">#REF!</definedName>
    <definedName name="COUNTER" localSheetId="23">#REF!</definedName>
    <definedName name="COUNTER" localSheetId="20">#REF!</definedName>
    <definedName name="COUNTER" localSheetId="22">#REF!</definedName>
    <definedName name="COUNTER" localSheetId="19">#REF!</definedName>
    <definedName name="COUNTER" localSheetId="18">#REF!</definedName>
    <definedName name="COUNTER" localSheetId="5">#REF!</definedName>
    <definedName name="COUNTER">#REF!</definedName>
    <definedName name="COUNTER_CHECK" localSheetId="8">#REF!</definedName>
    <definedName name="COUNTER_CHECK" localSheetId="12">#REF!</definedName>
    <definedName name="COUNTER_CHECK" localSheetId="21">#REF!</definedName>
    <definedName name="COUNTER_CHECK" localSheetId="23">#REF!</definedName>
    <definedName name="COUNTER_CHECK" localSheetId="20">#REF!</definedName>
    <definedName name="COUNTER_CHECK" localSheetId="22">#REF!</definedName>
    <definedName name="COUNTER_CHECK" localSheetId="19">#REF!</definedName>
    <definedName name="COUNTER_CHECK" localSheetId="18">#REF!</definedName>
    <definedName name="COUNTER_CHECK" localSheetId="5">#REF!</definedName>
    <definedName name="COUNTER_CHECK">#REF!</definedName>
    <definedName name="Cover" localSheetId="8">#REF!</definedName>
    <definedName name="Cover" localSheetId="12">#REF!</definedName>
    <definedName name="Cover" localSheetId="21">#REF!</definedName>
    <definedName name="Cover" localSheetId="23">#REF!</definedName>
    <definedName name="Cover" localSheetId="20">#REF!</definedName>
    <definedName name="Cover" localSheetId="22">#REF!</definedName>
    <definedName name="Cover" localSheetId="19">#REF!</definedName>
    <definedName name="Cover" localSheetId="18">#REF!</definedName>
    <definedName name="Cover" localSheetId="5">#REF!</definedName>
    <definedName name="Cover">#REF!</definedName>
    <definedName name="csDesignMode">1</definedName>
    <definedName name="ct150kv">#REF!</definedName>
    <definedName name="cus">#REF!</definedName>
    <definedName name="cuti">#REF!</definedName>
    <definedName name="cuti_besar">#REF!</definedName>
    <definedName name="DAF13A" localSheetId="8">#REF!</definedName>
    <definedName name="DAF13A" localSheetId="12">#REF!</definedName>
    <definedName name="DAF13A" localSheetId="21">#REF!</definedName>
    <definedName name="DAF13A" localSheetId="23">#REF!</definedName>
    <definedName name="DAF13A" localSheetId="20">#REF!</definedName>
    <definedName name="DAF13A" localSheetId="22">#REF!</definedName>
    <definedName name="DAF13A" localSheetId="19">#REF!</definedName>
    <definedName name="DAF13A" localSheetId="18">#REF!</definedName>
    <definedName name="DAF13A" localSheetId="5">#REF!</definedName>
    <definedName name="DAF13A">#REF!</definedName>
    <definedName name="DAF13B" localSheetId="8">#REF!</definedName>
    <definedName name="DAF13B" localSheetId="12">#REF!</definedName>
    <definedName name="DAF13B" localSheetId="21">#REF!</definedName>
    <definedName name="DAF13B" localSheetId="23">#REF!</definedName>
    <definedName name="DAF13B" localSheetId="20">#REF!</definedName>
    <definedName name="DAF13B" localSheetId="22">#REF!</definedName>
    <definedName name="DAF13B" localSheetId="19">#REF!</definedName>
    <definedName name="DAF13B" localSheetId="18">#REF!</definedName>
    <definedName name="DAF13B" localSheetId="5">#REF!</definedName>
    <definedName name="DAF13B">#REF!</definedName>
    <definedName name="DAF14A" localSheetId="8">#REF!</definedName>
    <definedName name="DAF14A" localSheetId="12">#REF!</definedName>
    <definedName name="DAF14A" localSheetId="21">#REF!</definedName>
    <definedName name="DAF14A" localSheetId="23">#REF!</definedName>
    <definedName name="DAF14A" localSheetId="20">#REF!</definedName>
    <definedName name="DAF14A" localSheetId="22">#REF!</definedName>
    <definedName name="DAF14A" localSheetId="19">#REF!</definedName>
    <definedName name="DAF14A" localSheetId="18">#REF!</definedName>
    <definedName name="DAF14A" localSheetId="5">#REF!</definedName>
    <definedName name="DAF14A">#REF!</definedName>
    <definedName name="DAF14B" localSheetId="8">#REF!</definedName>
    <definedName name="DAF14B" localSheetId="12">#REF!</definedName>
    <definedName name="DAF14B" localSheetId="21">#REF!</definedName>
    <definedName name="DAF14B" localSheetId="23">#REF!</definedName>
    <definedName name="DAF14B" localSheetId="20">#REF!</definedName>
    <definedName name="DAF14B" localSheetId="22">#REF!</definedName>
    <definedName name="DAF14B" localSheetId="19">#REF!</definedName>
    <definedName name="DAF14B" localSheetId="18">#REF!</definedName>
    <definedName name="DAF14B">#REF!</definedName>
    <definedName name="DAF14C" localSheetId="8">#REF!</definedName>
    <definedName name="DAF14C" localSheetId="12">#REF!</definedName>
    <definedName name="DAF14C" localSheetId="21">#REF!</definedName>
    <definedName name="DAF14C" localSheetId="23">#REF!</definedName>
    <definedName name="DAF14C" localSheetId="20">#REF!</definedName>
    <definedName name="DAF14C" localSheetId="22">#REF!</definedName>
    <definedName name="DAF14C" localSheetId="19">#REF!</definedName>
    <definedName name="DAF14C" localSheetId="18">#REF!</definedName>
    <definedName name="DAF14C">#REF!</definedName>
    <definedName name="DAF14D" localSheetId="8">#REF!</definedName>
    <definedName name="DAF14D" localSheetId="12">#REF!</definedName>
    <definedName name="DAF14D" localSheetId="21">#REF!</definedName>
    <definedName name="DAF14D" localSheetId="23">#REF!</definedName>
    <definedName name="DAF14D" localSheetId="20">#REF!</definedName>
    <definedName name="DAF14D" localSheetId="22">#REF!</definedName>
    <definedName name="DAF14D" localSheetId="19">#REF!</definedName>
    <definedName name="DAF14D" localSheetId="18">#REF!</definedName>
    <definedName name="DAF14D">#REF!</definedName>
    <definedName name="DAF14E" localSheetId="8">#REF!</definedName>
    <definedName name="DAF14E" localSheetId="12">#REF!</definedName>
    <definedName name="DAF14E" localSheetId="21">#REF!</definedName>
    <definedName name="DAF14E" localSheetId="23">#REF!</definedName>
    <definedName name="DAF14E" localSheetId="20">#REF!</definedName>
    <definedName name="DAF14E" localSheetId="22">#REF!</definedName>
    <definedName name="DAF14E" localSheetId="19">#REF!</definedName>
    <definedName name="DAF14E" localSheetId="18">#REF!</definedName>
    <definedName name="DAF14E">#REF!</definedName>
    <definedName name="Daftar" localSheetId="8">#REF!</definedName>
    <definedName name="Daftar" localSheetId="12">#REF!</definedName>
    <definedName name="Daftar" localSheetId="21">#REF!</definedName>
    <definedName name="Daftar" localSheetId="23">#REF!</definedName>
    <definedName name="Daftar" localSheetId="20">#REF!</definedName>
    <definedName name="Daftar" localSheetId="22">#REF!</definedName>
    <definedName name="Daftar" localSheetId="19">#REF!</definedName>
    <definedName name="Daftar" localSheetId="18">#REF!</definedName>
    <definedName name="Daftar">#REF!</definedName>
    <definedName name="data_koreksi">#REF!</definedName>
    <definedName name="_xlnm.Database" localSheetId="8">#REF!</definedName>
    <definedName name="_xlnm.Database" localSheetId="15">#REF!</definedName>
    <definedName name="_xlnm.Database" localSheetId="17">#REF!</definedName>
    <definedName name="_xlnm.Database" localSheetId="14">#REF!</definedName>
    <definedName name="_xlnm.Database" localSheetId="16">#REF!</definedName>
    <definedName name="_xlnm.Database" localSheetId="13">#REF!</definedName>
    <definedName name="_xlnm.Database" localSheetId="12">#REF!</definedName>
    <definedName name="_xlnm.Database" localSheetId="2">#REF!</definedName>
    <definedName name="_xlnm.Database" localSheetId="21">#REF!</definedName>
    <definedName name="_xlnm.Database" localSheetId="23">#REF!</definedName>
    <definedName name="_xlnm.Database" localSheetId="20">#REF!</definedName>
    <definedName name="_xlnm.Database" localSheetId="22">#REF!</definedName>
    <definedName name="_xlnm.Database" localSheetId="19">#REF!</definedName>
    <definedName name="_xlnm.Database" localSheetId="18">#REF!</definedName>
    <definedName name="_xlnm.Database" localSheetId="5">#REF!</definedName>
    <definedName name="_xlnm.Database">#REF!</definedName>
    <definedName name="Database_MI" localSheetId="8">#REF!</definedName>
    <definedName name="Database_MI" localSheetId="12">#REF!</definedName>
    <definedName name="Database_MI" localSheetId="21">#REF!</definedName>
    <definedName name="Database_MI" localSheetId="23">#REF!</definedName>
    <definedName name="Database_MI" localSheetId="20">#REF!</definedName>
    <definedName name="Database_MI" localSheetId="22">#REF!</definedName>
    <definedName name="Database_MI" localSheetId="19">#REF!</definedName>
    <definedName name="Database_MI" localSheetId="18">#REF!</definedName>
    <definedName name="Database_MI" localSheetId="5">#REF!</definedName>
    <definedName name="Database_MI">#REF!</definedName>
    <definedName name="DATES">#REF!</definedName>
    <definedName name="daya" localSheetId="8">#REF!</definedName>
    <definedName name="daya" localSheetId="12">#REF!</definedName>
    <definedName name="daya" localSheetId="21">#REF!</definedName>
    <definedName name="daya" localSheetId="23">#REF!</definedName>
    <definedName name="daya" localSheetId="20">#REF!</definedName>
    <definedName name="daya" localSheetId="22">#REF!</definedName>
    <definedName name="daya" localSheetId="19">#REF!</definedName>
    <definedName name="daya" localSheetId="18">#REF!</definedName>
    <definedName name="daya" localSheetId="5">#REF!</definedName>
    <definedName name="daya">#REF!</definedName>
    <definedName name="DBSend">#REF!</definedName>
    <definedName name="dbulan">#REF!</definedName>
    <definedName name="dbulan1">#REF!</definedName>
    <definedName name="ddddddddddd" localSheetId="8">#REF!</definedName>
    <definedName name="ddddddddddd" localSheetId="12">#REF!</definedName>
    <definedName name="ddddddddddd" localSheetId="21">#REF!</definedName>
    <definedName name="ddddddddddd" localSheetId="23">#REF!</definedName>
    <definedName name="ddddddddddd" localSheetId="20">#REF!</definedName>
    <definedName name="ddddddddddd" localSheetId="22">#REF!</definedName>
    <definedName name="ddddddddddd" localSheetId="19">#REF!</definedName>
    <definedName name="ddddddddddd" localSheetId="18">#REF!</definedName>
    <definedName name="ddddddddddd" localSheetId="5">#REF!</definedName>
    <definedName name="ddddddddddd">#REF!</definedName>
    <definedName name="deposito" localSheetId="8">#REF!</definedName>
    <definedName name="deposito" localSheetId="12">#REF!</definedName>
    <definedName name="deposito" localSheetId="21">#REF!</definedName>
    <definedName name="deposito" localSheetId="23">#REF!</definedName>
    <definedName name="deposito" localSheetId="20">#REF!</definedName>
    <definedName name="deposito" localSheetId="22">#REF!</definedName>
    <definedName name="deposito" localSheetId="19">#REF!</definedName>
    <definedName name="deposito" localSheetId="18">#REF!</definedName>
    <definedName name="deposito" localSheetId="5">#REF!</definedName>
    <definedName name="deposito">#REF!</definedName>
    <definedName name="des" localSheetId="8">#REF!</definedName>
    <definedName name="des" localSheetId="12">#REF!</definedName>
    <definedName name="des" localSheetId="21">#REF!</definedName>
    <definedName name="des" localSheetId="23">#REF!</definedName>
    <definedName name="des" localSheetId="20">#REF!</definedName>
    <definedName name="des" localSheetId="22">#REF!</definedName>
    <definedName name="des" localSheetId="19">#REF!</definedName>
    <definedName name="des" localSheetId="18">#REF!</definedName>
    <definedName name="des" localSheetId="5">#REF!</definedName>
    <definedName name="des">#REF!</definedName>
    <definedName name="dfgfter" localSheetId="8">#REF!</definedName>
    <definedName name="dfgfter" localSheetId="21">#REF!</definedName>
    <definedName name="dfgfter" localSheetId="23">#REF!</definedName>
    <definedName name="dfgfter" localSheetId="20">#REF!</definedName>
    <definedName name="dfgfter" localSheetId="22">#REF!</definedName>
    <definedName name="dfgfter" localSheetId="19">#REF!</definedName>
    <definedName name="dfgfter">#REF!</definedName>
    <definedName name="DFR">#REF!</definedName>
    <definedName name="dhari">#REF!</definedName>
    <definedName name="discount" localSheetId="8">#REF!</definedName>
    <definedName name="discount" localSheetId="12">#REF!</definedName>
    <definedName name="discount" localSheetId="21">#REF!</definedName>
    <definedName name="discount" localSheetId="23">#REF!</definedName>
    <definedName name="discount" localSheetId="20">#REF!</definedName>
    <definedName name="discount" localSheetId="22">#REF!</definedName>
    <definedName name="discount" localSheetId="19">#REF!</definedName>
    <definedName name="discount" localSheetId="18">#REF!</definedName>
    <definedName name="discount" localSheetId="5">#REF!</definedName>
    <definedName name="discount">#REF!</definedName>
    <definedName name="discount1" localSheetId="8">#REF!</definedName>
    <definedName name="discount1" localSheetId="12">#REF!</definedName>
    <definedName name="discount1" localSheetId="21">#REF!</definedName>
    <definedName name="discount1" localSheetId="23">#REF!</definedName>
    <definedName name="discount1" localSheetId="20">#REF!</definedName>
    <definedName name="discount1" localSheetId="22">#REF!</definedName>
    <definedName name="discount1" localSheetId="19">#REF!</definedName>
    <definedName name="discount1" localSheetId="18">#REF!</definedName>
    <definedName name="discount1" localSheetId="5">#REF!</definedName>
    <definedName name="discount1">#REF!</definedName>
    <definedName name="discount2" localSheetId="8">#REF!</definedName>
    <definedName name="discount2" localSheetId="12">#REF!</definedName>
    <definedName name="discount2" localSheetId="21">#REF!</definedName>
    <definedName name="discount2" localSheetId="23">#REF!</definedName>
    <definedName name="discount2" localSheetId="20">#REF!</definedName>
    <definedName name="discount2" localSheetId="22">#REF!</definedName>
    <definedName name="discount2" localSheetId="19">#REF!</definedName>
    <definedName name="discount2" localSheetId="18">#REF!</definedName>
    <definedName name="discount2" localSheetId="5">#REF!</definedName>
    <definedName name="discount2">#REF!</definedName>
    <definedName name="Dist.rele">#REF!</definedName>
    <definedName name="djshdjsah" localSheetId="8">#REF!</definedName>
    <definedName name="djshdjsah" localSheetId="21">#REF!</definedName>
    <definedName name="djshdjsah" localSheetId="23">#REF!</definedName>
    <definedName name="djshdjsah" localSheetId="20">#REF!</definedName>
    <definedName name="djshdjsah" localSheetId="22">#REF!</definedName>
    <definedName name="djshdjsah" localSheetId="19">#REF!</definedName>
    <definedName name="djshdjsah" localSheetId="5">#REF!</definedName>
    <definedName name="djshdjsah">#REF!</definedName>
    <definedName name="DKWH" localSheetId="8">#REF!</definedName>
    <definedName name="DKWH" localSheetId="21">#REF!</definedName>
    <definedName name="DKWH" localSheetId="23">#REF!</definedName>
    <definedName name="DKWH" localSheetId="20">#REF!</definedName>
    <definedName name="DKWH" localSheetId="22">#REF!</definedName>
    <definedName name="DKWH" localSheetId="19">#REF!</definedName>
    <definedName name="DKWH" localSheetId="5">#REF!</definedName>
    <definedName name="DKWH">#REF!</definedName>
    <definedName name="DPLG" localSheetId="8">#REF!</definedName>
    <definedName name="DPLG" localSheetId="21">#REF!</definedName>
    <definedName name="DPLG" localSheetId="23">#REF!</definedName>
    <definedName name="DPLG" localSheetId="20">#REF!</definedName>
    <definedName name="DPLG" localSheetId="22">#REF!</definedName>
    <definedName name="DPLG" localSheetId="19">#REF!</definedName>
    <definedName name="DPLG" localSheetId="5">#REF!</definedName>
    <definedName name="DPLG">#REF!</definedName>
    <definedName name="DRP" localSheetId="8">#REF!</definedName>
    <definedName name="DRP" localSheetId="21">#REF!</definedName>
    <definedName name="DRP" localSheetId="23">#REF!</definedName>
    <definedName name="DRP" localSheetId="20">#REF!</definedName>
    <definedName name="DRP" localSheetId="22">#REF!</definedName>
    <definedName name="DRP" localSheetId="19">#REF!</definedName>
    <definedName name="DRP">#REF!</definedName>
    <definedName name="DRPKWH" localSheetId="8">#REF!</definedName>
    <definedName name="DRPKWH" localSheetId="21">#REF!</definedName>
    <definedName name="DRPKWH" localSheetId="23">#REF!</definedName>
    <definedName name="DRPKWH" localSheetId="20">#REF!</definedName>
    <definedName name="DRPKWH" localSheetId="22">#REF!</definedName>
    <definedName name="DRPKWH" localSheetId="19">#REF!</definedName>
    <definedName name="DRPKWH">#REF!</definedName>
    <definedName name="dt_multiguna">#REF!</definedName>
    <definedName name="dt_P2TL">#REF!</definedName>
    <definedName name="dtahun">#REF!</definedName>
    <definedName name="dtanggal">#REF!</definedName>
    <definedName name="dtrf" localSheetId="8">#REF!</definedName>
    <definedName name="dtrf" localSheetId="12">#REF!</definedName>
    <definedName name="dtrf" localSheetId="21">#REF!</definedName>
    <definedName name="dtrf" localSheetId="23">#REF!</definedName>
    <definedName name="dtrf" localSheetId="20">#REF!</definedName>
    <definedName name="dtrf" localSheetId="22">#REF!</definedName>
    <definedName name="dtrf" localSheetId="19">#REF!</definedName>
    <definedName name="dtrf" localSheetId="18">#REF!</definedName>
    <definedName name="dtrf" localSheetId="5">#REF!</definedName>
    <definedName name="dtrf">#REF!</definedName>
    <definedName name="DVA" localSheetId="8">#REF!</definedName>
    <definedName name="DVA" localSheetId="21">#REF!</definedName>
    <definedName name="DVA" localSheetId="23">#REF!</definedName>
    <definedName name="DVA" localSheetId="20">#REF!</definedName>
    <definedName name="DVA" localSheetId="22">#REF!</definedName>
    <definedName name="DVA" localSheetId="19">#REF!</definedName>
    <definedName name="DVA">#REF!</definedName>
    <definedName name="Ea" localSheetId="8">#REF!</definedName>
    <definedName name="Ea" localSheetId="21">#REF!</definedName>
    <definedName name="Ea" localSheetId="23">#REF!</definedName>
    <definedName name="Ea" localSheetId="20">#REF!</definedName>
    <definedName name="Ea" localSheetId="22">#REF!</definedName>
    <definedName name="Ea" localSheetId="19">#REF!</definedName>
    <definedName name="Ea" localSheetId="5">#REF!</definedName>
    <definedName name="Ea">#REF!</definedName>
    <definedName name="Egiapbn1" localSheetId="8">#REF!</definedName>
    <definedName name="Egiapbn1" localSheetId="12">#REF!</definedName>
    <definedName name="Egiapbn1" localSheetId="21">#REF!</definedName>
    <definedName name="Egiapbn1" localSheetId="23">#REF!</definedName>
    <definedName name="Egiapbn1" localSheetId="20">#REF!</definedName>
    <definedName name="Egiapbn1" localSheetId="22">#REF!</definedName>
    <definedName name="Egiapbn1" localSheetId="19">#REF!</definedName>
    <definedName name="Egiapbn1" localSheetId="18">#REF!</definedName>
    <definedName name="Egiapbn1" localSheetId="5">#REF!</definedName>
    <definedName name="Egiapbn1">#REF!</definedName>
    <definedName name="Egiapbn2" localSheetId="8">#REF!</definedName>
    <definedName name="Egiapbn2" localSheetId="12">#REF!</definedName>
    <definedName name="Egiapbn2" localSheetId="21">#REF!</definedName>
    <definedName name="Egiapbn2" localSheetId="23">#REF!</definedName>
    <definedName name="Egiapbn2" localSheetId="20">#REF!</definedName>
    <definedName name="Egiapbn2" localSheetId="22">#REF!</definedName>
    <definedName name="Egiapbn2" localSheetId="19">#REF!</definedName>
    <definedName name="Egiapbn2" localSheetId="18">#REF!</definedName>
    <definedName name="Egiapbn2" localSheetId="5">#REF!</definedName>
    <definedName name="Egiapbn2">#REF!</definedName>
    <definedName name="Egiapbn4" localSheetId="8">#REF!</definedName>
    <definedName name="Egiapbn4" localSheetId="12">#REF!</definedName>
    <definedName name="Egiapbn4" localSheetId="21">#REF!</definedName>
    <definedName name="Egiapbn4" localSheetId="23">#REF!</definedName>
    <definedName name="Egiapbn4" localSheetId="20">#REF!</definedName>
    <definedName name="Egiapbn4" localSheetId="22">#REF!</definedName>
    <definedName name="Egiapbn4" localSheetId="19">#REF!</definedName>
    <definedName name="Egiapbn4" localSheetId="18">#REF!</definedName>
    <definedName name="Egiapbn4">#REF!</definedName>
    <definedName name="Egiapln1" localSheetId="8">#REF!</definedName>
    <definedName name="Egiapln1" localSheetId="12">#REF!</definedName>
    <definedName name="Egiapln1" localSheetId="21">#REF!</definedName>
    <definedName name="Egiapln1" localSheetId="23">#REF!</definedName>
    <definedName name="Egiapln1" localSheetId="20">#REF!</definedName>
    <definedName name="Egiapln1" localSheetId="22">#REF!</definedName>
    <definedName name="Egiapln1" localSheetId="19">#REF!</definedName>
    <definedName name="Egiapln1" localSheetId="18">#REF!</definedName>
    <definedName name="Egiapln1">#REF!</definedName>
    <definedName name="Egiapln2" localSheetId="8">#REF!</definedName>
    <definedName name="Egiapln2" localSheetId="12">#REF!</definedName>
    <definedName name="Egiapln2" localSheetId="21">#REF!</definedName>
    <definedName name="Egiapln2" localSheetId="23">#REF!</definedName>
    <definedName name="Egiapln2" localSheetId="20">#REF!</definedName>
    <definedName name="Egiapln2" localSheetId="22">#REF!</definedName>
    <definedName name="Egiapln2" localSheetId="19">#REF!</definedName>
    <definedName name="Egiapln2" localSheetId="18">#REF!</definedName>
    <definedName name="Egiapln2">#REF!</definedName>
    <definedName name="Egiapln3" localSheetId="8">#REF!</definedName>
    <definedName name="Egiapln3" localSheetId="12">#REF!</definedName>
    <definedName name="Egiapln3" localSheetId="21">#REF!</definedName>
    <definedName name="Egiapln3" localSheetId="23">#REF!</definedName>
    <definedName name="Egiapln3" localSheetId="20">#REF!</definedName>
    <definedName name="Egiapln3" localSheetId="22">#REF!</definedName>
    <definedName name="Egiapln3" localSheetId="19">#REF!</definedName>
    <definedName name="Egiapln3" localSheetId="18">#REF!</definedName>
    <definedName name="Egiapln3">#REF!</definedName>
    <definedName name="Egiapln4" localSheetId="8">#REF!</definedName>
    <definedName name="Egiapln4" localSheetId="12">#REF!</definedName>
    <definedName name="Egiapln4" localSheetId="21">#REF!</definedName>
    <definedName name="Egiapln4" localSheetId="23">#REF!</definedName>
    <definedName name="Egiapln4" localSheetId="20">#REF!</definedName>
    <definedName name="Egiapln4" localSheetId="22">#REF!</definedName>
    <definedName name="Egiapln4" localSheetId="19">#REF!</definedName>
    <definedName name="Egiapln4" localSheetId="18">#REF!</definedName>
    <definedName name="Egiapln4">#REF!</definedName>
    <definedName name="Egisla2" localSheetId="8">#REF!</definedName>
    <definedName name="Egisla2" localSheetId="12">#REF!</definedName>
    <definedName name="Egisla2" localSheetId="21">#REF!</definedName>
    <definedName name="Egisla2" localSheetId="23">#REF!</definedName>
    <definedName name="Egisla2" localSheetId="20">#REF!</definedName>
    <definedName name="Egisla2" localSheetId="22">#REF!</definedName>
    <definedName name="Egisla2" localSheetId="19">#REF!</definedName>
    <definedName name="Egisla2" localSheetId="18">#REF!</definedName>
    <definedName name="Egisla2">#REF!</definedName>
    <definedName name="Egisla4" localSheetId="8">#REF!</definedName>
    <definedName name="Egisla4" localSheetId="12">#REF!</definedName>
    <definedName name="Egisla4" localSheetId="21">#REF!</definedName>
    <definedName name="Egisla4" localSheetId="23">#REF!</definedName>
    <definedName name="Egisla4" localSheetId="20">#REF!</definedName>
    <definedName name="Egisla4" localSheetId="22">#REF!</definedName>
    <definedName name="Egisla4" localSheetId="19">#REF!</definedName>
    <definedName name="Egisla4" localSheetId="18">#REF!</definedName>
    <definedName name="Egisla4">#REF!</definedName>
    <definedName name="Epltaapln4" localSheetId="8">#REF!</definedName>
    <definedName name="Epltaapln4" localSheetId="12">#REF!</definedName>
    <definedName name="Epltaapln4" localSheetId="21">#REF!</definedName>
    <definedName name="Epltaapln4" localSheetId="23">#REF!</definedName>
    <definedName name="Epltaapln4" localSheetId="20">#REF!</definedName>
    <definedName name="Epltaapln4" localSheetId="22">#REF!</definedName>
    <definedName name="Epltaapln4" localSheetId="19">#REF!</definedName>
    <definedName name="Epltaapln4" localSheetId="18">#REF!</definedName>
    <definedName name="Epltaapln4">#REF!</definedName>
    <definedName name="Epltdapln1" localSheetId="8">#REF!</definedName>
    <definedName name="Epltdapln1" localSheetId="12">#REF!</definedName>
    <definedName name="Epltdapln1" localSheetId="21">#REF!</definedName>
    <definedName name="Epltdapln1" localSheetId="23">#REF!</definedName>
    <definedName name="Epltdapln1" localSheetId="20">#REF!</definedName>
    <definedName name="Epltdapln1" localSheetId="22">#REF!</definedName>
    <definedName name="Epltdapln1" localSheetId="19">#REF!</definedName>
    <definedName name="Epltdapln1" localSheetId="18">#REF!</definedName>
    <definedName name="Epltdapln1">#REF!</definedName>
    <definedName name="Epltdapln4" localSheetId="8">#REF!</definedName>
    <definedName name="Epltdapln4" localSheetId="12">#REF!</definedName>
    <definedName name="Epltdapln4" localSheetId="21">#REF!</definedName>
    <definedName name="Epltdapln4" localSheetId="23">#REF!</definedName>
    <definedName name="Epltdapln4" localSheetId="20">#REF!</definedName>
    <definedName name="Epltdapln4" localSheetId="22">#REF!</definedName>
    <definedName name="Epltdapln4" localSheetId="19">#REF!</definedName>
    <definedName name="Epltdapln4" localSheetId="18">#REF!</definedName>
    <definedName name="Epltdapln4">#REF!</definedName>
    <definedName name="Epltdsla1" localSheetId="8">#REF!</definedName>
    <definedName name="Epltdsla1" localSheetId="12">#REF!</definedName>
    <definedName name="Epltdsla1" localSheetId="21">#REF!</definedName>
    <definedName name="Epltdsla1" localSheetId="23">#REF!</definedName>
    <definedName name="Epltdsla1" localSheetId="20">#REF!</definedName>
    <definedName name="Epltdsla1" localSheetId="22">#REF!</definedName>
    <definedName name="Epltdsla1" localSheetId="19">#REF!</definedName>
    <definedName name="Epltdsla1" localSheetId="18">#REF!</definedName>
    <definedName name="Epltdsla1">#REF!</definedName>
    <definedName name="Epltdsla4" localSheetId="8">#REF!</definedName>
    <definedName name="Epltdsla4" localSheetId="12">#REF!</definedName>
    <definedName name="Epltdsla4" localSheetId="21">#REF!</definedName>
    <definedName name="Epltdsla4" localSheetId="23">#REF!</definedName>
    <definedName name="Epltdsla4" localSheetId="20">#REF!</definedName>
    <definedName name="Epltdsla4" localSheetId="22">#REF!</definedName>
    <definedName name="Epltdsla4" localSheetId="19">#REF!</definedName>
    <definedName name="Epltdsla4" localSheetId="18">#REF!</definedName>
    <definedName name="Epltdsla4">#REF!</definedName>
    <definedName name="Epltmapln1" localSheetId="8">#REF!</definedName>
    <definedName name="Epltmapln1" localSheetId="12">#REF!</definedName>
    <definedName name="Epltmapln1" localSheetId="21">#REF!</definedName>
    <definedName name="Epltmapln1" localSheetId="23">#REF!</definedName>
    <definedName name="Epltmapln1" localSheetId="20">#REF!</definedName>
    <definedName name="Epltmapln1" localSheetId="22">#REF!</definedName>
    <definedName name="Epltmapln1" localSheetId="19">#REF!</definedName>
    <definedName name="Epltmapln1" localSheetId="18">#REF!</definedName>
    <definedName name="Epltmapln1">#REF!</definedName>
    <definedName name="Epltmsla1" localSheetId="8">#REF!</definedName>
    <definedName name="Epltmsla1" localSheetId="12">#REF!</definedName>
    <definedName name="Epltmsla1" localSheetId="21">#REF!</definedName>
    <definedName name="Epltmsla1" localSheetId="23">#REF!</definedName>
    <definedName name="Epltmsla1" localSheetId="20">#REF!</definedName>
    <definedName name="Epltmsla1" localSheetId="22">#REF!</definedName>
    <definedName name="Epltmsla1" localSheetId="19">#REF!</definedName>
    <definedName name="Epltmsla1" localSheetId="18">#REF!</definedName>
    <definedName name="Epltmsla1">#REF!</definedName>
    <definedName name="Epltuapln1" localSheetId="8">#REF!</definedName>
    <definedName name="Epltuapln1" localSheetId="12">#REF!</definedName>
    <definedName name="Epltuapln1" localSheetId="21">#REF!</definedName>
    <definedName name="Epltuapln1" localSheetId="23">#REF!</definedName>
    <definedName name="Epltuapln1" localSheetId="20">#REF!</definedName>
    <definedName name="Epltuapln1" localSheetId="22">#REF!</definedName>
    <definedName name="Epltuapln1" localSheetId="19">#REF!</definedName>
    <definedName name="Epltuapln1" localSheetId="18">#REF!</definedName>
    <definedName name="Epltuapln1">#REF!</definedName>
    <definedName name="Epltuapln2" localSheetId="8">#REF!</definedName>
    <definedName name="Epltuapln2" localSheetId="12">#REF!</definedName>
    <definedName name="Epltuapln2" localSheetId="21">#REF!</definedName>
    <definedName name="Epltuapln2" localSheetId="23">#REF!</definedName>
    <definedName name="Epltuapln2" localSheetId="20">#REF!</definedName>
    <definedName name="Epltuapln2" localSheetId="22">#REF!</definedName>
    <definedName name="Epltuapln2" localSheetId="19">#REF!</definedName>
    <definedName name="Epltuapln2" localSheetId="18">#REF!</definedName>
    <definedName name="Epltuapln2">#REF!</definedName>
    <definedName name="Epltuapln3" localSheetId="8">#REF!</definedName>
    <definedName name="Epltuapln3" localSheetId="12">#REF!</definedName>
    <definedName name="Epltuapln3" localSheetId="21">#REF!</definedName>
    <definedName name="Epltuapln3" localSheetId="23">#REF!</definedName>
    <definedName name="Epltuapln3" localSheetId="20">#REF!</definedName>
    <definedName name="Epltuapln3" localSheetId="22">#REF!</definedName>
    <definedName name="Epltuapln3" localSheetId="19">#REF!</definedName>
    <definedName name="Epltuapln3" localSheetId="18">#REF!</definedName>
    <definedName name="Epltuapln3">#REF!</definedName>
    <definedName name="epltuapln4" localSheetId="8">#REF!</definedName>
    <definedName name="epltuapln4" localSheetId="12">#REF!</definedName>
    <definedName name="epltuapln4" localSheetId="21">#REF!</definedName>
    <definedName name="epltuapln4" localSheetId="23">#REF!</definedName>
    <definedName name="epltuapln4" localSheetId="20">#REF!</definedName>
    <definedName name="epltuapln4" localSheetId="22">#REF!</definedName>
    <definedName name="epltuapln4" localSheetId="19">#REF!</definedName>
    <definedName name="epltuapln4" localSheetId="18">#REF!</definedName>
    <definedName name="epltuapln4">#REF!</definedName>
    <definedName name="Epltuapln5" localSheetId="8">#REF!</definedName>
    <definedName name="Epltuapln5" localSheetId="12">#REF!</definedName>
    <definedName name="Epltuapln5" localSheetId="21">#REF!</definedName>
    <definedName name="Epltuapln5" localSheetId="23">#REF!</definedName>
    <definedName name="Epltuapln5" localSheetId="20">#REF!</definedName>
    <definedName name="Epltuapln5" localSheetId="22">#REF!</definedName>
    <definedName name="Epltuapln5" localSheetId="19">#REF!</definedName>
    <definedName name="Epltuapln5" localSheetId="18">#REF!</definedName>
    <definedName name="Epltuapln5">#REF!</definedName>
    <definedName name="Epltusla5" localSheetId="8">#REF!</definedName>
    <definedName name="Epltusla5" localSheetId="12">#REF!</definedName>
    <definedName name="Epltusla5" localSheetId="21">#REF!</definedName>
    <definedName name="Epltusla5" localSheetId="23">#REF!</definedName>
    <definedName name="Epltusla5" localSheetId="20">#REF!</definedName>
    <definedName name="Epltusla5" localSheetId="22">#REF!</definedName>
    <definedName name="Epltusla5" localSheetId="19">#REF!</definedName>
    <definedName name="Epltusla5" localSheetId="18">#REF!</definedName>
    <definedName name="Epltusla5">#REF!</definedName>
    <definedName name="eppjb2tb">#REF!</definedName>
    <definedName name="ERE">#REF!</definedName>
    <definedName name="Esuttapbn1" localSheetId="8">#REF!</definedName>
    <definedName name="Esuttapbn1" localSheetId="12">#REF!</definedName>
    <definedName name="Esuttapbn1" localSheetId="21">#REF!</definedName>
    <definedName name="Esuttapbn1" localSheetId="23">#REF!</definedName>
    <definedName name="Esuttapbn1" localSheetId="20">#REF!</definedName>
    <definedName name="Esuttapbn1" localSheetId="22">#REF!</definedName>
    <definedName name="Esuttapbn1" localSheetId="19">#REF!</definedName>
    <definedName name="Esuttapbn1" localSheetId="18">#REF!</definedName>
    <definedName name="Esuttapbn1" localSheetId="5">#REF!</definedName>
    <definedName name="Esuttapbn1">#REF!</definedName>
    <definedName name="Esuttapbn2" localSheetId="8">#REF!</definedName>
    <definedName name="Esuttapbn2" localSheetId="12">#REF!</definedName>
    <definedName name="Esuttapbn2" localSheetId="21">#REF!</definedName>
    <definedName name="Esuttapbn2" localSheetId="23">#REF!</definedName>
    <definedName name="Esuttapbn2" localSheetId="20">#REF!</definedName>
    <definedName name="Esuttapbn2" localSheetId="22">#REF!</definedName>
    <definedName name="Esuttapbn2" localSheetId="19">#REF!</definedName>
    <definedName name="Esuttapbn2" localSheetId="18">#REF!</definedName>
    <definedName name="Esuttapbn2" localSheetId="5">#REF!</definedName>
    <definedName name="Esuttapbn2">#REF!</definedName>
    <definedName name="Esuttapbn4" localSheetId="8">#REF!</definedName>
    <definedName name="Esuttapbn4" localSheetId="12">#REF!</definedName>
    <definedName name="Esuttapbn4" localSheetId="21">#REF!</definedName>
    <definedName name="Esuttapbn4" localSheetId="23">#REF!</definedName>
    <definedName name="Esuttapbn4" localSheetId="20">#REF!</definedName>
    <definedName name="Esuttapbn4" localSheetId="22">#REF!</definedName>
    <definedName name="Esuttapbn4" localSheetId="19">#REF!</definedName>
    <definedName name="Esuttapbn4" localSheetId="18">#REF!</definedName>
    <definedName name="Esuttapbn4" localSheetId="5">#REF!</definedName>
    <definedName name="Esuttapbn4">#REF!</definedName>
    <definedName name="Esuttapln1" localSheetId="8">#REF!</definedName>
    <definedName name="Esuttapln1" localSheetId="12">#REF!</definedName>
    <definedName name="Esuttapln1" localSheetId="21">#REF!</definedName>
    <definedName name="Esuttapln1" localSheetId="23">#REF!</definedName>
    <definedName name="Esuttapln1" localSheetId="20">#REF!</definedName>
    <definedName name="Esuttapln1" localSheetId="22">#REF!</definedName>
    <definedName name="Esuttapln1" localSheetId="19">#REF!</definedName>
    <definedName name="Esuttapln1" localSheetId="18">#REF!</definedName>
    <definedName name="Esuttapln1">#REF!</definedName>
    <definedName name="Esuttapln2" localSheetId="8">#REF!</definedName>
    <definedName name="Esuttapln2" localSheetId="12">#REF!</definedName>
    <definedName name="Esuttapln2" localSheetId="21">#REF!</definedName>
    <definedName name="Esuttapln2" localSheetId="23">#REF!</definedName>
    <definedName name="Esuttapln2" localSheetId="20">#REF!</definedName>
    <definedName name="Esuttapln2" localSheetId="22">#REF!</definedName>
    <definedName name="Esuttapln2" localSheetId="19">#REF!</definedName>
    <definedName name="Esuttapln2" localSheetId="18">#REF!</definedName>
    <definedName name="Esuttapln2">#REF!</definedName>
    <definedName name="Esuttapln3" localSheetId="8">#REF!</definedName>
    <definedName name="Esuttapln3" localSheetId="12">#REF!</definedName>
    <definedName name="Esuttapln3" localSheetId="21">#REF!</definedName>
    <definedName name="Esuttapln3" localSheetId="23">#REF!</definedName>
    <definedName name="Esuttapln3" localSheetId="20">#REF!</definedName>
    <definedName name="Esuttapln3" localSheetId="22">#REF!</definedName>
    <definedName name="Esuttapln3" localSheetId="19">#REF!</definedName>
    <definedName name="Esuttapln3" localSheetId="18">#REF!</definedName>
    <definedName name="Esuttapln3">#REF!</definedName>
    <definedName name="Esuttapln4" localSheetId="8">#REF!</definedName>
    <definedName name="Esuttapln4" localSheetId="12">#REF!</definedName>
    <definedName name="Esuttapln4" localSheetId="21">#REF!</definedName>
    <definedName name="Esuttapln4" localSheetId="23">#REF!</definedName>
    <definedName name="Esuttapln4" localSheetId="20">#REF!</definedName>
    <definedName name="Esuttapln4" localSheetId="22">#REF!</definedName>
    <definedName name="Esuttapln4" localSheetId="19">#REF!</definedName>
    <definedName name="Esuttapln4" localSheetId="18">#REF!</definedName>
    <definedName name="Esuttapln4">#REF!</definedName>
    <definedName name="Esuttsla2" localSheetId="8">#REF!</definedName>
    <definedName name="Esuttsla2" localSheetId="12">#REF!</definedName>
    <definedName name="Esuttsla2" localSheetId="21">#REF!</definedName>
    <definedName name="Esuttsla2" localSheetId="23">#REF!</definedName>
    <definedName name="Esuttsla2" localSheetId="20">#REF!</definedName>
    <definedName name="Esuttsla2" localSheetId="22">#REF!</definedName>
    <definedName name="Esuttsla2" localSheetId="19">#REF!</definedName>
    <definedName name="Esuttsla2" localSheetId="18">#REF!</definedName>
    <definedName name="Esuttsla2">#REF!</definedName>
    <definedName name="Esuttsla4" localSheetId="8">#REF!</definedName>
    <definedName name="Esuttsla4" localSheetId="12">#REF!</definedName>
    <definedName name="Esuttsla4" localSheetId="21">#REF!</definedName>
    <definedName name="Esuttsla4" localSheetId="23">#REF!</definedName>
    <definedName name="Esuttsla4" localSheetId="20">#REF!</definedName>
    <definedName name="Esuttsla4" localSheetId="22">#REF!</definedName>
    <definedName name="Esuttsla4" localSheetId="19">#REF!</definedName>
    <definedName name="Esuttsla4" localSheetId="18">#REF!</definedName>
    <definedName name="Esuttsla4">#REF!</definedName>
    <definedName name="EUR" localSheetId="8">#REF!</definedName>
    <definedName name="EUR" localSheetId="12">#REF!</definedName>
    <definedName name="EUR" localSheetId="21">#REF!</definedName>
    <definedName name="EUR" localSheetId="23">#REF!</definedName>
    <definedName name="EUR" localSheetId="20">#REF!</definedName>
    <definedName name="EUR" localSheetId="22">#REF!</definedName>
    <definedName name="EUR" localSheetId="19">#REF!</definedName>
    <definedName name="EUR" localSheetId="18">#REF!</definedName>
    <definedName name="EUR">#REF!</definedName>
    <definedName name="expend_balanced_fund" localSheetId="8">#REF!</definedName>
    <definedName name="expend_balanced_fund" localSheetId="12">#REF!</definedName>
    <definedName name="expend_balanced_fund" localSheetId="21">#REF!</definedName>
    <definedName name="expend_balanced_fund" localSheetId="23">#REF!</definedName>
    <definedName name="expend_balanced_fund" localSheetId="20">#REF!</definedName>
    <definedName name="expend_balanced_fund" localSheetId="22">#REF!</definedName>
    <definedName name="expend_balanced_fund" localSheetId="19">#REF!</definedName>
    <definedName name="expend_balanced_fund" localSheetId="18">#REF!</definedName>
    <definedName name="expend_balanced_fund">#REF!</definedName>
    <definedName name="expend_central_govt" localSheetId="8">#REF!</definedName>
    <definedName name="expend_central_govt" localSheetId="12">#REF!</definedName>
    <definedName name="expend_central_govt" localSheetId="21">#REF!</definedName>
    <definedName name="expend_central_govt" localSheetId="23">#REF!</definedName>
    <definedName name="expend_central_govt" localSheetId="20">#REF!</definedName>
    <definedName name="expend_central_govt" localSheetId="22">#REF!</definedName>
    <definedName name="expend_central_govt" localSheetId="19">#REF!</definedName>
    <definedName name="expend_central_govt" localSheetId="18">#REF!</definedName>
    <definedName name="expend_central_govt">#REF!</definedName>
    <definedName name="expend_current" localSheetId="8">#REF!</definedName>
    <definedName name="expend_current" localSheetId="12">#REF!</definedName>
    <definedName name="expend_current" localSheetId="21">#REF!</definedName>
    <definedName name="expend_current" localSheetId="23">#REF!</definedName>
    <definedName name="expend_current" localSheetId="20">#REF!</definedName>
    <definedName name="expend_current" localSheetId="22">#REF!</definedName>
    <definedName name="expend_current" localSheetId="19">#REF!</definedName>
    <definedName name="expend_current" localSheetId="18">#REF!</definedName>
    <definedName name="expend_current">#REF!</definedName>
    <definedName name="expend_devt" localSheetId="8">#REF!</definedName>
    <definedName name="expend_devt" localSheetId="12">#REF!</definedName>
    <definedName name="expend_devt" localSheetId="21">#REF!</definedName>
    <definedName name="expend_devt" localSheetId="23">#REF!</definedName>
    <definedName name="expend_devt" localSheetId="20">#REF!</definedName>
    <definedName name="expend_devt" localSheetId="22">#REF!</definedName>
    <definedName name="expend_devt" localSheetId="19">#REF!</definedName>
    <definedName name="expend_devt" localSheetId="18">#REF!</definedName>
    <definedName name="expend_devt">#REF!</definedName>
    <definedName name="expenditures" localSheetId="8">#REF!</definedName>
    <definedName name="expenditures" localSheetId="12">#REF!</definedName>
    <definedName name="expenditures" localSheetId="21">#REF!</definedName>
    <definedName name="expenditures" localSheetId="23">#REF!</definedName>
    <definedName name="expenditures" localSheetId="20">#REF!</definedName>
    <definedName name="expenditures" localSheetId="22">#REF!</definedName>
    <definedName name="expenditures" localSheetId="19">#REF!</definedName>
    <definedName name="expenditures" localSheetId="18">#REF!</definedName>
    <definedName name="expenditures">#REF!</definedName>
    <definedName name="FAD" localSheetId="8">#REF!</definedName>
    <definedName name="FAD" localSheetId="12">#REF!</definedName>
    <definedName name="FAD" localSheetId="21">#REF!</definedName>
    <definedName name="FAD" localSheetId="23">#REF!</definedName>
    <definedName name="FAD" localSheetId="20">#REF!</definedName>
    <definedName name="FAD" localSheetId="22">#REF!</definedName>
    <definedName name="FAD" localSheetId="19">#REF!</definedName>
    <definedName name="FAD" localSheetId="18">#REF!</definedName>
    <definedName name="FAD">#REF!</definedName>
    <definedName name="FADF" localSheetId="8">#REF!</definedName>
    <definedName name="FADF" localSheetId="12">#REF!</definedName>
    <definedName name="FADF" localSheetId="21">#REF!</definedName>
    <definedName name="FADF" localSheetId="23">#REF!</definedName>
    <definedName name="FADF" localSheetId="20">#REF!</definedName>
    <definedName name="FADF" localSheetId="22">#REF!</definedName>
    <definedName name="FADF" localSheetId="19">#REF!</definedName>
    <definedName name="FADF" localSheetId="18">#REF!</definedName>
    <definedName name="FADF">#REF!</definedName>
    <definedName name="FADS" localSheetId="8">#REF!</definedName>
    <definedName name="FADS" localSheetId="12">#REF!</definedName>
    <definedName name="FADS" localSheetId="21">#REF!</definedName>
    <definedName name="FADS" localSheetId="23">#REF!</definedName>
    <definedName name="FADS" localSheetId="20">#REF!</definedName>
    <definedName name="FADS" localSheetId="22">#REF!</definedName>
    <definedName name="FADS" localSheetId="19">#REF!</definedName>
    <definedName name="FADS" localSheetId="18">#REF!</definedName>
    <definedName name="FADS">#REF!</definedName>
    <definedName name="Faktor_Kali" localSheetId="8">#REF!</definedName>
    <definedName name="Faktor_Kali" localSheetId="21">#REF!</definedName>
    <definedName name="Faktor_Kali" localSheetId="23">#REF!</definedName>
    <definedName name="Faktor_Kali" localSheetId="20">#REF!</definedName>
    <definedName name="Faktor_Kali" localSheetId="22">#REF!</definedName>
    <definedName name="Faktor_Kali" localSheetId="19">#REF!</definedName>
    <definedName name="Faktor_Kali">#REF!</definedName>
    <definedName name="FASDF" localSheetId="8">#REF!</definedName>
    <definedName name="FASDF" localSheetId="12">#REF!</definedName>
    <definedName name="FASDF" localSheetId="21">#REF!</definedName>
    <definedName name="FASDF" localSheetId="23">#REF!</definedName>
    <definedName name="FASDF" localSheetId="20">#REF!</definedName>
    <definedName name="FASDF" localSheetId="22">#REF!</definedName>
    <definedName name="FASDF" localSheetId="19">#REF!</definedName>
    <definedName name="FASDF" localSheetId="18">#REF!</definedName>
    <definedName name="FASDF">#REF!</definedName>
    <definedName name="fd" localSheetId="8">#REF!</definedName>
    <definedName name="fd" localSheetId="12">#REF!</definedName>
    <definedName name="fd" localSheetId="21">#REF!</definedName>
    <definedName name="fd" localSheetId="23">#REF!</definedName>
    <definedName name="fd" localSheetId="20">#REF!</definedName>
    <definedName name="fd" localSheetId="22">#REF!</definedName>
    <definedName name="fd" localSheetId="19">#REF!</definedName>
    <definedName name="fd" localSheetId="18">#REF!</definedName>
    <definedName name="fd">#REF!</definedName>
    <definedName name="feeder">#REF!</definedName>
    <definedName name="ffsfas" localSheetId="8">#REF!</definedName>
    <definedName name="ffsfas" localSheetId="21">#REF!</definedName>
    <definedName name="ffsfas" localSheetId="23">#REF!</definedName>
    <definedName name="ffsfas" localSheetId="20">#REF!</definedName>
    <definedName name="ffsfas" localSheetId="22">#REF!</definedName>
    <definedName name="ffsfas" localSheetId="19">#REF!</definedName>
    <definedName name="ffsfas" localSheetId="5">#REF!</definedName>
    <definedName name="ffsfas">#REF!</definedName>
    <definedName name="fgbhgh" localSheetId="8">#REF!</definedName>
    <definedName name="fgbhgh" localSheetId="21">#REF!</definedName>
    <definedName name="fgbhgh" localSheetId="23">#REF!</definedName>
    <definedName name="fgbhgh" localSheetId="20">#REF!</definedName>
    <definedName name="fgbhgh" localSheetId="22">#REF!</definedName>
    <definedName name="fgbhgh" localSheetId="19">#REF!</definedName>
    <definedName name="fgbhgh" localSheetId="5">#REF!</definedName>
    <definedName name="fgbhgh">#REF!</definedName>
    <definedName name="fgf" localSheetId="8">#REF!</definedName>
    <definedName name="fgf" localSheetId="21">#REF!</definedName>
    <definedName name="fgf" localSheetId="23">#REF!</definedName>
    <definedName name="fgf" localSheetId="20">#REF!</definedName>
    <definedName name="fgf" localSheetId="22">#REF!</definedName>
    <definedName name="fgf" localSheetId="19">#REF!</definedName>
    <definedName name="fgf" localSheetId="5">#REF!</definedName>
    <definedName name="fgf">#REF!</definedName>
    <definedName name="FILL" localSheetId="8" hidden="1">#REF!</definedName>
    <definedName name="FILL" localSheetId="12" hidden="1">#REF!</definedName>
    <definedName name="FILL" localSheetId="21" hidden="1">#REF!</definedName>
    <definedName name="FILL" localSheetId="23" hidden="1">#REF!</definedName>
    <definedName name="FILL" localSheetId="20" hidden="1">#REF!</definedName>
    <definedName name="FILL" localSheetId="22" hidden="1">#REF!</definedName>
    <definedName name="FILL" localSheetId="19" hidden="1">#REF!</definedName>
    <definedName name="FILL" localSheetId="18" hidden="1">#REF!</definedName>
    <definedName name="FILL" localSheetId="5" hidden="1">#REF!</definedName>
    <definedName name="FILL" hidden="1">#REF!</definedName>
    <definedName name="financing" localSheetId="8">#REF!</definedName>
    <definedName name="financing" localSheetId="12">#REF!</definedName>
    <definedName name="financing" localSheetId="21">#REF!</definedName>
    <definedName name="financing" localSheetId="23">#REF!</definedName>
    <definedName name="financing" localSheetId="20">#REF!</definedName>
    <definedName name="financing" localSheetId="22">#REF!</definedName>
    <definedName name="financing" localSheetId="19">#REF!</definedName>
    <definedName name="financing" localSheetId="18">#REF!</definedName>
    <definedName name="financing" localSheetId="5">#REF!</definedName>
    <definedName name="financing">#REF!</definedName>
    <definedName name="FIREALARM">#REF!</definedName>
    <definedName name="FIS_B" localSheetId="8">#REF!</definedName>
    <definedName name="FIS_B" localSheetId="21">#REF!</definedName>
    <definedName name="FIS_B" localSheetId="23">#REF!</definedName>
    <definedName name="FIS_B" localSheetId="20">#REF!</definedName>
    <definedName name="FIS_B" localSheetId="22">#REF!</definedName>
    <definedName name="FIS_B" localSheetId="19">#REF!</definedName>
    <definedName name="FIS_B" localSheetId="5">#REF!</definedName>
    <definedName name="FIS_B">#REF!</definedName>
    <definedName name="fj" localSheetId="8">#REF!</definedName>
    <definedName name="fj" localSheetId="21">#REF!</definedName>
    <definedName name="fj" localSheetId="23">#REF!</definedName>
    <definedName name="fj" localSheetId="20">#REF!</definedName>
    <definedName name="fj" localSheetId="22">#REF!</definedName>
    <definedName name="fj" localSheetId="19">#REF!</definedName>
    <definedName name="fj" localSheetId="5">#REF!</definedName>
    <definedName name="fj">#REF!</definedName>
    <definedName name="FSDF" localSheetId="8">#REF!</definedName>
    <definedName name="FSDF" localSheetId="12">#REF!</definedName>
    <definedName name="FSDF" localSheetId="21">#REF!</definedName>
    <definedName name="FSDF" localSheetId="23">#REF!</definedName>
    <definedName name="FSDF" localSheetId="20">#REF!</definedName>
    <definedName name="FSDF" localSheetId="22">#REF!</definedName>
    <definedName name="FSDF" localSheetId="19">#REF!</definedName>
    <definedName name="FSDF" localSheetId="18">#REF!</definedName>
    <definedName name="FSDF" localSheetId="5">#REF!</definedName>
    <definedName name="FSDF">#REF!</definedName>
    <definedName name="FUNGSI">#REF!</definedName>
    <definedName name="GABUNG" localSheetId="8">#REF!</definedName>
    <definedName name="GABUNG" localSheetId="21">#REF!</definedName>
    <definedName name="GABUNG" localSheetId="23">#REF!</definedName>
    <definedName name="GABUNG" localSheetId="20">#REF!</definedName>
    <definedName name="GABUNG" localSheetId="22">#REF!</definedName>
    <definedName name="GABUNG" localSheetId="19">#REF!</definedName>
    <definedName name="GABUNG" localSheetId="5">#REF!</definedName>
    <definedName name="GABUNG">#REF!</definedName>
    <definedName name="gang">#REF!</definedName>
    <definedName name="GBP" localSheetId="12">#REF!</definedName>
    <definedName name="GBP" localSheetId="21">#REF!</definedName>
    <definedName name="GBP" localSheetId="23">#REF!</definedName>
    <definedName name="GBP" localSheetId="20">#REF!</definedName>
    <definedName name="GBP" localSheetId="22">#REF!</definedName>
    <definedName name="GBP" localSheetId="19">#REF!</definedName>
    <definedName name="GBP" localSheetId="18">#REF!</definedName>
    <definedName name="GBP">#REF!</definedName>
    <definedName name="gdfg" localSheetId="8">#REF!</definedName>
    <definedName name="gdfg" localSheetId="12">#REF!</definedName>
    <definedName name="gdfg" localSheetId="21">#REF!</definedName>
    <definedName name="gdfg" localSheetId="23">#REF!</definedName>
    <definedName name="gdfg" localSheetId="20">#REF!</definedName>
    <definedName name="gdfg" localSheetId="22">#REF!</definedName>
    <definedName name="gdfg" localSheetId="19">#REF!</definedName>
    <definedName name="gdfg" localSheetId="18">#REF!</definedName>
    <definedName name="gdfg" localSheetId="5">#REF!</definedName>
    <definedName name="gdfg">#REF!</definedName>
    <definedName name="GFHHG" localSheetId="8">#REF!</definedName>
    <definedName name="GFHHG" localSheetId="12">#REF!</definedName>
    <definedName name="GFHHG" localSheetId="21">#REF!</definedName>
    <definedName name="GFHHG" localSheetId="23">#REF!</definedName>
    <definedName name="GFHHG" localSheetId="20">#REF!</definedName>
    <definedName name="GFHHG" localSheetId="22">#REF!</definedName>
    <definedName name="GFHHG" localSheetId="19">#REF!</definedName>
    <definedName name="GFHHG" localSheetId="18">#REF!</definedName>
    <definedName name="GFHHG" localSheetId="5">#REF!</definedName>
    <definedName name="GFHHG">#REF!</definedName>
    <definedName name="gg">#REF!</definedName>
    <definedName name="ggfhgf" localSheetId="8">#REF!</definedName>
    <definedName name="ggfhgf" localSheetId="21">#REF!</definedName>
    <definedName name="ggfhgf" localSheetId="23">#REF!</definedName>
    <definedName name="ggfhgf" localSheetId="20">#REF!</definedName>
    <definedName name="ggfhgf" localSheetId="22">#REF!</definedName>
    <definedName name="ggfhgf" localSheetId="19">#REF!</definedName>
    <definedName name="ggfhgf" localSheetId="5">#REF!</definedName>
    <definedName name="ggfhgf">#REF!</definedName>
    <definedName name="giapbn1" localSheetId="8">#REF!</definedName>
    <definedName name="giapbn1" localSheetId="12">#REF!</definedName>
    <definedName name="giapbn1" localSheetId="21">#REF!</definedName>
    <definedName name="giapbn1" localSheetId="23">#REF!</definedName>
    <definedName name="giapbn1" localSheetId="20">#REF!</definedName>
    <definedName name="giapbn1" localSheetId="22">#REF!</definedName>
    <definedName name="giapbn1" localSheetId="19">#REF!</definedName>
    <definedName name="giapbn1" localSheetId="18">#REF!</definedName>
    <definedName name="giapbn1" localSheetId="5">#REF!</definedName>
    <definedName name="giapbn1">#REF!</definedName>
    <definedName name="giapbn2" localSheetId="8">#REF!</definedName>
    <definedName name="giapbn2" localSheetId="12">#REF!</definedName>
    <definedName name="giapbn2" localSheetId="21">#REF!</definedName>
    <definedName name="giapbn2" localSheetId="23">#REF!</definedName>
    <definedName name="giapbn2" localSheetId="20">#REF!</definedName>
    <definedName name="giapbn2" localSheetId="22">#REF!</definedName>
    <definedName name="giapbn2" localSheetId="19">#REF!</definedName>
    <definedName name="giapbn2" localSheetId="18">#REF!</definedName>
    <definedName name="giapbn2" localSheetId="5">#REF!</definedName>
    <definedName name="giapbn2">#REF!</definedName>
    <definedName name="giapbn4" localSheetId="8">#REF!</definedName>
    <definedName name="giapbn4" localSheetId="12">#REF!</definedName>
    <definedName name="giapbn4" localSheetId="21">#REF!</definedName>
    <definedName name="giapbn4" localSheetId="23">#REF!</definedName>
    <definedName name="giapbn4" localSheetId="20">#REF!</definedName>
    <definedName name="giapbn4" localSheetId="22">#REF!</definedName>
    <definedName name="giapbn4" localSheetId="19">#REF!</definedName>
    <definedName name="giapbn4" localSheetId="18">#REF!</definedName>
    <definedName name="giapbn4">#REF!</definedName>
    <definedName name="giapln1" localSheetId="8">#REF!</definedName>
    <definedName name="giapln1" localSheetId="12">#REF!</definedName>
    <definedName name="giapln1" localSheetId="21">#REF!</definedName>
    <definedName name="giapln1" localSheetId="23">#REF!</definedName>
    <definedName name="giapln1" localSheetId="20">#REF!</definedName>
    <definedName name="giapln1" localSheetId="22">#REF!</definedName>
    <definedName name="giapln1" localSheetId="19">#REF!</definedName>
    <definedName name="giapln1" localSheetId="18">#REF!</definedName>
    <definedName name="giapln1">#REF!</definedName>
    <definedName name="giapln2" localSheetId="8">#REF!</definedName>
    <definedName name="giapln2" localSheetId="12">#REF!</definedName>
    <definedName name="giapln2" localSheetId="21">#REF!</definedName>
    <definedName name="giapln2" localSheetId="23">#REF!</definedName>
    <definedName name="giapln2" localSheetId="20">#REF!</definedName>
    <definedName name="giapln2" localSheetId="22">#REF!</definedName>
    <definedName name="giapln2" localSheetId="19">#REF!</definedName>
    <definedName name="giapln2" localSheetId="18">#REF!</definedName>
    <definedName name="giapln2">#REF!</definedName>
    <definedName name="giapln3" localSheetId="8">#REF!</definedName>
    <definedName name="giapln3" localSheetId="12">#REF!</definedName>
    <definedName name="giapln3" localSheetId="21">#REF!</definedName>
    <definedName name="giapln3" localSheetId="23">#REF!</definedName>
    <definedName name="giapln3" localSheetId="20">#REF!</definedName>
    <definedName name="giapln3" localSheetId="22">#REF!</definedName>
    <definedName name="giapln3" localSheetId="19">#REF!</definedName>
    <definedName name="giapln3" localSheetId="18">#REF!</definedName>
    <definedName name="giapln3">#REF!</definedName>
    <definedName name="giapln4" localSheetId="8">#REF!</definedName>
    <definedName name="giapln4" localSheetId="12">#REF!</definedName>
    <definedName name="giapln4" localSheetId="21">#REF!</definedName>
    <definedName name="giapln4" localSheetId="23">#REF!</definedName>
    <definedName name="giapln4" localSheetId="20">#REF!</definedName>
    <definedName name="giapln4" localSheetId="22">#REF!</definedName>
    <definedName name="giapln4" localSheetId="19">#REF!</definedName>
    <definedName name="giapln4" localSheetId="18">#REF!</definedName>
    <definedName name="giapln4">#REF!</definedName>
    <definedName name="gisla2" localSheetId="8">#REF!</definedName>
    <definedName name="gisla2" localSheetId="12">#REF!</definedName>
    <definedName name="gisla2" localSheetId="21">#REF!</definedName>
    <definedName name="gisla2" localSheetId="23">#REF!</definedName>
    <definedName name="gisla2" localSheetId="20">#REF!</definedName>
    <definedName name="gisla2" localSheetId="22">#REF!</definedName>
    <definedName name="gisla2" localSheetId="19">#REF!</definedName>
    <definedName name="gisla2" localSheetId="18">#REF!</definedName>
    <definedName name="gisla2">#REF!</definedName>
    <definedName name="gisla4" localSheetId="8">#REF!</definedName>
    <definedName name="gisla4" localSheetId="12">#REF!</definedName>
    <definedName name="gisla4" localSheetId="21">#REF!</definedName>
    <definedName name="gisla4" localSheetId="23">#REF!</definedName>
    <definedName name="gisla4" localSheetId="20">#REF!</definedName>
    <definedName name="gisla4" localSheetId="22">#REF!</definedName>
    <definedName name="gisla4" localSheetId="19">#REF!</definedName>
    <definedName name="gisla4" localSheetId="18">#REF!</definedName>
    <definedName name="gisla4">#REF!</definedName>
    <definedName name="GPD" localSheetId="8">#REF!</definedName>
    <definedName name="GPD" localSheetId="21">#REF!</definedName>
    <definedName name="GPD" localSheetId="23">#REF!</definedName>
    <definedName name="GPD" localSheetId="20">#REF!</definedName>
    <definedName name="GPD" localSheetId="22">#REF!</definedName>
    <definedName name="GPD" localSheetId="19">#REF!</definedName>
    <definedName name="GPD" localSheetId="5">#REF!</definedName>
    <definedName name="GPD">#REF!</definedName>
    <definedName name="GPRP" localSheetId="8">#REF!</definedName>
    <definedName name="GPRP" localSheetId="21">#REF!</definedName>
    <definedName name="GPRP" localSheetId="23">#REF!</definedName>
    <definedName name="GPRP" localSheetId="20">#REF!</definedName>
    <definedName name="GPRP" localSheetId="22">#REF!</definedName>
    <definedName name="GPRP" localSheetId="19">#REF!</definedName>
    <definedName name="GPRP" localSheetId="5">#REF!</definedName>
    <definedName name="GPRP">#REF!</definedName>
    <definedName name="gps">#REF!</definedName>
    <definedName name="h" localSheetId="8">#REF!</definedName>
    <definedName name="h" localSheetId="21">#REF!</definedName>
    <definedName name="h" localSheetId="23">#REF!</definedName>
    <definedName name="h" localSheetId="20">#REF!</definedName>
    <definedName name="h" localSheetId="22">#REF!</definedName>
    <definedName name="h" localSheetId="19">#REF!</definedName>
    <definedName name="h" localSheetId="5">#REF!</definedName>
    <definedName name="h">#REF!</definedName>
    <definedName name="hal1_1">#REF!</definedName>
    <definedName name="hal1_2">#REF!</definedName>
    <definedName name="hal2_1" localSheetId="8">#REF!</definedName>
    <definedName name="hal2_1" localSheetId="21">#REF!</definedName>
    <definedName name="hal2_1" localSheetId="23">#REF!</definedName>
    <definedName name="hal2_1" localSheetId="20">#REF!</definedName>
    <definedName name="hal2_1" localSheetId="22">#REF!</definedName>
    <definedName name="hal2_1" localSheetId="19">#REF!</definedName>
    <definedName name="hal2_1" localSheetId="5">#REF!</definedName>
    <definedName name="hal2_1">#REF!</definedName>
    <definedName name="hal2_2" localSheetId="8">#REF!</definedName>
    <definedName name="hal2_2" localSheetId="21">#REF!</definedName>
    <definedName name="hal2_2" localSheetId="23">#REF!</definedName>
    <definedName name="hal2_2" localSheetId="20">#REF!</definedName>
    <definedName name="hal2_2" localSheetId="22">#REF!</definedName>
    <definedName name="hal2_2" localSheetId="19">#REF!</definedName>
    <definedName name="hal2_2" localSheetId="5">#REF!</definedName>
    <definedName name="hal2_2">#REF!</definedName>
    <definedName name="hal2kehal3" localSheetId="8">#REF!</definedName>
    <definedName name="hal2kehal3" localSheetId="21">#REF!</definedName>
    <definedName name="hal2kehal3" localSheetId="23">#REF!</definedName>
    <definedName name="hal2kehal3" localSheetId="20">#REF!</definedName>
    <definedName name="hal2kehal3" localSheetId="22">#REF!</definedName>
    <definedName name="hal2kehal3" localSheetId="19">#REF!</definedName>
    <definedName name="hal2kehal3" localSheetId="5">#REF!</definedName>
    <definedName name="hal2kehal3">#REF!</definedName>
    <definedName name="Har">#REF!</definedName>
    <definedName name="harga" localSheetId="8">#REF!</definedName>
    <definedName name="harga" localSheetId="12">#REF!</definedName>
    <definedName name="harga" localSheetId="21">#REF!</definedName>
    <definedName name="harga" localSheetId="23">#REF!</definedName>
    <definedName name="harga" localSheetId="20">#REF!</definedName>
    <definedName name="harga" localSheetId="22">#REF!</definedName>
    <definedName name="harga" localSheetId="19">#REF!</definedName>
    <definedName name="harga" localSheetId="18">#REF!</definedName>
    <definedName name="harga" localSheetId="5">#REF!</definedName>
    <definedName name="harga">#REF!</definedName>
    <definedName name="Harga_BBM" localSheetId="8">#REF!</definedName>
    <definedName name="Harga_BBM" localSheetId="21">#REF!</definedName>
    <definedName name="Harga_BBM" localSheetId="23">#REF!</definedName>
    <definedName name="Harga_BBM" localSheetId="20">#REF!</definedName>
    <definedName name="Harga_BBM" localSheetId="22">#REF!</definedName>
    <definedName name="Harga_BBM" localSheetId="19">#REF!</definedName>
    <definedName name="Harga_BBM" localSheetId="5">#REF!</definedName>
    <definedName name="Harga_BBM">#REF!</definedName>
    <definedName name="hari" localSheetId="8">#REF!</definedName>
    <definedName name="hari" localSheetId="12">#REF!</definedName>
    <definedName name="hari" localSheetId="21">#REF!</definedName>
    <definedName name="hari" localSheetId="23">#REF!</definedName>
    <definedName name="hari" localSheetId="20">#REF!</definedName>
    <definedName name="hari" localSheetId="22">#REF!</definedName>
    <definedName name="hari" localSheetId="19">#REF!</definedName>
    <definedName name="hari" localSheetId="18">#REF!</definedName>
    <definedName name="hari" localSheetId="5">#REF!</definedName>
    <definedName name="hari">#REF!</definedName>
    <definedName name="HarMatTRWI" localSheetId="8">#REF!</definedName>
    <definedName name="HarMatTRWI" localSheetId="12">#REF!</definedName>
    <definedName name="HarMatTRWI" localSheetId="21">#REF!</definedName>
    <definedName name="HarMatTRWI" localSheetId="23">#REF!</definedName>
    <definedName name="HarMatTRWI" localSheetId="20">#REF!</definedName>
    <definedName name="HarMatTRWI" localSheetId="22">#REF!</definedName>
    <definedName name="HarMatTRWI" localSheetId="19">#REF!</definedName>
    <definedName name="HarMatTRWI" localSheetId="18">#REF!</definedName>
    <definedName name="HarMatTRWI">#REF!</definedName>
    <definedName name="HarMatTRWII" localSheetId="8">#REF!</definedName>
    <definedName name="HarMatTRWII" localSheetId="12">#REF!</definedName>
    <definedName name="HarMatTRWII" localSheetId="21">#REF!</definedName>
    <definedName name="HarMatTRWII" localSheetId="23">#REF!</definedName>
    <definedName name="HarMatTRWII" localSheetId="20">#REF!</definedName>
    <definedName name="HarMatTRWII" localSheetId="22">#REF!</definedName>
    <definedName name="HarMatTRWII" localSheetId="19">#REF!</definedName>
    <definedName name="HarMatTRWII" localSheetId="18">#REF!</definedName>
    <definedName name="HarMatTRWII">#REF!</definedName>
    <definedName name="HarMatTRWIII" localSheetId="8">#REF!</definedName>
    <definedName name="HarMatTRWIII" localSheetId="12">#REF!</definedName>
    <definedName name="HarMatTRWIII" localSheetId="21">#REF!</definedName>
    <definedName name="HarMatTRWIII" localSheetId="23">#REF!</definedName>
    <definedName name="HarMatTRWIII" localSheetId="20">#REF!</definedName>
    <definedName name="HarMatTRWIII" localSheetId="22">#REF!</definedName>
    <definedName name="HarMatTRWIII" localSheetId="19">#REF!</definedName>
    <definedName name="HarMatTRWIII" localSheetId="18">#REF!</definedName>
    <definedName name="HarMatTRWIII">#REF!</definedName>
    <definedName name="HarMatTRWIV" localSheetId="8">#REF!</definedName>
    <definedName name="HarMatTRWIV" localSheetId="12">#REF!</definedName>
    <definedName name="HarMatTRWIV" localSheetId="21">#REF!</definedName>
    <definedName name="HarMatTRWIV" localSheetId="23">#REF!</definedName>
    <definedName name="HarMatTRWIV" localSheetId="20">#REF!</definedName>
    <definedName name="HarMatTRWIV" localSheetId="22">#REF!</definedName>
    <definedName name="HarMatTRWIV" localSheetId="19">#REF!</definedName>
    <definedName name="HarMatTRWIV" localSheetId="18">#REF!</definedName>
    <definedName name="HarMatTRWIV">#REF!</definedName>
    <definedName name="HASIL" localSheetId="8">#REF!</definedName>
    <definedName name="HASIL" localSheetId="12">#REF!</definedName>
    <definedName name="HASIL" localSheetId="21">#REF!</definedName>
    <definedName name="HASIL" localSheetId="23">#REF!</definedName>
    <definedName name="HASIL" localSheetId="20">#REF!</definedName>
    <definedName name="HASIL" localSheetId="22">#REF!</definedName>
    <definedName name="HASIL" localSheetId="19">#REF!</definedName>
    <definedName name="HASIL" localSheetId="18">#REF!</definedName>
    <definedName name="HASIL">#REF!</definedName>
    <definedName name="hf" localSheetId="8">#REF!</definedName>
    <definedName name="hf" localSheetId="21">#REF!</definedName>
    <definedName name="hf" localSheetId="23">#REF!</definedName>
    <definedName name="hf" localSheetId="20">#REF!</definedName>
    <definedName name="hf" localSheetId="22">#REF!</definedName>
    <definedName name="hf" localSheetId="19">#REF!</definedName>
    <definedName name="hf">#REF!</definedName>
    <definedName name="HRGLAMP1">#REF!</definedName>
    <definedName name="HRGLAMP2" localSheetId="8">#REF!</definedName>
    <definedName name="HRGLAMP2" localSheetId="21">#REF!</definedName>
    <definedName name="HRGLAMP2" localSheetId="23">#REF!</definedName>
    <definedName name="HRGLAMP2" localSheetId="20">#REF!</definedName>
    <definedName name="HRGLAMP2" localSheetId="22">#REF!</definedName>
    <definedName name="HRGLAMP2" localSheetId="19">#REF!</definedName>
    <definedName name="HRGLAMP2" localSheetId="5">#REF!</definedName>
    <definedName name="HRGLAMP2">#REF!</definedName>
    <definedName name="HRGLAMP3" localSheetId="8">#REF!</definedName>
    <definedName name="HRGLAMP3" localSheetId="21">#REF!</definedName>
    <definedName name="HRGLAMP3" localSheetId="23">#REF!</definedName>
    <definedName name="HRGLAMP3" localSheetId="20">#REF!</definedName>
    <definedName name="HRGLAMP3" localSheetId="22">#REF!</definedName>
    <definedName name="HRGLAMP3" localSheetId="19">#REF!</definedName>
    <definedName name="HRGLAMP3" localSheetId="5">#REF!</definedName>
    <definedName name="HRGLAMP3">#REF!</definedName>
    <definedName name="hsdbaru">#REF!</definedName>
    <definedName name="I_Acc" localSheetId="8">#REF!</definedName>
    <definedName name="I_Acc" localSheetId="12">#REF!</definedName>
    <definedName name="I_Acc" localSheetId="21">#REF!</definedName>
    <definedName name="I_Acc" localSheetId="23">#REF!</definedName>
    <definedName name="I_Acc" localSheetId="20">#REF!</definedName>
    <definedName name="I_Acc" localSheetId="22">#REF!</definedName>
    <definedName name="I_Acc" localSheetId="19">#REF!</definedName>
    <definedName name="I_Acc" localSheetId="18">#REF!</definedName>
    <definedName name="I_Acc" localSheetId="5">#REF!</definedName>
    <definedName name="I_Acc">#REF!</definedName>
    <definedName name="i1234_567891011">#REF!</definedName>
    <definedName name="idobaru">#REF!</definedName>
    <definedName name="IDS">#REF!</definedName>
    <definedName name="IK" localSheetId="8">#REF!</definedName>
    <definedName name="IK" localSheetId="12">#REF!</definedName>
    <definedName name="IK" localSheetId="21">#REF!</definedName>
    <definedName name="IK" localSheetId="23">#REF!</definedName>
    <definedName name="IK" localSheetId="20">#REF!</definedName>
    <definedName name="IK" localSheetId="22">#REF!</definedName>
    <definedName name="IK" localSheetId="19">#REF!</definedName>
    <definedName name="IK" localSheetId="18">#REF!</definedName>
    <definedName name="IK" localSheetId="5">#REF!</definedName>
    <definedName name="IK">#REF!</definedName>
    <definedName name="Impor_W1_W2">#REF!</definedName>
    <definedName name="Indikator210" localSheetId="8">#REF!</definedName>
    <definedName name="Indikator210" localSheetId="12">#REF!</definedName>
    <definedName name="Indikator210" localSheetId="21">#REF!</definedName>
    <definedName name="Indikator210" localSheetId="23">#REF!</definedName>
    <definedName name="Indikator210" localSheetId="20">#REF!</definedName>
    <definedName name="Indikator210" localSheetId="22">#REF!</definedName>
    <definedName name="Indikator210" localSheetId="19">#REF!</definedName>
    <definedName name="Indikator210" localSheetId="18">#REF!</definedName>
    <definedName name="Indikator210" localSheetId="5">#REF!</definedName>
    <definedName name="Indikator210">#REF!</definedName>
    <definedName name="Indikator215" localSheetId="8">#REF!</definedName>
    <definedName name="Indikator215" localSheetId="12">#REF!</definedName>
    <definedName name="Indikator215" localSheetId="21">#REF!</definedName>
    <definedName name="Indikator215" localSheetId="23">#REF!</definedName>
    <definedName name="Indikator215" localSheetId="20">#REF!</definedName>
    <definedName name="Indikator215" localSheetId="22">#REF!</definedName>
    <definedName name="Indikator215" localSheetId="19">#REF!</definedName>
    <definedName name="Indikator215" localSheetId="18">#REF!</definedName>
    <definedName name="Indikator215" localSheetId="5">#REF!</definedName>
    <definedName name="Indikator215">#REF!</definedName>
    <definedName name="inflasi" localSheetId="8">#REF!</definedName>
    <definedName name="inflasi" localSheetId="12">#REF!</definedName>
    <definedName name="inflasi" localSheetId="21">#REF!</definedName>
    <definedName name="inflasi" localSheetId="23">#REF!</definedName>
    <definedName name="inflasi" localSheetId="20">#REF!</definedName>
    <definedName name="inflasi" localSheetId="22">#REF!</definedName>
    <definedName name="inflasi" localSheetId="19">#REF!</definedName>
    <definedName name="inflasi" localSheetId="18">#REF!</definedName>
    <definedName name="inflasi" localSheetId="5">#REF!</definedName>
    <definedName name="inflasi">#REF!</definedName>
    <definedName name="inflasi1" localSheetId="8">#REF!</definedName>
    <definedName name="inflasi1" localSheetId="12">#REF!</definedName>
    <definedName name="inflasi1" localSheetId="21">#REF!</definedName>
    <definedName name="inflasi1" localSheetId="23">#REF!</definedName>
    <definedName name="inflasi1" localSheetId="20">#REF!</definedName>
    <definedName name="inflasi1" localSheetId="22">#REF!</definedName>
    <definedName name="inflasi1" localSheetId="19">#REF!</definedName>
    <definedName name="inflasi1" localSheetId="18">#REF!</definedName>
    <definedName name="inflasi1">#REF!</definedName>
    <definedName name="inflasi2" localSheetId="8">#REF!</definedName>
    <definedName name="inflasi2" localSheetId="12">#REF!</definedName>
    <definedName name="inflasi2" localSheetId="21">#REF!</definedName>
    <definedName name="inflasi2" localSheetId="23">#REF!</definedName>
    <definedName name="inflasi2" localSheetId="20">#REF!</definedName>
    <definedName name="inflasi2" localSheetId="22">#REF!</definedName>
    <definedName name="inflasi2" localSheetId="19">#REF!</definedName>
    <definedName name="inflasi2" localSheetId="18">#REF!</definedName>
    <definedName name="inflasi2">#REF!</definedName>
    <definedName name="INTAKE" localSheetId="8">#REF!</definedName>
    <definedName name="INTAKE" localSheetId="12">#REF!</definedName>
    <definedName name="INTAKE" localSheetId="21">#REF!</definedName>
    <definedName name="INTAKE" localSheetId="23">#REF!</definedName>
    <definedName name="INTAKE" localSheetId="20">#REF!</definedName>
    <definedName name="INTAKE" localSheetId="22">#REF!</definedName>
    <definedName name="INTAKE" localSheetId="19">#REF!</definedName>
    <definedName name="INTAKE" localSheetId="18">#REF!</definedName>
    <definedName name="INTAKE">#REF!</definedName>
    <definedName name="inves1" localSheetId="8">#REF!</definedName>
    <definedName name="inves1" localSheetId="12">#REF!</definedName>
    <definedName name="inves1" localSheetId="21">#REF!</definedName>
    <definedName name="inves1" localSheetId="23">#REF!</definedName>
    <definedName name="inves1" localSheetId="20">#REF!</definedName>
    <definedName name="inves1" localSheetId="22">#REF!</definedName>
    <definedName name="inves1" localSheetId="19">#REF!</definedName>
    <definedName name="inves1" localSheetId="18">#REF!</definedName>
    <definedName name="inves1">#REF!</definedName>
    <definedName name="inves2" localSheetId="8">#REF!</definedName>
    <definedName name="inves2" localSheetId="12">#REF!</definedName>
    <definedName name="inves2" localSheetId="21">#REF!</definedName>
    <definedName name="inves2" localSheetId="23">#REF!</definedName>
    <definedName name="inves2" localSheetId="20">#REF!</definedName>
    <definedName name="inves2" localSheetId="22">#REF!</definedName>
    <definedName name="inves2" localSheetId="19">#REF!</definedName>
    <definedName name="inves2" localSheetId="18">#REF!</definedName>
    <definedName name="inves2" localSheetId="5">#REF!</definedName>
    <definedName name="inves2">#REF!</definedName>
    <definedName name="IPD">#REF!</definedName>
    <definedName name="IPRP">#REF!</definedName>
    <definedName name="IS" localSheetId="8">#REF!</definedName>
    <definedName name="IS" localSheetId="12">#REF!</definedName>
    <definedName name="IS" localSheetId="21">#REF!</definedName>
    <definedName name="IS" localSheetId="23">#REF!</definedName>
    <definedName name="IS" localSheetId="20">#REF!</definedName>
    <definedName name="IS" localSheetId="22">#REF!</definedName>
    <definedName name="IS" localSheetId="19">#REF!</definedName>
    <definedName name="IS" localSheetId="18">#REF!</definedName>
    <definedName name="IS" localSheetId="5">#REF!</definedName>
    <definedName name="IS">#REF!</definedName>
    <definedName name="IS1TRWI" localSheetId="8">#REF!</definedName>
    <definedName name="IS1TRWI" localSheetId="12">#REF!</definedName>
    <definedName name="IS1TRWI" localSheetId="21">#REF!</definedName>
    <definedName name="IS1TRWI" localSheetId="23">#REF!</definedName>
    <definedName name="IS1TRWI" localSheetId="20">#REF!</definedName>
    <definedName name="IS1TRWI" localSheetId="22">#REF!</definedName>
    <definedName name="IS1TRWI" localSheetId="19">#REF!</definedName>
    <definedName name="IS1TRWI" localSheetId="18">#REF!</definedName>
    <definedName name="IS1TRWI" localSheetId="5">#REF!</definedName>
    <definedName name="IS1TRWI">#REF!</definedName>
    <definedName name="IS1TRWII" localSheetId="8">#REF!</definedName>
    <definedName name="IS1TRWII" localSheetId="12">#REF!</definedName>
    <definedName name="IS1TRWII" localSheetId="21">#REF!</definedName>
    <definedName name="IS1TRWII" localSheetId="23">#REF!</definedName>
    <definedName name="IS1TRWII" localSheetId="20">#REF!</definedName>
    <definedName name="IS1TRWII" localSheetId="22">#REF!</definedName>
    <definedName name="IS1TRWII" localSheetId="19">#REF!</definedName>
    <definedName name="IS1TRWII" localSheetId="18">#REF!</definedName>
    <definedName name="IS1TRWII" localSheetId="5">#REF!</definedName>
    <definedName name="IS1TRWII">#REF!</definedName>
    <definedName name="IS1TRWIII" localSheetId="8">#REF!</definedName>
    <definedName name="IS1TRWIII" localSheetId="12">#REF!</definedName>
    <definedName name="IS1TRWIII" localSheetId="21">#REF!</definedName>
    <definedName name="IS1TRWIII" localSheetId="23">#REF!</definedName>
    <definedName name="IS1TRWIII" localSheetId="20">#REF!</definedName>
    <definedName name="IS1TRWIII" localSheetId="22">#REF!</definedName>
    <definedName name="IS1TRWIII" localSheetId="19">#REF!</definedName>
    <definedName name="IS1TRWIII" localSheetId="18">#REF!</definedName>
    <definedName name="IS1TRWIII">#REF!</definedName>
    <definedName name="IS1TRWIV" localSheetId="8">#REF!</definedName>
    <definedName name="IS1TRWIV" localSheetId="12">#REF!</definedName>
    <definedName name="IS1TRWIV" localSheetId="21">#REF!</definedName>
    <definedName name="IS1TRWIV" localSheetId="23">#REF!</definedName>
    <definedName name="IS1TRWIV" localSheetId="20">#REF!</definedName>
    <definedName name="IS1TRWIV" localSheetId="22">#REF!</definedName>
    <definedName name="IS1TRWIV" localSheetId="19">#REF!</definedName>
    <definedName name="IS1TRWIV" localSheetId="18">#REF!</definedName>
    <definedName name="IS1TRWIV">#REF!</definedName>
    <definedName name="IS21TRWI" localSheetId="8">#REF!</definedName>
    <definedName name="IS21TRWI" localSheetId="12">#REF!</definedName>
    <definedName name="IS21TRWI" localSheetId="21">#REF!</definedName>
    <definedName name="IS21TRWI" localSheetId="23">#REF!</definedName>
    <definedName name="IS21TRWI" localSheetId="20">#REF!</definedName>
    <definedName name="IS21TRWI" localSheetId="22">#REF!</definedName>
    <definedName name="IS21TRWI" localSheetId="19">#REF!</definedName>
    <definedName name="IS21TRWI" localSheetId="18">#REF!</definedName>
    <definedName name="IS21TRWI">#REF!</definedName>
    <definedName name="IS21TRWII" localSheetId="8">#REF!</definedName>
    <definedName name="IS21TRWII" localSheetId="12">#REF!</definedName>
    <definedName name="IS21TRWII" localSheetId="21">#REF!</definedName>
    <definedName name="IS21TRWII" localSheetId="23">#REF!</definedName>
    <definedName name="IS21TRWII" localSheetId="20">#REF!</definedName>
    <definedName name="IS21TRWII" localSheetId="22">#REF!</definedName>
    <definedName name="IS21TRWII" localSheetId="19">#REF!</definedName>
    <definedName name="IS21TRWII" localSheetId="18">#REF!</definedName>
    <definedName name="IS21TRWII">#REF!</definedName>
    <definedName name="IS21TRWIII" localSheetId="8">#REF!</definedName>
    <definedName name="IS21TRWIII" localSheetId="12">#REF!</definedName>
    <definedName name="IS21TRWIII" localSheetId="21">#REF!</definedName>
    <definedName name="IS21TRWIII" localSheetId="23">#REF!</definedName>
    <definedName name="IS21TRWIII" localSheetId="20">#REF!</definedName>
    <definedName name="IS21TRWIII" localSheetId="22">#REF!</definedName>
    <definedName name="IS21TRWIII" localSheetId="19">#REF!</definedName>
    <definedName name="IS21TRWIII" localSheetId="18">#REF!</definedName>
    <definedName name="IS21TRWIII">#REF!</definedName>
    <definedName name="IS21TRWIV" localSheetId="8">#REF!</definedName>
    <definedName name="IS21TRWIV" localSheetId="12">#REF!</definedName>
    <definedName name="IS21TRWIV" localSheetId="21">#REF!</definedName>
    <definedName name="IS21TRWIV" localSheetId="23">#REF!</definedName>
    <definedName name="IS21TRWIV" localSheetId="20">#REF!</definedName>
    <definedName name="IS21TRWIV" localSheetId="22">#REF!</definedName>
    <definedName name="IS21TRWIV" localSheetId="19">#REF!</definedName>
    <definedName name="IS21TRWIV" localSheetId="18">#REF!</definedName>
    <definedName name="IS21TRWIV">#REF!</definedName>
    <definedName name="IS22TRWI" localSheetId="8">#REF!</definedName>
    <definedName name="IS22TRWI" localSheetId="12">#REF!</definedName>
    <definedName name="IS22TRWI" localSheetId="21">#REF!</definedName>
    <definedName name="IS22TRWI" localSheetId="23">#REF!</definedName>
    <definedName name="IS22TRWI" localSheetId="20">#REF!</definedName>
    <definedName name="IS22TRWI" localSheetId="22">#REF!</definedName>
    <definedName name="IS22TRWI" localSheetId="19">#REF!</definedName>
    <definedName name="IS22TRWI" localSheetId="18">#REF!</definedName>
    <definedName name="IS22TRWI">#REF!</definedName>
    <definedName name="IS22TRWII" localSheetId="8">#REF!</definedName>
    <definedName name="IS22TRWII" localSheetId="12">#REF!</definedName>
    <definedName name="IS22TRWII" localSheetId="21">#REF!</definedName>
    <definedName name="IS22TRWII" localSheetId="23">#REF!</definedName>
    <definedName name="IS22TRWII" localSheetId="20">#REF!</definedName>
    <definedName name="IS22TRWII" localSheetId="22">#REF!</definedName>
    <definedName name="IS22TRWII" localSheetId="19">#REF!</definedName>
    <definedName name="IS22TRWII" localSheetId="18">#REF!</definedName>
    <definedName name="IS22TRWII">#REF!</definedName>
    <definedName name="IS22TRWIII" localSheetId="8">#REF!</definedName>
    <definedName name="IS22TRWIII" localSheetId="12">#REF!</definedName>
    <definedName name="IS22TRWIII" localSheetId="21">#REF!</definedName>
    <definedName name="IS22TRWIII" localSheetId="23">#REF!</definedName>
    <definedName name="IS22TRWIII" localSheetId="20">#REF!</definedName>
    <definedName name="IS22TRWIII" localSheetId="22">#REF!</definedName>
    <definedName name="IS22TRWIII" localSheetId="19">#REF!</definedName>
    <definedName name="IS22TRWIII" localSheetId="18">#REF!</definedName>
    <definedName name="IS22TRWIII">#REF!</definedName>
    <definedName name="IS22TRWIV" localSheetId="8">#REF!</definedName>
    <definedName name="IS22TRWIV" localSheetId="12">#REF!</definedName>
    <definedName name="IS22TRWIV" localSheetId="21">#REF!</definedName>
    <definedName name="IS22TRWIV" localSheetId="23">#REF!</definedName>
    <definedName name="IS22TRWIV" localSheetId="20">#REF!</definedName>
    <definedName name="IS22TRWIV" localSheetId="22">#REF!</definedName>
    <definedName name="IS22TRWIV" localSheetId="19">#REF!</definedName>
    <definedName name="IS22TRWIV" localSheetId="18">#REF!</definedName>
    <definedName name="IS22TRWIV">#REF!</definedName>
    <definedName name="ISI_ANGKA_TEKAN" localSheetId="8">#REF!</definedName>
    <definedName name="ISI_ANGKA_TEKAN" localSheetId="21">#REF!</definedName>
    <definedName name="ISI_ANGKA_TEKAN" localSheetId="23">#REF!</definedName>
    <definedName name="ISI_ANGKA_TEKAN" localSheetId="20">#REF!</definedName>
    <definedName name="ISI_ANGKA_TEKAN" localSheetId="22">#REF!</definedName>
    <definedName name="ISI_ANGKA_TEKAN" localSheetId="19">#REF!</definedName>
    <definedName name="ISI_ANGKA_TEKAN" localSheetId="5">#REF!</definedName>
    <definedName name="ISI_ANGKA_TEKAN">#REF!</definedName>
    <definedName name="iwan" localSheetId="8">#REF!</definedName>
    <definedName name="iwan" localSheetId="21">#REF!</definedName>
    <definedName name="iwan" localSheetId="23">#REF!</definedName>
    <definedName name="iwan" localSheetId="20">#REF!</definedName>
    <definedName name="iwan" localSheetId="22">#REF!</definedName>
    <definedName name="iwan" localSheetId="19">#REF!</definedName>
    <definedName name="iwan" localSheetId="5">#REF!</definedName>
    <definedName name="iwan">#REF!</definedName>
    <definedName name="JAJA" localSheetId="8">#REF!</definedName>
    <definedName name="JAJA" localSheetId="12">#REF!</definedName>
    <definedName name="JAJA" localSheetId="21">#REF!</definedName>
    <definedName name="JAJA" localSheetId="23">#REF!</definedName>
    <definedName name="JAJA" localSheetId="20">#REF!</definedName>
    <definedName name="JAJA" localSheetId="22">#REF!</definedName>
    <definedName name="JAJA" localSheetId="19">#REF!</definedName>
    <definedName name="JAJA" localSheetId="18">#REF!</definedName>
    <definedName name="JAJA" localSheetId="5">#REF!</definedName>
    <definedName name="JAJA">#REF!</definedName>
    <definedName name="JAMBI" localSheetId="8">#REF!</definedName>
    <definedName name="JAMBI" localSheetId="12">#REF!</definedName>
    <definedName name="JAMBI" localSheetId="21">#REF!</definedName>
    <definedName name="JAMBI" localSheetId="23">#REF!</definedName>
    <definedName name="JAMBI" localSheetId="20">#REF!</definedName>
    <definedName name="JAMBI" localSheetId="22">#REF!</definedName>
    <definedName name="JAMBI" localSheetId="19">#REF!</definedName>
    <definedName name="JAMBI" localSheetId="18">#REF!</definedName>
    <definedName name="JAMBI" localSheetId="5">#REF!</definedName>
    <definedName name="JAMBI">#REF!</definedName>
    <definedName name="JenisProgramList">#REF!</definedName>
    <definedName name="ji" localSheetId="8">#REF!</definedName>
    <definedName name="ji" localSheetId="12">#REF!</definedName>
    <definedName name="ji" localSheetId="21">#REF!</definedName>
    <definedName name="ji" localSheetId="23">#REF!</definedName>
    <definedName name="ji" localSheetId="20">#REF!</definedName>
    <definedName name="ji" localSheetId="22">#REF!</definedName>
    <definedName name="ji" localSheetId="19">#REF!</definedName>
    <definedName name="ji" localSheetId="18">#REF!</definedName>
    <definedName name="ji" localSheetId="5">#REF!</definedName>
    <definedName name="ji">#REF!</definedName>
    <definedName name="jj" localSheetId="8">#REF!</definedName>
    <definedName name="jj" localSheetId="12">#REF!</definedName>
    <definedName name="jj" localSheetId="21">#REF!</definedName>
    <definedName name="jj" localSheetId="23">#REF!</definedName>
    <definedName name="jj" localSheetId="20">#REF!</definedName>
    <definedName name="jj" localSheetId="22">#REF!</definedName>
    <definedName name="jj" localSheetId="19">#REF!</definedName>
    <definedName name="jj" localSheetId="18">#REF!</definedName>
    <definedName name="jj" localSheetId="5">#REF!</definedName>
    <definedName name="jj">#REF!</definedName>
    <definedName name="JJJ">#N/A</definedName>
    <definedName name="jk" localSheetId="8">#REF!</definedName>
    <definedName name="jk" localSheetId="12">#REF!</definedName>
    <definedName name="jk" localSheetId="21">#REF!</definedName>
    <definedName name="jk" localSheetId="23">#REF!</definedName>
    <definedName name="jk" localSheetId="20">#REF!</definedName>
    <definedName name="jk" localSheetId="22">#REF!</definedName>
    <definedName name="jk" localSheetId="19">#REF!</definedName>
    <definedName name="jk" localSheetId="18">#REF!</definedName>
    <definedName name="jk" localSheetId="5">#REF!</definedName>
    <definedName name="jk">#REF!</definedName>
    <definedName name="JKLJL" localSheetId="8">#REF!</definedName>
    <definedName name="JKLJL" localSheetId="12">#REF!</definedName>
    <definedName name="JKLJL" localSheetId="21">#REF!</definedName>
    <definedName name="JKLJL" localSheetId="23">#REF!</definedName>
    <definedName name="JKLJL" localSheetId="20">#REF!</definedName>
    <definedName name="JKLJL" localSheetId="22">#REF!</definedName>
    <definedName name="JKLJL" localSheetId="19">#REF!</definedName>
    <definedName name="JKLJL" localSheetId="18">#REF!</definedName>
    <definedName name="JKLJL" localSheetId="5">#REF!</definedName>
    <definedName name="JKLJL">#REF!</definedName>
    <definedName name="JL">#N/A</definedName>
    <definedName name="JPY" localSheetId="12">#REF!</definedName>
    <definedName name="JPY" localSheetId="21">#REF!</definedName>
    <definedName name="JPY" localSheetId="23">#REF!</definedName>
    <definedName name="JPY" localSheetId="20">#REF!</definedName>
    <definedName name="JPY" localSheetId="22">#REF!</definedName>
    <definedName name="JPY" localSheetId="19">#REF!</definedName>
    <definedName name="JPY" localSheetId="18">#REF!</definedName>
    <definedName name="JPY">#REF!</definedName>
    <definedName name="JUA">#N/A</definedName>
    <definedName name="jual" localSheetId="8">#REF!</definedName>
    <definedName name="jual" localSheetId="12">#REF!</definedName>
    <definedName name="jual" localSheetId="21">#REF!</definedName>
    <definedName name="jual" localSheetId="23">#REF!</definedName>
    <definedName name="jual" localSheetId="20">#REF!</definedName>
    <definedName name="jual" localSheetId="22">#REF!</definedName>
    <definedName name="jual" localSheetId="19">#REF!</definedName>
    <definedName name="jual" localSheetId="18">#REF!</definedName>
    <definedName name="jual" localSheetId="5">#REF!</definedName>
    <definedName name="jual">#REF!</definedName>
    <definedName name="JualGLangTRWI" localSheetId="8">#REF!</definedName>
    <definedName name="JualGLangTRWI" localSheetId="12">#REF!</definedName>
    <definedName name="JualGLangTRWI" localSheetId="21">#REF!</definedName>
    <definedName name="JualGLangTRWI" localSheetId="23">#REF!</definedName>
    <definedName name="JualGLangTRWI" localSheetId="20">#REF!</definedName>
    <definedName name="JualGLangTRWI" localSheetId="22">#REF!</definedName>
    <definedName name="JualGLangTRWI" localSheetId="19">#REF!</definedName>
    <definedName name="JualGLangTRWI" localSheetId="18">#REF!</definedName>
    <definedName name="JualGLangTRWI" localSheetId="5">#REF!</definedName>
    <definedName name="JualGLangTRWI">#REF!</definedName>
    <definedName name="JualGLangTRWII" localSheetId="8">#REF!</definedName>
    <definedName name="JualGLangTRWII" localSheetId="12">#REF!</definedName>
    <definedName name="JualGLangTRWII" localSheetId="21">#REF!</definedName>
    <definedName name="JualGLangTRWII" localSheetId="23">#REF!</definedName>
    <definedName name="JualGLangTRWII" localSheetId="20">#REF!</definedName>
    <definedName name="JualGLangTRWII" localSheetId="22">#REF!</definedName>
    <definedName name="JualGLangTRWII" localSheetId="19">#REF!</definedName>
    <definedName name="JualGLangTRWII" localSheetId="18">#REF!</definedName>
    <definedName name="JualGLangTRWII" localSheetId="5">#REF!</definedName>
    <definedName name="JualGLangTRWII">#REF!</definedName>
    <definedName name="JualGLangTRWIII" localSheetId="8">#REF!</definedName>
    <definedName name="JualGLangTRWIII" localSheetId="12">#REF!</definedName>
    <definedName name="JualGLangTRWIII" localSheetId="21">#REF!</definedName>
    <definedName name="JualGLangTRWIII" localSheetId="23">#REF!</definedName>
    <definedName name="JualGLangTRWIII" localSheetId="20">#REF!</definedName>
    <definedName name="JualGLangTRWIII" localSheetId="22">#REF!</definedName>
    <definedName name="JualGLangTRWIII" localSheetId="19">#REF!</definedName>
    <definedName name="JualGLangTRWIII" localSheetId="18">#REF!</definedName>
    <definedName name="JualGLangTRWIII">#REF!</definedName>
    <definedName name="JualGLangTRWIV" localSheetId="8">#REF!</definedName>
    <definedName name="JualGLangTRWIV" localSheetId="12">#REF!</definedName>
    <definedName name="JualGLangTRWIV" localSheetId="21">#REF!</definedName>
    <definedName name="JualGLangTRWIV" localSheetId="23">#REF!</definedName>
    <definedName name="JualGLangTRWIV" localSheetId="20">#REF!</definedName>
    <definedName name="JualGLangTRWIV" localSheetId="22">#REF!</definedName>
    <definedName name="JualGLangTRWIV" localSheetId="19">#REF!</definedName>
    <definedName name="JualGLangTRWIV" localSheetId="18">#REF!</definedName>
    <definedName name="JualGLangTRWIV">#REF!</definedName>
    <definedName name="judulhal1">#REF!</definedName>
    <definedName name="judulhal2" localSheetId="8">#REF!</definedName>
    <definedName name="judulhal2" localSheetId="21">#REF!</definedName>
    <definedName name="judulhal2" localSheetId="23">#REF!</definedName>
    <definedName name="judulhal2" localSheetId="20">#REF!</definedName>
    <definedName name="judulhal2" localSheetId="22">#REF!</definedName>
    <definedName name="judulhal2" localSheetId="19">#REF!</definedName>
    <definedName name="judulhal2" localSheetId="5">#REF!</definedName>
    <definedName name="judulhal2">#REF!</definedName>
    <definedName name="jul" localSheetId="8">#REF!</definedName>
    <definedName name="jul" localSheetId="12">#REF!</definedName>
    <definedName name="jul" localSheetId="21">#REF!</definedName>
    <definedName name="jul" localSheetId="23">#REF!</definedName>
    <definedName name="jul" localSheetId="20">#REF!</definedName>
    <definedName name="jul" localSheetId="22">#REF!</definedName>
    <definedName name="jul" localSheetId="19">#REF!</definedName>
    <definedName name="jul" localSheetId="18">#REF!</definedName>
    <definedName name="jul" localSheetId="5">#REF!</definedName>
    <definedName name="jul">#REF!</definedName>
    <definedName name="JUL_DB01" localSheetId="8">#REF!</definedName>
    <definedName name="JUL_DB01" localSheetId="21">#REF!</definedName>
    <definedName name="JUL_DB01" localSheetId="23">#REF!</definedName>
    <definedName name="JUL_DB01" localSheetId="20">#REF!</definedName>
    <definedName name="JUL_DB01" localSheetId="22">#REF!</definedName>
    <definedName name="JUL_DB01" localSheetId="19">#REF!</definedName>
    <definedName name="JUL_DB01" localSheetId="5">#REF!</definedName>
    <definedName name="JUL_DB01">#REF!</definedName>
    <definedName name="jun" localSheetId="8">#REF!</definedName>
    <definedName name="jun" localSheetId="12">#REF!</definedName>
    <definedName name="jun" localSheetId="21">#REF!</definedName>
    <definedName name="jun" localSheetId="23">#REF!</definedName>
    <definedName name="jun" localSheetId="20">#REF!</definedName>
    <definedName name="jun" localSheetId="22">#REF!</definedName>
    <definedName name="jun" localSheetId="19">#REF!</definedName>
    <definedName name="jun" localSheetId="18">#REF!</definedName>
    <definedName name="jun" localSheetId="5">#REF!</definedName>
    <definedName name="jun">#REF!</definedName>
    <definedName name="JUNI92" localSheetId="8">#REF!</definedName>
    <definedName name="JUNI92" localSheetId="12">#REF!</definedName>
    <definedName name="JUNI92" localSheetId="21">#REF!</definedName>
    <definedName name="JUNI92" localSheetId="23">#REF!</definedName>
    <definedName name="JUNI92" localSheetId="20">#REF!</definedName>
    <definedName name="JUNI92" localSheetId="22">#REF!</definedName>
    <definedName name="JUNI92" localSheetId="19">#REF!</definedName>
    <definedName name="JUNI92" localSheetId="18">#REF!</definedName>
    <definedName name="JUNI92">#REF!</definedName>
    <definedName name="JYJYTJ" localSheetId="8">#REF!</definedName>
    <definedName name="JYJYTJ" localSheetId="12">#REF!</definedName>
    <definedName name="JYJYTJ" localSheetId="21">#REF!</definedName>
    <definedName name="JYJYTJ" localSheetId="23">#REF!</definedName>
    <definedName name="JYJYTJ" localSheetId="20">#REF!</definedName>
    <definedName name="JYJYTJ" localSheetId="22">#REF!</definedName>
    <definedName name="JYJYTJ" localSheetId="19">#REF!</definedName>
    <definedName name="JYJYTJ" localSheetId="18">#REF!</definedName>
    <definedName name="JYJYTJ">#REF!</definedName>
    <definedName name="kali" localSheetId="8">#REF!</definedName>
    <definedName name="kali" localSheetId="21">#REF!</definedName>
    <definedName name="kali" localSheetId="23">#REF!</definedName>
    <definedName name="kali" localSheetId="20">#REF!</definedName>
    <definedName name="kali" localSheetId="22">#REF!</definedName>
    <definedName name="kali" localSheetId="19">#REF!</definedName>
    <definedName name="kali">#REF!</definedName>
    <definedName name="kdunit_criteria">#REF!</definedName>
    <definedName name="Kebutuhan" localSheetId="8">#REF!</definedName>
    <definedName name="Kebutuhan" localSheetId="12">#REF!</definedName>
    <definedName name="Kebutuhan" localSheetId="21">#REF!</definedName>
    <definedName name="Kebutuhan" localSheetId="23">#REF!</definedName>
    <definedName name="Kebutuhan" localSheetId="20">#REF!</definedName>
    <definedName name="Kebutuhan" localSheetId="22">#REF!</definedName>
    <definedName name="Kebutuhan" localSheetId="19">#REF!</definedName>
    <definedName name="Kebutuhan" localSheetId="18">#REF!</definedName>
    <definedName name="Kebutuhan" localSheetId="5">#REF!</definedName>
    <definedName name="Kebutuhan">#REF!</definedName>
    <definedName name="khj" localSheetId="8">#REF!</definedName>
    <definedName name="khj" localSheetId="12">#REF!</definedName>
    <definedName name="khj" localSheetId="21">#REF!</definedName>
    <definedName name="khj" localSheetId="23">#REF!</definedName>
    <definedName name="khj" localSheetId="20">#REF!</definedName>
    <definedName name="khj" localSheetId="22">#REF!</definedName>
    <definedName name="khj" localSheetId="19">#REF!</definedName>
    <definedName name="khj" localSheetId="18">#REF!</definedName>
    <definedName name="khj" localSheetId="5">#REF!</definedName>
    <definedName name="khj">#REF!</definedName>
    <definedName name="khusus" localSheetId="8">#REF!</definedName>
    <definedName name="khusus" localSheetId="12">#REF!</definedName>
    <definedName name="khusus" localSheetId="21">#REF!</definedName>
    <definedName name="khusus" localSheetId="23">#REF!</definedName>
    <definedName name="khusus" localSheetId="20">#REF!</definedName>
    <definedName name="khusus" localSheetId="22">#REF!</definedName>
    <definedName name="khusus" localSheetId="19">#REF!</definedName>
    <definedName name="khusus" localSheetId="18">#REF!</definedName>
    <definedName name="khusus" localSheetId="5">#REF!</definedName>
    <definedName name="khusus">#REF!</definedName>
    <definedName name="khusus1" localSheetId="8">#REF!</definedName>
    <definedName name="khusus1" localSheetId="12">#REF!</definedName>
    <definedName name="khusus1" localSheetId="21">#REF!</definedName>
    <definedName name="khusus1" localSheetId="23">#REF!</definedName>
    <definedName name="khusus1" localSheetId="20">#REF!</definedName>
    <definedName name="khusus1" localSheetId="22">#REF!</definedName>
    <definedName name="khusus1" localSheetId="19">#REF!</definedName>
    <definedName name="khusus1" localSheetId="18">#REF!</definedName>
    <definedName name="khusus1">#REF!</definedName>
    <definedName name="khusus1a" localSheetId="8">#REF!</definedName>
    <definedName name="khusus1a" localSheetId="12">#REF!</definedName>
    <definedName name="khusus1a" localSheetId="21">#REF!</definedName>
    <definedName name="khusus1a" localSheetId="23">#REF!</definedName>
    <definedName name="khusus1a" localSheetId="20">#REF!</definedName>
    <definedName name="khusus1a" localSheetId="22">#REF!</definedName>
    <definedName name="khusus1a" localSheetId="19">#REF!</definedName>
    <definedName name="khusus1a" localSheetId="18">#REF!</definedName>
    <definedName name="khusus1a">#REF!</definedName>
    <definedName name="klarifikasi" localSheetId="8">#REF!</definedName>
    <definedName name="klarifikasi" localSheetId="12">#REF!</definedName>
    <definedName name="klarifikasi" localSheetId="21">#REF!</definedName>
    <definedName name="klarifikasi" localSheetId="23">#REF!</definedName>
    <definedName name="klarifikasi" localSheetId="20">#REF!</definedName>
    <definedName name="klarifikasi" localSheetId="22">#REF!</definedName>
    <definedName name="klarifikasi" localSheetId="19">#REF!</definedName>
    <definedName name="klarifikasi" localSheetId="18">#REF!</definedName>
    <definedName name="klarifikasi" localSheetId="5">#REF!</definedName>
    <definedName name="klarifikasi">#REF!</definedName>
    <definedName name="kode" localSheetId="8">#REF!</definedName>
    <definedName name="kode" localSheetId="21">#REF!</definedName>
    <definedName name="kode" localSheetId="23">#REF!</definedName>
    <definedName name="kode" localSheetId="20">#REF!</definedName>
    <definedName name="kode" localSheetId="22">#REF!</definedName>
    <definedName name="kode" localSheetId="19">#REF!</definedName>
    <definedName name="kode" localSheetId="5">#REF!</definedName>
    <definedName name="kode">#REF!</definedName>
    <definedName name="KolPenjualanStart">#REF!</definedName>
    <definedName name="KolProduksiSendiriStart">#REF!</definedName>
    <definedName name="KolPSStart">#REF!</definedName>
    <definedName name="KolSewaBeliStart">#REF!</definedName>
    <definedName name="KolTransferStart">#REF!</definedName>
    <definedName name="konsolidasi1">#REF!</definedName>
    <definedName name="KONTROL">#REF!</definedName>
    <definedName name="KontrolBukuBesar" localSheetId="8">#REF!</definedName>
    <definedName name="KontrolBukuBesar" localSheetId="12">#REF!</definedName>
    <definedName name="KontrolBukuBesar" localSheetId="21">#REF!</definedName>
    <definedName name="KontrolBukuBesar" localSheetId="23">#REF!</definedName>
    <definedName name="KontrolBukuBesar" localSheetId="20">#REF!</definedName>
    <definedName name="KontrolBukuBesar" localSheetId="22">#REF!</definedName>
    <definedName name="KontrolBukuBesar" localSheetId="19">#REF!</definedName>
    <definedName name="KontrolBukuBesar" localSheetId="18">#REF!</definedName>
    <definedName name="KontrolBukuBesar" localSheetId="5">#REF!</definedName>
    <definedName name="KontrolBukuBesar">#REF!</definedName>
    <definedName name="KontrolPP" localSheetId="8">#REF!</definedName>
    <definedName name="KontrolPP" localSheetId="12">#REF!</definedName>
    <definedName name="KontrolPP" localSheetId="21">#REF!</definedName>
    <definedName name="KontrolPP" localSheetId="23">#REF!</definedName>
    <definedName name="KontrolPP" localSheetId="20">#REF!</definedName>
    <definedName name="KontrolPP" localSheetId="22">#REF!</definedName>
    <definedName name="KontrolPP" localSheetId="19">#REF!</definedName>
    <definedName name="KontrolPP" localSheetId="18">#REF!</definedName>
    <definedName name="KontrolPP" localSheetId="5">#REF!</definedName>
    <definedName name="KontrolPP">#REF!</definedName>
    <definedName name="KorPajak" localSheetId="8">#REF!</definedName>
    <definedName name="KorPajak" localSheetId="12">#REF!</definedName>
    <definedName name="KorPajak" localSheetId="21">#REF!</definedName>
    <definedName name="KorPajak" localSheetId="23">#REF!</definedName>
    <definedName name="KorPajak" localSheetId="20">#REF!</definedName>
    <definedName name="KorPajak" localSheetId="22">#REF!</definedName>
    <definedName name="KorPajak" localSheetId="19">#REF!</definedName>
    <definedName name="KorPajak" localSheetId="18">#REF!</definedName>
    <definedName name="KorPajak" localSheetId="5">#REF!</definedName>
    <definedName name="KorPajak">#REF!</definedName>
    <definedName name="kurs">#REF!</definedName>
    <definedName name="kva" localSheetId="8">#REF!</definedName>
    <definedName name="kva" localSheetId="12">#REF!</definedName>
    <definedName name="kva" localSheetId="21">#REF!</definedName>
    <definedName name="kva" localSheetId="23">#REF!</definedName>
    <definedName name="kva" localSheetId="20">#REF!</definedName>
    <definedName name="kva" localSheetId="22">#REF!</definedName>
    <definedName name="kva" localSheetId="19">#REF!</definedName>
    <definedName name="kva" localSheetId="18">#REF!</definedName>
    <definedName name="kva" localSheetId="5">#REF!</definedName>
    <definedName name="kva">#REF!</definedName>
    <definedName name="kw" localSheetId="8">#REF!</definedName>
    <definedName name="kw" localSheetId="12">#REF!</definedName>
    <definedName name="kw" localSheetId="21">#REF!</definedName>
    <definedName name="kw" localSheetId="23">#REF!</definedName>
    <definedName name="kw" localSheetId="20">#REF!</definedName>
    <definedName name="kw" localSheetId="22">#REF!</definedName>
    <definedName name="kw" localSheetId="19">#REF!</definedName>
    <definedName name="kw" localSheetId="18">#REF!</definedName>
    <definedName name="kw" localSheetId="5">#REF!</definedName>
    <definedName name="kw">#REF!</definedName>
    <definedName name="kwh" localSheetId="8">#REF!</definedName>
    <definedName name="kwh" localSheetId="12">#REF!</definedName>
    <definedName name="kwh" localSheetId="21">#REF!</definedName>
    <definedName name="kwh" localSheetId="23">#REF!</definedName>
    <definedName name="kwh" localSheetId="20">#REF!</definedName>
    <definedName name="kwh" localSheetId="22">#REF!</definedName>
    <definedName name="kwh" localSheetId="19">#REF!</definedName>
    <definedName name="kwh" localSheetId="18">#REF!</definedName>
    <definedName name="kwh" localSheetId="5">#REF!</definedName>
    <definedName name="kwh">#REF!</definedName>
    <definedName name="LabaRugi" localSheetId="12">#REF!</definedName>
    <definedName name="LabaRugi" localSheetId="21">#REF!</definedName>
    <definedName name="LabaRugi" localSheetId="23">#REF!</definedName>
    <definedName name="LabaRugi" localSheetId="20">#REF!</definedName>
    <definedName name="LabaRugi" localSheetId="22">#REF!</definedName>
    <definedName name="LabaRugi" localSheetId="19">#REF!</definedName>
    <definedName name="LabaRugi" localSheetId="18">#REF!</definedName>
    <definedName name="LABARUGI">#REF!</definedName>
    <definedName name="LabaRugiKompre" localSheetId="8">#REF!</definedName>
    <definedName name="LabaRugiKompre" localSheetId="21">#REF!</definedName>
    <definedName name="LabaRugiKompre" localSheetId="23">#REF!</definedName>
    <definedName name="LabaRugiKompre" localSheetId="20">#REF!</definedName>
    <definedName name="LabaRugiKompre" localSheetId="22">#REF!</definedName>
    <definedName name="LabaRugiKompre" localSheetId="19">#REF!</definedName>
    <definedName name="LabaRugiKompre" localSheetId="5">#REF!</definedName>
    <definedName name="LabaRugiKompre">#REF!</definedName>
    <definedName name="LABARUGIYR">#REF!</definedName>
    <definedName name="lama" localSheetId="8">#REF!</definedName>
    <definedName name="lama" localSheetId="21">#REF!</definedName>
    <definedName name="lama" localSheetId="23">#REF!</definedName>
    <definedName name="lama" localSheetId="20">#REF!</definedName>
    <definedName name="lama" localSheetId="22">#REF!</definedName>
    <definedName name="lama" localSheetId="19">#REF!</definedName>
    <definedName name="lama" localSheetId="5">#REF!</definedName>
    <definedName name="lama">#REF!</definedName>
    <definedName name="Lamp_10" localSheetId="8">#REF!</definedName>
    <definedName name="Lamp_10" localSheetId="12">#REF!</definedName>
    <definedName name="Lamp_10" localSheetId="21">#REF!</definedName>
    <definedName name="Lamp_10" localSheetId="23">#REF!</definedName>
    <definedName name="Lamp_10" localSheetId="20">#REF!</definedName>
    <definedName name="Lamp_10" localSheetId="22">#REF!</definedName>
    <definedName name="Lamp_10" localSheetId="19">#REF!</definedName>
    <definedName name="Lamp_10" localSheetId="18">#REF!</definedName>
    <definedName name="Lamp_10" localSheetId="5">#REF!</definedName>
    <definedName name="Lamp_10">#REF!</definedName>
    <definedName name="Lamp_11" localSheetId="8">#REF!</definedName>
    <definedName name="Lamp_11" localSheetId="12">#REF!</definedName>
    <definedName name="Lamp_11" localSheetId="21">#REF!</definedName>
    <definedName name="Lamp_11" localSheetId="23">#REF!</definedName>
    <definedName name="Lamp_11" localSheetId="20">#REF!</definedName>
    <definedName name="Lamp_11" localSheetId="22">#REF!</definedName>
    <definedName name="Lamp_11" localSheetId="19">#REF!</definedName>
    <definedName name="Lamp_11" localSheetId="18">#REF!</definedName>
    <definedName name="Lamp_11" localSheetId="5">#REF!</definedName>
    <definedName name="Lamp_11">#REF!</definedName>
    <definedName name="Lamp_12" localSheetId="8">#REF!</definedName>
    <definedName name="Lamp_12" localSheetId="12">#REF!</definedName>
    <definedName name="Lamp_12" localSheetId="21">#REF!</definedName>
    <definedName name="Lamp_12" localSheetId="23">#REF!</definedName>
    <definedName name="Lamp_12" localSheetId="20">#REF!</definedName>
    <definedName name="Lamp_12" localSheetId="22">#REF!</definedName>
    <definedName name="Lamp_12" localSheetId="19">#REF!</definedName>
    <definedName name="Lamp_12" localSheetId="18">#REF!</definedName>
    <definedName name="Lamp_12">#REF!</definedName>
    <definedName name="Lamp_13" localSheetId="8">#REF!</definedName>
    <definedName name="Lamp_13" localSheetId="12">#REF!</definedName>
    <definedName name="Lamp_13" localSheetId="21">#REF!</definedName>
    <definedName name="Lamp_13" localSheetId="23">#REF!</definedName>
    <definedName name="Lamp_13" localSheetId="20">#REF!</definedName>
    <definedName name="Lamp_13" localSheetId="22">#REF!</definedName>
    <definedName name="Lamp_13" localSheetId="19">#REF!</definedName>
    <definedName name="Lamp_13" localSheetId="18">#REF!</definedName>
    <definedName name="Lamp_13">#REF!</definedName>
    <definedName name="Lamp_14" localSheetId="8">#REF!</definedName>
    <definedName name="Lamp_14" localSheetId="12">#REF!</definedName>
    <definedName name="Lamp_14" localSheetId="21">#REF!</definedName>
    <definedName name="Lamp_14" localSheetId="23">#REF!</definedName>
    <definedName name="Lamp_14" localSheetId="20">#REF!</definedName>
    <definedName name="Lamp_14" localSheetId="22">#REF!</definedName>
    <definedName name="Lamp_14" localSheetId="19">#REF!</definedName>
    <definedName name="Lamp_14" localSheetId="18">#REF!</definedName>
    <definedName name="Lamp_14">#REF!</definedName>
    <definedName name="Lamp_15" localSheetId="8">#REF!</definedName>
    <definedName name="Lamp_15" localSheetId="12">#REF!</definedName>
    <definedName name="Lamp_15" localSheetId="21">#REF!</definedName>
    <definedName name="Lamp_15" localSheetId="23">#REF!</definedName>
    <definedName name="Lamp_15" localSheetId="20">#REF!</definedName>
    <definedName name="Lamp_15" localSheetId="22">#REF!</definedName>
    <definedName name="Lamp_15" localSheetId="19">#REF!</definedName>
    <definedName name="Lamp_15" localSheetId="18">#REF!</definedName>
    <definedName name="Lamp_15">#REF!</definedName>
    <definedName name="Lamp_16" localSheetId="8">#REF!</definedName>
    <definedName name="Lamp_16" localSheetId="12">#REF!</definedName>
    <definedName name="Lamp_16" localSheetId="21">#REF!</definedName>
    <definedName name="Lamp_16" localSheetId="23">#REF!</definedName>
    <definedName name="Lamp_16" localSheetId="20">#REF!</definedName>
    <definedName name="Lamp_16" localSheetId="22">#REF!</definedName>
    <definedName name="Lamp_16" localSheetId="19">#REF!</definedName>
    <definedName name="Lamp_16" localSheetId="18">#REF!</definedName>
    <definedName name="Lamp_16">#REF!</definedName>
    <definedName name="Lamp_1a" localSheetId="8">#REF!</definedName>
    <definedName name="Lamp_1a" localSheetId="12">#REF!</definedName>
    <definedName name="Lamp_1a" localSheetId="21">#REF!</definedName>
    <definedName name="Lamp_1a" localSheetId="23">#REF!</definedName>
    <definedName name="Lamp_1a" localSheetId="20">#REF!</definedName>
    <definedName name="Lamp_1a" localSheetId="22">#REF!</definedName>
    <definedName name="Lamp_1a" localSheetId="19">#REF!</definedName>
    <definedName name="Lamp_1a" localSheetId="18">#REF!</definedName>
    <definedName name="Lamp_1a">#REF!</definedName>
    <definedName name="Lamp_1b" localSheetId="8">#REF!</definedName>
    <definedName name="Lamp_1b" localSheetId="12">#REF!</definedName>
    <definedName name="Lamp_1b" localSheetId="21">#REF!</definedName>
    <definedName name="Lamp_1b" localSheetId="23">#REF!</definedName>
    <definedName name="Lamp_1b" localSheetId="20">#REF!</definedName>
    <definedName name="Lamp_1b" localSheetId="22">#REF!</definedName>
    <definedName name="Lamp_1b" localSheetId="19">#REF!</definedName>
    <definedName name="Lamp_1b" localSheetId="18">#REF!</definedName>
    <definedName name="Lamp_1b">#REF!</definedName>
    <definedName name="Lamp_2a" localSheetId="8">#REF!</definedName>
    <definedName name="Lamp_2a" localSheetId="12">#REF!</definedName>
    <definedName name="Lamp_2a" localSheetId="21">#REF!</definedName>
    <definedName name="Lamp_2a" localSheetId="23">#REF!</definedName>
    <definedName name="Lamp_2a" localSheetId="20">#REF!</definedName>
    <definedName name="Lamp_2a" localSheetId="22">#REF!</definedName>
    <definedName name="Lamp_2a" localSheetId="19">#REF!</definedName>
    <definedName name="Lamp_2a" localSheetId="18">#REF!</definedName>
    <definedName name="Lamp_2a">#REF!</definedName>
    <definedName name="Lamp_2b" localSheetId="8">#REF!</definedName>
    <definedName name="Lamp_2b" localSheetId="12">#REF!</definedName>
    <definedName name="Lamp_2b" localSheetId="21">#REF!</definedName>
    <definedName name="Lamp_2b" localSheetId="23">#REF!</definedName>
    <definedName name="Lamp_2b" localSheetId="20">#REF!</definedName>
    <definedName name="Lamp_2b" localSheetId="22">#REF!</definedName>
    <definedName name="Lamp_2b" localSheetId="19">#REF!</definedName>
    <definedName name="Lamp_2b" localSheetId="18">#REF!</definedName>
    <definedName name="Lamp_2b">#REF!</definedName>
    <definedName name="Lamp_3a" localSheetId="8">#REF!</definedName>
    <definedName name="Lamp_3a" localSheetId="12">#REF!</definedName>
    <definedName name="Lamp_3a" localSheetId="21">#REF!</definedName>
    <definedName name="Lamp_3a" localSheetId="23">#REF!</definedName>
    <definedName name="Lamp_3a" localSheetId="20">#REF!</definedName>
    <definedName name="Lamp_3a" localSheetId="22">#REF!</definedName>
    <definedName name="Lamp_3a" localSheetId="19">#REF!</definedName>
    <definedName name="Lamp_3a" localSheetId="18">#REF!</definedName>
    <definedName name="Lamp_3a">#REF!</definedName>
    <definedName name="Lamp_3b" localSheetId="8">#REF!</definedName>
    <definedName name="Lamp_3b" localSheetId="12">#REF!</definedName>
    <definedName name="Lamp_3b" localSheetId="21">#REF!</definedName>
    <definedName name="Lamp_3b" localSheetId="23">#REF!</definedName>
    <definedName name="Lamp_3b" localSheetId="20">#REF!</definedName>
    <definedName name="Lamp_3b" localSheetId="22">#REF!</definedName>
    <definedName name="Lamp_3b" localSheetId="19">#REF!</definedName>
    <definedName name="Lamp_3b" localSheetId="18">#REF!</definedName>
    <definedName name="Lamp_3b">#REF!</definedName>
    <definedName name="Lamp_4a" localSheetId="8">#REF!</definedName>
    <definedName name="Lamp_4a" localSheetId="12">#REF!</definedName>
    <definedName name="Lamp_4a" localSheetId="21">#REF!</definedName>
    <definedName name="Lamp_4a" localSheetId="23">#REF!</definedName>
    <definedName name="Lamp_4a" localSheetId="20">#REF!</definedName>
    <definedName name="Lamp_4a" localSheetId="22">#REF!</definedName>
    <definedName name="Lamp_4a" localSheetId="19">#REF!</definedName>
    <definedName name="Lamp_4a" localSheetId="18">#REF!</definedName>
    <definedName name="Lamp_4a">#REF!</definedName>
    <definedName name="Lamp_4b" localSheetId="8">#REF!</definedName>
    <definedName name="Lamp_4b" localSheetId="12">#REF!</definedName>
    <definedName name="Lamp_4b" localSheetId="21">#REF!</definedName>
    <definedName name="Lamp_4b" localSheetId="23">#REF!</definedName>
    <definedName name="Lamp_4b" localSheetId="20">#REF!</definedName>
    <definedName name="Lamp_4b" localSheetId="22">#REF!</definedName>
    <definedName name="Lamp_4b" localSheetId="19">#REF!</definedName>
    <definedName name="Lamp_4b" localSheetId="18">#REF!</definedName>
    <definedName name="Lamp_4b">#REF!</definedName>
    <definedName name="Lamp_5a" localSheetId="8">#REF!</definedName>
    <definedName name="Lamp_5a" localSheetId="12">#REF!</definedName>
    <definedName name="Lamp_5a" localSheetId="21">#REF!</definedName>
    <definedName name="Lamp_5a" localSheetId="23">#REF!</definedName>
    <definedName name="Lamp_5a" localSheetId="20">#REF!</definedName>
    <definedName name="Lamp_5a" localSheetId="22">#REF!</definedName>
    <definedName name="Lamp_5a" localSheetId="19">#REF!</definedName>
    <definedName name="Lamp_5a" localSheetId="18">#REF!</definedName>
    <definedName name="Lamp_5a">#REF!</definedName>
    <definedName name="Lamp_5b" localSheetId="8">#REF!</definedName>
    <definedName name="Lamp_5b" localSheetId="12">#REF!</definedName>
    <definedName name="Lamp_5b" localSheetId="21">#REF!</definedName>
    <definedName name="Lamp_5b" localSheetId="23">#REF!</definedName>
    <definedName name="Lamp_5b" localSheetId="20">#REF!</definedName>
    <definedName name="Lamp_5b" localSheetId="22">#REF!</definedName>
    <definedName name="Lamp_5b" localSheetId="19">#REF!</definedName>
    <definedName name="Lamp_5b" localSheetId="18">#REF!</definedName>
    <definedName name="Lamp_5b">#REF!</definedName>
    <definedName name="Lamp_6a" localSheetId="8">#REF!</definedName>
    <definedName name="Lamp_6a" localSheetId="12">#REF!</definedName>
    <definedName name="Lamp_6a" localSheetId="21">#REF!</definedName>
    <definedName name="Lamp_6a" localSheetId="23">#REF!</definedName>
    <definedName name="Lamp_6a" localSheetId="20">#REF!</definedName>
    <definedName name="Lamp_6a" localSheetId="22">#REF!</definedName>
    <definedName name="Lamp_6a" localSheetId="19">#REF!</definedName>
    <definedName name="Lamp_6a" localSheetId="18">#REF!</definedName>
    <definedName name="Lamp_6a">#REF!</definedName>
    <definedName name="Lamp_6b" localSheetId="8">#REF!</definedName>
    <definedName name="Lamp_6b" localSheetId="12">#REF!</definedName>
    <definedName name="Lamp_6b" localSheetId="21">#REF!</definedName>
    <definedName name="Lamp_6b" localSheetId="23">#REF!</definedName>
    <definedName name="Lamp_6b" localSheetId="20">#REF!</definedName>
    <definedName name="Lamp_6b" localSheetId="22">#REF!</definedName>
    <definedName name="Lamp_6b" localSheetId="19">#REF!</definedName>
    <definedName name="Lamp_6b" localSheetId="18">#REF!</definedName>
    <definedName name="Lamp_6b">#REF!</definedName>
    <definedName name="Lamp_7a" localSheetId="8">#REF!</definedName>
    <definedName name="Lamp_7a" localSheetId="12">#REF!</definedName>
    <definedName name="Lamp_7a" localSheetId="21">#REF!</definedName>
    <definedName name="Lamp_7a" localSheetId="23">#REF!</definedName>
    <definedName name="Lamp_7a" localSheetId="20">#REF!</definedName>
    <definedName name="Lamp_7a" localSheetId="22">#REF!</definedName>
    <definedName name="Lamp_7a" localSheetId="19">#REF!</definedName>
    <definedName name="Lamp_7a" localSheetId="18">#REF!</definedName>
    <definedName name="Lamp_7a">#REF!</definedName>
    <definedName name="Lamp_7b" localSheetId="8">#REF!</definedName>
    <definedName name="Lamp_7b" localSheetId="12">#REF!</definedName>
    <definedName name="Lamp_7b" localSheetId="21">#REF!</definedName>
    <definedName name="Lamp_7b" localSheetId="23">#REF!</definedName>
    <definedName name="Lamp_7b" localSheetId="20">#REF!</definedName>
    <definedName name="Lamp_7b" localSheetId="22">#REF!</definedName>
    <definedName name="Lamp_7b" localSheetId="19">#REF!</definedName>
    <definedName name="Lamp_7b" localSheetId="18">#REF!</definedName>
    <definedName name="Lamp_7b">#REF!</definedName>
    <definedName name="Lamp_7c" localSheetId="8">#REF!</definedName>
    <definedName name="Lamp_7c" localSheetId="12">#REF!</definedName>
    <definedName name="Lamp_7c" localSheetId="21">#REF!</definedName>
    <definedName name="Lamp_7c" localSheetId="23">#REF!</definedName>
    <definedName name="Lamp_7c" localSheetId="20">#REF!</definedName>
    <definedName name="Lamp_7c" localSheetId="22">#REF!</definedName>
    <definedName name="Lamp_7c" localSheetId="19">#REF!</definedName>
    <definedName name="Lamp_7c" localSheetId="18">#REF!</definedName>
    <definedName name="Lamp_7c">#REF!</definedName>
    <definedName name="Lamp_8a" localSheetId="8">#REF!</definedName>
    <definedName name="Lamp_8a" localSheetId="12">#REF!</definedName>
    <definedName name="Lamp_8a" localSheetId="21">#REF!</definedName>
    <definedName name="Lamp_8a" localSheetId="23">#REF!</definedName>
    <definedName name="Lamp_8a" localSheetId="20">#REF!</definedName>
    <definedName name="Lamp_8a" localSheetId="22">#REF!</definedName>
    <definedName name="Lamp_8a" localSheetId="19">#REF!</definedName>
    <definedName name="Lamp_8a" localSheetId="18">#REF!</definedName>
    <definedName name="Lamp_8a">#REF!</definedName>
    <definedName name="Lamp_8b" localSheetId="8">#REF!</definedName>
    <definedName name="Lamp_8b" localSheetId="12">#REF!</definedName>
    <definedName name="Lamp_8b" localSheetId="21">#REF!</definedName>
    <definedName name="Lamp_8b" localSheetId="23">#REF!</definedName>
    <definedName name="Lamp_8b" localSheetId="20">#REF!</definedName>
    <definedName name="Lamp_8b" localSheetId="22">#REF!</definedName>
    <definedName name="Lamp_8b" localSheetId="19">#REF!</definedName>
    <definedName name="Lamp_8b" localSheetId="18">#REF!</definedName>
    <definedName name="Lamp_8b">#REF!</definedName>
    <definedName name="Lamp_9" localSheetId="8">#REF!</definedName>
    <definedName name="Lamp_9" localSheetId="12">#REF!</definedName>
    <definedName name="Lamp_9" localSheetId="21">#REF!</definedName>
    <definedName name="Lamp_9" localSheetId="23">#REF!</definedName>
    <definedName name="Lamp_9" localSheetId="20">#REF!</definedName>
    <definedName name="Lamp_9" localSheetId="22">#REF!</definedName>
    <definedName name="Lamp_9" localSheetId="19">#REF!</definedName>
    <definedName name="Lamp_9" localSheetId="18">#REF!</definedName>
    <definedName name="Lamp_9">#REF!</definedName>
    <definedName name="LaporanAnak" localSheetId="8">#REF!</definedName>
    <definedName name="LaporanAnak" localSheetId="12">#REF!</definedName>
    <definedName name="LaporanAnak" localSheetId="21">#REF!</definedName>
    <definedName name="LaporanAnak" localSheetId="23">#REF!</definedName>
    <definedName name="LaporanAnak" localSheetId="20">#REF!</definedName>
    <definedName name="LaporanAnak" localSheetId="22">#REF!</definedName>
    <definedName name="LaporanAnak" localSheetId="19">#REF!</definedName>
    <definedName name="LaporanAnak" localSheetId="18">#REF!</definedName>
    <definedName name="LaporanAnak">#REF!</definedName>
    <definedName name="LaporanJawa" localSheetId="8">#REF!</definedName>
    <definedName name="LaporanJawa" localSheetId="12">#REF!</definedName>
    <definedName name="LaporanJawa" localSheetId="21">#REF!</definedName>
    <definedName name="LaporanJawa" localSheetId="23">#REF!</definedName>
    <definedName name="LaporanJawa" localSheetId="20">#REF!</definedName>
    <definedName name="LaporanJawa" localSheetId="22">#REF!</definedName>
    <definedName name="LaporanJawa" localSheetId="19">#REF!</definedName>
    <definedName name="LaporanJawa" localSheetId="18">#REF!</definedName>
    <definedName name="LaporanJawa">#REF!</definedName>
    <definedName name="LaporanKonsolidasi" localSheetId="8">#REF!</definedName>
    <definedName name="LaporanKonsolidasi" localSheetId="12">#REF!</definedName>
    <definedName name="LaporanKonsolidasi" localSheetId="21">#REF!</definedName>
    <definedName name="LaporanKonsolidasi" localSheetId="23">#REF!</definedName>
    <definedName name="LaporanKonsolidasi" localSheetId="20">#REF!</definedName>
    <definedName name="LaporanKonsolidasi" localSheetId="22">#REF!</definedName>
    <definedName name="LaporanKonsolidasi" localSheetId="19">#REF!</definedName>
    <definedName name="LaporanKonsolidasi" localSheetId="18">#REF!</definedName>
    <definedName name="LaporanKonsolidasi">#REF!</definedName>
    <definedName name="LaporanUtama" localSheetId="8">#REF!</definedName>
    <definedName name="LaporanUtama" localSheetId="12">#REF!</definedName>
    <definedName name="LaporanUtama" localSheetId="21">#REF!</definedName>
    <definedName name="LaporanUtama" localSheetId="23">#REF!</definedName>
    <definedName name="LaporanUtama" localSheetId="20">#REF!</definedName>
    <definedName name="LaporanUtama" localSheetId="22">#REF!</definedName>
    <definedName name="LaporanUtama" localSheetId="19">#REF!</definedName>
    <definedName name="LaporanUtama" localSheetId="18">#REF!</definedName>
    <definedName name="LaporanUtama">#REF!</definedName>
    <definedName name="LAPUNIT" localSheetId="8">#REF!</definedName>
    <definedName name="LAPUNIT" localSheetId="21">#REF!</definedName>
    <definedName name="LAPUNIT" localSheetId="23">#REF!</definedName>
    <definedName name="LAPUNIT" localSheetId="20">#REF!</definedName>
    <definedName name="LAPUNIT" localSheetId="22">#REF!</definedName>
    <definedName name="LAPUNIT" localSheetId="19">#REF!</definedName>
    <definedName name="LAPUNIT">#REF!</definedName>
    <definedName name="Least" localSheetId="8">#REF!</definedName>
    <definedName name="Least" localSheetId="12">#REF!</definedName>
    <definedName name="Least" localSheetId="21">#REF!</definedName>
    <definedName name="Least" localSheetId="23">#REF!</definedName>
    <definedName name="Least" localSheetId="20">#REF!</definedName>
    <definedName name="Least" localSheetId="22">#REF!</definedName>
    <definedName name="Least" localSheetId="19">#REF!</definedName>
    <definedName name="Least" localSheetId="18">#REF!</definedName>
    <definedName name="Least">#REF!</definedName>
    <definedName name="lincuran" localSheetId="8">#REF!</definedName>
    <definedName name="lincuran" localSheetId="12">#REF!</definedName>
    <definedName name="lincuran" localSheetId="21">#REF!</definedName>
    <definedName name="lincuran" localSheetId="23">#REF!</definedName>
    <definedName name="lincuran" localSheetId="20">#REF!</definedName>
    <definedName name="lincuran" localSheetId="22">#REF!</definedName>
    <definedName name="lincuran" localSheetId="19">#REF!</definedName>
    <definedName name="lincuran" localSheetId="18">#REF!</definedName>
    <definedName name="lincuran">#REF!</definedName>
    <definedName name="lo" localSheetId="8">#REF!</definedName>
    <definedName name="lo" localSheetId="12">#REF!</definedName>
    <definedName name="lo" localSheetId="21">#REF!</definedName>
    <definedName name="lo" localSheetId="23">#REF!</definedName>
    <definedName name="lo" localSheetId="20">#REF!</definedName>
    <definedName name="lo" localSheetId="22">#REF!</definedName>
    <definedName name="lo" localSheetId="19">#REF!</definedName>
    <definedName name="lo" localSheetId="18">#REF!</definedName>
    <definedName name="lo">#REF!</definedName>
    <definedName name="LPGAB" localSheetId="8">#REF!</definedName>
    <definedName name="LPGAB" localSheetId="21">#REF!</definedName>
    <definedName name="LPGAB" localSheetId="23">#REF!</definedName>
    <definedName name="LPGAB" localSheetId="20">#REF!</definedName>
    <definedName name="LPGAB" localSheetId="22">#REF!</definedName>
    <definedName name="LPGAB" localSheetId="19">#REF!</definedName>
    <definedName name="LPGAB">#REF!</definedName>
    <definedName name="LRFungsi" localSheetId="8">#REF!</definedName>
    <definedName name="LRFungsi" localSheetId="12">#REF!</definedName>
    <definedName name="LRFungsi" localSheetId="21">#REF!</definedName>
    <definedName name="LRFungsi" localSheetId="23">#REF!</definedName>
    <definedName name="LRFungsi" localSheetId="20">#REF!</definedName>
    <definedName name="LRFungsi" localSheetId="22">#REF!</definedName>
    <definedName name="LRFungsi" localSheetId="19">#REF!</definedName>
    <definedName name="LRFungsi" localSheetId="18">#REF!</definedName>
    <definedName name="LRFungsi">#REF!</definedName>
    <definedName name="LRUnsur" localSheetId="8">#REF!</definedName>
    <definedName name="LRUnsur" localSheetId="12">#REF!</definedName>
    <definedName name="LRUnsur" localSheetId="21">#REF!</definedName>
    <definedName name="LRUnsur" localSheetId="23">#REF!</definedName>
    <definedName name="LRUnsur" localSheetId="20">#REF!</definedName>
    <definedName name="LRUnsur" localSheetId="22">#REF!</definedName>
    <definedName name="LRUnsur" localSheetId="19">#REF!</definedName>
    <definedName name="LRUnsur" localSheetId="18">#REF!</definedName>
    <definedName name="LRUnsur">#REF!</definedName>
    <definedName name="luncur">#REF!</definedName>
    <definedName name="luncuran">#REF!</definedName>
    <definedName name="M" localSheetId="8">#REF!</definedName>
    <definedName name="M" localSheetId="12">#REF!</definedName>
    <definedName name="M" localSheetId="21">#REF!</definedName>
    <definedName name="M" localSheetId="23">#REF!</definedName>
    <definedName name="M" localSheetId="20">#REF!</definedName>
    <definedName name="M" localSheetId="22">#REF!</definedName>
    <definedName name="M" localSheetId="19">#REF!</definedName>
    <definedName name="M" localSheetId="18">#REF!</definedName>
    <definedName name="M" localSheetId="5">#REF!</definedName>
    <definedName name="M">#REF!</definedName>
    <definedName name="masa" localSheetId="8">#REF!</definedName>
    <definedName name="masa" localSheetId="12">#REF!</definedName>
    <definedName name="masa" localSheetId="21">#REF!</definedName>
    <definedName name="masa" localSheetId="23">#REF!</definedName>
    <definedName name="masa" localSheetId="20">#REF!</definedName>
    <definedName name="masa" localSheetId="22">#REF!</definedName>
    <definedName name="masa" localSheetId="19">#REF!</definedName>
    <definedName name="masa" localSheetId="18">#REF!</definedName>
    <definedName name="masa" localSheetId="5">#REF!</definedName>
    <definedName name="masa">#REF!</definedName>
    <definedName name="masa1" localSheetId="8">#REF!</definedName>
    <definedName name="masa1" localSheetId="12">#REF!</definedName>
    <definedName name="masa1" localSheetId="21">#REF!</definedName>
    <definedName name="masa1" localSheetId="23">#REF!</definedName>
    <definedName name="masa1" localSheetId="20">#REF!</definedName>
    <definedName name="masa1" localSheetId="22">#REF!</definedName>
    <definedName name="masa1" localSheetId="19">#REF!</definedName>
    <definedName name="masa1" localSheetId="18">#REF!</definedName>
    <definedName name="masa1" localSheetId="5">#REF!</definedName>
    <definedName name="masa1">#REF!</definedName>
    <definedName name="masa2" localSheetId="8">#REF!</definedName>
    <definedName name="masa2" localSheetId="12">#REF!</definedName>
    <definedName name="masa2" localSheetId="21">#REF!</definedName>
    <definedName name="masa2" localSheetId="23">#REF!</definedName>
    <definedName name="masa2" localSheetId="20">#REF!</definedName>
    <definedName name="masa2" localSheetId="22">#REF!</definedName>
    <definedName name="masa2" localSheetId="19">#REF!</definedName>
    <definedName name="masa2" localSheetId="18">#REF!</definedName>
    <definedName name="masa2">#REF!</definedName>
    <definedName name="mcperiod" localSheetId="8">#REF!</definedName>
    <definedName name="mcperiod" localSheetId="12">#REF!</definedName>
    <definedName name="mcperiod" localSheetId="21">#REF!</definedName>
    <definedName name="mcperiod" localSheetId="23">#REF!</definedName>
    <definedName name="mcperiod" localSheetId="20">#REF!</definedName>
    <definedName name="mcperiod" localSheetId="22">#REF!</definedName>
    <definedName name="mcperiod" localSheetId="19">#REF!</definedName>
    <definedName name="mcperiod" localSheetId="18">#REF!</definedName>
    <definedName name="mcperiod">#REF!</definedName>
    <definedName name="mei" localSheetId="8">#REF!</definedName>
    <definedName name="mei" localSheetId="12">#REF!</definedName>
    <definedName name="mei" localSheetId="21">#REF!</definedName>
    <definedName name="mei" localSheetId="23">#REF!</definedName>
    <definedName name="mei" localSheetId="20">#REF!</definedName>
    <definedName name="mei" localSheetId="22">#REF!</definedName>
    <definedName name="mei" localSheetId="19">#REF!</definedName>
    <definedName name="mei" localSheetId="18">#REF!</definedName>
    <definedName name="mei">#REF!</definedName>
    <definedName name="MENU" localSheetId="8">#REF!</definedName>
    <definedName name="MENU" localSheetId="21">#REF!</definedName>
    <definedName name="MENU" localSheetId="23">#REF!</definedName>
    <definedName name="MENU" localSheetId="20">#REF!</definedName>
    <definedName name="MENU" localSheetId="22">#REF!</definedName>
    <definedName name="MENU" localSheetId="19">#REF!</definedName>
    <definedName name="MENU">#REF!</definedName>
    <definedName name="MENU1" localSheetId="8">#REF!</definedName>
    <definedName name="MENU1" localSheetId="21">#REF!</definedName>
    <definedName name="MENU1" localSheetId="23">#REF!</definedName>
    <definedName name="MENU1" localSheetId="20">#REF!</definedName>
    <definedName name="MENU1" localSheetId="22">#REF!</definedName>
    <definedName name="MENU1" localSheetId="19">#REF!</definedName>
    <definedName name="MENU1">#REF!</definedName>
    <definedName name="MENUBB" localSheetId="8">#REF!</definedName>
    <definedName name="MENUBB" localSheetId="21">#REF!</definedName>
    <definedName name="MENUBB" localSheetId="23">#REF!</definedName>
    <definedName name="MENUBB" localSheetId="20">#REF!</definedName>
    <definedName name="MENUBB" localSheetId="22">#REF!</definedName>
    <definedName name="MENUBB" localSheetId="19">#REF!</definedName>
    <definedName name="MENUBB">#REF!</definedName>
    <definedName name="MENURH" localSheetId="8">#REF!</definedName>
    <definedName name="MENURH" localSheetId="21">#REF!</definedName>
    <definedName name="MENURH" localSheetId="23">#REF!</definedName>
    <definedName name="MENURH" localSheetId="20">#REF!</definedName>
    <definedName name="MENURH" localSheetId="22">#REF!</definedName>
    <definedName name="MENURH" localSheetId="19">#REF!</definedName>
    <definedName name="MENURH">#REF!</definedName>
    <definedName name="MENUWW" localSheetId="8">#REF!</definedName>
    <definedName name="MENUWW" localSheetId="21">#REF!</definedName>
    <definedName name="MENUWW" localSheetId="23">#REF!</definedName>
    <definedName name="MENUWW" localSheetId="20">#REF!</definedName>
    <definedName name="MENUWW" localSheetId="22">#REF!</definedName>
    <definedName name="MENUWW" localSheetId="19">#REF!</definedName>
    <definedName name="MENUWW">#REF!</definedName>
    <definedName name="mfobaru">#REF!</definedName>
    <definedName name="MICOHM">#REF!</definedName>
    <definedName name="MQAR" localSheetId="8">#REF!</definedName>
    <definedName name="MQAR" localSheetId="12">#REF!</definedName>
    <definedName name="MQAR" localSheetId="21">#REF!</definedName>
    <definedName name="MQAR" localSheetId="23">#REF!</definedName>
    <definedName name="MQAR" localSheetId="20">#REF!</definedName>
    <definedName name="MQAR" localSheetId="22">#REF!</definedName>
    <definedName name="MQAR" localSheetId="19">#REF!</definedName>
    <definedName name="MQAR" localSheetId="18">#REF!</definedName>
    <definedName name="MQAR" localSheetId="5">#REF!</definedName>
    <definedName name="MQAR">#REF!</definedName>
    <definedName name="mtrafoksutb">#REF!</definedName>
    <definedName name="MutasiMatPDP" localSheetId="8">#REF!</definedName>
    <definedName name="MutasiMatPDP" localSheetId="12">#REF!</definedName>
    <definedName name="MutasiMatPDP" localSheetId="21">#REF!</definedName>
    <definedName name="MutasiMatPDP" localSheetId="23">#REF!</definedName>
    <definedName name="MutasiMatPDP" localSheetId="20">#REF!</definedName>
    <definedName name="MutasiMatPDP" localSheetId="22">#REF!</definedName>
    <definedName name="MutasiMatPDP" localSheetId="19">#REF!</definedName>
    <definedName name="MutasiMatPDP" localSheetId="18">#REF!</definedName>
    <definedName name="MutasiMatPDP" localSheetId="5">#REF!</definedName>
    <definedName name="MutasiMatPDP">#REF!</definedName>
    <definedName name="NAR" localSheetId="8">#REF!</definedName>
    <definedName name="NAR" localSheetId="21">#REF!</definedName>
    <definedName name="NAR" localSheetId="23">#REF!</definedName>
    <definedName name="NAR" localSheetId="20">#REF!</definedName>
    <definedName name="NAR" localSheetId="22">#REF!</definedName>
    <definedName name="NAR" localSheetId="19">#REF!</definedName>
    <definedName name="NAR" localSheetId="5">#REF!</definedName>
    <definedName name="NAR">#REF!</definedName>
    <definedName name="NBULAN" localSheetId="8">#REF!</definedName>
    <definedName name="NBULAN" localSheetId="21">#REF!</definedName>
    <definedName name="NBULAN" localSheetId="23">#REF!</definedName>
    <definedName name="NBULAN" localSheetId="20">#REF!</definedName>
    <definedName name="NBULAN" localSheetId="22">#REF!</definedName>
    <definedName name="NBULAN" localSheetId="19">#REF!</definedName>
    <definedName name="NBULAN" localSheetId="5">#REF!</definedName>
    <definedName name="NBULAN">#REF!</definedName>
    <definedName name="Neraca" localSheetId="8">#REF!</definedName>
    <definedName name="Neraca" localSheetId="12">#REF!</definedName>
    <definedName name="Neraca" localSheetId="21">#REF!</definedName>
    <definedName name="Neraca" localSheetId="23">#REF!</definedName>
    <definedName name="Neraca" localSheetId="20">#REF!</definedName>
    <definedName name="Neraca" localSheetId="22">#REF!</definedName>
    <definedName name="Neraca" localSheetId="19">#REF!</definedName>
    <definedName name="Neraca" localSheetId="18">#REF!</definedName>
    <definedName name="Neraca" localSheetId="5">#REF!</definedName>
    <definedName name="Neraca">#REF!</definedName>
    <definedName name="netmargim" localSheetId="8">#REF!</definedName>
    <definedName name="netmargim" localSheetId="12">#REF!</definedName>
    <definedName name="netmargim" localSheetId="21">#REF!</definedName>
    <definedName name="netmargim" localSheetId="23">#REF!</definedName>
    <definedName name="netmargim" localSheetId="20">#REF!</definedName>
    <definedName name="netmargim" localSheetId="22">#REF!</definedName>
    <definedName name="netmargim" localSheetId="19">#REF!</definedName>
    <definedName name="netmargim" localSheetId="18">#REF!</definedName>
    <definedName name="netmargim" localSheetId="5">#REF!</definedName>
    <definedName name="netmargim">#REF!</definedName>
    <definedName name="new" localSheetId="8">#REF!</definedName>
    <definedName name="new" localSheetId="12">#REF!</definedName>
    <definedName name="new" localSheetId="21">#REF!</definedName>
    <definedName name="new" localSheetId="23">#REF!</definedName>
    <definedName name="new" localSheetId="20">#REF!</definedName>
    <definedName name="new" localSheetId="22">#REF!</definedName>
    <definedName name="new" localSheetId="19">#REF!</definedName>
    <definedName name="new" localSheetId="18">#REF!</definedName>
    <definedName name="new" localSheetId="5">#REF!</definedName>
    <definedName name="new">#REF!</definedName>
    <definedName name="nn" localSheetId="8">#REF!</definedName>
    <definedName name="nn" localSheetId="12">#REF!</definedName>
    <definedName name="nn" localSheetId="21">#REF!</definedName>
    <definedName name="nn" localSheetId="23">#REF!</definedName>
    <definedName name="nn" localSheetId="20">#REF!</definedName>
    <definedName name="nn" localSheetId="22">#REF!</definedName>
    <definedName name="nn" localSheetId="19">#REF!</definedName>
    <definedName name="nn" localSheetId="18">#REF!</definedName>
    <definedName name="nn" localSheetId="5">#REF!</definedName>
    <definedName name="nn">#REF!</definedName>
    <definedName name="NNG" localSheetId="8">#REF!</definedName>
    <definedName name="NNG" localSheetId="12">#REF!</definedName>
    <definedName name="NNG" localSheetId="21">#REF!</definedName>
    <definedName name="NNG" localSheetId="23">#REF!</definedName>
    <definedName name="NNG" localSheetId="20">#REF!</definedName>
    <definedName name="NNG" localSheetId="22">#REF!</definedName>
    <definedName name="NNG" localSheetId="19">#REF!</definedName>
    <definedName name="NNG" localSheetId="18">#REF!</definedName>
    <definedName name="NNG" localSheetId="5">#REF!</definedName>
    <definedName name="NNG">#REF!</definedName>
    <definedName name="NNNN" localSheetId="8">#REF!</definedName>
    <definedName name="NNNN" localSheetId="21">#REF!</definedName>
    <definedName name="NNNN" localSheetId="23">#REF!</definedName>
    <definedName name="NNNN" localSheetId="20">#REF!</definedName>
    <definedName name="NNNN" localSheetId="22">#REF!</definedName>
    <definedName name="NNNN" localSheetId="19">#REF!</definedName>
    <definedName name="NNNN" localSheetId="5">#REF!</definedName>
    <definedName name="NNNN">#REF!</definedName>
    <definedName name="nop" localSheetId="8">#REF!</definedName>
    <definedName name="nop" localSheetId="12">#REF!</definedName>
    <definedName name="nop" localSheetId="21">#REF!</definedName>
    <definedName name="nop" localSheetId="23">#REF!</definedName>
    <definedName name="nop" localSheetId="20">#REF!</definedName>
    <definedName name="nop" localSheetId="22">#REF!</definedName>
    <definedName name="nop" localSheetId="19">#REF!</definedName>
    <definedName name="nop" localSheetId="18">#REF!</definedName>
    <definedName name="nop" localSheetId="5">#REF!</definedName>
    <definedName name="nop">#REF!</definedName>
    <definedName name="nyoman">#REF!</definedName>
    <definedName name="o_m" localSheetId="8">#REF!</definedName>
    <definedName name="o_m" localSheetId="12">#REF!</definedName>
    <definedName name="o_m" localSheetId="21">#REF!</definedName>
    <definedName name="o_m" localSheetId="23">#REF!</definedName>
    <definedName name="o_m" localSheetId="20">#REF!</definedName>
    <definedName name="o_m" localSheetId="22">#REF!</definedName>
    <definedName name="o_m" localSheetId="19">#REF!</definedName>
    <definedName name="o_m" localSheetId="18">#REF!</definedName>
    <definedName name="o_m" localSheetId="5">#REF!</definedName>
    <definedName name="o_m">#REF!</definedName>
    <definedName name="OBS">#REF!</definedName>
    <definedName name="OILTEST">#REF!</definedName>
    <definedName name="okt" localSheetId="8">#REF!</definedName>
    <definedName name="okt" localSheetId="12">#REF!</definedName>
    <definedName name="okt" localSheetId="21">#REF!</definedName>
    <definedName name="okt" localSheetId="23">#REF!</definedName>
    <definedName name="okt" localSheetId="20">#REF!</definedName>
    <definedName name="okt" localSheetId="22">#REF!</definedName>
    <definedName name="okt" localSheetId="19">#REF!</definedName>
    <definedName name="okt" localSheetId="18">#REF!</definedName>
    <definedName name="okt" localSheetId="5">#REF!</definedName>
    <definedName name="okt">#REF!</definedName>
    <definedName name="okto" localSheetId="8">#REF!</definedName>
    <definedName name="okto" localSheetId="12">#REF!</definedName>
    <definedName name="okto" localSheetId="21">#REF!</definedName>
    <definedName name="okto" localSheetId="23">#REF!</definedName>
    <definedName name="okto" localSheetId="20">#REF!</definedName>
    <definedName name="okto" localSheetId="22">#REF!</definedName>
    <definedName name="okto" localSheetId="19">#REF!</definedName>
    <definedName name="okto" localSheetId="18">#REF!</definedName>
    <definedName name="okto" localSheetId="5">#REF!</definedName>
    <definedName name="okto">#REF!</definedName>
    <definedName name="OPERASI" localSheetId="8">#REF!</definedName>
    <definedName name="OPERASI" localSheetId="12">#REF!</definedName>
    <definedName name="OPERASI" localSheetId="21">#REF!</definedName>
    <definedName name="OPERASI" localSheetId="23">#REF!</definedName>
    <definedName name="OPERASI" localSheetId="20">#REF!</definedName>
    <definedName name="OPERASI" localSheetId="22">#REF!</definedName>
    <definedName name="OPERASI" localSheetId="19">#REF!</definedName>
    <definedName name="OPERASI" localSheetId="18">#REF!</definedName>
    <definedName name="OPERASI" localSheetId="5">#REF!</definedName>
    <definedName name="OPERASI">#REF!</definedName>
    <definedName name="p2tl_n">#REF!</definedName>
    <definedName name="p2tl_p">#REF!</definedName>
    <definedName name="parsialdis">#REF!</definedName>
    <definedName name="pdi" localSheetId="12" hidden="1">#REF!</definedName>
    <definedName name="pdi" localSheetId="21" hidden="1">#REF!</definedName>
    <definedName name="pdi" localSheetId="23" hidden="1">#REF!</definedName>
    <definedName name="pdi" localSheetId="20" hidden="1">#REF!</definedName>
    <definedName name="pdi" localSheetId="22" hidden="1">#REF!</definedName>
    <definedName name="pdi" localSheetId="19" hidden="1">#REF!</definedName>
    <definedName name="pdi" localSheetId="18" hidden="1">#REF!</definedName>
    <definedName name="PDPKons" localSheetId="8">#REF!</definedName>
    <definedName name="PDPKons" localSheetId="12">#REF!</definedName>
    <definedName name="PDPKons" localSheetId="21">#REF!</definedName>
    <definedName name="PDPKons" localSheetId="23">#REF!</definedName>
    <definedName name="PDPKons" localSheetId="20">#REF!</definedName>
    <definedName name="PDPKons" localSheetId="22">#REF!</definedName>
    <definedName name="PDPKons" localSheetId="19">#REF!</definedName>
    <definedName name="PDPKons" localSheetId="18">#REF!</definedName>
    <definedName name="PDPKons" localSheetId="5">#REF!</definedName>
    <definedName name="PDPKons">#REF!</definedName>
    <definedName name="PDPMaterial" localSheetId="8">#REF!</definedName>
    <definedName name="PDPMaterial" localSheetId="12">#REF!</definedName>
    <definedName name="PDPMaterial" localSheetId="21">#REF!</definedName>
    <definedName name="PDPMaterial" localSheetId="23">#REF!</definedName>
    <definedName name="PDPMaterial" localSheetId="20">#REF!</definedName>
    <definedName name="PDPMaterial" localSheetId="22">#REF!</definedName>
    <definedName name="PDPMaterial" localSheetId="19">#REF!</definedName>
    <definedName name="PDPMaterial" localSheetId="18">#REF!</definedName>
    <definedName name="PDPMaterial" localSheetId="5">#REF!</definedName>
    <definedName name="PDPMaterial">#REF!</definedName>
    <definedName name="PDPPembDimuka" localSheetId="8">#REF!</definedName>
    <definedName name="PDPPembDimuka" localSheetId="12">#REF!</definedName>
    <definedName name="PDPPembDimuka" localSheetId="21">#REF!</definedName>
    <definedName name="PDPPembDimuka" localSheetId="23">#REF!</definedName>
    <definedName name="PDPPembDimuka" localSheetId="20">#REF!</definedName>
    <definedName name="PDPPembDimuka" localSheetId="22">#REF!</definedName>
    <definedName name="PDPPembDimuka" localSheetId="19">#REF!</definedName>
    <definedName name="PDPPembDimuka" localSheetId="18">#REF!</definedName>
    <definedName name="PDPPembDimuka" localSheetId="5">#REF!</definedName>
    <definedName name="PDPPembDimuka">#REF!</definedName>
    <definedName name="PEMBANGKIT">#REF!</definedName>
    <definedName name="pembiayaan" localSheetId="8">#REF!</definedName>
    <definedName name="pembiayaan" localSheetId="12">#REF!</definedName>
    <definedName name="pembiayaan" localSheetId="21">#REF!</definedName>
    <definedName name="pembiayaan" localSheetId="23">#REF!</definedName>
    <definedName name="pembiayaan" localSheetId="20">#REF!</definedName>
    <definedName name="pembiayaan" localSheetId="22">#REF!</definedName>
    <definedName name="pembiayaan" localSheetId="19">#REF!</definedName>
    <definedName name="pembiayaan" localSheetId="18">#REF!</definedName>
    <definedName name="pembiayaan" localSheetId="5">#REF!</definedName>
    <definedName name="pembiayaan">#REF!</definedName>
    <definedName name="Pembukuan" localSheetId="8">#REF!</definedName>
    <definedName name="Pembukuan" localSheetId="12">#REF!</definedName>
    <definedName name="Pembukuan" localSheetId="21">#REF!</definedName>
    <definedName name="Pembukuan" localSheetId="23">#REF!</definedName>
    <definedName name="Pembukuan" localSheetId="20">#REF!</definedName>
    <definedName name="Pembukuan" localSheetId="22">#REF!</definedName>
    <definedName name="Pembukuan" localSheetId="19">#REF!</definedName>
    <definedName name="Pembukuan" localSheetId="18">#REF!</definedName>
    <definedName name="Pembukuan" localSheetId="5">#REF!</definedName>
    <definedName name="Pembukuan">#REF!</definedName>
    <definedName name="Penjelas" localSheetId="8">#REF!</definedName>
    <definedName name="Penjelas" localSheetId="21">#REF!</definedName>
    <definedName name="Penjelas" localSheetId="23">#REF!</definedName>
    <definedName name="Penjelas" localSheetId="20">#REF!</definedName>
    <definedName name="Penjelas" localSheetId="22">#REF!</definedName>
    <definedName name="Penjelas" localSheetId="19">#REF!</definedName>
    <definedName name="Penjelas" localSheetId="5">#REF!</definedName>
    <definedName name="Penjelas">#REF!</definedName>
    <definedName name="PenjTLTRWI" localSheetId="8">#REF!</definedName>
    <definedName name="PenjTLTRWI" localSheetId="12">#REF!</definedName>
    <definedName name="PenjTLTRWI" localSheetId="21">#REF!</definedName>
    <definedName name="PenjTLTRWI" localSheetId="23">#REF!</definedName>
    <definedName name="PenjTLTRWI" localSheetId="20">#REF!</definedName>
    <definedName name="PenjTLTRWI" localSheetId="22">#REF!</definedName>
    <definedName name="PenjTLTRWI" localSheetId="19">#REF!</definedName>
    <definedName name="PenjTLTRWI" localSheetId="18">#REF!</definedName>
    <definedName name="PenjTLTRWI">#REF!</definedName>
    <definedName name="PenjTLTRWII" localSheetId="8">#REF!</definedName>
    <definedName name="PenjTLTRWII" localSheetId="12">#REF!</definedName>
    <definedName name="PenjTLTRWII" localSheetId="21">#REF!</definedName>
    <definedName name="PenjTLTRWII" localSheetId="23">#REF!</definedName>
    <definedName name="PenjTLTRWII" localSheetId="20">#REF!</definedName>
    <definedName name="PenjTLTRWII" localSheetId="22">#REF!</definedName>
    <definedName name="PenjTLTRWII" localSheetId="19">#REF!</definedName>
    <definedName name="PenjTLTRWII" localSheetId="18">#REF!</definedName>
    <definedName name="PenjTLTRWII">#REF!</definedName>
    <definedName name="PenjTLTRWIII" localSheetId="8">#REF!</definedName>
    <definedName name="PenjTLTRWIII" localSheetId="12">#REF!</definedName>
    <definedName name="PenjTLTRWIII" localSheetId="21">#REF!</definedName>
    <definedName name="PenjTLTRWIII" localSheetId="23">#REF!</definedName>
    <definedName name="PenjTLTRWIII" localSheetId="20">#REF!</definedName>
    <definedName name="PenjTLTRWIII" localSheetId="22">#REF!</definedName>
    <definedName name="PenjTLTRWIII" localSheetId="19">#REF!</definedName>
    <definedName name="PenjTLTRWIII" localSheetId="18">#REF!</definedName>
    <definedName name="PenjTLTRWIII">#REF!</definedName>
    <definedName name="PenjTLTRWIV" localSheetId="8">#REF!</definedName>
    <definedName name="PenjTLTRWIV" localSheetId="12">#REF!</definedName>
    <definedName name="PenjTLTRWIV" localSheetId="21">#REF!</definedName>
    <definedName name="PenjTLTRWIV" localSheetId="23">#REF!</definedName>
    <definedName name="PenjTLTRWIV" localSheetId="20">#REF!</definedName>
    <definedName name="PenjTLTRWIV" localSheetId="22">#REF!</definedName>
    <definedName name="PenjTLTRWIV" localSheetId="19">#REF!</definedName>
    <definedName name="PenjTLTRWIV" localSheetId="18">#REF!</definedName>
    <definedName name="PenjTLTRWIV">#REF!</definedName>
    <definedName name="PENSIUN">#REF!</definedName>
    <definedName name="period" localSheetId="8">#REF!</definedName>
    <definedName name="period" localSheetId="12">#REF!</definedName>
    <definedName name="period" localSheetId="21">#REF!</definedName>
    <definedName name="period" localSheetId="23">#REF!</definedName>
    <definedName name="period" localSheetId="20">#REF!</definedName>
    <definedName name="period" localSheetId="22">#REF!</definedName>
    <definedName name="period" localSheetId="19">#REF!</definedName>
    <definedName name="period" localSheetId="18">#REF!</definedName>
    <definedName name="period" localSheetId="5">#REF!</definedName>
    <definedName name="period">#REF!</definedName>
    <definedName name="periode" localSheetId="8">#REF!</definedName>
    <definedName name="periode" localSheetId="21">#REF!</definedName>
    <definedName name="periode" localSheetId="23">#REF!</definedName>
    <definedName name="periode" localSheetId="20">#REF!</definedName>
    <definedName name="periode" localSheetId="22">#REF!</definedName>
    <definedName name="periode" localSheetId="19">#REF!</definedName>
    <definedName name="periode" localSheetId="5">#REF!</definedName>
    <definedName name="periode">#REF!</definedName>
    <definedName name="PILBB" localSheetId="8">#REF!</definedName>
    <definedName name="PILBB" localSheetId="21">#REF!</definedName>
    <definedName name="PILBB" localSheetId="23">#REF!</definedName>
    <definedName name="PILBB" localSheetId="20">#REF!</definedName>
    <definedName name="PILBB" localSheetId="22">#REF!</definedName>
    <definedName name="PILBB" localSheetId="19">#REF!</definedName>
    <definedName name="PILBB" localSheetId="5">#REF!</definedName>
    <definedName name="PILBB">#REF!</definedName>
    <definedName name="PILGAB" localSheetId="8">#REF!</definedName>
    <definedName name="PILGAB" localSheetId="21">#REF!</definedName>
    <definedName name="PILGAB" localSheetId="23">#REF!</definedName>
    <definedName name="PILGAB" localSheetId="20">#REF!</definedName>
    <definedName name="PILGAB" localSheetId="22">#REF!</definedName>
    <definedName name="PILGAB" localSheetId="19">#REF!</definedName>
    <definedName name="PILGAB">#REF!</definedName>
    <definedName name="PILIH" localSheetId="8">#REF!</definedName>
    <definedName name="PILIH" localSheetId="21">#REF!</definedName>
    <definedName name="PILIH" localSheetId="23">#REF!</definedName>
    <definedName name="PILIH" localSheetId="20">#REF!</definedName>
    <definedName name="PILIH" localSheetId="22">#REF!</definedName>
    <definedName name="PILIH" localSheetId="19">#REF!</definedName>
    <definedName name="PILIH">#REF!</definedName>
    <definedName name="PILRH" localSheetId="8">#REF!</definedName>
    <definedName name="PILRH" localSheetId="21">#REF!</definedName>
    <definedName name="PILRH" localSheetId="23">#REF!</definedName>
    <definedName name="PILRH" localSheetId="20">#REF!</definedName>
    <definedName name="PILRH" localSheetId="22">#REF!</definedName>
    <definedName name="PILRH" localSheetId="19">#REF!</definedName>
    <definedName name="PILRH">#REF!</definedName>
    <definedName name="PILWW" localSheetId="8">#REF!</definedName>
    <definedName name="PILWW" localSheetId="21">#REF!</definedName>
    <definedName name="PILWW" localSheetId="23">#REF!</definedName>
    <definedName name="PILWW" localSheetId="20">#REF!</definedName>
    <definedName name="PILWW" localSheetId="22">#REF!</definedName>
    <definedName name="PILWW" localSheetId="19">#REF!</definedName>
    <definedName name="PILWW">#REF!</definedName>
    <definedName name="PINDAH" localSheetId="8">#REF!</definedName>
    <definedName name="PINDAH" localSheetId="21">#REF!</definedName>
    <definedName name="PINDAH" localSheetId="23">#REF!</definedName>
    <definedName name="PINDAH" localSheetId="20">#REF!</definedName>
    <definedName name="PINDAH" localSheetId="22">#REF!</definedName>
    <definedName name="PINDAH" localSheetId="19">#REF!</definedName>
    <definedName name="PINDAH">#REF!</definedName>
    <definedName name="pinjaman" localSheetId="8">#REF!</definedName>
    <definedName name="pinjaman" localSheetId="12">#REF!</definedName>
    <definedName name="pinjaman" localSheetId="21">#REF!</definedName>
    <definedName name="pinjaman" localSheetId="23">#REF!</definedName>
    <definedName name="pinjaman" localSheetId="20">#REF!</definedName>
    <definedName name="pinjaman" localSheetId="22">#REF!</definedName>
    <definedName name="pinjaman" localSheetId="19">#REF!</definedName>
    <definedName name="pinjaman" localSheetId="18">#REF!</definedName>
    <definedName name="pinjaman">#REF!</definedName>
    <definedName name="plg" localSheetId="8">#REF!</definedName>
    <definedName name="plg" localSheetId="21">#REF!</definedName>
    <definedName name="plg" localSheetId="23">#REF!</definedName>
    <definedName name="plg" localSheetId="20">#REF!</definedName>
    <definedName name="plg" localSheetId="22">#REF!</definedName>
    <definedName name="plg" localSheetId="19">#REF!</definedName>
    <definedName name="plg">#REF!</definedName>
    <definedName name="pltmapln1" localSheetId="8">#REF!</definedName>
    <definedName name="pltmapln1" localSheetId="12">#REF!</definedName>
    <definedName name="pltmapln1" localSheetId="21">#REF!</definedName>
    <definedName name="pltmapln1" localSheetId="23">#REF!</definedName>
    <definedName name="pltmapln1" localSheetId="20">#REF!</definedName>
    <definedName name="pltmapln1" localSheetId="22">#REF!</definedName>
    <definedName name="pltmapln1" localSheetId="19">#REF!</definedName>
    <definedName name="pltmapln1" localSheetId="18">#REF!</definedName>
    <definedName name="pltmapln1">#REF!</definedName>
    <definedName name="pltmsla1" localSheetId="8">#REF!</definedName>
    <definedName name="pltmsla1" localSheetId="12">#REF!</definedName>
    <definedName name="pltmsla1" localSheetId="21">#REF!</definedName>
    <definedName name="pltmsla1" localSheetId="23">#REF!</definedName>
    <definedName name="pltmsla1" localSheetId="20">#REF!</definedName>
    <definedName name="pltmsla1" localSheetId="22">#REF!</definedName>
    <definedName name="pltmsla1" localSheetId="19">#REF!</definedName>
    <definedName name="pltmsla1" localSheetId="18">#REF!</definedName>
    <definedName name="pltmsla1">#REF!</definedName>
    <definedName name="pltuapln1" localSheetId="8">#REF!</definedName>
    <definedName name="pltuapln1" localSheetId="12">#REF!</definedName>
    <definedName name="pltuapln1" localSheetId="21">#REF!</definedName>
    <definedName name="pltuapln1" localSheetId="23">#REF!</definedName>
    <definedName name="pltuapln1" localSheetId="20">#REF!</definedName>
    <definedName name="pltuapln1" localSheetId="22">#REF!</definedName>
    <definedName name="pltuapln1" localSheetId="19">#REF!</definedName>
    <definedName name="pltuapln1" localSheetId="18">#REF!</definedName>
    <definedName name="pltuapln1">#REF!</definedName>
    <definedName name="pltuapln2" localSheetId="8">#REF!</definedName>
    <definedName name="pltuapln2" localSheetId="12">#REF!</definedName>
    <definedName name="pltuapln2" localSheetId="21">#REF!</definedName>
    <definedName name="pltuapln2" localSheetId="23">#REF!</definedName>
    <definedName name="pltuapln2" localSheetId="20">#REF!</definedName>
    <definedName name="pltuapln2" localSheetId="22">#REF!</definedName>
    <definedName name="pltuapln2" localSheetId="19">#REF!</definedName>
    <definedName name="pltuapln2" localSheetId="18">#REF!</definedName>
    <definedName name="pltuapln2">#REF!</definedName>
    <definedName name="pltuapln3" localSheetId="8">#REF!</definedName>
    <definedName name="pltuapln3" localSheetId="12">#REF!</definedName>
    <definedName name="pltuapln3" localSheetId="21">#REF!</definedName>
    <definedName name="pltuapln3" localSheetId="23">#REF!</definedName>
    <definedName name="pltuapln3" localSheetId="20">#REF!</definedName>
    <definedName name="pltuapln3" localSheetId="22">#REF!</definedName>
    <definedName name="pltuapln3" localSheetId="19">#REF!</definedName>
    <definedName name="pltuapln3" localSheetId="18">#REF!</definedName>
    <definedName name="pltuapln3">#REF!</definedName>
    <definedName name="pltuapln4" localSheetId="8">#REF!</definedName>
    <definedName name="pltuapln4" localSheetId="12">#REF!</definedName>
    <definedName name="pltuapln4" localSheetId="21">#REF!</definedName>
    <definedName name="pltuapln4" localSheetId="23">#REF!</definedName>
    <definedName name="pltuapln4" localSheetId="20">#REF!</definedName>
    <definedName name="pltuapln4" localSheetId="22">#REF!</definedName>
    <definedName name="pltuapln4" localSheetId="19">#REF!</definedName>
    <definedName name="pltuapln4" localSheetId="18">#REF!</definedName>
    <definedName name="pltuapln4">#REF!</definedName>
    <definedName name="pltuapln5" localSheetId="8">#REF!</definedName>
    <definedName name="pltuapln5" localSheetId="12">#REF!</definedName>
    <definedName name="pltuapln5" localSheetId="21">#REF!</definedName>
    <definedName name="pltuapln5" localSheetId="23">#REF!</definedName>
    <definedName name="pltuapln5" localSheetId="20">#REF!</definedName>
    <definedName name="pltuapln5" localSheetId="22">#REF!</definedName>
    <definedName name="pltuapln5" localSheetId="19">#REF!</definedName>
    <definedName name="pltuapln5" localSheetId="18">#REF!</definedName>
    <definedName name="pltuapln5">#REF!</definedName>
    <definedName name="pltusla5" localSheetId="8">#REF!</definedName>
    <definedName name="pltusla5" localSheetId="12">#REF!</definedName>
    <definedName name="pltusla5" localSheetId="21">#REF!</definedName>
    <definedName name="pltusla5" localSheetId="23">#REF!</definedName>
    <definedName name="pltusla5" localSheetId="20">#REF!</definedName>
    <definedName name="pltusla5" localSheetId="22">#REF!</definedName>
    <definedName name="pltusla5" localSheetId="19">#REF!</definedName>
    <definedName name="pltusla5" localSheetId="18">#REF!</definedName>
    <definedName name="pltusla5">#REF!</definedName>
    <definedName name="pmt_150kV_1_p__40_Ka" localSheetId="8">#REF!</definedName>
    <definedName name="pmt_150kV_1_p__40_Ka" localSheetId="12">#REF!</definedName>
    <definedName name="pmt_150kV_1_p__40_Ka" localSheetId="21">#REF!</definedName>
    <definedName name="pmt_150kV_1_p__40_Ka" localSheetId="23">#REF!</definedName>
    <definedName name="pmt_150kV_1_p__40_Ka" localSheetId="20">#REF!</definedName>
    <definedName name="pmt_150kV_1_p__40_Ka" localSheetId="22">#REF!</definedName>
    <definedName name="pmt_150kV_1_p__40_Ka" localSheetId="19">#REF!</definedName>
    <definedName name="pmt_150kV_1_p__40_Ka" localSheetId="18">#REF!</definedName>
    <definedName name="pmt_150kV_1_p__40_Ka" localSheetId="5">#REF!</definedName>
    <definedName name="pmt_150kV_1_p__40_Ka">#REF!</definedName>
    <definedName name="pmt1p">#REF!</definedName>
    <definedName name="pmt30kv" localSheetId="12">#REF!</definedName>
    <definedName name="pmt30kv" localSheetId="21">#REF!</definedName>
    <definedName name="pmt30kv" localSheetId="23">#REF!</definedName>
    <definedName name="pmt30kv" localSheetId="20">#REF!</definedName>
    <definedName name="pmt30kv" localSheetId="22">#REF!</definedName>
    <definedName name="pmt30kv" localSheetId="19">#REF!</definedName>
    <definedName name="pmt30kv" localSheetId="18">#REF!</definedName>
    <definedName name="pmt500dgcr">#REF!</definedName>
    <definedName name="pmt500kv1">#REF!</definedName>
    <definedName name="pokok_bunga" localSheetId="8">#REF!</definedName>
    <definedName name="pokok_bunga" localSheetId="12">#REF!</definedName>
    <definedName name="pokok_bunga" localSheetId="21">#REF!</definedName>
    <definedName name="pokok_bunga" localSheetId="23">#REF!</definedName>
    <definedName name="pokok_bunga" localSheetId="20">#REF!</definedName>
    <definedName name="pokok_bunga" localSheetId="22">#REF!</definedName>
    <definedName name="pokok_bunga" localSheetId="19">#REF!</definedName>
    <definedName name="pokok_bunga" localSheetId="18">#REF!</definedName>
    <definedName name="pokok_bunga" localSheetId="5">#REF!</definedName>
    <definedName name="pokok_bunga">#REF!</definedName>
    <definedName name="Potensi215" localSheetId="8">#REF!</definedName>
    <definedName name="Potensi215" localSheetId="12">#REF!</definedName>
    <definedName name="Potensi215" localSheetId="21">#REF!</definedName>
    <definedName name="Potensi215" localSheetId="23">#REF!</definedName>
    <definedName name="Potensi215" localSheetId="20">#REF!</definedName>
    <definedName name="Potensi215" localSheetId="22">#REF!</definedName>
    <definedName name="Potensi215" localSheetId="19">#REF!</definedName>
    <definedName name="Potensi215" localSheetId="18">#REF!</definedName>
    <definedName name="Potensi215" localSheetId="5">#REF!</definedName>
    <definedName name="Potensi215">#REF!</definedName>
    <definedName name="PR" localSheetId="8">#REF!</definedName>
    <definedName name="PR" localSheetId="12">#REF!</definedName>
    <definedName name="PR" localSheetId="21">#REF!</definedName>
    <definedName name="PR" localSheetId="23">#REF!</definedName>
    <definedName name="PR" localSheetId="20">#REF!</definedName>
    <definedName name="PR" localSheetId="22">#REF!</definedName>
    <definedName name="PR" localSheetId="19">#REF!</definedName>
    <definedName name="PR" localSheetId="18">#REF!</definedName>
    <definedName name="PR" localSheetId="5">#REF!</definedName>
    <definedName name="PR">#REF!</definedName>
    <definedName name="_xlnm.Print_Area" localSheetId="4">DETAIL!$A$1:$J$57</definedName>
    <definedName name="_xlnm.Print_Area" localSheetId="8">#REF!</definedName>
    <definedName name="_xlnm.Print_Area" localSheetId="10">'PROG. JUNI'!$A$1:$J$65</definedName>
    <definedName name="_xlnm.Print_Area" localSheetId="15">'R.BANGKIR'!$A$1:$T$63</definedName>
    <definedName name="_xlnm.Print_Area" localSheetId="17">'R.KOTARAYA'!$A$1:$T$63</definedName>
    <definedName name="_xlnm.Print_Area" localSheetId="14">'R.LEOK'!$A$1:$T$63</definedName>
    <definedName name="_xlnm.Print_Area" localSheetId="16">'R.MOUTONG'!$A$1:$T$63</definedName>
    <definedName name="_xlnm.Print_Area" localSheetId="13">'R.TOLIS'!$A$1:$U$63</definedName>
    <definedName name="_xlnm.Print_Area" localSheetId="2">#REF!</definedName>
    <definedName name="_xlnm.Print_Area" localSheetId="7">SIMULASI!$A$1:$J$58</definedName>
    <definedName name="_xlnm.Print_Area" localSheetId="21">#REF!</definedName>
    <definedName name="_xlnm.Print_Area" localSheetId="23">#REF!</definedName>
    <definedName name="_xlnm.Print_Area" localSheetId="20">#REF!</definedName>
    <definedName name="_xlnm.Print_Area" localSheetId="22">#REF!</definedName>
    <definedName name="_xlnm.Print_Area" localSheetId="19">#REF!</definedName>
    <definedName name="_xlnm.Print_Area" localSheetId="5">#REF!</definedName>
    <definedName name="_xlnm.Print_Area" localSheetId="11">ULP!$C$3:$L$71,ULP!$N$3:$W$70,ULP!$Y$3:$AH$70,ULP!$AJ$3:$AS$70,ULP!$AU$3:$BD$70</definedName>
    <definedName name="_xlnm.Print_Area" localSheetId="9">'UP3'!$B$4:$C$9</definedName>
    <definedName name="_xlnm.Print_Area">#REF!</definedName>
    <definedName name="Print_Area_MI" localSheetId="8">#REF!</definedName>
    <definedName name="Print_Area_MI" localSheetId="12">#REF!</definedName>
    <definedName name="Print_Area_MI" localSheetId="21">#REF!</definedName>
    <definedName name="Print_Area_MI" localSheetId="23">#REF!</definedName>
    <definedName name="Print_Area_MI" localSheetId="20">#REF!</definedName>
    <definedName name="Print_Area_MI" localSheetId="22">#REF!</definedName>
    <definedName name="Print_Area_MI" localSheetId="19">#REF!</definedName>
    <definedName name="Print_Area_MI" localSheetId="18">#REF!</definedName>
    <definedName name="Print_Area_MI">#REF!</definedName>
    <definedName name="_xlnm.Print_Titles" localSheetId="8">#REF!</definedName>
    <definedName name="_xlnm.Print_Titles" localSheetId="15">'R.BANGKIR'!$4:$6</definedName>
    <definedName name="_xlnm.Print_Titles" localSheetId="17">'R.KOTARAYA'!$4:$6</definedName>
    <definedName name="_xlnm.Print_Titles" localSheetId="14">'R.LEOK'!$4:$6</definedName>
    <definedName name="_xlnm.Print_Titles" localSheetId="16">'R.MOUTONG'!$4:$6</definedName>
    <definedName name="_xlnm.Print_Titles" localSheetId="13">'R.TOLIS'!$4:$6</definedName>
    <definedName name="_xlnm.Print_Titles" localSheetId="12">'R.UP3'!$1:$6</definedName>
    <definedName name="_xlnm.Print_Titles" localSheetId="2">#REF!</definedName>
    <definedName name="_xlnm.Print_Titles" localSheetId="21">T.BANGKIR!$1:$6</definedName>
    <definedName name="_xlnm.Print_Titles" localSheetId="23">T.KOTARAYA!$1:$6</definedName>
    <definedName name="_xlnm.Print_Titles" localSheetId="20">T.LEOK!$1:$6</definedName>
    <definedName name="_xlnm.Print_Titles" localSheetId="22">T.MOUTONG!$1:$6</definedName>
    <definedName name="_xlnm.Print_Titles" localSheetId="19">T.TOLIS!$1:$6</definedName>
    <definedName name="_xlnm.Print_Titles" localSheetId="18">T.UP3!$1:$6</definedName>
    <definedName name="_xlnm.Print_Titles" localSheetId="5">#REF!</definedName>
    <definedName name="_xlnm.Print_Titles" localSheetId="11">ULP!$3:$8</definedName>
    <definedName name="_xlnm.Print_Titles">#REF!</definedName>
    <definedName name="Print_Titles_MI" localSheetId="8">#REF!</definedName>
    <definedName name="Print_Titles_MI" localSheetId="12">#REF!</definedName>
    <definedName name="Print_Titles_MI" localSheetId="21">#REF!</definedName>
    <definedName name="Print_Titles_MI" localSheetId="23">#REF!</definedName>
    <definedName name="Print_Titles_MI" localSheetId="20">#REF!</definedName>
    <definedName name="Print_Titles_MI" localSheetId="22">#REF!</definedName>
    <definedName name="Print_Titles_MI" localSheetId="19">#REF!</definedName>
    <definedName name="Print_Titles_MI" localSheetId="18">#REF!</definedName>
    <definedName name="Print_Titles_MI">#REF!</definedName>
    <definedName name="PRINT1" localSheetId="8">#REF!</definedName>
    <definedName name="PRINT1" localSheetId="12">#REF!</definedName>
    <definedName name="PRINT1" localSheetId="21">#REF!</definedName>
    <definedName name="PRINT1" localSheetId="23">#REF!</definedName>
    <definedName name="PRINT1" localSheetId="20">#REF!</definedName>
    <definedName name="PRINT1" localSheetId="22">#REF!</definedName>
    <definedName name="PRINT1" localSheetId="19">#REF!</definedName>
    <definedName name="PRINT1" localSheetId="18">#REF!</definedName>
    <definedName name="PRINT1">#REF!</definedName>
    <definedName name="prk" localSheetId="8">#REF!</definedName>
    <definedName name="prk" localSheetId="21">#REF!</definedName>
    <definedName name="prk" localSheetId="23">#REF!</definedName>
    <definedName name="prk" localSheetId="20">#REF!</definedName>
    <definedName name="prk" localSheetId="22">#REF!</definedName>
    <definedName name="prk" localSheetId="19">#REF!</definedName>
    <definedName name="prk" localSheetId="5">#REF!</definedName>
    <definedName name="prk">#REF!</definedName>
    <definedName name="PROSES">#REF!</definedName>
    <definedName name="PT._PLN__PERSERO" localSheetId="8">#REF!</definedName>
    <definedName name="PT._PLN__PERSERO" localSheetId="21">#REF!</definedName>
    <definedName name="PT._PLN__PERSERO" localSheetId="23">#REF!</definedName>
    <definedName name="PT._PLN__PERSERO" localSheetId="20">#REF!</definedName>
    <definedName name="PT._PLN__PERSERO" localSheetId="22">#REF!</definedName>
    <definedName name="PT._PLN__PERSERO" localSheetId="19">#REF!</definedName>
    <definedName name="PT._PLN__PERSERO" localSheetId="5">#REF!</definedName>
    <definedName name="PT._PLN__PERSERO">#REF!</definedName>
    <definedName name="pt150kv">#REF!</definedName>
    <definedName name="Q" localSheetId="12">#REF!</definedName>
    <definedName name="Q" localSheetId="21">#REF!</definedName>
    <definedName name="Q" localSheetId="23">#REF!</definedName>
    <definedName name="Q" localSheetId="20">#REF!</definedName>
    <definedName name="Q" localSheetId="22">#REF!</definedName>
    <definedName name="Q" localSheetId="19">#REF!</definedName>
    <definedName name="Q" localSheetId="18">#REF!</definedName>
    <definedName name="Q">#REF!</definedName>
    <definedName name="QRYTRY" localSheetId="8">#REF!</definedName>
    <definedName name="QRYTRY" localSheetId="12">#REF!</definedName>
    <definedName name="QRYTRY" localSheetId="21">#REF!</definedName>
    <definedName name="QRYTRY" localSheetId="23">#REF!</definedName>
    <definedName name="QRYTRY" localSheetId="20">#REF!</definedName>
    <definedName name="QRYTRY" localSheetId="22">#REF!</definedName>
    <definedName name="QRYTRY" localSheetId="19">#REF!</definedName>
    <definedName name="QRYTRY" localSheetId="18">#REF!</definedName>
    <definedName name="QRYTRY" localSheetId="5">#REF!</definedName>
    <definedName name="QRYTRY">#REF!</definedName>
    <definedName name="Raker" localSheetId="8">#REF!</definedName>
    <definedName name="Raker" localSheetId="12">#REF!</definedName>
    <definedName name="Raker" localSheetId="21">#REF!</definedName>
    <definedName name="Raker" localSheetId="23">#REF!</definedName>
    <definedName name="Raker" localSheetId="20">#REF!</definedName>
    <definedName name="Raker" localSheetId="22">#REF!</definedName>
    <definedName name="Raker" localSheetId="19">#REF!</definedName>
    <definedName name="Raker" localSheetId="18">#REF!</definedName>
    <definedName name="Raker">#REF!</definedName>
    <definedName name="Ranting" localSheetId="8">#REF!</definedName>
    <definedName name="Ranting" localSheetId="21">#REF!</definedName>
    <definedName name="Ranting" localSheetId="23">#REF!</definedName>
    <definedName name="Ranting" localSheetId="20">#REF!</definedName>
    <definedName name="Ranting" localSheetId="22">#REF!</definedName>
    <definedName name="Ranting" localSheetId="19">#REF!</definedName>
    <definedName name="Ranting">#REF!</definedName>
    <definedName name="RAO" localSheetId="8">#REF!</definedName>
    <definedName name="RAO" localSheetId="12">#REF!</definedName>
    <definedName name="RAO" localSheetId="21">#REF!</definedName>
    <definedName name="RAO" localSheetId="23">#REF!</definedName>
    <definedName name="RAO" localSheetId="20">#REF!</definedName>
    <definedName name="RAO" localSheetId="22">#REF!</definedName>
    <definedName name="RAO" localSheetId="19">#REF!</definedName>
    <definedName name="RAO" localSheetId="18">#REF!</definedName>
    <definedName name="RAO" localSheetId="5">#REF!</definedName>
    <definedName name="RAO">#REF!</definedName>
    <definedName name="realisasi_table" localSheetId="8">#REF!</definedName>
    <definedName name="realisasi_table" localSheetId="12">#REF!</definedName>
    <definedName name="realisasi_table" localSheetId="21">#REF!</definedName>
    <definedName name="realisasi_table" localSheetId="23">#REF!</definedName>
    <definedName name="realisasi_table" localSheetId="20">#REF!</definedName>
    <definedName name="realisasi_table" localSheetId="22">#REF!</definedName>
    <definedName name="realisasi_table" localSheetId="19">#REF!</definedName>
    <definedName name="realisasi_table" localSheetId="18">#REF!</definedName>
    <definedName name="realisasi_table" localSheetId="5">#REF!</definedName>
    <definedName name="realisasi_table">#REF!</definedName>
    <definedName name="Rectifier80">#REF!</definedName>
    <definedName name="REK" localSheetId="8">#REF!</definedName>
    <definedName name="REK" localSheetId="12">#REF!</definedName>
    <definedName name="REK" localSheetId="21">#REF!</definedName>
    <definedName name="REK" localSheetId="23">#REF!</definedName>
    <definedName name="REK" localSheetId="20">#REF!</definedName>
    <definedName name="REK" localSheetId="22">#REF!</definedName>
    <definedName name="REK" localSheetId="19">#REF!</definedName>
    <definedName name="REK" localSheetId="18">#REF!</definedName>
    <definedName name="REK" localSheetId="5">#REF!</definedName>
    <definedName name="REK">#REF!</definedName>
    <definedName name="REKAP" localSheetId="8">#REF!</definedName>
    <definedName name="REKAP" localSheetId="12">#REF!</definedName>
    <definedName name="REKAP" localSheetId="21">#REF!</definedName>
    <definedName name="REKAP" localSheetId="23">#REF!</definedName>
    <definedName name="REKAP" localSheetId="20">#REF!</definedName>
    <definedName name="REKAP" localSheetId="22">#REF!</definedName>
    <definedName name="REKAP" localSheetId="19">#REF!</definedName>
    <definedName name="REKAP" localSheetId="18">#REF!</definedName>
    <definedName name="REKAP" localSheetId="5">#REF!</definedName>
    <definedName name="REKAP">#REF!</definedName>
    <definedName name="Rekapitulasi_Kirim">#REF!</definedName>
    <definedName name="Rekapitulasi_Penjualan">#REF!</definedName>
    <definedName name="Rekapitulasi_Produksi_Sendiri">#REF!</definedName>
    <definedName name="Rekapitulasi_PS_GD">#REF!</definedName>
    <definedName name="Rekapitulasi_PS_GI">#REF!</definedName>
    <definedName name="Rekapitulasi_PS_Sentral">#REF!</definedName>
    <definedName name="Rekapitulasi_Susut_Transmisi">#REF!</definedName>
    <definedName name="Rekapitulasi_Terima">#REF!</definedName>
    <definedName name="RekapitulasiSewa">#REF!</definedName>
    <definedName name="REKTRWS3" localSheetId="8">#REF!</definedName>
    <definedName name="REKTRWS3" localSheetId="12">#REF!</definedName>
    <definedName name="REKTRWS3" localSheetId="21">#REF!</definedName>
    <definedName name="REKTRWS3" localSheetId="23">#REF!</definedName>
    <definedName name="REKTRWS3" localSheetId="20">#REF!</definedName>
    <definedName name="REKTRWS3" localSheetId="22">#REF!</definedName>
    <definedName name="REKTRWS3" localSheetId="19">#REF!</definedName>
    <definedName name="REKTRWS3" localSheetId="18">#REF!</definedName>
    <definedName name="REKTRWS3" localSheetId="5">#REF!</definedName>
    <definedName name="REKTRWS3">#REF!</definedName>
    <definedName name="REKTRWS4" localSheetId="8">#REF!</definedName>
    <definedName name="REKTRWS4" localSheetId="12">#REF!</definedName>
    <definedName name="REKTRWS4" localSheetId="21">#REF!</definedName>
    <definedName name="REKTRWS4" localSheetId="23">#REF!</definedName>
    <definedName name="REKTRWS4" localSheetId="20">#REF!</definedName>
    <definedName name="REKTRWS4" localSheetId="22">#REF!</definedName>
    <definedName name="REKTRWS4" localSheetId="19">#REF!</definedName>
    <definedName name="REKTRWS4" localSheetId="18">#REF!</definedName>
    <definedName name="REKTRWS4" localSheetId="5">#REF!</definedName>
    <definedName name="REKTRWS4">#REF!</definedName>
    <definedName name="resume" localSheetId="8">#REF!</definedName>
    <definedName name="resume" localSheetId="12">#REF!</definedName>
    <definedName name="resume" localSheetId="21">#REF!</definedName>
    <definedName name="resume" localSheetId="23">#REF!</definedName>
    <definedName name="resume" localSheetId="20">#REF!</definedName>
    <definedName name="resume" localSheetId="22">#REF!</definedName>
    <definedName name="resume" localSheetId="19">#REF!</definedName>
    <definedName name="resume" localSheetId="18">#REF!</definedName>
    <definedName name="resume" localSheetId="5">#REF!</definedName>
    <definedName name="resume">#REF!</definedName>
    <definedName name="revenues" localSheetId="8">#REF!</definedName>
    <definedName name="revenues" localSheetId="12">#REF!</definedName>
    <definedName name="revenues" localSheetId="21">#REF!</definedName>
    <definedName name="revenues" localSheetId="23">#REF!</definedName>
    <definedName name="revenues" localSheetId="20">#REF!</definedName>
    <definedName name="revenues" localSheetId="22">#REF!</definedName>
    <definedName name="revenues" localSheetId="19">#REF!</definedName>
    <definedName name="revenues" localSheetId="18">#REF!</definedName>
    <definedName name="revenues">#REF!</definedName>
    <definedName name="revenues_nontax" localSheetId="8">#REF!</definedName>
    <definedName name="revenues_nontax" localSheetId="12">#REF!</definedName>
    <definedName name="revenues_nontax" localSheetId="21">#REF!</definedName>
    <definedName name="revenues_nontax" localSheetId="23">#REF!</definedName>
    <definedName name="revenues_nontax" localSheetId="20">#REF!</definedName>
    <definedName name="revenues_nontax" localSheetId="22">#REF!</definedName>
    <definedName name="revenues_nontax" localSheetId="19">#REF!</definedName>
    <definedName name="revenues_nontax" localSheetId="18">#REF!</definedName>
    <definedName name="revenues_nontax">#REF!</definedName>
    <definedName name="revenues_tax" localSheetId="8">#REF!</definedName>
    <definedName name="revenues_tax" localSheetId="12">#REF!</definedName>
    <definedName name="revenues_tax" localSheetId="21">#REF!</definedName>
    <definedName name="revenues_tax" localSheetId="23">#REF!</definedName>
    <definedName name="revenues_tax" localSheetId="20">#REF!</definedName>
    <definedName name="revenues_tax" localSheetId="22">#REF!</definedName>
    <definedName name="revenues_tax" localSheetId="19">#REF!</definedName>
    <definedName name="revenues_tax" localSheetId="18">#REF!</definedName>
    <definedName name="revenues_tax">#REF!</definedName>
    <definedName name="RIAU" localSheetId="8">#REF!</definedName>
    <definedName name="RIAU" localSheetId="12">#REF!</definedName>
    <definedName name="RIAU" localSheetId="21">#REF!</definedName>
    <definedName name="RIAU" localSheetId="23">#REF!</definedName>
    <definedName name="RIAU" localSheetId="20">#REF!</definedName>
    <definedName name="RIAU" localSheetId="22">#REF!</definedName>
    <definedName name="RIAU" localSheetId="19">#REF!</definedName>
    <definedName name="RIAU" localSheetId="18">#REF!</definedName>
    <definedName name="RIAU" localSheetId="5">#REF!</definedName>
    <definedName name="RIAU">#REF!</definedName>
    <definedName name="RingkasanPokok" localSheetId="8">#REF!</definedName>
    <definedName name="RingkasanPokok" localSheetId="12">#REF!</definedName>
    <definedName name="RingkasanPokok" localSheetId="21">#REF!</definedName>
    <definedName name="RingkasanPokok" localSheetId="23">#REF!</definedName>
    <definedName name="RingkasanPokok" localSheetId="20">#REF!</definedName>
    <definedName name="RingkasanPokok" localSheetId="22">#REF!</definedName>
    <definedName name="RingkasanPokok" localSheetId="19">#REF!</definedName>
    <definedName name="RingkasanPokok" localSheetId="18">#REF!</definedName>
    <definedName name="RingkasanPokok" localSheetId="5">#REF!</definedName>
    <definedName name="RingkasanPokok">#REF!</definedName>
    <definedName name="ripel">#REF!</definedName>
    <definedName name="RKUP" localSheetId="8">#REF!</definedName>
    <definedName name="RKUP" localSheetId="21">#REF!</definedName>
    <definedName name="RKUP" localSheetId="23">#REF!</definedName>
    <definedName name="RKUP" localSheetId="20">#REF!</definedName>
    <definedName name="RKUP" localSheetId="22">#REF!</definedName>
    <definedName name="RKUP" localSheetId="19">#REF!</definedName>
    <definedName name="RKUP" localSheetId="5">#REF!</definedName>
    <definedName name="RKUP">#REF!</definedName>
    <definedName name="RKWP" localSheetId="8">#REF!</definedName>
    <definedName name="RKWP" localSheetId="21">#REF!</definedName>
    <definedName name="RKWP" localSheetId="23">#REF!</definedName>
    <definedName name="RKWP" localSheetId="20">#REF!</definedName>
    <definedName name="RKWP" localSheetId="22">#REF!</definedName>
    <definedName name="RKWP" localSheetId="19">#REF!</definedName>
    <definedName name="RKWP" localSheetId="5">#REF!</definedName>
    <definedName name="RKWP">#REF!</definedName>
    <definedName name="RPD" localSheetId="8">#REF!</definedName>
    <definedName name="RPD" localSheetId="21">#REF!</definedName>
    <definedName name="RPD" localSheetId="23">#REF!</definedName>
    <definedName name="RPD" localSheetId="20">#REF!</definedName>
    <definedName name="RPD" localSheetId="22">#REF!</definedName>
    <definedName name="RPD" localSheetId="19">#REF!</definedName>
    <definedName name="RPD" localSheetId="5">#REF!</definedName>
    <definedName name="RPD">#REF!</definedName>
    <definedName name="RPRP" localSheetId="8">#REF!</definedName>
    <definedName name="RPRP" localSheetId="21">#REF!</definedName>
    <definedName name="RPRP" localSheetId="23">#REF!</definedName>
    <definedName name="RPRP" localSheetId="20">#REF!</definedName>
    <definedName name="RPRP" localSheetId="22">#REF!</definedName>
    <definedName name="RPRP" localSheetId="19">#REF!</definedName>
    <definedName name="RPRP" localSheetId="5">#REF!</definedName>
    <definedName name="RPRP">#REF!</definedName>
    <definedName name="rrr" localSheetId="12" hidden="1">#REF!</definedName>
    <definedName name="rrr" localSheetId="21" hidden="1">#REF!</definedName>
    <definedName name="rrr" localSheetId="23" hidden="1">#REF!</definedName>
    <definedName name="rrr" localSheetId="20" hidden="1">#REF!</definedName>
    <definedName name="rrr" localSheetId="22" hidden="1">#REF!</definedName>
    <definedName name="rrr" localSheetId="19" hidden="1">#REF!</definedName>
    <definedName name="rrr" localSheetId="18" hidden="1">#REF!</definedName>
    <definedName name="rtn">#REF!</definedName>
    <definedName name="RTYHRTY" localSheetId="8">#REF!</definedName>
    <definedName name="RTYHRTY" localSheetId="12">#REF!</definedName>
    <definedName name="RTYHRTY" localSheetId="21">#REF!</definedName>
    <definedName name="RTYHRTY" localSheetId="23">#REF!</definedName>
    <definedName name="RTYHRTY" localSheetId="20">#REF!</definedName>
    <definedName name="RTYHRTY" localSheetId="22">#REF!</definedName>
    <definedName name="RTYHRTY" localSheetId="19">#REF!</definedName>
    <definedName name="RTYHRTY" localSheetId="18">#REF!</definedName>
    <definedName name="RTYHRTY" localSheetId="5">#REF!</definedName>
    <definedName name="RTYHRTY">#REF!</definedName>
    <definedName name="RUP">#REF!</definedName>
    <definedName name="RWP">#REF!</definedName>
    <definedName name="S_1___220_VA">#REF!</definedName>
    <definedName name="S_1_220_VA">#REF!</definedName>
    <definedName name="SaldoAwal" localSheetId="8">#REF!</definedName>
    <definedName name="SaldoAwal" localSheetId="12">#REF!</definedName>
    <definedName name="SaldoAwal" localSheetId="21">#REF!</definedName>
    <definedName name="SaldoAwal" localSheetId="23">#REF!</definedName>
    <definedName name="SaldoAwal" localSheetId="20">#REF!</definedName>
    <definedName name="SaldoAwal" localSheetId="22">#REF!</definedName>
    <definedName name="SaldoAwal" localSheetId="19">#REF!</definedName>
    <definedName name="SaldoAwal" localSheetId="18">#REF!</definedName>
    <definedName name="SaldoAwal" localSheetId="5">#REF!</definedName>
    <definedName name="SaldoAwal">#REF!</definedName>
    <definedName name="SAMPUL1" localSheetId="8">#REF!</definedName>
    <definedName name="SAMPUL1" localSheetId="21">#REF!</definedName>
    <definedName name="SAMPUL1" localSheetId="23">#REF!</definedName>
    <definedName name="SAMPUL1" localSheetId="20">#REF!</definedName>
    <definedName name="SAMPUL1" localSheetId="22">#REF!</definedName>
    <definedName name="SAMPUL1" localSheetId="19">#REF!</definedName>
    <definedName name="SAMPUL1" localSheetId="5">#REF!</definedName>
    <definedName name="SAMPUL1">#REF!</definedName>
    <definedName name="SATUAN">#REF!</definedName>
    <definedName name="sbak1a" localSheetId="8">#REF!</definedName>
    <definedName name="sbak1a" localSheetId="21">#REF!</definedName>
    <definedName name="sbak1a" localSheetId="23">#REF!</definedName>
    <definedName name="sbak1a" localSheetId="20">#REF!</definedName>
    <definedName name="sbak1a" localSheetId="22">#REF!</definedName>
    <definedName name="sbak1a" localSheetId="19">#REF!</definedName>
    <definedName name="sbak1a" localSheetId="5">#REF!</definedName>
    <definedName name="sbak1a">#REF!</definedName>
    <definedName name="sbak1b" localSheetId="8">#REF!</definedName>
    <definedName name="sbak1b" localSheetId="21">#REF!</definedName>
    <definedName name="sbak1b" localSheetId="23">#REF!</definedName>
    <definedName name="sbak1b" localSheetId="20">#REF!</definedName>
    <definedName name="sbak1b" localSheetId="22">#REF!</definedName>
    <definedName name="sbak1b" localSheetId="19">#REF!</definedName>
    <definedName name="sbak1b" localSheetId="5">#REF!</definedName>
    <definedName name="sbak1b">#REF!</definedName>
    <definedName name="sbr_gan1">#REF!</definedName>
    <definedName name="sbr_gan2">#REF!</definedName>
    <definedName name="sbr_gan3">#REF!</definedName>
    <definedName name="sbr_gan4">#REF!</definedName>
    <definedName name="sbr_gan5">#REF!</definedName>
    <definedName name="sbr_gan6">#REF!</definedName>
    <definedName name="sbr_gan7" localSheetId="2">#REF!</definedName>
    <definedName name="sbr_gan7">#REF!</definedName>
    <definedName name="sbr_gan8" localSheetId="2">#REF!</definedName>
    <definedName name="sbr_gan8">#REF!</definedName>
    <definedName name="sbr_gan9" localSheetId="2">#REF!</definedName>
    <definedName name="sbr_gan9">#REF!</definedName>
    <definedName name="SDBULAN" localSheetId="8">#REF!</definedName>
    <definedName name="SDBULAN" localSheetId="21">#REF!</definedName>
    <definedName name="SDBULAN" localSheetId="23">#REF!</definedName>
    <definedName name="SDBULAN" localSheetId="20">#REF!</definedName>
    <definedName name="SDBULAN" localSheetId="22">#REF!</definedName>
    <definedName name="SDBULAN" localSheetId="19">#REF!</definedName>
    <definedName name="SDBULAN" localSheetId="5">#REF!</definedName>
    <definedName name="SDBULAN">#REF!</definedName>
    <definedName name="sdini" localSheetId="8">#REF!</definedName>
    <definedName name="sdini" localSheetId="21">#REF!</definedName>
    <definedName name="sdini" localSheetId="23">#REF!</definedName>
    <definedName name="sdini" localSheetId="20">#REF!</definedName>
    <definedName name="sdini" localSheetId="22">#REF!</definedName>
    <definedName name="sdini" localSheetId="19">#REF!</definedName>
    <definedName name="sdini" localSheetId="5">#REF!</definedName>
    <definedName name="sdini">#REF!</definedName>
    <definedName name="sdlalu" localSheetId="8">#REF!</definedName>
    <definedName name="sdlalu" localSheetId="21">#REF!</definedName>
    <definedName name="sdlalu" localSheetId="23">#REF!</definedName>
    <definedName name="sdlalu" localSheetId="20">#REF!</definedName>
    <definedName name="sdlalu" localSheetId="22">#REF!</definedName>
    <definedName name="sdlalu" localSheetId="19">#REF!</definedName>
    <definedName name="sdlalu" localSheetId="5">#REF!</definedName>
    <definedName name="sdlalu">#REF!</definedName>
    <definedName name="SEKAT" localSheetId="8">#REF!</definedName>
    <definedName name="SEKAT" localSheetId="12">#REF!</definedName>
    <definedName name="SEKAT" localSheetId="21">#REF!</definedName>
    <definedName name="SEKAT" localSheetId="23">#REF!</definedName>
    <definedName name="SEKAT" localSheetId="20">#REF!</definedName>
    <definedName name="SEKAT" localSheetId="22">#REF!</definedName>
    <definedName name="SEKAT" localSheetId="19">#REF!</definedName>
    <definedName name="SEKAT" localSheetId="18">#REF!</definedName>
    <definedName name="SEKAT" localSheetId="5">#REF!</definedName>
    <definedName name="SEKAT">#REF!</definedName>
    <definedName name="selisih" localSheetId="8">#REF!</definedName>
    <definedName name="selisih" localSheetId="12">#REF!</definedName>
    <definedName name="selisih" localSheetId="21">#REF!</definedName>
    <definedName name="selisih" localSheetId="23">#REF!</definedName>
    <definedName name="selisih" localSheetId="20">#REF!</definedName>
    <definedName name="selisih" localSheetId="22">#REF!</definedName>
    <definedName name="selisih" localSheetId="19">#REF!</definedName>
    <definedName name="selisih" localSheetId="18">#REF!</definedName>
    <definedName name="selisih">#REF!</definedName>
    <definedName name="sep" localSheetId="8">#REF!</definedName>
    <definedName name="sep" localSheetId="12">#REF!</definedName>
    <definedName name="sep" localSheetId="21">#REF!</definedName>
    <definedName name="sep" localSheetId="23">#REF!</definedName>
    <definedName name="sep" localSheetId="20">#REF!</definedName>
    <definedName name="sep" localSheetId="22">#REF!</definedName>
    <definedName name="sep" localSheetId="19">#REF!</definedName>
    <definedName name="sep" localSheetId="18">#REF!</definedName>
    <definedName name="sep">#REF!</definedName>
    <definedName name="Set_Bulan">#REF!</definedName>
    <definedName name="SFC" localSheetId="8">#REF!</definedName>
    <definedName name="SFC" localSheetId="21">#REF!</definedName>
    <definedName name="SFC" localSheetId="23">#REF!</definedName>
    <definedName name="SFC" localSheetId="20">#REF!</definedName>
    <definedName name="SFC" localSheetId="22">#REF!</definedName>
    <definedName name="SFC" localSheetId="19">#REF!</definedName>
    <definedName name="SFC" localSheetId="5">#REF!</definedName>
    <definedName name="SFC">#REF!</definedName>
    <definedName name="sgff" localSheetId="8">#REF!</definedName>
    <definedName name="sgff" localSheetId="21">#REF!</definedName>
    <definedName name="sgff" localSheetId="23">#REF!</definedName>
    <definedName name="sgff" localSheetId="20">#REF!</definedName>
    <definedName name="sgff" localSheetId="22">#REF!</definedName>
    <definedName name="sgff" localSheetId="19">#REF!</definedName>
    <definedName name="sgff" localSheetId="5">#REF!</definedName>
    <definedName name="sgff">#REF!</definedName>
    <definedName name="Sheet2" localSheetId="8">#REF!</definedName>
    <definedName name="Sheet2" localSheetId="12">#REF!</definedName>
    <definedName name="Sheet2" localSheetId="21">#REF!</definedName>
    <definedName name="Sheet2" localSheetId="23">#REF!</definedName>
    <definedName name="Sheet2" localSheetId="20">#REF!</definedName>
    <definedName name="Sheet2" localSheetId="22">#REF!</definedName>
    <definedName name="Sheet2" localSheetId="19">#REF!</definedName>
    <definedName name="Sheet2" localSheetId="18">#REF!</definedName>
    <definedName name="Sheet2" localSheetId="5">#REF!</definedName>
    <definedName name="Sheet2">#REF!</definedName>
    <definedName name="Sheet3" localSheetId="8">#REF!</definedName>
    <definedName name="Sheet3" localSheetId="12">#REF!</definedName>
    <definedName name="Sheet3" localSheetId="21">#REF!</definedName>
    <definedName name="Sheet3" localSheetId="23">#REF!</definedName>
    <definedName name="Sheet3" localSheetId="20">#REF!</definedName>
    <definedName name="Sheet3" localSheetId="22">#REF!</definedName>
    <definedName name="Sheet3" localSheetId="19">#REF!</definedName>
    <definedName name="Sheet3" localSheetId="18">#REF!</definedName>
    <definedName name="Sheet3">#REF!</definedName>
    <definedName name="SINCHRON">#REF!</definedName>
    <definedName name="sisa" localSheetId="8">#REF!</definedName>
    <definedName name="sisa" localSheetId="12">#REF!</definedName>
    <definedName name="sisa" localSheetId="21">#REF!</definedName>
    <definedName name="sisa" localSheetId="23">#REF!</definedName>
    <definedName name="sisa" localSheetId="20">#REF!</definedName>
    <definedName name="sisa" localSheetId="22">#REF!</definedName>
    <definedName name="sisa" localSheetId="19">#REF!</definedName>
    <definedName name="sisa" localSheetId="18">#REF!</definedName>
    <definedName name="sisa" localSheetId="5">#REF!</definedName>
    <definedName name="sisa">#REF!</definedName>
    <definedName name="sisa1" localSheetId="8">#REF!</definedName>
    <definedName name="sisa1" localSheetId="12">#REF!</definedName>
    <definedName name="sisa1" localSheetId="21">#REF!</definedName>
    <definedName name="sisa1" localSheetId="23">#REF!</definedName>
    <definedName name="sisa1" localSheetId="20">#REF!</definedName>
    <definedName name="sisa1" localSheetId="22">#REF!</definedName>
    <definedName name="sisa1" localSheetId="19">#REF!</definedName>
    <definedName name="sisa1" localSheetId="18">#REF!</definedName>
    <definedName name="sisa1" localSheetId="5">#REF!</definedName>
    <definedName name="sisa1">#REF!</definedName>
    <definedName name="sisa2" localSheetId="8">#REF!</definedName>
    <definedName name="sisa2" localSheetId="12">#REF!</definedName>
    <definedName name="sisa2" localSheetId="21">#REF!</definedName>
    <definedName name="sisa2" localSheetId="23">#REF!</definedName>
    <definedName name="sisa2" localSheetId="20">#REF!</definedName>
    <definedName name="sisa2" localSheetId="22">#REF!</definedName>
    <definedName name="sisa2" localSheetId="19">#REF!</definedName>
    <definedName name="sisa2" localSheetId="18">#REF!</definedName>
    <definedName name="sisa2" localSheetId="5">#REF!</definedName>
    <definedName name="sisa2">#REF!</definedName>
    <definedName name="SPD" localSheetId="8">#REF!</definedName>
    <definedName name="SPD" localSheetId="12">#REF!</definedName>
    <definedName name="SPD" localSheetId="21">#REF!</definedName>
    <definedName name="SPD" localSheetId="23">#REF!</definedName>
    <definedName name="SPD" localSheetId="20">#REF!</definedName>
    <definedName name="SPD" localSheetId="22">#REF!</definedName>
    <definedName name="SPD" localSheetId="19">#REF!</definedName>
    <definedName name="SPD" localSheetId="18">#REF!</definedName>
    <definedName name="SPD">#REF!</definedName>
    <definedName name="SPRP">#REF!</definedName>
    <definedName name="ssdffg" localSheetId="8">#REF!</definedName>
    <definedName name="ssdffg" localSheetId="21">#REF!</definedName>
    <definedName name="ssdffg" localSheetId="23">#REF!</definedName>
    <definedName name="ssdffg" localSheetId="20">#REF!</definedName>
    <definedName name="ssdffg" localSheetId="22">#REF!</definedName>
    <definedName name="ssdffg" localSheetId="19">#REF!</definedName>
    <definedName name="ssdffg" localSheetId="5">#REF!</definedName>
    <definedName name="ssdffg">#REF!</definedName>
    <definedName name="StartDate" localSheetId="12">#REF!</definedName>
    <definedName name="StartDate" localSheetId="21">#REF!</definedName>
    <definedName name="StartDate" localSheetId="23">#REF!</definedName>
    <definedName name="StartDate" localSheetId="20">#REF!</definedName>
    <definedName name="StartDate" localSheetId="22">#REF!</definedName>
    <definedName name="StartDate" localSheetId="19">#REF!</definedName>
    <definedName name="StartDate" localSheetId="18">#REF!</definedName>
    <definedName name="STPDari" localSheetId="8">#REF!</definedName>
    <definedName name="STPDari" localSheetId="12">#REF!</definedName>
    <definedName name="STPDari" localSheetId="21">#REF!</definedName>
    <definedName name="STPDari" localSheetId="23">#REF!</definedName>
    <definedName name="STPDari" localSheetId="20">#REF!</definedName>
    <definedName name="STPDari" localSheetId="22">#REF!</definedName>
    <definedName name="STPDari" localSheetId="19">#REF!</definedName>
    <definedName name="STPDari" localSheetId="18">#REF!</definedName>
    <definedName name="STPDari" localSheetId="5">#REF!</definedName>
    <definedName name="STPDari">#REF!</definedName>
    <definedName name="suttapbn1" localSheetId="8">#REF!</definedName>
    <definedName name="suttapbn1" localSheetId="12">#REF!</definedName>
    <definedName name="suttapbn1" localSheetId="21">#REF!</definedName>
    <definedName name="suttapbn1" localSheetId="23">#REF!</definedName>
    <definedName name="suttapbn1" localSheetId="20">#REF!</definedName>
    <definedName name="suttapbn1" localSheetId="22">#REF!</definedName>
    <definedName name="suttapbn1" localSheetId="19">#REF!</definedName>
    <definedName name="suttapbn1" localSheetId="18">#REF!</definedName>
    <definedName name="suttapbn1" localSheetId="5">#REF!</definedName>
    <definedName name="suttapbn1">#REF!</definedName>
    <definedName name="suttapbn2" localSheetId="8">#REF!</definedName>
    <definedName name="suttapbn2" localSheetId="12">#REF!</definedName>
    <definedName name="suttapbn2" localSheetId="21">#REF!</definedName>
    <definedName name="suttapbn2" localSheetId="23">#REF!</definedName>
    <definedName name="suttapbn2" localSheetId="20">#REF!</definedName>
    <definedName name="suttapbn2" localSheetId="22">#REF!</definedName>
    <definedName name="suttapbn2" localSheetId="19">#REF!</definedName>
    <definedName name="suttapbn2" localSheetId="18">#REF!</definedName>
    <definedName name="suttapbn2">#REF!</definedName>
    <definedName name="suttapbn4" localSheetId="8">#REF!</definedName>
    <definedName name="suttapbn4" localSheetId="12">#REF!</definedName>
    <definedName name="suttapbn4" localSheetId="21">#REF!</definedName>
    <definedName name="suttapbn4" localSheetId="23">#REF!</definedName>
    <definedName name="suttapbn4" localSheetId="20">#REF!</definedName>
    <definedName name="suttapbn4" localSheetId="22">#REF!</definedName>
    <definedName name="suttapbn4" localSheetId="19">#REF!</definedName>
    <definedName name="suttapbn4" localSheetId="18">#REF!</definedName>
    <definedName name="suttapbn4">#REF!</definedName>
    <definedName name="suttapln1" localSheetId="8">#REF!</definedName>
    <definedName name="suttapln1" localSheetId="12">#REF!</definedName>
    <definedName name="suttapln1" localSheetId="21">#REF!</definedName>
    <definedName name="suttapln1" localSheetId="23">#REF!</definedName>
    <definedName name="suttapln1" localSheetId="20">#REF!</definedName>
    <definedName name="suttapln1" localSheetId="22">#REF!</definedName>
    <definedName name="suttapln1" localSheetId="19">#REF!</definedName>
    <definedName name="suttapln1" localSheetId="18">#REF!</definedName>
    <definedName name="suttapln1">#REF!</definedName>
    <definedName name="suttapln2" localSheetId="8">#REF!</definedName>
    <definedName name="suttapln2" localSheetId="12">#REF!</definedName>
    <definedName name="suttapln2" localSheetId="21">#REF!</definedName>
    <definedName name="suttapln2" localSheetId="23">#REF!</definedName>
    <definedName name="suttapln2" localSheetId="20">#REF!</definedName>
    <definedName name="suttapln2" localSheetId="22">#REF!</definedName>
    <definedName name="suttapln2" localSheetId="19">#REF!</definedName>
    <definedName name="suttapln2" localSheetId="18">#REF!</definedName>
    <definedName name="suttapln2">#REF!</definedName>
    <definedName name="suttapln3" localSheetId="8">#REF!</definedName>
    <definedName name="suttapln3" localSheetId="12">#REF!</definedName>
    <definedName name="suttapln3" localSheetId="21">#REF!</definedName>
    <definedName name="suttapln3" localSheetId="23">#REF!</definedName>
    <definedName name="suttapln3" localSheetId="20">#REF!</definedName>
    <definedName name="suttapln3" localSheetId="22">#REF!</definedName>
    <definedName name="suttapln3" localSheetId="19">#REF!</definedName>
    <definedName name="suttapln3" localSheetId="18">#REF!</definedName>
    <definedName name="suttapln3">#REF!</definedName>
    <definedName name="suttapln4" localSheetId="8">#REF!</definedName>
    <definedName name="suttapln4" localSheetId="12">#REF!</definedName>
    <definedName name="suttapln4" localSheetId="21">#REF!</definedName>
    <definedName name="suttapln4" localSheetId="23">#REF!</definedName>
    <definedName name="suttapln4" localSheetId="20">#REF!</definedName>
    <definedName name="suttapln4" localSheetId="22">#REF!</definedName>
    <definedName name="suttapln4" localSheetId="19">#REF!</definedName>
    <definedName name="suttapln4" localSheetId="18">#REF!</definedName>
    <definedName name="suttapln4">#REF!</definedName>
    <definedName name="suttsla2" localSheetId="8">#REF!</definedName>
    <definedName name="suttsla2" localSheetId="12">#REF!</definedName>
    <definedName name="suttsla2" localSheetId="21">#REF!</definedName>
    <definedName name="suttsla2" localSheetId="23">#REF!</definedName>
    <definedName name="suttsla2" localSheetId="20">#REF!</definedName>
    <definedName name="suttsla2" localSheetId="22">#REF!</definedName>
    <definedName name="suttsla2" localSheetId="19">#REF!</definedName>
    <definedName name="suttsla2" localSheetId="18">#REF!</definedName>
    <definedName name="suttsla2">#REF!</definedName>
    <definedName name="suttsla4" localSheetId="8">#REF!</definedName>
    <definedName name="suttsla4" localSheetId="12">#REF!</definedName>
    <definedName name="suttsla4" localSheetId="21">#REF!</definedName>
    <definedName name="suttsla4" localSheetId="23">#REF!</definedName>
    <definedName name="suttsla4" localSheetId="20">#REF!</definedName>
    <definedName name="suttsla4" localSheetId="22">#REF!</definedName>
    <definedName name="suttsla4" localSheetId="19">#REF!</definedName>
    <definedName name="suttsla4" localSheetId="18">#REF!</definedName>
    <definedName name="suttsla4">#REF!</definedName>
    <definedName name="T" localSheetId="8">#REF!</definedName>
    <definedName name="T" localSheetId="12">#REF!</definedName>
    <definedName name="T" localSheetId="21">#REF!</definedName>
    <definedName name="T" localSheetId="23">#REF!</definedName>
    <definedName name="T" localSheetId="20">#REF!</definedName>
    <definedName name="T" localSheetId="22">#REF!</definedName>
    <definedName name="T" localSheetId="19">#REF!</definedName>
    <definedName name="T" localSheetId="18">#REF!</definedName>
    <definedName name="T">#REF!</definedName>
    <definedName name="TA">#REF!</definedName>
    <definedName name="tabel1" localSheetId="8">#REF!</definedName>
    <definedName name="tabel1" localSheetId="12">#REF!</definedName>
    <definedName name="tabel1" localSheetId="21">#REF!</definedName>
    <definedName name="tabel1" localSheetId="23">#REF!</definedName>
    <definedName name="tabel1" localSheetId="20">#REF!</definedName>
    <definedName name="tabel1" localSheetId="22">#REF!</definedName>
    <definedName name="tabel1" localSheetId="19">#REF!</definedName>
    <definedName name="tabel1" localSheetId="18">#REF!</definedName>
    <definedName name="tabel1" localSheetId="5">#REF!</definedName>
    <definedName name="tabel1">#REF!</definedName>
    <definedName name="tabel2" localSheetId="8">#REF!</definedName>
    <definedName name="tabel2" localSheetId="12">#REF!</definedName>
    <definedName name="tabel2" localSheetId="21">#REF!</definedName>
    <definedName name="tabel2" localSheetId="23">#REF!</definedName>
    <definedName name="tabel2" localSheetId="20">#REF!</definedName>
    <definedName name="tabel2" localSheetId="22">#REF!</definedName>
    <definedName name="tabel2" localSheetId="19">#REF!</definedName>
    <definedName name="tabel2" localSheetId="18">#REF!</definedName>
    <definedName name="tabel2" localSheetId="5">#REF!</definedName>
    <definedName name="tabel2">#REF!</definedName>
    <definedName name="tabel3" localSheetId="8">#REF!</definedName>
    <definedName name="tabel3" localSheetId="12">#REF!</definedName>
    <definedName name="tabel3" localSheetId="21">#REF!</definedName>
    <definedName name="tabel3" localSheetId="23">#REF!</definedName>
    <definedName name="tabel3" localSheetId="20">#REF!</definedName>
    <definedName name="tabel3" localSheetId="22">#REF!</definedName>
    <definedName name="tabel3" localSheetId="19">#REF!</definedName>
    <definedName name="tabel3" localSheetId="18">#REF!</definedName>
    <definedName name="tabel3" localSheetId="5">#REF!</definedName>
    <definedName name="tabel3">#REF!</definedName>
    <definedName name="Tabel4" localSheetId="8">#REF!</definedName>
    <definedName name="Tabel4" localSheetId="12">#REF!</definedName>
    <definedName name="Tabel4" localSheetId="21">#REF!</definedName>
    <definedName name="Tabel4" localSheetId="23">#REF!</definedName>
    <definedName name="Tabel4" localSheetId="20">#REF!</definedName>
    <definedName name="Tabel4" localSheetId="22">#REF!</definedName>
    <definedName name="Tabel4" localSheetId="19">#REF!</definedName>
    <definedName name="Tabel4" localSheetId="18">#REF!</definedName>
    <definedName name="Tabel4">#REF!</definedName>
    <definedName name="tah">#REF!</definedName>
    <definedName name="Tahun">#REF!</definedName>
    <definedName name="TahunR" localSheetId="8">#REF!</definedName>
    <definedName name="TahunR" localSheetId="12">#REF!</definedName>
    <definedName name="TahunR" localSheetId="21">#REF!</definedName>
    <definedName name="TahunR" localSheetId="23">#REF!</definedName>
    <definedName name="TahunR" localSheetId="20">#REF!</definedName>
    <definedName name="TahunR" localSheetId="22">#REF!</definedName>
    <definedName name="TahunR" localSheetId="19">#REF!</definedName>
    <definedName name="TahunR" localSheetId="18">#REF!</definedName>
    <definedName name="TahunR" localSheetId="5">#REF!</definedName>
    <definedName name="TahunR">#REF!</definedName>
    <definedName name="TambahAT" localSheetId="8">#REF!</definedName>
    <definedName name="TambahAT" localSheetId="12">#REF!</definedName>
    <definedName name="TambahAT" localSheetId="21">#REF!</definedName>
    <definedName name="TambahAT" localSheetId="23">#REF!</definedName>
    <definedName name="TambahAT" localSheetId="20">#REF!</definedName>
    <definedName name="TambahAT" localSheetId="22">#REF!</definedName>
    <definedName name="TambahAT" localSheetId="19">#REF!</definedName>
    <definedName name="TambahAT" localSheetId="18">#REF!</definedName>
    <definedName name="TambahAT" localSheetId="5">#REF!</definedName>
    <definedName name="TambahAT">#REF!</definedName>
    <definedName name="TARGET_USAHA" localSheetId="8">#REF!</definedName>
    <definedName name="TARGET_USAHA" localSheetId="12">#REF!</definedName>
    <definedName name="TARGET_USAHA" localSheetId="21">#REF!</definedName>
    <definedName name="TARGET_USAHA" localSheetId="23">#REF!</definedName>
    <definedName name="TARGET_USAHA" localSheetId="20">#REF!</definedName>
    <definedName name="TARGET_USAHA" localSheetId="22">#REF!</definedName>
    <definedName name="TARGET_USAHA" localSheetId="19">#REF!</definedName>
    <definedName name="TARGET_USAHA" localSheetId="18">#REF!</definedName>
    <definedName name="TARGET_USAHA" localSheetId="5">#REF!</definedName>
    <definedName name="TARGET_USAHA">#REF!</definedName>
    <definedName name="tarif" localSheetId="8">#REF!</definedName>
    <definedName name="tarif" localSheetId="12">#REF!</definedName>
    <definedName name="tarif" localSheetId="21">#REF!</definedName>
    <definedName name="tarif" localSheetId="23">#REF!</definedName>
    <definedName name="tarif" localSheetId="20">#REF!</definedName>
    <definedName name="tarif" localSheetId="22">#REF!</definedName>
    <definedName name="tarif" localSheetId="19">#REF!</definedName>
    <definedName name="tarif" localSheetId="18">#REF!</definedName>
    <definedName name="tarif">#REF!</definedName>
    <definedName name="TaxTV">10%</definedName>
    <definedName name="TaxXL">5%</definedName>
    <definedName name="tay" localSheetId="8">#REF!</definedName>
    <definedName name="tay" localSheetId="12">#REF!</definedName>
    <definedName name="tay" localSheetId="21">#REF!</definedName>
    <definedName name="tay" localSheetId="23">#REF!</definedName>
    <definedName name="tay" localSheetId="20">#REF!</definedName>
    <definedName name="tay" localSheetId="22">#REF!</definedName>
    <definedName name="tay" localSheetId="19">#REF!</definedName>
    <definedName name="tay" localSheetId="18">#REF!</definedName>
    <definedName name="tay" localSheetId="5">#REF!</definedName>
    <definedName name="tay">#REF!</definedName>
    <definedName name="TESTBAT">#REF!</definedName>
    <definedName name="testrelay">#REF!</definedName>
    <definedName name="TextRefCopy1">#REF!</definedName>
    <definedName name="TextRefCopyRangeCount" hidden="1">1</definedName>
    <definedName name="TGLLAP" localSheetId="8">#REF!</definedName>
    <definedName name="TGLLAP" localSheetId="21">#REF!</definedName>
    <definedName name="TGLLAP" localSheetId="23">#REF!</definedName>
    <definedName name="TGLLAP" localSheetId="20">#REF!</definedName>
    <definedName name="TGLLAP" localSheetId="22">#REF!</definedName>
    <definedName name="TGLLAP" localSheetId="19">#REF!</definedName>
    <definedName name="TGLLAP" localSheetId="5">#REF!</definedName>
    <definedName name="TGLLAP">#REF!</definedName>
    <definedName name="TGLLAP2" localSheetId="8">#REF!</definedName>
    <definedName name="TGLLAP2" localSheetId="21">#REF!</definedName>
    <definedName name="TGLLAP2" localSheetId="23">#REF!</definedName>
    <definedName name="TGLLAP2" localSheetId="20">#REF!</definedName>
    <definedName name="TGLLAP2" localSheetId="22">#REF!</definedName>
    <definedName name="TGLLAP2" localSheetId="19">#REF!</definedName>
    <definedName name="TGLLAP2" localSheetId="5">#REF!</definedName>
    <definedName name="TGLLAP2">#REF!</definedName>
    <definedName name="TGLREKAP" localSheetId="8">#REF!</definedName>
    <definedName name="TGLREKAP" localSheetId="21">#REF!</definedName>
    <definedName name="TGLREKAP" localSheetId="23">#REF!</definedName>
    <definedName name="TGLREKAP" localSheetId="20">#REF!</definedName>
    <definedName name="TGLREKAP" localSheetId="22">#REF!</definedName>
    <definedName name="TGLREKAP" localSheetId="19">#REF!</definedName>
    <definedName name="TGLREKAP" localSheetId="5">#REF!</definedName>
    <definedName name="TGLREKAP">#REF!</definedName>
    <definedName name="TH" localSheetId="8">#REF!</definedName>
    <definedName name="TH" localSheetId="12">#REF!</definedName>
    <definedName name="TH" localSheetId="21">#REF!</definedName>
    <definedName name="TH" localSheetId="23">#REF!</definedName>
    <definedName name="TH" localSheetId="20">#REF!</definedName>
    <definedName name="TH" localSheetId="22">#REF!</definedName>
    <definedName name="TH" localSheetId="19">#REF!</definedName>
    <definedName name="TH" localSheetId="18">#REF!</definedName>
    <definedName name="TH" localSheetId="5">#REF!</definedName>
    <definedName name="TH">#REF!</definedName>
    <definedName name="TKWH" localSheetId="8">#REF!</definedName>
    <definedName name="TKWH" localSheetId="21">#REF!</definedName>
    <definedName name="TKWH" localSheetId="23">#REF!</definedName>
    <definedName name="TKWH" localSheetId="20">#REF!</definedName>
    <definedName name="TKWH" localSheetId="22">#REF!</definedName>
    <definedName name="TKWH" localSheetId="19">#REF!</definedName>
    <definedName name="TKWH" localSheetId="5">#REF!</definedName>
    <definedName name="TKWH">#REF!</definedName>
    <definedName name="TKWH1" localSheetId="8">#REF!</definedName>
    <definedName name="TKWH1" localSheetId="21">#REF!</definedName>
    <definedName name="TKWH1" localSheetId="23">#REF!</definedName>
    <definedName name="TKWH1" localSheetId="20">#REF!</definedName>
    <definedName name="TKWH1" localSheetId="22">#REF!</definedName>
    <definedName name="TKWH1" localSheetId="19">#REF!</definedName>
    <definedName name="TKWH1" localSheetId="5">#REF!</definedName>
    <definedName name="TKWH1">#REF!</definedName>
    <definedName name="TOOLS" localSheetId="8">#REF!</definedName>
    <definedName name="TOOLS" localSheetId="12">#REF!</definedName>
    <definedName name="TOOLS" localSheetId="21">#REF!</definedName>
    <definedName name="TOOLS" localSheetId="23">#REF!</definedName>
    <definedName name="TOOLS" localSheetId="20">#REF!</definedName>
    <definedName name="TOOLS" localSheetId="22">#REF!</definedName>
    <definedName name="TOOLS" localSheetId="19">#REF!</definedName>
    <definedName name="TOOLS" localSheetId="18">#REF!</definedName>
    <definedName name="TOOLS" localSheetId="5">#REF!</definedName>
    <definedName name="TOOLS">#REF!</definedName>
    <definedName name="TOT" localSheetId="8">#REF!</definedName>
    <definedName name="TOT" localSheetId="12">#REF!</definedName>
    <definedName name="TOT" localSheetId="21">#REF!</definedName>
    <definedName name="TOT" localSheetId="23">#REF!</definedName>
    <definedName name="TOT" localSheetId="20">#REF!</definedName>
    <definedName name="TOT" localSheetId="22">#REF!</definedName>
    <definedName name="TOT" localSheetId="19">#REF!</definedName>
    <definedName name="TOT" localSheetId="18">#REF!</definedName>
    <definedName name="TOT" localSheetId="5">#REF!</definedName>
    <definedName name="TOT">#REF!</definedName>
    <definedName name="Total" localSheetId="12">#REF!</definedName>
    <definedName name="Total" localSheetId="21">#REF!</definedName>
    <definedName name="Total" localSheetId="23">#REF!</definedName>
    <definedName name="Total" localSheetId="20">#REF!</definedName>
    <definedName name="Total" localSheetId="22">#REF!</definedName>
    <definedName name="Total" localSheetId="19">#REF!</definedName>
    <definedName name="Total" localSheetId="18">#REF!</definedName>
    <definedName name="TotalkVarhEx" localSheetId="12">#REF!</definedName>
    <definedName name="TotalkVarhEx" localSheetId="21">#REF!</definedName>
    <definedName name="TotalkVarhEx" localSheetId="23">#REF!</definedName>
    <definedName name="TotalkVarhEx" localSheetId="20">#REF!</definedName>
    <definedName name="TotalkVarhEx" localSheetId="22">#REF!</definedName>
    <definedName name="TotalkVarhEx" localSheetId="19">#REF!</definedName>
    <definedName name="TotalkVarhEx" localSheetId="18">#REF!</definedName>
    <definedName name="TotalkVarhIm" localSheetId="12">#REF!</definedName>
    <definedName name="TotalkVarhIm" localSheetId="21">#REF!</definedName>
    <definedName name="TotalkVarhIm" localSheetId="23">#REF!</definedName>
    <definedName name="TotalkVarhIm" localSheetId="20">#REF!</definedName>
    <definedName name="TotalkVarhIm" localSheetId="22">#REF!</definedName>
    <definedName name="TotalkVarhIm" localSheetId="19">#REF!</definedName>
    <definedName name="TotalkVarhIm" localSheetId="18">#REF!</definedName>
    <definedName name="TotalkWhEx">#REF!</definedName>
    <definedName name="TotalkWhIm">#REF!</definedName>
    <definedName name="TPLG" localSheetId="8">#REF!</definedName>
    <definedName name="TPLG" localSheetId="21">#REF!</definedName>
    <definedName name="TPLG" localSheetId="23">#REF!</definedName>
    <definedName name="TPLG" localSheetId="20">#REF!</definedName>
    <definedName name="TPLG" localSheetId="22">#REF!</definedName>
    <definedName name="TPLG" localSheetId="19">#REF!</definedName>
    <definedName name="TPLG" localSheetId="5">#REF!</definedName>
    <definedName name="TPLG">#REF!</definedName>
    <definedName name="TPLG1" localSheetId="8">#REF!</definedName>
    <definedName name="TPLG1" localSheetId="21">#REF!</definedName>
    <definedName name="TPLG1" localSheetId="23">#REF!</definedName>
    <definedName name="TPLG1" localSheetId="20">#REF!</definedName>
    <definedName name="TPLG1" localSheetId="22">#REF!</definedName>
    <definedName name="TPLG1" localSheetId="19">#REF!</definedName>
    <definedName name="TPLG1" localSheetId="5">#REF!</definedName>
    <definedName name="TPLG1">#REF!</definedName>
    <definedName name="translate" localSheetId="8">#REF!</definedName>
    <definedName name="translate" localSheetId="12">#REF!</definedName>
    <definedName name="translate" localSheetId="21">#REF!</definedName>
    <definedName name="translate" localSheetId="23">#REF!</definedName>
    <definedName name="translate" localSheetId="20">#REF!</definedName>
    <definedName name="translate" localSheetId="22">#REF!</definedName>
    <definedName name="translate" localSheetId="19">#REF!</definedName>
    <definedName name="translate" localSheetId="18">#REF!</definedName>
    <definedName name="translate" localSheetId="5">#REF!</definedName>
    <definedName name="translate">#REF!</definedName>
    <definedName name="TRGT" localSheetId="8">#REF!</definedName>
    <definedName name="TRGT" localSheetId="21">#REF!</definedName>
    <definedName name="TRGT" localSheetId="23">#REF!</definedName>
    <definedName name="TRGT" localSheetId="20">#REF!</definedName>
    <definedName name="TRGT" localSheetId="22">#REF!</definedName>
    <definedName name="TRGT" localSheetId="19">#REF!</definedName>
    <definedName name="TRGT" localSheetId="5">#REF!</definedName>
    <definedName name="TRGT">#REF!</definedName>
    <definedName name="trip">#REF!</definedName>
    <definedName name="TRP" localSheetId="8">#REF!</definedName>
    <definedName name="TRP" localSheetId="21">#REF!</definedName>
    <definedName name="TRP" localSheetId="23">#REF!</definedName>
    <definedName name="TRP" localSheetId="20">#REF!</definedName>
    <definedName name="TRP" localSheetId="22">#REF!</definedName>
    <definedName name="TRP" localSheetId="19">#REF!</definedName>
    <definedName name="TRP" localSheetId="5">#REF!</definedName>
    <definedName name="TRP">#REF!</definedName>
    <definedName name="TRWE" localSheetId="8">#REF!</definedName>
    <definedName name="TRWE" localSheetId="12">#REF!</definedName>
    <definedName name="TRWE" localSheetId="21">#REF!</definedName>
    <definedName name="TRWE" localSheetId="23">#REF!</definedName>
    <definedName name="TRWE" localSheetId="20">#REF!</definedName>
    <definedName name="TRWE" localSheetId="22">#REF!</definedName>
    <definedName name="TRWE" localSheetId="19">#REF!</definedName>
    <definedName name="TRWE" localSheetId="18">#REF!</definedName>
    <definedName name="TRWE" localSheetId="5">#REF!</definedName>
    <definedName name="TRWE">#REF!</definedName>
    <definedName name="tsa" localSheetId="8">#REF!</definedName>
    <definedName name="tsa" localSheetId="12">#REF!</definedName>
    <definedName name="tsa" localSheetId="21">#REF!</definedName>
    <definedName name="tsa" localSheetId="23">#REF!</definedName>
    <definedName name="tsa" localSheetId="20">#REF!</definedName>
    <definedName name="tsa" localSheetId="22">#REF!</definedName>
    <definedName name="tsa" localSheetId="19">#REF!</definedName>
    <definedName name="tsa" localSheetId="18">#REF!</definedName>
    <definedName name="tsa" localSheetId="5">#REF!</definedName>
    <definedName name="tsa">#REF!</definedName>
    <definedName name="tu" localSheetId="8">#REF!</definedName>
    <definedName name="tu" localSheetId="12">#REF!</definedName>
    <definedName name="tu" localSheetId="21">#REF!</definedName>
    <definedName name="tu" localSheetId="23">#REF!</definedName>
    <definedName name="tu" localSheetId="20">#REF!</definedName>
    <definedName name="tu" localSheetId="22">#REF!</definedName>
    <definedName name="tu" localSheetId="19">#REF!</definedName>
    <definedName name="tu" localSheetId="18">#REF!</definedName>
    <definedName name="tu" localSheetId="5">#REF!</definedName>
    <definedName name="tu">#REF!</definedName>
    <definedName name="tumbuh" localSheetId="8">#REF!</definedName>
    <definedName name="tumbuh" localSheetId="12">#REF!</definedName>
    <definedName name="tumbuh" localSheetId="21">#REF!</definedName>
    <definedName name="tumbuh" localSheetId="23">#REF!</definedName>
    <definedName name="tumbuh" localSheetId="20">#REF!</definedName>
    <definedName name="tumbuh" localSheetId="22">#REF!</definedName>
    <definedName name="tumbuh" localSheetId="19">#REF!</definedName>
    <definedName name="tumbuh" localSheetId="18">#REF!</definedName>
    <definedName name="tumbuh">#REF!</definedName>
    <definedName name="TVA" localSheetId="8">#REF!</definedName>
    <definedName name="TVA" localSheetId="21">#REF!</definedName>
    <definedName name="TVA" localSheetId="23">#REF!</definedName>
    <definedName name="TVA" localSheetId="20">#REF!</definedName>
    <definedName name="TVA" localSheetId="22">#REF!</definedName>
    <definedName name="TVA" localSheetId="19">#REF!</definedName>
    <definedName name="TVA" localSheetId="5">#REF!</definedName>
    <definedName name="TVA">#REF!</definedName>
    <definedName name="tws">#REF!</definedName>
    <definedName name="ujl" localSheetId="8">#REF!</definedName>
    <definedName name="ujl" localSheetId="12">#REF!</definedName>
    <definedName name="ujl" localSheetId="21">#REF!</definedName>
    <definedName name="ujl" localSheetId="23">#REF!</definedName>
    <definedName name="ujl" localSheetId="20">#REF!</definedName>
    <definedName name="ujl" localSheetId="22">#REF!</definedName>
    <definedName name="ujl" localSheetId="19">#REF!</definedName>
    <definedName name="ujl" localSheetId="18">#REF!</definedName>
    <definedName name="ujl" localSheetId="5">#REF!</definedName>
    <definedName name="ujl">#REF!</definedName>
    <definedName name="ULANG" localSheetId="8">#REF!</definedName>
    <definedName name="ULANG" localSheetId="12">#REF!</definedName>
    <definedName name="ULANG" localSheetId="21">#REF!</definedName>
    <definedName name="ULANG" localSheetId="23">#REF!</definedName>
    <definedName name="ULANG" localSheetId="20">#REF!</definedName>
    <definedName name="ULANG" localSheetId="22">#REF!</definedName>
    <definedName name="ULANG" localSheetId="19">#REF!</definedName>
    <definedName name="ULANG" localSheetId="18">#REF!</definedName>
    <definedName name="ULANG" localSheetId="5">#REF!</definedName>
    <definedName name="ULANG">#REF!</definedName>
    <definedName name="UNITBB" localSheetId="8">#REF!</definedName>
    <definedName name="UNITBB" localSheetId="21">#REF!</definedName>
    <definedName name="UNITBB" localSheetId="23">#REF!</definedName>
    <definedName name="UNITBB" localSheetId="20">#REF!</definedName>
    <definedName name="UNITBB" localSheetId="22">#REF!</definedName>
    <definedName name="UNITBB" localSheetId="19">#REF!</definedName>
    <definedName name="UNITBB" localSheetId="5">#REF!</definedName>
    <definedName name="UNITBB">#REF!</definedName>
    <definedName name="UnitBina">#REF!</definedName>
    <definedName name="UNITRH" localSheetId="8">#REF!</definedName>
    <definedName name="UNITRH" localSheetId="21">#REF!</definedName>
    <definedName name="UNITRH" localSheetId="23">#REF!</definedName>
    <definedName name="UNITRH" localSheetId="20">#REF!</definedName>
    <definedName name="UNITRH" localSheetId="22">#REF!</definedName>
    <definedName name="UNITRH" localSheetId="19">#REF!</definedName>
    <definedName name="UNITRH" localSheetId="5">#REF!</definedName>
    <definedName name="UNITRH">#REF!</definedName>
    <definedName name="UNITS">#REF!</definedName>
    <definedName name="UNITWW" localSheetId="8">#REF!</definedName>
    <definedName name="UNITWW" localSheetId="21">#REF!</definedName>
    <definedName name="UNITWW" localSheetId="23">#REF!</definedName>
    <definedName name="UNITWW" localSheetId="20">#REF!</definedName>
    <definedName name="UNITWW" localSheetId="22">#REF!</definedName>
    <definedName name="UNITWW" localSheetId="19">#REF!</definedName>
    <definedName name="UNITWW" localSheetId="5">#REF!</definedName>
    <definedName name="UNITWW">#REF!</definedName>
    <definedName name="UPC">#REF!</definedName>
    <definedName name="UPD">#REF!</definedName>
    <definedName name="UPI">#REF!</definedName>
    <definedName name="UPRP">#REF!</definedName>
    <definedName name="USD" localSheetId="12">#REF!</definedName>
    <definedName name="USD" localSheetId="21">#REF!</definedName>
    <definedName name="USD" localSheetId="23">#REF!</definedName>
    <definedName name="USD" localSheetId="20">#REF!</definedName>
    <definedName name="USD" localSheetId="22">#REF!</definedName>
    <definedName name="USD" localSheetId="19">#REF!</definedName>
    <definedName name="USD" localSheetId="18">#REF!</definedName>
    <definedName name="USD">#REF!</definedName>
    <definedName name="UTYUE" localSheetId="8">#REF!</definedName>
    <definedName name="UTYUE" localSheetId="12">#REF!</definedName>
    <definedName name="UTYUE" localSheetId="21">#REF!</definedName>
    <definedName name="UTYUE" localSheetId="23">#REF!</definedName>
    <definedName name="UTYUE" localSheetId="20">#REF!</definedName>
    <definedName name="UTYUE" localSheetId="22">#REF!</definedName>
    <definedName name="UTYUE" localSheetId="19">#REF!</definedName>
    <definedName name="UTYUE" localSheetId="18">#REF!</definedName>
    <definedName name="UTYUE" localSheetId="5">#REF!</definedName>
    <definedName name="UTYUE">#REF!</definedName>
    <definedName name="w" localSheetId="8">#REF!</definedName>
    <definedName name="w" localSheetId="12">#REF!</definedName>
    <definedName name="w" localSheetId="21">#REF!</definedName>
    <definedName name="w" localSheetId="23">#REF!</definedName>
    <definedName name="w" localSheetId="20">#REF!</definedName>
    <definedName name="w" localSheetId="22">#REF!</definedName>
    <definedName name="w" localSheetId="19">#REF!</definedName>
    <definedName name="w" localSheetId="18">#REF!</definedName>
    <definedName name="w" localSheetId="5">#REF!</definedName>
    <definedName name="w">#REF!</definedName>
    <definedName name="Wilayah">#REF!</definedName>
    <definedName name="WINDUAN_KE">#REF!</definedName>
    <definedName name="XXX" localSheetId="8">#REF!</definedName>
    <definedName name="XXX" localSheetId="21">#REF!</definedName>
    <definedName name="XXX" localSheetId="23">#REF!</definedName>
    <definedName name="XXX" localSheetId="20">#REF!</definedName>
    <definedName name="XXX" localSheetId="22">#REF!</definedName>
    <definedName name="XXX" localSheetId="19">#REF!</definedName>
    <definedName name="XXX" localSheetId="5">#REF!</definedName>
    <definedName name="XXX">#REF!</definedName>
    <definedName name="Y" localSheetId="8">#REF!</definedName>
    <definedName name="Y" localSheetId="12">#REF!</definedName>
    <definedName name="Y" localSheetId="21">#REF!</definedName>
    <definedName name="Y" localSheetId="23">#REF!</definedName>
    <definedName name="Y" localSheetId="20">#REF!</definedName>
    <definedName name="Y" localSheetId="22">#REF!</definedName>
    <definedName name="Y" localSheetId="19">#REF!</definedName>
    <definedName name="Y" localSheetId="18">#REF!</definedName>
    <definedName name="Y" localSheetId="5">#REF!</definedName>
    <definedName name="Y">#REF!</definedName>
    <definedName name="YERYY" localSheetId="8">#REF!</definedName>
    <definedName name="YERYY" localSheetId="12">#REF!</definedName>
    <definedName name="YERYY" localSheetId="21">#REF!</definedName>
    <definedName name="YERYY" localSheetId="23">#REF!</definedName>
    <definedName name="YERYY" localSheetId="20">#REF!</definedName>
    <definedName name="YERYY" localSheetId="22">#REF!</definedName>
    <definedName name="YERYY" localSheetId="19">#REF!</definedName>
    <definedName name="YERYY" localSheetId="18">#REF!</definedName>
    <definedName name="YERYY" localSheetId="5">#REF!</definedName>
    <definedName name="YERYY">#REF!</definedName>
    <definedName name="YYY" localSheetId="8">#REF!</definedName>
    <definedName name="YYY" localSheetId="21">#REF!</definedName>
    <definedName name="YYY" localSheetId="23">#REF!</definedName>
    <definedName name="YYY" localSheetId="20">#REF!</definedName>
    <definedName name="YYY" localSheetId="22">#REF!</definedName>
    <definedName name="YYY" localSheetId="19">#REF!</definedName>
    <definedName name="YYY" localSheetId="5">#REF!</definedName>
    <definedName name="YYY">#REF!</definedName>
    <definedName name="Z" localSheetId="8">#REF!</definedName>
    <definedName name="Z" localSheetId="12">#REF!</definedName>
    <definedName name="Z" localSheetId="21">#REF!</definedName>
    <definedName name="Z" localSheetId="23">#REF!</definedName>
    <definedName name="Z" localSheetId="20">#REF!</definedName>
    <definedName name="Z" localSheetId="22">#REF!</definedName>
    <definedName name="Z" localSheetId="19">#REF!</definedName>
    <definedName name="Z" localSheetId="18">#REF!</definedName>
    <definedName name="Z" localSheetId="5">#REF!</definedName>
    <definedName name="Z">#REF!</definedName>
    <definedName name="zone_saisie">#REF!,#REF!,#REF!,#REF!,#REF!</definedName>
    <definedName name="zz" localSheetId="8">#REF!</definedName>
    <definedName name="zz" localSheetId="12">#REF!</definedName>
    <definedName name="zz" localSheetId="21">#REF!</definedName>
    <definedName name="zz" localSheetId="23">#REF!</definedName>
    <definedName name="zz" localSheetId="20">#REF!</definedName>
    <definedName name="zz" localSheetId="22">#REF!</definedName>
    <definedName name="zz" localSheetId="19">#REF!</definedName>
    <definedName name="zz" localSheetId="18">#REF!</definedName>
    <definedName name="zz" localSheetId="5">#REF!</definedName>
    <definedName name="z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8" l="1"/>
  <c r="Q52" i="138"/>
  <c r="P52" i="138"/>
  <c r="O52" i="138"/>
  <c r="N52" i="138"/>
  <c r="M52" i="138"/>
  <c r="L52" i="138"/>
  <c r="K52" i="138"/>
  <c r="J52" i="138"/>
  <c r="I52" i="138"/>
  <c r="H52" i="138"/>
  <c r="G52" i="138"/>
  <c r="E53" i="138" a="1"/>
  <c r="E53" i="138" s="1"/>
  <c r="C53" i="138" a="1"/>
  <c r="C53" i="138" s="1"/>
  <c r="B53" i="138" a="1"/>
  <c r="B53" i="138" s="1"/>
  <c r="A53" i="138" a="1"/>
  <c r="A53" i="138" s="1"/>
  <c r="C34" i="35"/>
  <c r="A4" i="138" a="1"/>
  <c r="E16" i="21"/>
  <c r="E17" i="21"/>
  <c r="AZ44" i="138"/>
  <c r="AZ43" i="138"/>
  <c r="AZ42" i="138"/>
  <c r="AZ41" i="138"/>
  <c r="AZ36" i="138"/>
  <c r="AZ35" i="138"/>
  <c r="AZ34" i="138"/>
  <c r="AZ33" i="138"/>
  <c r="AZ32" i="138"/>
  <c r="AZ31" i="138"/>
  <c r="AZ30" i="138"/>
  <c r="AZ29" i="138"/>
  <c r="AZ22" i="138"/>
  <c r="AZ21" i="138"/>
  <c r="AZ20" i="138"/>
  <c r="AZ19" i="138"/>
  <c r="AZ18" i="138"/>
  <c r="AZ17" i="138"/>
  <c r="AZ16" i="138"/>
  <c r="AZ15" i="138"/>
  <c r="AZ14" i="138"/>
  <c r="AZ13" i="138"/>
  <c r="AZ12" i="138"/>
  <c r="AZ11" i="138"/>
  <c r="AZ10" i="138"/>
  <c r="AZ9" i="138"/>
  <c r="AZ8" i="138"/>
  <c r="AZ7" i="138"/>
  <c r="AZ6" i="138"/>
  <c r="AZ5" i="138"/>
  <c r="BL3" i="138"/>
  <c r="BK3" i="138"/>
  <c r="BJ3" i="138"/>
  <c r="BI3" i="138"/>
  <c r="BH3" i="138"/>
  <c r="BG3" i="138"/>
  <c r="BF3" i="138"/>
  <c r="BE3" i="138"/>
  <c r="BD3" i="138"/>
  <c r="BC3" i="138"/>
  <c r="BB3" i="138"/>
  <c r="BA3" i="138"/>
  <c r="AV3" i="138"/>
  <c r="AU3" i="138"/>
  <c r="AT3" i="138"/>
  <c r="AS3" i="138"/>
  <c r="AR3" i="138"/>
  <c r="AQ3" i="138"/>
  <c r="AP3" i="138"/>
  <c r="AO3" i="138"/>
  <c r="AN3" i="138"/>
  <c r="AM3" i="138"/>
  <c r="AL3" i="138"/>
  <c r="AK3" i="138"/>
  <c r="AG3" i="138"/>
  <c r="AF3" i="138"/>
  <c r="AE3" i="138"/>
  <c r="AD3" i="138"/>
  <c r="AC3" i="138"/>
  <c r="AB3" i="138"/>
  <c r="AA3" i="138"/>
  <c r="Z3" i="138"/>
  <c r="Y3" i="138"/>
  <c r="X3" i="138"/>
  <c r="W3" i="138"/>
  <c r="V3" i="138"/>
  <c r="AN14" i="140"/>
  <c r="AN13" i="140"/>
  <c r="AN12" i="140"/>
  <c r="AN11" i="140"/>
  <c r="AN10" i="140"/>
  <c r="AN9" i="140"/>
  <c r="AN8" i="140"/>
  <c r="AN7" i="140"/>
  <c r="AN6" i="140"/>
  <c r="AN5" i="140"/>
  <c r="AN4" i="140"/>
  <c r="AN3" i="140"/>
  <c r="BP3" i="138"/>
  <c r="R3" i="138"/>
  <c r="Q3" i="138"/>
  <c r="P3" i="138"/>
  <c r="O3" i="138"/>
  <c r="N3" i="138"/>
  <c r="M3" i="138"/>
  <c r="L3" i="138"/>
  <c r="K3" i="138"/>
  <c r="J3" i="138"/>
  <c r="I3" i="138"/>
  <c r="H3" i="138"/>
  <c r="G3" i="138"/>
  <c r="AP220" i="83"/>
  <c r="AP218" i="83"/>
  <c r="AP212" i="83"/>
  <c r="AP213" i="83"/>
  <c r="AP214" i="83"/>
  <c r="AP215" i="83"/>
  <c r="AP216" i="83"/>
  <c r="AA42" i="82"/>
  <c r="AA39" i="82"/>
  <c r="AA36" i="82"/>
  <c r="AA33" i="82"/>
  <c r="AA30" i="82"/>
  <c r="W4" i="138" l="1" a="1"/>
  <c r="W4" i="138" s="1"/>
  <c r="X4" i="138" a="1"/>
  <c r="X4" i="138" s="1"/>
  <c r="AG4" i="138" a="1"/>
  <c r="AG4" i="138" s="1"/>
  <c r="Y4" i="138" a="1"/>
  <c r="Y4" i="138" s="1"/>
  <c r="Z4" i="138" a="1"/>
  <c r="Z4" i="138" s="1"/>
  <c r="AA4" i="138" a="1"/>
  <c r="AA4" i="138" s="1"/>
  <c r="AB4" i="138" a="1"/>
  <c r="AB4" i="138" s="1"/>
  <c r="I4" i="138" a="1"/>
  <c r="I4" i="138" s="1"/>
  <c r="O4" i="138" a="1"/>
  <c r="O4" i="138" s="1"/>
  <c r="A4" i="138"/>
  <c r="R4" i="138" s="1" a="1"/>
  <c r="R4" i="138" s="1"/>
  <c r="B4" i="138" a="1"/>
  <c r="AI189" i="83"/>
  <c r="AJ189" i="83"/>
  <c r="AK189" i="83"/>
  <c r="AL189" i="83"/>
  <c r="AM189" i="83"/>
  <c r="AN189" i="83"/>
  <c r="AO189" i="83"/>
  <c r="AP189" i="83"/>
  <c r="AQ189" i="83"/>
  <c r="AR189" i="83"/>
  <c r="AS189" i="83"/>
  <c r="AH189" i="83"/>
  <c r="AO331" i="83"/>
  <c r="X152" i="82"/>
  <c r="AD4" i="138" l="1" a="1"/>
  <c r="AS41" i="138" s="1"/>
  <c r="BI41" i="138" s="1"/>
  <c r="V4" i="138" a="1"/>
  <c r="AL34" i="138"/>
  <c r="BB34" i="138" s="1"/>
  <c r="AQ34" i="138"/>
  <c r="BG34" i="138" s="1"/>
  <c r="AP34" i="138"/>
  <c r="BF34" i="138" s="1"/>
  <c r="AO34" i="138"/>
  <c r="BE34" i="138" s="1"/>
  <c r="AV34" i="138"/>
  <c r="BL34" i="138" s="1"/>
  <c r="AN34" i="138"/>
  <c r="BD34" i="138" s="1"/>
  <c r="AF4" i="138" a="1"/>
  <c r="AE4" i="138" a="1"/>
  <c r="AM34" i="138"/>
  <c r="BC34" i="138" s="1"/>
  <c r="AC4" i="138" a="1"/>
  <c r="AS32" i="138"/>
  <c r="BI32" i="138" s="1"/>
  <c r="AM36" i="138"/>
  <c r="BC36" i="138" s="1"/>
  <c r="B4" i="138"/>
  <c r="C4" i="138" a="1"/>
  <c r="N4" i="138" a="1"/>
  <c r="AR7" i="138" s="1"/>
  <c r="BH7" i="138" s="1"/>
  <c r="H4" i="138" a="1"/>
  <c r="M4" i="138" a="1"/>
  <c r="AQ16" i="138" s="1"/>
  <c r="BG16" i="138" s="1"/>
  <c r="AV37" i="138"/>
  <c r="BL37" i="138" s="1"/>
  <c r="L4" i="138" a="1"/>
  <c r="K4" i="138" a="1"/>
  <c r="AO19" i="138" s="1"/>
  <c r="BE19" i="138" s="1"/>
  <c r="G4" i="138" a="1"/>
  <c r="AK6" i="138" s="1"/>
  <c r="BA6" i="138" s="1"/>
  <c r="AV29" i="138"/>
  <c r="BL29" i="138" s="1"/>
  <c r="J4" i="138" a="1"/>
  <c r="AN11" i="138" s="1"/>
  <c r="BD11" i="138" s="1"/>
  <c r="P4" i="138" a="1"/>
  <c r="Q4" i="138" a="1"/>
  <c r="AV36" i="138"/>
  <c r="BL36" i="138" s="1"/>
  <c r="AS29" i="138"/>
  <c r="BI29" i="138" s="1"/>
  <c r="AV44" i="138"/>
  <c r="BL44" i="138" s="1"/>
  <c r="AV24" i="138"/>
  <c r="BL24" i="138" s="1"/>
  <c r="AM39" i="138"/>
  <c r="BC39" i="138" s="1"/>
  <c r="AV42" i="138"/>
  <c r="BL42" i="138" s="1"/>
  <c r="AM33" i="138"/>
  <c r="BC33" i="138" s="1"/>
  <c r="AV39" i="138"/>
  <c r="BL39" i="138" s="1"/>
  <c r="AM41" i="138"/>
  <c r="BC41" i="138" s="1"/>
  <c r="AV40" i="138"/>
  <c r="BL40" i="138" s="1"/>
  <c r="AM44" i="138"/>
  <c r="BC44" i="138" s="1"/>
  <c r="AS43" i="138"/>
  <c r="BI43" i="138" s="1"/>
  <c r="AS42" i="138"/>
  <c r="BI42" i="138" s="1"/>
  <c r="AM31" i="138"/>
  <c r="BC31" i="138" s="1"/>
  <c r="AV43" i="138"/>
  <c r="BL43" i="138" s="1"/>
  <c r="AV35" i="138"/>
  <c r="BL35" i="138" s="1"/>
  <c r="AM40" i="138"/>
  <c r="BC40" i="138" s="1"/>
  <c r="AV41" i="138"/>
  <c r="BL41" i="138" s="1"/>
  <c r="AV30" i="138"/>
  <c r="BL30" i="138" s="1"/>
  <c r="AM29" i="138"/>
  <c r="BC29" i="138" s="1"/>
  <c r="AM32" i="138"/>
  <c r="BC32" i="138" s="1"/>
  <c r="AV33" i="138"/>
  <c r="BL33" i="138" s="1"/>
  <c r="AM38" i="138"/>
  <c r="BC38" i="138" s="1"/>
  <c r="AM35" i="138"/>
  <c r="BC35" i="138" s="1"/>
  <c r="AS38" i="138"/>
  <c r="BI38" i="138" s="1"/>
  <c r="AM37" i="138"/>
  <c r="BC37" i="138" s="1"/>
  <c r="AV38" i="138"/>
  <c r="BL38" i="138" s="1"/>
  <c r="AM42" i="138"/>
  <c r="BC42" i="138" s="1"/>
  <c r="AV32" i="138"/>
  <c r="BL32" i="138" s="1"/>
  <c r="AV25" i="138"/>
  <c r="BL25" i="138" s="1"/>
  <c r="AM43" i="138"/>
  <c r="BC43" i="138" s="1"/>
  <c r="AM30" i="138"/>
  <c r="BC30" i="138" s="1"/>
  <c r="AV27" i="138"/>
  <c r="BL27" i="138" s="1"/>
  <c r="AV31" i="138"/>
  <c r="BL31" i="138" s="1"/>
  <c r="AS28" i="138"/>
  <c r="BI28" i="138" s="1"/>
  <c r="AM24" i="138"/>
  <c r="BC24" i="138" s="1"/>
  <c r="AS25" i="138"/>
  <c r="BI25" i="138" s="1"/>
  <c r="AM28" i="138"/>
  <c r="BC28" i="138" s="1"/>
  <c r="AV26" i="138"/>
  <c r="BL26" i="138" s="1"/>
  <c r="AV28" i="138"/>
  <c r="BL28" i="138" s="1"/>
  <c r="AM26" i="138"/>
  <c r="BC26" i="138" s="1"/>
  <c r="AM25" i="138"/>
  <c r="BC25" i="138" s="1"/>
  <c r="AM27" i="138"/>
  <c r="BC27" i="138" s="1"/>
  <c r="AV22" i="138"/>
  <c r="BL22" i="138" s="1"/>
  <c r="AS11" i="138"/>
  <c r="AS6" i="138"/>
  <c r="BI6" i="138" s="1"/>
  <c r="AS23" i="138"/>
  <c r="BI23" i="138" s="1"/>
  <c r="AS7" i="138"/>
  <c r="AV20" i="138"/>
  <c r="BL20" i="138" s="1"/>
  <c r="AV11" i="138"/>
  <c r="BL11" i="138" s="1"/>
  <c r="AM23" i="138"/>
  <c r="BC23" i="138" s="1"/>
  <c r="AV23" i="138"/>
  <c r="BL23" i="138" s="1"/>
  <c r="AM15" i="138"/>
  <c r="BC15" i="138" s="1"/>
  <c r="AM17" i="138"/>
  <c r="BC17" i="138" s="1"/>
  <c r="AV7" i="138"/>
  <c r="BL7" i="138" s="1"/>
  <c r="AV14" i="138"/>
  <c r="BL14" i="138" s="1"/>
  <c r="AV9" i="138"/>
  <c r="BL9" i="138" s="1"/>
  <c r="AS12" i="138"/>
  <c r="BI12" i="138" s="1"/>
  <c r="AV5" i="138"/>
  <c r="BL5" i="138" s="1"/>
  <c r="AM14" i="138"/>
  <c r="BC14" i="138" s="1"/>
  <c r="AM12" i="138"/>
  <c r="BC12" i="138" s="1"/>
  <c r="AV17" i="138"/>
  <c r="BL17" i="138" s="1"/>
  <c r="AS5" i="138"/>
  <c r="BI5" i="138" s="1"/>
  <c r="AM20" i="138"/>
  <c r="BC20" i="138" s="1"/>
  <c r="AV13" i="138"/>
  <c r="BL13" i="138" s="1"/>
  <c r="AM22" i="138"/>
  <c r="BC22" i="138" s="1"/>
  <c r="AM5" i="138"/>
  <c r="BC5" i="138" s="1"/>
  <c r="AM7" i="138"/>
  <c r="BC7" i="138" s="1"/>
  <c r="AS16" i="138"/>
  <c r="BI16" i="138" s="1"/>
  <c r="AV21" i="138"/>
  <c r="BL21" i="138" s="1"/>
  <c r="AM8" i="138"/>
  <c r="BC8" i="138" s="1"/>
  <c r="AV18" i="138"/>
  <c r="BL18" i="138" s="1"/>
  <c r="AS13" i="138"/>
  <c r="BI13" i="138" s="1"/>
  <c r="AM10" i="138"/>
  <c r="BC10" i="138" s="1"/>
  <c r="AV15" i="138"/>
  <c r="BL15" i="138" s="1"/>
  <c r="AS22" i="138"/>
  <c r="BI22" i="138" s="1"/>
  <c r="AV10" i="138"/>
  <c r="BL10" i="138" s="1"/>
  <c r="AM16" i="138"/>
  <c r="BC16" i="138" s="1"/>
  <c r="AM19" i="138"/>
  <c r="BC19" i="138" s="1"/>
  <c r="AV6" i="138"/>
  <c r="BL6" i="138" s="1"/>
  <c r="AV12" i="138"/>
  <c r="BL12" i="138" s="1"/>
  <c r="AM9" i="138"/>
  <c r="BC9" i="138" s="1"/>
  <c r="AV8" i="138"/>
  <c r="BL8" i="138" s="1"/>
  <c r="AS19" i="138"/>
  <c r="BI19" i="138" s="1"/>
  <c r="AM18" i="138"/>
  <c r="BC18" i="138" s="1"/>
  <c r="AV19" i="138"/>
  <c r="BL19" i="138" s="1"/>
  <c r="AV16" i="138"/>
  <c r="BL16" i="138" s="1"/>
  <c r="AM13" i="138"/>
  <c r="BC13" i="138" s="1"/>
  <c r="AM21" i="138"/>
  <c r="BC21" i="138" s="1"/>
  <c r="AM6" i="138"/>
  <c r="BC6" i="138" s="1"/>
  <c r="AM11" i="138"/>
  <c r="BC11" i="138" s="1"/>
  <c r="V79" i="82"/>
  <c r="W79" i="82"/>
  <c r="X79" i="82"/>
  <c r="Y79" i="82"/>
  <c r="Z79" i="82"/>
  <c r="AI11" i="138" l="1"/>
  <c r="AS18" i="138"/>
  <c r="BI18" i="138" s="1"/>
  <c r="AS26" i="138"/>
  <c r="BI26" i="138" s="1"/>
  <c r="AS44" i="138"/>
  <c r="BI44" i="138" s="1"/>
  <c r="AS40" i="138"/>
  <c r="BI40" i="138" s="1"/>
  <c r="AS14" i="138"/>
  <c r="BI14" i="138" s="1"/>
  <c r="AS27" i="138"/>
  <c r="BI27" i="138" s="1"/>
  <c r="AS31" i="138"/>
  <c r="BI31" i="138" s="1"/>
  <c r="AS36" i="138"/>
  <c r="BI36" i="138" s="1"/>
  <c r="AC4" i="138"/>
  <c r="AR34" i="138"/>
  <c r="BH34" i="138" s="1"/>
  <c r="AS15" i="138"/>
  <c r="BI15" i="138" s="1"/>
  <c r="AS17" i="138"/>
  <c r="BI17" i="138" s="1"/>
  <c r="AS35" i="138"/>
  <c r="BI35" i="138" s="1"/>
  <c r="AI5" i="138"/>
  <c r="AE4" i="138"/>
  <c r="AT34" i="138"/>
  <c r="BJ34" i="138" s="1"/>
  <c r="AF4" i="138"/>
  <c r="AU34" i="138"/>
  <c r="BK34" i="138" s="1"/>
  <c r="AI9" i="138"/>
  <c r="AS30" i="138"/>
  <c r="BI30" i="138" s="1"/>
  <c r="AS21" i="138"/>
  <c r="BI21" i="138" s="1"/>
  <c r="AS20" i="138"/>
  <c r="BI20" i="138" s="1"/>
  <c r="AS37" i="138"/>
  <c r="BI37" i="138" s="1"/>
  <c r="AR15" i="138"/>
  <c r="BH15" i="138" s="1"/>
  <c r="AS10" i="138"/>
  <c r="BI10" i="138" s="1"/>
  <c r="AS9" i="138"/>
  <c r="BI9" i="138" s="1"/>
  <c r="AX18" i="138"/>
  <c r="AS39" i="138"/>
  <c r="BI39" i="138" s="1"/>
  <c r="AS8" i="138"/>
  <c r="BI8" i="138" s="1"/>
  <c r="AS24" i="138"/>
  <c r="BI24" i="138" s="1"/>
  <c r="AS33" i="138"/>
  <c r="BI33" i="138" s="1"/>
  <c r="V4" i="138"/>
  <c r="AK34" i="138"/>
  <c r="BA34" i="138" s="1"/>
  <c r="AD4" i="138"/>
  <c r="AS34" i="138"/>
  <c r="BI34" i="138" s="1"/>
  <c r="AX10" i="138"/>
  <c r="AI35" i="138"/>
  <c r="AR37" i="138"/>
  <c r="BH37" i="138" s="1"/>
  <c r="AX28" i="138"/>
  <c r="AO6" i="138"/>
  <c r="BE6" i="138" s="1"/>
  <c r="AN20" i="138"/>
  <c r="BD20" i="138" s="1"/>
  <c r="AI34" i="138"/>
  <c r="AQ8" i="138"/>
  <c r="BG8" i="138" s="1"/>
  <c r="AN19" i="138"/>
  <c r="BD19" i="138" s="1"/>
  <c r="AQ43" i="138"/>
  <c r="BG43" i="138" s="1"/>
  <c r="AX20" i="138"/>
  <c r="AQ10" i="138"/>
  <c r="BG10" i="138" s="1"/>
  <c r="AX38" i="138"/>
  <c r="AX24" i="138"/>
  <c r="AQ5" i="138"/>
  <c r="BG5" i="138" s="1"/>
  <c r="AI30" i="138"/>
  <c r="AI15" i="138"/>
  <c r="AN16" i="138"/>
  <c r="BD16" i="138" s="1"/>
  <c r="AN7" i="138"/>
  <c r="BD7" i="138" s="1"/>
  <c r="AX5" i="138"/>
  <c r="AO43" i="138"/>
  <c r="BE43" i="138" s="1"/>
  <c r="AX37" i="138"/>
  <c r="AO12" i="138"/>
  <c r="BE12" i="138" s="1"/>
  <c r="AQ23" i="138"/>
  <c r="BG23" i="138" s="1"/>
  <c r="AO28" i="138"/>
  <c r="BE28" i="138" s="1"/>
  <c r="AR26" i="138"/>
  <c r="BH26" i="138" s="1"/>
  <c r="AN32" i="138"/>
  <c r="BD32" i="138" s="1"/>
  <c r="AI33" i="138"/>
  <c r="AN17" i="138"/>
  <c r="BD17" i="138" s="1"/>
  <c r="AQ12" i="138"/>
  <c r="BG12" i="138" s="1"/>
  <c r="AX23" i="138"/>
  <c r="AN9" i="138"/>
  <c r="BD9" i="138" s="1"/>
  <c r="AO11" i="138"/>
  <c r="BE11" i="138" s="1"/>
  <c r="AO25" i="138"/>
  <c r="BE25" i="138" s="1"/>
  <c r="AO17" i="138"/>
  <c r="BE17" i="138" s="1"/>
  <c r="AQ21" i="138"/>
  <c r="BG21" i="138" s="1"/>
  <c r="AQ20" i="138"/>
  <c r="BG20" i="138" s="1"/>
  <c r="AN23" i="138"/>
  <c r="BD23" i="138" s="1"/>
  <c r="AI7" i="138"/>
  <c r="AI22" i="138"/>
  <c r="AX8" i="138"/>
  <c r="AI24" i="138"/>
  <c r="AI13" i="138"/>
  <c r="AI26" i="138"/>
  <c r="Q4" i="138"/>
  <c r="AU4" i="138" s="1"/>
  <c r="BK4" i="138" s="1"/>
  <c r="AU27" i="138"/>
  <c r="BK27" i="138" s="1"/>
  <c r="AU32" i="138"/>
  <c r="BK32" i="138" s="1"/>
  <c r="AU7" i="138"/>
  <c r="BK7" i="138" s="1"/>
  <c r="AU21" i="138"/>
  <c r="BK21" i="138" s="1"/>
  <c r="AU44" i="138"/>
  <c r="BK44" i="138" s="1"/>
  <c r="AU43" i="138"/>
  <c r="BK43" i="138" s="1"/>
  <c r="AU23" i="138"/>
  <c r="BK23" i="138" s="1"/>
  <c r="AU15" i="138"/>
  <c r="BK15" i="138" s="1"/>
  <c r="AU25" i="138"/>
  <c r="BK25" i="138" s="1"/>
  <c r="AU14" i="138"/>
  <c r="BK14" i="138" s="1"/>
  <c r="AU12" i="138"/>
  <c r="BK12" i="138" s="1"/>
  <c r="AU42" i="138"/>
  <c r="BK42" i="138" s="1"/>
  <c r="AU30" i="138"/>
  <c r="BK30" i="138" s="1"/>
  <c r="AU22" i="138"/>
  <c r="BK22" i="138" s="1"/>
  <c r="AU29" i="138"/>
  <c r="BK29" i="138" s="1"/>
  <c r="AU18" i="138"/>
  <c r="BK18" i="138" s="1"/>
  <c r="AU40" i="138"/>
  <c r="BK40" i="138" s="1"/>
  <c r="AU41" i="138"/>
  <c r="BK41" i="138" s="1"/>
  <c r="AU16" i="138"/>
  <c r="BK16" i="138" s="1"/>
  <c r="AU5" i="138"/>
  <c r="BK5" i="138" s="1"/>
  <c r="AU19" i="138"/>
  <c r="BK19" i="138" s="1"/>
  <c r="AU9" i="138"/>
  <c r="BK9" i="138" s="1"/>
  <c r="AU39" i="138"/>
  <c r="BK39" i="138" s="1"/>
  <c r="AU36" i="138"/>
  <c r="BK36" i="138" s="1"/>
  <c r="AU17" i="138"/>
  <c r="BK17" i="138" s="1"/>
  <c r="AU37" i="138"/>
  <c r="BK37" i="138" s="1"/>
  <c r="AU24" i="138"/>
  <c r="BK24" i="138" s="1"/>
  <c r="AU13" i="138"/>
  <c r="BK13" i="138" s="1"/>
  <c r="AU6" i="138"/>
  <c r="BK6" i="138" s="1"/>
  <c r="AU20" i="138"/>
  <c r="BK20" i="138" s="1"/>
  <c r="AU38" i="138"/>
  <c r="BK38" i="138" s="1"/>
  <c r="AU8" i="138"/>
  <c r="BK8" i="138" s="1"/>
  <c r="P4" i="138"/>
  <c r="AT4" i="138" s="1"/>
  <c r="BJ4" i="138" s="1"/>
  <c r="AT44" i="138"/>
  <c r="BJ44" i="138" s="1"/>
  <c r="AT6" i="138"/>
  <c r="BJ6" i="138" s="1"/>
  <c r="AT13" i="138"/>
  <c r="BJ13" i="138" s="1"/>
  <c r="AT12" i="138"/>
  <c r="BJ12" i="138" s="1"/>
  <c r="AT27" i="138"/>
  <c r="BJ27" i="138" s="1"/>
  <c r="AT25" i="138"/>
  <c r="BJ25" i="138" s="1"/>
  <c r="AT9" i="138"/>
  <c r="BJ9" i="138" s="1"/>
  <c r="AT14" i="138"/>
  <c r="BJ14" i="138" s="1"/>
  <c r="AT38" i="138"/>
  <c r="BJ38" i="138" s="1"/>
  <c r="AT37" i="138"/>
  <c r="BJ37" i="138" s="1"/>
  <c r="AT20" i="138"/>
  <c r="BJ20" i="138" s="1"/>
  <c r="AT22" i="138"/>
  <c r="BJ22" i="138" s="1"/>
  <c r="AT19" i="138"/>
  <c r="BJ19" i="138" s="1"/>
  <c r="AT32" i="138"/>
  <c r="BJ32" i="138" s="1"/>
  <c r="AT16" i="138"/>
  <c r="BJ16" i="138" s="1"/>
  <c r="AT17" i="138"/>
  <c r="BJ17" i="138" s="1"/>
  <c r="AT11" i="138"/>
  <c r="BJ11" i="138" s="1"/>
  <c r="AT21" i="138"/>
  <c r="BJ21" i="138" s="1"/>
  <c r="AT36" i="138"/>
  <c r="BJ36" i="138" s="1"/>
  <c r="AT33" i="138"/>
  <c r="BJ33" i="138" s="1"/>
  <c r="AT8" i="138"/>
  <c r="BJ8" i="138" s="1"/>
  <c r="AT24" i="138"/>
  <c r="BJ24" i="138" s="1"/>
  <c r="AT39" i="138"/>
  <c r="BJ39" i="138" s="1"/>
  <c r="AT43" i="138"/>
  <c r="BJ43" i="138" s="1"/>
  <c r="AT40" i="138"/>
  <c r="BJ40" i="138" s="1"/>
  <c r="AT7" i="138"/>
  <c r="BJ7" i="138" s="1"/>
  <c r="AT15" i="138"/>
  <c r="BJ15" i="138" s="1"/>
  <c r="AT26" i="138"/>
  <c r="BJ26" i="138" s="1"/>
  <c r="AT23" i="138"/>
  <c r="BJ23" i="138" s="1"/>
  <c r="AT30" i="138"/>
  <c r="BJ30" i="138" s="1"/>
  <c r="AT29" i="138"/>
  <c r="BJ29" i="138" s="1"/>
  <c r="AT42" i="138"/>
  <c r="BJ42" i="138" s="1"/>
  <c r="AT41" i="138"/>
  <c r="BJ41" i="138" s="1"/>
  <c r="AT5" i="138"/>
  <c r="BJ5" i="138" s="1"/>
  <c r="J4" i="138"/>
  <c r="AN38" i="138"/>
  <c r="BD38" i="138" s="1"/>
  <c r="AN25" i="138"/>
  <c r="BD25" i="138" s="1"/>
  <c r="AN42" i="138"/>
  <c r="BD42" i="138" s="1"/>
  <c r="AN31" i="138"/>
  <c r="BD31" i="138" s="1"/>
  <c r="AN24" i="138"/>
  <c r="BD24" i="138" s="1"/>
  <c r="AN36" i="138"/>
  <c r="BD36" i="138" s="1"/>
  <c r="AN39" i="138"/>
  <c r="BD39" i="138" s="1"/>
  <c r="AN44" i="138"/>
  <c r="BD44" i="138" s="1"/>
  <c r="AN28" i="138"/>
  <c r="BD28" i="138" s="1"/>
  <c r="AN43" i="138"/>
  <c r="BD43" i="138" s="1"/>
  <c r="AN22" i="138"/>
  <c r="BD22" i="138" s="1"/>
  <c r="AN10" i="138"/>
  <c r="BD10" i="138" s="1"/>
  <c r="G4" i="138"/>
  <c r="AK4" i="138" s="1"/>
  <c r="BA4" i="138" s="1"/>
  <c r="AK29" i="138"/>
  <c r="BA29" i="138" s="1"/>
  <c r="AK16" i="138"/>
  <c r="BA16" i="138" s="1"/>
  <c r="AK14" i="138"/>
  <c r="BA14" i="138" s="1"/>
  <c r="AK44" i="138"/>
  <c r="BA44" i="138" s="1"/>
  <c r="AK37" i="138"/>
  <c r="BA37" i="138" s="1"/>
  <c r="AK7" i="138"/>
  <c r="BA7" i="138" s="1"/>
  <c r="AK36" i="138"/>
  <c r="BA36" i="138" s="1"/>
  <c r="AK33" i="138"/>
  <c r="BA33" i="138" s="1"/>
  <c r="AK43" i="138"/>
  <c r="BA43" i="138" s="1"/>
  <c r="AK41" i="138"/>
  <c r="BA41" i="138" s="1"/>
  <c r="AK28" i="138"/>
  <c r="BA28" i="138" s="1"/>
  <c r="K4" i="138"/>
  <c r="AO4" i="138" s="1"/>
  <c r="BE4" i="138" s="1"/>
  <c r="AO29" i="138"/>
  <c r="BE29" i="138" s="1"/>
  <c r="AO37" i="138"/>
  <c r="BE37" i="138" s="1"/>
  <c r="AO16" i="138"/>
  <c r="BE16" i="138" s="1"/>
  <c r="AO20" i="138"/>
  <c r="BE20" i="138" s="1"/>
  <c r="AO30" i="138"/>
  <c r="BE30" i="138" s="1"/>
  <c r="AO14" i="138"/>
  <c r="BE14" i="138" s="1"/>
  <c r="AO8" i="138"/>
  <c r="BE8" i="138" s="1"/>
  <c r="L4" i="138"/>
  <c r="AP14" i="138"/>
  <c r="BF14" i="138" s="1"/>
  <c r="AP5" i="138"/>
  <c r="BF5" i="138" s="1"/>
  <c r="AP20" i="138"/>
  <c r="BF20" i="138" s="1"/>
  <c r="AP22" i="138"/>
  <c r="BF22" i="138" s="1"/>
  <c r="M4" i="138"/>
  <c r="AQ44" i="138"/>
  <c r="BG44" i="138" s="1"/>
  <c r="C4" i="138"/>
  <c r="T4" i="138" s="1" a="1"/>
  <c r="T4" i="138" s="1"/>
  <c r="E4" i="138" a="1"/>
  <c r="E4" i="138" s="1"/>
  <c r="AX17" i="138"/>
  <c r="AI37" i="138"/>
  <c r="AI41" i="138"/>
  <c r="H4" i="138"/>
  <c r="AL4" i="138" s="1"/>
  <c r="BB4" i="138" s="1"/>
  <c r="AL19" i="138"/>
  <c r="BB19" i="138" s="1"/>
  <c r="AL39" i="138"/>
  <c r="BB39" i="138" s="1"/>
  <c r="AL30" i="138"/>
  <c r="BB30" i="138" s="1"/>
  <c r="AL15" i="138"/>
  <c r="BB15" i="138" s="1"/>
  <c r="AL25" i="138"/>
  <c r="BB25" i="138" s="1"/>
  <c r="AL28" i="138"/>
  <c r="BB28" i="138" s="1"/>
  <c r="AL12" i="138"/>
  <c r="BB12" i="138" s="1"/>
  <c r="AL13" i="138"/>
  <c r="BB13" i="138" s="1"/>
  <c r="AL44" i="138"/>
  <c r="BB44" i="138" s="1"/>
  <c r="AL18" i="138"/>
  <c r="BB18" i="138" s="1"/>
  <c r="AL16" i="138"/>
  <c r="BB16" i="138" s="1"/>
  <c r="AL17" i="138"/>
  <c r="BB17" i="138" s="1"/>
  <c r="AL5" i="138"/>
  <c r="BB5" i="138" s="1"/>
  <c r="AL26" i="138"/>
  <c r="BB26" i="138" s="1"/>
  <c r="AL10" i="138"/>
  <c r="BB10" i="138" s="1"/>
  <c r="AL6" i="138"/>
  <c r="BB6" i="138" s="1"/>
  <c r="AL11" i="138"/>
  <c r="BB11" i="138" s="1"/>
  <c r="AL24" i="138"/>
  <c r="BB24" i="138" s="1"/>
  <c r="AL29" i="138"/>
  <c r="BB29" i="138" s="1"/>
  <c r="AL37" i="138"/>
  <c r="BB37" i="138" s="1"/>
  <c r="AL14" i="138"/>
  <c r="BB14" i="138" s="1"/>
  <c r="AL22" i="138"/>
  <c r="BB22" i="138" s="1"/>
  <c r="AL21" i="138"/>
  <c r="BB21" i="138" s="1"/>
  <c r="AL38" i="138"/>
  <c r="BB38" i="138" s="1"/>
  <c r="AL35" i="138"/>
  <c r="BB35" i="138" s="1"/>
  <c r="AL41" i="138"/>
  <c r="BB41" i="138" s="1"/>
  <c r="AL32" i="138"/>
  <c r="BB32" i="138" s="1"/>
  <c r="AL33" i="138"/>
  <c r="BB33" i="138" s="1"/>
  <c r="AL27" i="138"/>
  <c r="BB27" i="138" s="1"/>
  <c r="AL23" i="138"/>
  <c r="BB23" i="138" s="1"/>
  <c r="AL20" i="138"/>
  <c r="BB20" i="138" s="1"/>
  <c r="AL43" i="138"/>
  <c r="BB43" i="138" s="1"/>
  <c r="AL42" i="138"/>
  <c r="BB42" i="138" s="1"/>
  <c r="AL8" i="138"/>
  <c r="BB8" i="138" s="1"/>
  <c r="N4" i="138"/>
  <c r="AR41" i="138"/>
  <c r="BH41" i="138" s="1"/>
  <c r="AR28" i="138"/>
  <c r="BH28" i="138" s="1"/>
  <c r="AR22" i="138"/>
  <c r="BH22" i="138" s="1"/>
  <c r="AR30" i="138"/>
  <c r="BH30" i="138" s="1"/>
  <c r="AR12" i="138"/>
  <c r="BH12" i="138" s="1"/>
  <c r="AR10" i="138"/>
  <c r="BH10" i="138" s="1"/>
  <c r="AR32" i="138"/>
  <c r="BH32" i="138" s="1"/>
  <c r="AR44" i="138"/>
  <c r="BH44" i="138" s="1"/>
  <c r="AR27" i="138"/>
  <c r="BH27" i="138" s="1"/>
  <c r="AR17" i="138"/>
  <c r="BH17" i="138" s="1"/>
  <c r="AR40" i="138"/>
  <c r="BH40" i="138" s="1"/>
  <c r="AR39" i="138"/>
  <c r="BH39" i="138" s="1"/>
  <c r="AR24" i="138"/>
  <c r="BH24" i="138" s="1"/>
  <c r="AR23" i="138"/>
  <c r="BH23" i="138" s="1"/>
  <c r="AR16" i="138"/>
  <c r="BH16" i="138" s="1"/>
  <c r="AR29" i="138"/>
  <c r="BH29" i="138" s="1"/>
  <c r="AR33" i="138"/>
  <c r="BH33" i="138" s="1"/>
  <c r="AR31" i="138"/>
  <c r="BH31" i="138" s="1"/>
  <c r="AR25" i="138"/>
  <c r="BH25" i="138" s="1"/>
  <c r="AR11" i="138"/>
  <c r="BH11" i="138" s="1"/>
  <c r="AR18" i="138"/>
  <c r="BH18" i="138" s="1"/>
  <c r="AR21" i="138"/>
  <c r="BH21" i="138" s="1"/>
  <c r="AR14" i="138"/>
  <c r="BH14" i="138" s="1"/>
  <c r="AR35" i="138"/>
  <c r="BH35" i="138" s="1"/>
  <c r="AR5" i="138"/>
  <c r="BH5" i="138" s="1"/>
  <c r="AR43" i="138"/>
  <c r="BH43" i="138" s="1"/>
  <c r="AR38" i="138"/>
  <c r="BH38" i="138" s="1"/>
  <c r="AR36" i="138"/>
  <c r="BH36" i="138" s="1"/>
  <c r="AR6" i="138"/>
  <c r="BH6" i="138" s="1"/>
  <c r="AP26" i="138"/>
  <c r="BF26" i="138" s="1"/>
  <c r="AT31" i="138"/>
  <c r="BJ31" i="138" s="1"/>
  <c r="AR19" i="138"/>
  <c r="BH19" i="138" s="1"/>
  <c r="AU10" i="138"/>
  <c r="BK10" i="138" s="1"/>
  <c r="AN15" i="138"/>
  <c r="BD15" i="138" s="1"/>
  <c r="AN5" i="138"/>
  <c r="BD5" i="138" s="1"/>
  <c r="AL7" i="138"/>
  <c r="BB7" i="138" s="1"/>
  <c r="AO22" i="138"/>
  <c r="BE22" i="138" s="1"/>
  <c r="AL9" i="138"/>
  <c r="BB9" i="138" s="1"/>
  <c r="AR8" i="138"/>
  <c r="BH8" i="138" s="1"/>
  <c r="AN8" i="138"/>
  <c r="BD8" i="138" s="1"/>
  <c r="AK17" i="138"/>
  <c r="BA17" i="138" s="1"/>
  <c r="AP9" i="138"/>
  <c r="BF9" i="138" s="1"/>
  <c r="AO23" i="138"/>
  <c r="BE23" i="138" s="1"/>
  <c r="AQ17" i="138"/>
  <c r="BG17" i="138" s="1"/>
  <c r="AT18" i="138"/>
  <c r="BJ18" i="138" s="1"/>
  <c r="AX31" i="138"/>
  <c r="AX42" i="138"/>
  <c r="AQ25" i="138"/>
  <c r="BG25" i="138" s="1"/>
  <c r="AU26" i="138"/>
  <c r="BK26" i="138" s="1"/>
  <c r="AQ42" i="138"/>
  <c r="BG42" i="138" s="1"/>
  <c r="AT35" i="138"/>
  <c r="BJ35" i="138" s="1"/>
  <c r="AQ40" i="138"/>
  <c r="BG40" i="138" s="1"/>
  <c r="AL31" i="138"/>
  <c r="BB31" i="138" s="1"/>
  <c r="AR42" i="138"/>
  <c r="BH42" i="138" s="1"/>
  <c r="AX30" i="138"/>
  <c r="AU33" i="138"/>
  <c r="BK33" i="138" s="1"/>
  <c r="AP41" i="138"/>
  <c r="BF41" i="138" s="1"/>
  <c r="AO38" i="138"/>
  <c r="BE38" i="138" s="1"/>
  <c r="AP15" i="138"/>
  <c r="BF15" i="138" s="1"/>
  <c r="AK22" i="138"/>
  <c r="BA22" i="138" s="1"/>
  <c r="AP18" i="138"/>
  <c r="BF18" i="138" s="1"/>
  <c r="AO18" i="138"/>
  <c r="BE18" i="138" s="1"/>
  <c r="AR13" i="138"/>
  <c r="BH13" i="138" s="1"/>
  <c r="AR20" i="138"/>
  <c r="BH20" i="138" s="1"/>
  <c r="AT10" i="138"/>
  <c r="BJ10" i="138" s="1"/>
  <c r="AK15" i="138"/>
  <c r="BA15" i="138" s="1"/>
  <c r="AK19" i="138"/>
  <c r="BA19" i="138" s="1"/>
  <c r="AU11" i="138"/>
  <c r="BK11" i="138" s="1"/>
  <c r="AR9" i="138"/>
  <c r="BH9" i="138" s="1"/>
  <c r="AO10" i="138"/>
  <c r="BE10" i="138" s="1"/>
  <c r="AN6" i="138"/>
  <c r="BD6" i="138" s="1"/>
  <c r="AQ7" i="138"/>
  <c r="BG7" i="138" s="1"/>
  <c r="AI31" i="138"/>
  <c r="AI42" i="138"/>
  <c r="AK27" i="138"/>
  <c r="BA27" i="138" s="1"/>
  <c r="AN26" i="138"/>
  <c r="BD26" i="138" s="1"/>
  <c r="AT28" i="138"/>
  <c r="BJ28" i="138" s="1"/>
  <c r="AL36" i="138"/>
  <c r="BB36" i="138" s="1"/>
  <c r="AK32" i="138"/>
  <c r="BA32" i="138" s="1"/>
  <c r="AP40" i="138"/>
  <c r="BF40" i="138" s="1"/>
  <c r="AQ31" i="138"/>
  <c r="BG31" i="138" s="1"/>
  <c r="AU31" i="138"/>
  <c r="BK31" i="138" s="1"/>
  <c r="AX6" i="138"/>
  <c r="AX33" i="138"/>
  <c r="AU28" i="138"/>
  <c r="BK28" i="138" s="1"/>
  <c r="AU35" i="138"/>
  <c r="BK35" i="138" s="1"/>
  <c r="AK35" i="138"/>
  <c r="BA35" i="138" s="1"/>
  <c r="AN40" i="138"/>
  <c r="BD40" i="138" s="1"/>
  <c r="AL40" i="138"/>
  <c r="BB40" i="138" s="1"/>
  <c r="AK31" i="138"/>
  <c r="BA31" i="138" s="1"/>
  <c r="AI6" i="138"/>
  <c r="AI27" i="138"/>
  <c r="AI12" i="138"/>
  <c r="AI14" i="138"/>
  <c r="AQ14" i="138"/>
  <c r="BG14" i="138" s="1"/>
  <c r="AP13" i="138"/>
  <c r="BF13" i="138" s="1"/>
  <c r="AI19" i="138"/>
  <c r="AX39" i="138"/>
  <c r="AX14" i="138"/>
  <c r="AQ26" i="138"/>
  <c r="BG26" i="138" s="1"/>
  <c r="AQ27" i="138"/>
  <c r="BG27" i="138" s="1"/>
  <c r="AK26" i="138"/>
  <c r="BA26" i="138" s="1"/>
  <c r="AN41" i="138"/>
  <c r="BD41" i="138" s="1"/>
  <c r="AX44" i="138"/>
  <c r="AO36" i="138"/>
  <c r="BE36" i="138" s="1"/>
  <c r="AX22" i="138"/>
  <c r="AX15" i="138"/>
  <c r="AK30" i="138"/>
  <c r="BA30" i="138" s="1"/>
  <c r="AP35" i="138"/>
  <c r="BF35" i="138" s="1"/>
  <c r="AK9" i="138"/>
  <c r="BA9" i="138" s="1"/>
  <c r="AK21" i="138"/>
  <c r="BA21" i="138" s="1"/>
  <c r="AP25" i="138"/>
  <c r="BF25" i="138" s="1"/>
  <c r="AP28" i="138"/>
  <c r="BF28" i="138" s="1"/>
  <c r="AO26" i="138"/>
  <c r="BE26" i="138" s="1"/>
  <c r="AN37" i="138"/>
  <c r="BD37" i="138" s="1"/>
  <c r="AK39" i="138"/>
  <c r="BA39" i="138" s="1"/>
  <c r="AP10" i="138"/>
  <c r="BF10" i="138" s="1"/>
  <c r="AI28" i="138"/>
  <c r="AK13" i="138"/>
  <c r="BA13" i="138" s="1"/>
  <c r="AK11" i="138"/>
  <c r="BA11" i="138" s="1"/>
  <c r="AK25" i="138"/>
  <c r="BA25" i="138" s="1"/>
  <c r="AN33" i="138"/>
  <c r="BD33" i="138" s="1"/>
  <c r="AK38" i="138"/>
  <c r="BA38" i="138" s="1"/>
  <c r="AN18" i="138"/>
  <c r="BD18" i="138" s="1"/>
  <c r="AI17" i="138"/>
  <c r="AN12" i="138"/>
  <c r="BD12" i="138" s="1"/>
  <c r="AI39" i="138"/>
  <c r="AN27" i="138"/>
  <c r="BD27" i="138" s="1"/>
  <c r="AN29" i="138"/>
  <c r="BD29" i="138" s="1"/>
  <c r="AQ32" i="138"/>
  <c r="BG32" i="138" s="1"/>
  <c r="AX12" i="138"/>
  <c r="AX16" i="138"/>
  <c r="AO40" i="138"/>
  <c r="BE40" i="138" s="1"/>
  <c r="AK20" i="138"/>
  <c r="BA20" i="138" s="1"/>
  <c r="AI44" i="138"/>
  <c r="AK18" i="138"/>
  <c r="BA18" i="138" s="1"/>
  <c r="AN14" i="138"/>
  <c r="BD14" i="138" s="1"/>
  <c r="AK8" i="138"/>
  <c r="BA8" i="138" s="1"/>
  <c r="AX40" i="138"/>
  <c r="AP24" i="138"/>
  <c r="BF24" i="138" s="1"/>
  <c r="AO33" i="138"/>
  <c r="BE33" i="138" s="1"/>
  <c r="AP33" i="138"/>
  <c r="BF33" i="138" s="1"/>
  <c r="AN35" i="138"/>
  <c r="BD35" i="138" s="1"/>
  <c r="AP29" i="138"/>
  <c r="BF29" i="138" s="1"/>
  <c r="AQ38" i="138"/>
  <c r="BG38" i="138" s="1"/>
  <c r="AP44" i="138"/>
  <c r="AI16" i="138"/>
  <c r="AI25" i="138"/>
  <c r="AN13" i="138"/>
  <c r="BD13" i="138" s="1"/>
  <c r="AX9" i="138"/>
  <c r="AO5" i="138"/>
  <c r="BE5" i="138" s="1"/>
  <c r="AQ22" i="138"/>
  <c r="BG22" i="138" s="1"/>
  <c r="AI23" i="138"/>
  <c r="AI21" i="138"/>
  <c r="AO13" i="138"/>
  <c r="BE13" i="138" s="1"/>
  <c r="AQ18" i="138"/>
  <c r="BG18" i="138" s="1"/>
  <c r="AP11" i="138"/>
  <c r="BF11" i="138" s="1"/>
  <c r="AI10" i="138"/>
  <c r="AN21" i="138"/>
  <c r="BD21" i="138" s="1"/>
  <c r="AK23" i="138"/>
  <c r="BA23" i="138" s="1"/>
  <c r="AX36" i="138"/>
  <c r="AX41" i="138"/>
  <c r="AX29" i="138"/>
  <c r="AK24" i="138"/>
  <c r="BA24" i="138" s="1"/>
  <c r="AQ28" i="138"/>
  <c r="BG28" i="138" s="1"/>
  <c r="AK42" i="138"/>
  <c r="BA42" i="138" s="1"/>
  <c r="AO41" i="138"/>
  <c r="BE41" i="138" s="1"/>
  <c r="AN30" i="138"/>
  <c r="BD30" i="138" s="1"/>
  <c r="AX34" i="138"/>
  <c r="AX32" i="138"/>
  <c r="AP32" i="138"/>
  <c r="AO44" i="138"/>
  <c r="BE44" i="138" s="1"/>
  <c r="AP31" i="138"/>
  <c r="BF31" i="138" s="1"/>
  <c r="AK5" i="138"/>
  <c r="BA5" i="138" s="1"/>
  <c r="AP36" i="138"/>
  <c r="BF36" i="138" s="1"/>
  <c r="AP21" i="138"/>
  <c r="BF21" i="138" s="1"/>
  <c r="AP8" i="138"/>
  <c r="BF8" i="138" s="1"/>
  <c r="AO21" i="138"/>
  <c r="BE21" i="138" s="1"/>
  <c r="AK12" i="138"/>
  <c r="BA12" i="138" s="1"/>
  <c r="AI36" i="138"/>
  <c r="AI29" i="138"/>
  <c r="AO27" i="138"/>
  <c r="BE27" i="138" s="1"/>
  <c r="AQ29" i="138"/>
  <c r="BG29" i="138" s="1"/>
  <c r="AX27" i="138"/>
  <c r="AO31" i="138"/>
  <c r="BE31" i="138" s="1"/>
  <c r="AQ39" i="138"/>
  <c r="BG39" i="138" s="1"/>
  <c r="AO9" i="138"/>
  <c r="BE9" i="138" s="1"/>
  <c r="AI32" i="138"/>
  <c r="AQ13" i="138"/>
  <c r="BG13" i="138" s="1"/>
  <c r="AO7" i="138"/>
  <c r="BE7" i="138" s="1"/>
  <c r="AP17" i="138"/>
  <c r="BF17" i="138" s="1"/>
  <c r="AO15" i="138"/>
  <c r="BE15" i="138" s="1"/>
  <c r="AK10" i="138"/>
  <c r="BA10" i="138" s="1"/>
  <c r="AX11" i="138"/>
  <c r="AX19" i="138"/>
  <c r="AQ37" i="138"/>
  <c r="BG37" i="138" s="1"/>
  <c r="AQ30" i="138"/>
  <c r="BG30" i="138" s="1"/>
  <c r="AO39" i="138"/>
  <c r="BE39" i="138" s="1"/>
  <c r="AX26" i="138"/>
  <c r="AX21" i="138"/>
  <c r="AK40" i="138"/>
  <c r="BA40" i="138" s="1"/>
  <c r="AQ41" i="138"/>
  <c r="BG41" i="138" s="1"/>
  <c r="AO42" i="138"/>
  <c r="BE42" i="138" s="1"/>
  <c r="AP38" i="138"/>
  <c r="BF38" i="138" s="1"/>
  <c r="AO32" i="138"/>
  <c r="BE32" i="138" s="1"/>
  <c r="AP30" i="138"/>
  <c r="BF30" i="138" s="1"/>
  <c r="AP19" i="138"/>
  <c r="BF19" i="138" s="1"/>
  <c r="AQ6" i="138"/>
  <c r="BG6" i="138" s="1"/>
  <c r="AP16" i="138"/>
  <c r="BF16" i="138" s="1"/>
  <c r="AP23" i="138"/>
  <c r="BF23" i="138" s="1"/>
  <c r="AX7" i="138"/>
  <c r="AO24" i="138"/>
  <c r="BE24" i="138" s="1"/>
  <c r="AQ24" i="138"/>
  <c r="BG24" i="138" s="1"/>
  <c r="AX25" i="138"/>
  <c r="AO35" i="138"/>
  <c r="BE35" i="138" s="1"/>
  <c r="AQ36" i="138"/>
  <c r="BG36" i="138" s="1"/>
  <c r="AP12" i="138"/>
  <c r="BF12" i="138" s="1"/>
  <c r="AP6" i="138"/>
  <c r="BF6" i="138" s="1"/>
  <c r="AP39" i="138"/>
  <c r="BF39" i="138" s="1"/>
  <c r="AP42" i="138"/>
  <c r="BF42" i="138" s="1"/>
  <c r="AI40" i="138"/>
  <c r="AP27" i="138"/>
  <c r="BF27" i="138" s="1"/>
  <c r="AI20" i="138"/>
  <c r="AI8" i="138"/>
  <c r="AI18" i="138"/>
  <c r="AQ11" i="138"/>
  <c r="BG11" i="138" s="1"/>
  <c r="AI38" i="138"/>
  <c r="AX35" i="138"/>
  <c r="AP43" i="138"/>
  <c r="AX13" i="138"/>
  <c r="AX43" i="138"/>
  <c r="AP7" i="138"/>
  <c r="BF7" i="138" s="1"/>
  <c r="AP37" i="138"/>
  <c r="BF37" i="138" s="1"/>
  <c r="AQ19" i="138"/>
  <c r="BG19" i="138" s="1"/>
  <c r="AQ15" i="138"/>
  <c r="BG15" i="138" s="1"/>
  <c r="AQ9" i="138"/>
  <c r="BG9" i="138" s="1"/>
  <c r="AQ35" i="138"/>
  <c r="BG35" i="138" s="1"/>
  <c r="AQ33" i="138"/>
  <c r="BG33" i="138" s="1"/>
  <c r="AI43" i="138"/>
  <c r="BQ11" i="138" a="1"/>
  <c r="BQ11" i="138" s="1"/>
  <c r="BI11" i="138"/>
  <c r="BI7" i="138"/>
  <c r="BQ9" i="138" a="1"/>
  <c r="BQ9" i="138" s="1"/>
  <c r="BQ25" i="138" a="1"/>
  <c r="BQ25" i="138" s="1"/>
  <c r="BQ13" i="138" a="1"/>
  <c r="BQ13" i="138" s="1"/>
  <c r="BQ34" i="138" a="1"/>
  <c r="BQ34" i="138" s="1"/>
  <c r="BQ27" i="138" a="1"/>
  <c r="BQ27" i="138" s="1"/>
  <c r="BQ40" i="138" a="1"/>
  <c r="BQ40" i="138" s="1"/>
  <c r="BQ24" i="138" a="1"/>
  <c r="BQ24" i="138" s="1"/>
  <c r="BQ35" i="138" a="1"/>
  <c r="BQ35" i="138" s="1"/>
  <c r="BQ5" i="138" a="1"/>
  <c r="BQ5" i="138" s="1"/>
  <c r="BQ8" i="138" a="1"/>
  <c r="BQ8" i="138" s="1"/>
  <c r="BQ18" i="138" a="1"/>
  <c r="BQ18" i="138" s="1"/>
  <c r="BQ16" i="138" a="1"/>
  <c r="BQ16" i="138" s="1"/>
  <c r="BQ26" i="138" a="1"/>
  <c r="BQ26" i="138" s="1"/>
  <c r="BQ36" i="138" a="1"/>
  <c r="BQ36" i="138" s="1"/>
  <c r="BQ19" i="138" a="1"/>
  <c r="BQ19" i="138" s="1"/>
  <c r="BQ33" i="138" a="1"/>
  <c r="BQ33" i="138" s="1"/>
  <c r="BQ21" i="138" a="1"/>
  <c r="BQ21" i="138" s="1"/>
  <c r="BQ10" i="138" a="1"/>
  <c r="BQ10" i="138" s="1"/>
  <c r="BQ39" i="138" a="1"/>
  <c r="BQ39" i="138" s="1"/>
  <c r="BQ38" i="138" a="1"/>
  <c r="BQ38" i="138" s="1"/>
  <c r="BQ42" i="138" a="1"/>
  <c r="BQ42" i="138" s="1"/>
  <c r="BQ23" i="138" a="1"/>
  <c r="BQ23" i="138" s="1"/>
  <c r="BQ20" i="138" a="1"/>
  <c r="BQ20" i="138" s="1"/>
  <c r="BQ29" i="138" a="1"/>
  <c r="BQ29" i="138" s="1"/>
  <c r="BQ14" i="138" a="1"/>
  <c r="BQ14" i="138" s="1"/>
  <c r="AS4" i="138"/>
  <c r="BI4" i="138" s="1"/>
  <c r="AR4" i="138"/>
  <c r="BH4" i="138" s="1"/>
  <c r="AM4" i="138"/>
  <c r="BC4" i="138" s="1"/>
  <c r="BC49" i="138" s="1"/>
  <c r="AP4" i="138"/>
  <c r="BF4" i="138" s="1"/>
  <c r="AN4" i="138"/>
  <c r="BD4" i="138" s="1"/>
  <c r="AV4" i="138"/>
  <c r="BL4" i="138" s="1"/>
  <c r="AQ4" i="138"/>
  <c r="BG4" i="138" s="1"/>
  <c r="AN289" i="83"/>
  <c r="AN286" i="83"/>
  <c r="AN295" i="83"/>
  <c r="AI4" i="138" l="1"/>
  <c r="BV21" i="138"/>
  <c r="BT21" i="138"/>
  <c r="BV13" i="138"/>
  <c r="BT13" i="138"/>
  <c r="BV33" i="138"/>
  <c r="BT33" i="138"/>
  <c r="BV25" i="138"/>
  <c r="BT25" i="138"/>
  <c r="BV34" i="138"/>
  <c r="BT34" i="138"/>
  <c r="BV19" i="138"/>
  <c r="BT19" i="138"/>
  <c r="BV36" i="138"/>
  <c r="BT36" i="138"/>
  <c r="BQ12" i="138" a="1"/>
  <c r="BQ12" i="138" s="1"/>
  <c r="BV26" i="138"/>
  <c r="BT26" i="138"/>
  <c r="BV16" i="138"/>
  <c r="BT16" i="138"/>
  <c r="BV11" i="138"/>
  <c r="BT11" i="138"/>
  <c r="BF44" i="138"/>
  <c r="BQ44" i="138" a="1"/>
  <c r="BQ44" i="138" s="1"/>
  <c r="BT44" i="138" s="1"/>
  <c r="BQ22" i="138" a="1"/>
  <c r="BQ22" i="138" s="1"/>
  <c r="AX4" i="138"/>
  <c r="CC40" i="138" s="1"/>
  <c r="BF43" i="138"/>
  <c r="BQ43" i="138" a="1"/>
  <c r="BQ43" i="138" s="1"/>
  <c r="BT43" i="138" s="1"/>
  <c r="BI49" i="138"/>
  <c r="BV14" i="138"/>
  <c r="BT14" i="138"/>
  <c r="BV18" i="138"/>
  <c r="BT18" i="138"/>
  <c r="BV29" i="138"/>
  <c r="BT29" i="138"/>
  <c r="BV8" i="138"/>
  <c r="BT8" i="138"/>
  <c r="BQ41" i="138" a="1"/>
  <c r="BQ41" i="138" s="1"/>
  <c r="BV20" i="138"/>
  <c r="BT20" i="138"/>
  <c r="BV5" i="138"/>
  <c r="BT5" i="138"/>
  <c r="BV39" i="138"/>
  <c r="BT39" i="138"/>
  <c r="BV23" i="138"/>
  <c r="BT23" i="138"/>
  <c r="BV35" i="138"/>
  <c r="BT35" i="138"/>
  <c r="BQ37" i="138" a="1"/>
  <c r="BQ37" i="138" s="1"/>
  <c r="BV24" i="138"/>
  <c r="BT24" i="138"/>
  <c r="BR4" i="138" a="1"/>
  <c r="BR4" i="138" s="1"/>
  <c r="BV10" i="138"/>
  <c r="BT10" i="138"/>
  <c r="BV42" i="138"/>
  <c r="BT42" i="138"/>
  <c r="BV40" i="138"/>
  <c r="BT40" i="138"/>
  <c r="BV9" i="138"/>
  <c r="BT9" i="138"/>
  <c r="BV38" i="138"/>
  <c r="BT38" i="138"/>
  <c r="BV27" i="138"/>
  <c r="BT27" i="138"/>
  <c r="BQ6" i="138" a="1"/>
  <c r="BQ6" i="138" s="1"/>
  <c r="BQ31" i="138" a="1"/>
  <c r="BQ31" i="138" s="1"/>
  <c r="BB49" i="138"/>
  <c r="BA49" i="138"/>
  <c r="BQ28" i="138" a="1"/>
  <c r="BQ28" i="138" s="1"/>
  <c r="BQ15" i="138" a="1"/>
  <c r="BQ15" i="138" s="1"/>
  <c r="BH49" i="138"/>
  <c r="BQ30" i="138" a="1"/>
  <c r="BQ30" i="138" s="1"/>
  <c r="BD49" i="138"/>
  <c r="BG49" i="138"/>
  <c r="BQ17" i="138" a="1"/>
  <c r="BQ17" i="138" s="1"/>
  <c r="BF32" i="138"/>
  <c r="BQ32" i="138" a="1"/>
  <c r="BQ32" i="138" s="1"/>
  <c r="BQ7" i="138" a="1"/>
  <c r="BQ7" i="138" s="1"/>
  <c r="BF49" i="138"/>
  <c r="BR47" i="138" s="1" a="1"/>
  <c r="BR47" i="138" s="1"/>
  <c r="BE49" i="138"/>
  <c r="CC41" i="138"/>
  <c r="BQ4" i="138" a="1"/>
  <c r="BQ4" i="138" s="1"/>
  <c r="Z106" i="82"/>
  <c r="Z101" i="82"/>
  <c r="BV7" i="138" l="1"/>
  <c r="BT7" i="138"/>
  <c r="BV17" i="138"/>
  <c r="BT17" i="138"/>
  <c r="BV32" i="138"/>
  <c r="BT32" i="138"/>
  <c r="BV22" i="138"/>
  <c r="BT22" i="138"/>
  <c r="BV30" i="138"/>
  <c r="BT30" i="138"/>
  <c r="BV41" i="138"/>
  <c r="BT41" i="138"/>
  <c r="BV28" i="138"/>
  <c r="BT28" i="138"/>
  <c r="BV12" i="138"/>
  <c r="BT12" i="138"/>
  <c r="BV15" i="138"/>
  <c r="BT15" i="138"/>
  <c r="CC38" i="138"/>
  <c r="CC39" i="138"/>
  <c r="CC36" i="138"/>
  <c r="BS4" i="138" a="1"/>
  <c r="BS4" i="138" s="1"/>
  <c r="CC37" i="138"/>
  <c r="BV31" i="138"/>
  <c r="BT31" i="138"/>
  <c r="BV6" i="138"/>
  <c r="BT6" i="138"/>
  <c r="BV37" i="138"/>
  <c r="BT37" i="138"/>
  <c r="BX13" i="138" a="1"/>
  <c r="BT4" i="138"/>
  <c r="BV4" i="138"/>
  <c r="Z42" i="82"/>
  <c r="Z39" i="82"/>
  <c r="Z36" i="82"/>
  <c r="Z33" i="82"/>
  <c r="Z30" i="82"/>
  <c r="BX13" i="138" l="1"/>
  <c r="CC35" i="138"/>
  <c r="CC23" i="138"/>
  <c r="CC30" i="138"/>
  <c r="CC34" i="138"/>
  <c r="CC33" i="138"/>
  <c r="CC31" i="138"/>
  <c r="CC29" i="138"/>
  <c r="CC28" i="138"/>
  <c r="CC26" i="138"/>
  <c r="CC32" i="138"/>
  <c r="CC27" i="138"/>
  <c r="CC24" i="138"/>
  <c r="CC25" i="138"/>
  <c r="CC20" i="138"/>
  <c r="CC21" i="138"/>
  <c r="CC19" i="138"/>
  <c r="CC22" i="138"/>
  <c r="CC17" i="138"/>
  <c r="CC18" i="138"/>
  <c r="CC14" i="138"/>
  <c r="CC16" i="138"/>
  <c r="CC15" i="138"/>
  <c r="BY38" i="138"/>
  <c r="BY39" i="138"/>
  <c r="BY40" i="138"/>
  <c r="BY36" i="138"/>
  <c r="BY37" i="138"/>
  <c r="BY41" i="138"/>
  <c r="CC13" i="138"/>
  <c r="AN298" i="83"/>
  <c r="Y47" i="83"/>
  <c r="Y46" i="83"/>
  <c r="Y30" i="82" l="1"/>
  <c r="J58" i="58" l="1"/>
  <c r="K58" i="58"/>
  <c r="L58" i="58"/>
  <c r="M58" i="58"/>
  <c r="N58" i="58"/>
  <c r="O58" i="58"/>
  <c r="P58" i="58"/>
  <c r="Q58" i="58"/>
  <c r="R58" i="58"/>
  <c r="S58" i="58"/>
  <c r="T58" i="58"/>
  <c r="I58" i="58"/>
  <c r="I57" i="36"/>
  <c r="Y301" i="83"/>
  <c r="Y279" i="83"/>
  <c r="AK213" i="83"/>
  <c r="AL213" i="83" s="1"/>
  <c r="AM213" i="83" s="1"/>
  <c r="AN213" i="83" s="1"/>
  <c r="AK214" i="83"/>
  <c r="AL214" i="83" s="1"/>
  <c r="AM214" i="83" s="1"/>
  <c r="AN214" i="83" s="1"/>
  <c r="AK216" i="83"/>
  <c r="AL216" i="83" s="1"/>
  <c r="AM216" i="83" s="1"/>
  <c r="AN216" i="83" s="1"/>
  <c r="V198" i="83" l="1"/>
  <c r="X89" i="82"/>
  <c r="X93" i="82"/>
  <c r="X97" i="82"/>
  <c r="X101" i="82"/>
  <c r="X105" i="82"/>
  <c r="AM121" i="82"/>
  <c r="BY13" i="138" l="1"/>
  <c r="J36" i="135"/>
  <c r="K36" i="135"/>
  <c r="L36" i="135"/>
  <c r="M36" i="135"/>
  <c r="N36" i="135"/>
  <c r="O36" i="135"/>
  <c r="P36" i="135"/>
  <c r="Q36" i="135"/>
  <c r="R36" i="135"/>
  <c r="S36" i="135"/>
  <c r="T36" i="135"/>
  <c r="I36" i="135"/>
  <c r="CF13" i="138" l="1"/>
  <c r="BZ5" i="138"/>
  <c r="S19" i="140" s="1"/>
  <c r="D56" i="35"/>
  <c r="D57" i="35"/>
  <c r="D59" i="35"/>
  <c r="D60" i="35"/>
  <c r="D61" i="35"/>
  <c r="D62" i="35"/>
  <c r="AI279" i="83"/>
  <c r="X107" i="82"/>
  <c r="X55" i="83" l="1"/>
  <c r="X46" i="83"/>
  <c r="X47" i="83"/>
  <c r="X42" i="82"/>
  <c r="X39" i="82"/>
  <c r="X36" i="82"/>
  <c r="X33" i="82"/>
  <c r="X30" i="82"/>
  <c r="X48" i="83" l="1"/>
  <c r="X301" i="83"/>
  <c r="X279" i="83"/>
  <c r="J49" i="137" l="1"/>
  <c r="K49" i="137"/>
  <c r="L49" i="137"/>
  <c r="M49" i="137"/>
  <c r="N49" i="137"/>
  <c r="O49" i="137"/>
  <c r="P49" i="137"/>
  <c r="Q49" i="137"/>
  <c r="R49" i="137"/>
  <c r="S49" i="137"/>
  <c r="T49" i="137"/>
  <c r="I49" i="137"/>
  <c r="AS44" i="83"/>
  <c r="AR44" i="83"/>
  <c r="AQ44" i="83"/>
  <c r="AP44" i="83"/>
  <c r="AO44" i="83"/>
  <c r="AN44" i="83"/>
  <c r="AM44" i="83"/>
  <c r="AL44" i="83"/>
  <c r="AK44" i="83"/>
  <c r="AJ44" i="83"/>
  <c r="AI44" i="83"/>
  <c r="AH44" i="83"/>
  <c r="AS43" i="83"/>
  <c r="AR43" i="83"/>
  <c r="AQ43" i="83"/>
  <c r="AP43" i="83"/>
  <c r="AO43" i="83"/>
  <c r="AN43" i="83"/>
  <c r="AM43" i="83"/>
  <c r="AL43" i="83"/>
  <c r="AK43" i="83"/>
  <c r="AJ43" i="83"/>
  <c r="AI43" i="83"/>
  <c r="AH43" i="83"/>
  <c r="AS41" i="83"/>
  <c r="AR41" i="83"/>
  <c r="AQ41" i="83"/>
  <c r="AP41" i="83"/>
  <c r="AO41" i="83"/>
  <c r="AN41" i="83"/>
  <c r="AM41" i="83"/>
  <c r="AL41" i="83"/>
  <c r="AK41" i="83"/>
  <c r="AJ41" i="83"/>
  <c r="AI41" i="83"/>
  <c r="AH41" i="83"/>
  <c r="AS40" i="83"/>
  <c r="AR40" i="83"/>
  <c r="AQ40" i="83"/>
  <c r="AP40" i="83"/>
  <c r="AO40" i="83"/>
  <c r="AN40" i="83"/>
  <c r="AM40" i="83"/>
  <c r="AL40" i="83"/>
  <c r="AK40" i="83"/>
  <c r="AJ40" i="83"/>
  <c r="AI40" i="83"/>
  <c r="AH40" i="83"/>
  <c r="AS38" i="83"/>
  <c r="AR38" i="83"/>
  <c r="AQ38" i="83"/>
  <c r="AP38" i="83"/>
  <c r="AO38" i="83"/>
  <c r="AN38" i="83"/>
  <c r="AM38" i="83"/>
  <c r="AL38" i="83"/>
  <c r="AK38" i="83"/>
  <c r="AJ38" i="83"/>
  <c r="AI38" i="83"/>
  <c r="AH38" i="83"/>
  <c r="AS37" i="83"/>
  <c r="AR37" i="83"/>
  <c r="AQ37" i="83"/>
  <c r="AP37" i="83"/>
  <c r="AO37" i="83"/>
  <c r="AN37" i="83"/>
  <c r="AM37" i="83"/>
  <c r="AL37" i="83"/>
  <c r="AK37" i="83"/>
  <c r="AJ37" i="83"/>
  <c r="AI37" i="83"/>
  <c r="AH37" i="83"/>
  <c r="AS35" i="83"/>
  <c r="AR35" i="83"/>
  <c r="AQ35" i="83"/>
  <c r="AP35" i="83"/>
  <c r="AO35" i="83"/>
  <c r="AN35" i="83"/>
  <c r="AM35" i="83"/>
  <c r="AL35" i="83"/>
  <c r="AK35" i="83"/>
  <c r="AJ35" i="83"/>
  <c r="AI35" i="83"/>
  <c r="AH35" i="83"/>
  <c r="AS34" i="83"/>
  <c r="AR34" i="83"/>
  <c r="AQ34" i="83"/>
  <c r="AP34" i="83"/>
  <c r="AO34" i="83"/>
  <c r="AN34" i="83"/>
  <c r="AM34" i="83"/>
  <c r="AL34" i="83"/>
  <c r="AK34" i="83"/>
  <c r="AJ34" i="83"/>
  <c r="AI34" i="83"/>
  <c r="AH34" i="83"/>
  <c r="AS32" i="83"/>
  <c r="AR32" i="83"/>
  <c r="AQ32" i="83"/>
  <c r="AP32" i="83"/>
  <c r="AO32" i="83"/>
  <c r="AN32" i="83"/>
  <c r="AM32" i="83"/>
  <c r="AL32" i="83"/>
  <c r="AK32" i="83"/>
  <c r="AJ32" i="83"/>
  <c r="AI32" i="83"/>
  <c r="AH32" i="83"/>
  <c r="W46" i="83"/>
  <c r="W47" i="83"/>
  <c r="W42" i="82"/>
  <c r="W39" i="82"/>
  <c r="W36" i="82"/>
  <c r="W33" i="82"/>
  <c r="W30" i="82"/>
  <c r="AZ50" i="21" l="1"/>
  <c r="AZ49" i="21"/>
  <c r="AV26" i="21"/>
  <c r="G49" i="131"/>
  <c r="H49" i="131"/>
  <c r="J45" i="131"/>
  <c r="K45" i="131"/>
  <c r="L45" i="131"/>
  <c r="M45" i="131"/>
  <c r="N45" i="131"/>
  <c r="O45" i="131"/>
  <c r="P45" i="131"/>
  <c r="Q45" i="131"/>
  <c r="R45" i="131"/>
  <c r="S45" i="131"/>
  <c r="T45" i="131"/>
  <c r="I45" i="131"/>
  <c r="J35" i="137"/>
  <c r="K35" i="137"/>
  <c r="L35" i="137"/>
  <c r="M35" i="137"/>
  <c r="N35" i="137"/>
  <c r="O35" i="137"/>
  <c r="P35" i="137"/>
  <c r="Q35" i="137"/>
  <c r="R35" i="137"/>
  <c r="S35" i="137"/>
  <c r="T35" i="137"/>
  <c r="AZ36" i="21" s="1"/>
  <c r="I35" i="137"/>
  <c r="AL123" i="82" l="1"/>
  <c r="M16" i="131" s="1"/>
  <c r="AO50" i="21"/>
  <c r="AO49" i="21"/>
  <c r="AM50" i="21"/>
  <c r="AM49" i="21"/>
  <c r="AM48" i="21"/>
  <c r="AM26" i="21"/>
  <c r="AM36" i="21"/>
  <c r="AM39" i="21"/>
  <c r="I49" i="136"/>
  <c r="J49" i="136"/>
  <c r="K49" i="136"/>
  <c r="L49" i="136"/>
  <c r="M49" i="136"/>
  <c r="N49" i="136"/>
  <c r="O49" i="136"/>
  <c r="P49" i="136"/>
  <c r="Q49" i="136"/>
  <c r="R49" i="136"/>
  <c r="S49" i="136"/>
  <c r="T49" i="136"/>
  <c r="J45" i="129"/>
  <c r="K45" i="129"/>
  <c r="L45" i="129"/>
  <c r="M45" i="129"/>
  <c r="N45" i="129"/>
  <c r="O45" i="129"/>
  <c r="P45" i="129"/>
  <c r="Q45" i="129"/>
  <c r="R45" i="129"/>
  <c r="S45" i="129"/>
  <c r="T45" i="129"/>
  <c r="I45" i="129"/>
  <c r="AM46" i="21"/>
  <c r="AD50" i="21"/>
  <c r="AD49" i="21"/>
  <c r="AD39" i="21"/>
  <c r="J45" i="128"/>
  <c r="K45" i="128"/>
  <c r="L45" i="128"/>
  <c r="M45" i="128"/>
  <c r="N45" i="128"/>
  <c r="O45" i="128"/>
  <c r="P45" i="128"/>
  <c r="Q45" i="128"/>
  <c r="R45" i="128"/>
  <c r="S45" i="128"/>
  <c r="T45" i="128"/>
  <c r="I45" i="128"/>
  <c r="G38" i="128"/>
  <c r="H38" i="128"/>
  <c r="J45" i="127"/>
  <c r="K45" i="127"/>
  <c r="L45" i="127"/>
  <c r="M45" i="127"/>
  <c r="N45" i="127"/>
  <c r="O45" i="127"/>
  <c r="P45" i="127"/>
  <c r="Q45" i="127"/>
  <c r="R45" i="127"/>
  <c r="S45" i="127"/>
  <c r="T45" i="127"/>
  <c r="I45" i="127"/>
  <c r="B38" i="127"/>
  <c r="AH11" i="83"/>
  <c r="I20" i="127" s="1"/>
  <c r="Q10" i="21"/>
  <c r="Q12" i="21"/>
  <c r="Q13" i="21"/>
  <c r="Q14" i="21"/>
  <c r="Q16" i="21"/>
  <c r="Q17" i="21"/>
  <c r="Q18" i="21"/>
  <c r="F12" i="21"/>
  <c r="F13" i="21"/>
  <c r="F14" i="21"/>
  <c r="F16" i="21"/>
  <c r="F17" i="21"/>
  <c r="F18" i="21"/>
  <c r="J45" i="73"/>
  <c r="K45" i="73"/>
  <c r="L45" i="73"/>
  <c r="M45" i="73"/>
  <c r="N45" i="73"/>
  <c r="O45" i="73"/>
  <c r="P45" i="73"/>
  <c r="Q45" i="73"/>
  <c r="R45" i="73"/>
  <c r="S45" i="73"/>
  <c r="T45" i="73"/>
  <c r="I45" i="73"/>
  <c r="J45" i="69"/>
  <c r="K45" i="69"/>
  <c r="L45" i="69"/>
  <c r="M45" i="69"/>
  <c r="N45" i="69"/>
  <c r="O45" i="69"/>
  <c r="P45" i="69"/>
  <c r="Q45" i="69"/>
  <c r="R45" i="69"/>
  <c r="S45" i="69"/>
  <c r="T45" i="69"/>
  <c r="I45" i="69"/>
  <c r="R367" i="83" l="1"/>
  <c r="R366" i="83"/>
  <c r="R365" i="83"/>
  <c r="R364" i="83"/>
  <c r="AH97" i="83"/>
  <c r="AI97" i="83"/>
  <c r="AJ97" i="83"/>
  <c r="K26" i="69" s="1"/>
  <c r="AK97" i="83"/>
  <c r="AL97" i="83"/>
  <c r="AM97" i="83"/>
  <c r="AN97" i="83"/>
  <c r="AO97" i="83"/>
  <c r="AP97" i="83"/>
  <c r="AQ97" i="83"/>
  <c r="AR97" i="83"/>
  <c r="S26" i="69" s="1"/>
  <c r="AS97" i="83"/>
  <c r="T26" i="69" s="1"/>
  <c r="W55" i="83"/>
  <c r="Y55" i="83"/>
  <c r="Z55" i="83"/>
  <c r="AA55" i="83"/>
  <c r="AB55" i="83"/>
  <c r="AC55" i="83"/>
  <c r="AD55" i="83"/>
  <c r="AI31" i="83"/>
  <c r="AI33" i="83" s="1"/>
  <c r="J22" i="69" s="1"/>
  <c r="AS21" i="83"/>
  <c r="T21" i="131" s="1"/>
  <c r="AR21" i="83"/>
  <c r="S21" i="131" s="1"/>
  <c r="AQ21" i="83"/>
  <c r="R21" i="131" s="1"/>
  <c r="AP21" i="83"/>
  <c r="Q21" i="131" s="1"/>
  <c r="AO21" i="83"/>
  <c r="P21" i="131" s="1"/>
  <c r="AN21" i="83"/>
  <c r="O21" i="131" s="1"/>
  <c r="AM21" i="83"/>
  <c r="N21" i="131" s="1"/>
  <c r="AL21" i="83"/>
  <c r="M21" i="131" s="1"/>
  <c r="AK21" i="83"/>
  <c r="L21" i="131" s="1"/>
  <c r="AJ21" i="83"/>
  <c r="K21" i="131" s="1"/>
  <c r="AI21" i="83"/>
  <c r="J21" i="131" s="1"/>
  <c r="AS20" i="83"/>
  <c r="T20" i="131" s="1"/>
  <c r="AR20" i="83"/>
  <c r="S20" i="131" s="1"/>
  <c r="AQ20" i="83"/>
  <c r="R20" i="131" s="1"/>
  <c r="AP20" i="83"/>
  <c r="Q20" i="131" s="1"/>
  <c r="AO20" i="83"/>
  <c r="P20" i="131" s="1"/>
  <c r="AN20" i="83"/>
  <c r="O20" i="131" s="1"/>
  <c r="AM20" i="83"/>
  <c r="N20" i="131" s="1"/>
  <c r="AL20" i="83"/>
  <c r="M20" i="131" s="1"/>
  <c r="AK20" i="83"/>
  <c r="L20" i="131" s="1"/>
  <c r="AJ20" i="83"/>
  <c r="K20" i="131" s="1"/>
  <c r="AI20" i="83"/>
  <c r="J20" i="131" s="1"/>
  <c r="AS18" i="83"/>
  <c r="AR18" i="83"/>
  <c r="AQ18" i="83"/>
  <c r="AP18" i="83"/>
  <c r="AO18" i="83"/>
  <c r="AN18" i="83"/>
  <c r="AM18" i="83"/>
  <c r="AL18" i="83"/>
  <c r="AK18" i="83"/>
  <c r="AJ18" i="83"/>
  <c r="AI18" i="83"/>
  <c r="AS17" i="83"/>
  <c r="T20" i="129" s="1"/>
  <c r="AR17" i="83"/>
  <c r="S20" i="129" s="1"/>
  <c r="AQ17" i="83"/>
  <c r="R20" i="129" s="1"/>
  <c r="AP17" i="83"/>
  <c r="Q20" i="129" s="1"/>
  <c r="AO17" i="83"/>
  <c r="P20" i="129" s="1"/>
  <c r="AN17" i="83"/>
  <c r="O20" i="129" s="1"/>
  <c r="AM17" i="83"/>
  <c r="N20" i="129" s="1"/>
  <c r="AL17" i="83"/>
  <c r="M20" i="129" s="1"/>
  <c r="AK17" i="83"/>
  <c r="L20" i="129" s="1"/>
  <c r="AJ17" i="83"/>
  <c r="K20" i="129" s="1"/>
  <c r="AI17" i="83"/>
  <c r="J20" i="129" s="1"/>
  <c r="AS15" i="83"/>
  <c r="T21" i="128" s="1"/>
  <c r="AR15" i="83"/>
  <c r="S21" i="128" s="1"/>
  <c r="AQ15" i="83"/>
  <c r="R21" i="128" s="1"/>
  <c r="AP15" i="83"/>
  <c r="Q21" i="128" s="1"/>
  <c r="AO15" i="83"/>
  <c r="P21" i="128" s="1"/>
  <c r="AN15" i="83"/>
  <c r="O21" i="128" s="1"/>
  <c r="AM15" i="83"/>
  <c r="N21" i="128" s="1"/>
  <c r="AL15" i="83"/>
  <c r="M21" i="128" s="1"/>
  <c r="AK15" i="83"/>
  <c r="L21" i="128" s="1"/>
  <c r="AJ15" i="83"/>
  <c r="K21" i="128" s="1"/>
  <c r="AI15" i="83"/>
  <c r="J21" i="128" s="1"/>
  <c r="AS14" i="83"/>
  <c r="T20" i="128" s="1"/>
  <c r="AR14" i="83"/>
  <c r="S20" i="128" s="1"/>
  <c r="AQ14" i="83"/>
  <c r="R20" i="128" s="1"/>
  <c r="AP14" i="83"/>
  <c r="Q20" i="128" s="1"/>
  <c r="AO14" i="83"/>
  <c r="P20" i="128" s="1"/>
  <c r="AN14" i="83"/>
  <c r="O20" i="128" s="1"/>
  <c r="AM14" i="83"/>
  <c r="N20" i="128" s="1"/>
  <c r="AL14" i="83"/>
  <c r="M20" i="128" s="1"/>
  <c r="AK14" i="83"/>
  <c r="L20" i="128" s="1"/>
  <c r="AJ14" i="83"/>
  <c r="K20" i="128" s="1"/>
  <c r="AI14" i="83"/>
  <c r="J20" i="128" s="1"/>
  <c r="AS12" i="83"/>
  <c r="T21" i="127" s="1"/>
  <c r="AR12" i="83"/>
  <c r="S21" i="127" s="1"/>
  <c r="AQ12" i="83"/>
  <c r="R21" i="127" s="1"/>
  <c r="AP12" i="83"/>
  <c r="Q21" i="127" s="1"/>
  <c r="AO12" i="83"/>
  <c r="P21" i="127" s="1"/>
  <c r="AN12" i="83"/>
  <c r="O21" i="127" s="1"/>
  <c r="AM12" i="83"/>
  <c r="N21" i="127" s="1"/>
  <c r="AL12" i="83"/>
  <c r="M21" i="127" s="1"/>
  <c r="AK12" i="83"/>
  <c r="L21" i="127" s="1"/>
  <c r="AJ12" i="83"/>
  <c r="K21" i="127" s="1"/>
  <c r="AI12" i="83"/>
  <c r="J21" i="127" s="1"/>
  <c r="AS11" i="83"/>
  <c r="T20" i="127" s="1"/>
  <c r="AR11" i="83"/>
  <c r="S20" i="127" s="1"/>
  <c r="AQ11" i="83"/>
  <c r="R20" i="127" s="1"/>
  <c r="AP11" i="83"/>
  <c r="Q20" i="127" s="1"/>
  <c r="AO11" i="83"/>
  <c r="P20" i="127" s="1"/>
  <c r="AN11" i="83"/>
  <c r="O20" i="127" s="1"/>
  <c r="AM11" i="83"/>
  <c r="N20" i="127" s="1"/>
  <c r="AL11" i="83"/>
  <c r="M20" i="127" s="1"/>
  <c r="AK11" i="83"/>
  <c r="L20" i="127" s="1"/>
  <c r="AJ11" i="83"/>
  <c r="K20" i="127" s="1"/>
  <c r="AI11" i="83"/>
  <c r="J20" i="127" s="1"/>
  <c r="AS9" i="83"/>
  <c r="AR9" i="83"/>
  <c r="AQ9" i="83"/>
  <c r="AP9" i="83"/>
  <c r="AO9" i="83"/>
  <c r="AN9" i="83"/>
  <c r="AM9" i="83"/>
  <c r="AL9" i="83"/>
  <c r="AK9" i="83"/>
  <c r="L21" i="69" s="1"/>
  <c r="AJ9" i="83"/>
  <c r="K21" i="69" s="1"/>
  <c r="AI9" i="83"/>
  <c r="AJ8" i="83"/>
  <c r="AK8" i="83"/>
  <c r="AL8" i="83"/>
  <c r="AM8" i="83"/>
  <c r="AN8" i="83"/>
  <c r="AO8" i="83"/>
  <c r="AP8" i="83"/>
  <c r="AQ8" i="83"/>
  <c r="AR8" i="83"/>
  <c r="AS8" i="83"/>
  <c r="AI8" i="83"/>
  <c r="AJ24" i="83" l="1"/>
  <c r="T20" i="69"/>
  <c r="AS23" i="83"/>
  <c r="AK24" i="83"/>
  <c r="AI24" i="83"/>
  <c r="J20" i="69"/>
  <c r="AI23" i="83"/>
  <c r="S20" i="69"/>
  <c r="AR23" i="83"/>
  <c r="M21" i="69"/>
  <c r="AL24" i="83"/>
  <c r="R20" i="69"/>
  <c r="AQ23" i="83"/>
  <c r="N21" i="69"/>
  <c r="AM24" i="83"/>
  <c r="J21" i="69"/>
  <c r="K20" i="69"/>
  <c r="AJ23" i="83"/>
  <c r="O21" i="69"/>
  <c r="AN24" i="83"/>
  <c r="P20" i="69"/>
  <c r="AO23" i="83"/>
  <c r="P21" i="69"/>
  <c r="AO24" i="83"/>
  <c r="Q20" i="69"/>
  <c r="AP23" i="83"/>
  <c r="O20" i="69"/>
  <c r="AN23" i="83"/>
  <c r="Q21" i="69"/>
  <c r="AP24" i="83"/>
  <c r="AM23" i="83"/>
  <c r="R21" i="69"/>
  <c r="AQ24" i="83"/>
  <c r="M20" i="69"/>
  <c r="AL23" i="83"/>
  <c r="S21" i="69"/>
  <c r="AR24" i="83"/>
  <c r="L20" i="69"/>
  <c r="AK23" i="83"/>
  <c r="T21" i="69"/>
  <c r="AS24" i="83"/>
  <c r="O26" i="128"/>
  <c r="O26" i="127"/>
  <c r="O26" i="131"/>
  <c r="O26" i="129"/>
  <c r="N26" i="128"/>
  <c r="N26" i="127"/>
  <c r="N26" i="131"/>
  <c r="N26" i="129"/>
  <c r="K26" i="128"/>
  <c r="K26" i="127"/>
  <c r="K26" i="131"/>
  <c r="K26" i="129"/>
  <c r="O26" i="69"/>
  <c r="Q26" i="129"/>
  <c r="Q26" i="128"/>
  <c r="Q26" i="131"/>
  <c r="Q26" i="127"/>
  <c r="P26" i="129"/>
  <c r="P26" i="131"/>
  <c r="P26" i="128"/>
  <c r="P26" i="127"/>
  <c r="M26" i="128"/>
  <c r="M26" i="127"/>
  <c r="M26" i="131"/>
  <c r="M26" i="129"/>
  <c r="J26" i="69"/>
  <c r="J26" i="131"/>
  <c r="J26" i="129"/>
  <c r="J26" i="128"/>
  <c r="J26" i="127"/>
  <c r="N26" i="69"/>
  <c r="S26" i="129"/>
  <c r="S26" i="127"/>
  <c r="S26" i="131"/>
  <c r="S26" i="128"/>
  <c r="R26" i="129"/>
  <c r="R26" i="127"/>
  <c r="R26" i="128"/>
  <c r="R26" i="131"/>
  <c r="P26" i="69"/>
  <c r="I26" i="69"/>
  <c r="I26" i="131"/>
  <c r="I26" i="127"/>
  <c r="I26" i="129"/>
  <c r="I26" i="128"/>
  <c r="M26" i="69"/>
  <c r="R26" i="69"/>
  <c r="Q26" i="69"/>
  <c r="L26" i="128"/>
  <c r="L26" i="127"/>
  <c r="L26" i="131"/>
  <c r="L26" i="129"/>
  <c r="T26" i="129"/>
  <c r="T26" i="127"/>
  <c r="T26" i="131"/>
  <c r="T26" i="128"/>
  <c r="L26" i="69"/>
  <c r="N20" i="69"/>
  <c r="G29" i="21" l="1"/>
  <c r="G32" i="21"/>
  <c r="G40" i="21"/>
  <c r="G43" i="21"/>
  <c r="G52" i="21"/>
  <c r="G53" i="21"/>
  <c r="G54" i="21"/>
  <c r="G55" i="21"/>
  <c r="G56" i="21"/>
  <c r="G20" i="21"/>
  <c r="G15" i="21"/>
  <c r="AS134" i="82"/>
  <c r="T17" i="131" s="1"/>
  <c r="AR134" i="82"/>
  <c r="S17" i="131" s="1"/>
  <c r="AQ134" i="82"/>
  <c r="R17" i="131" s="1"/>
  <c r="AP134" i="82"/>
  <c r="Q17" i="131" s="1"/>
  <c r="AO134" i="82"/>
  <c r="P17" i="131" s="1"/>
  <c r="AN134" i="82"/>
  <c r="O17" i="131" s="1"/>
  <c r="AM134" i="82"/>
  <c r="N17" i="131" s="1"/>
  <c r="AL134" i="82"/>
  <c r="M17" i="131" s="1"/>
  <c r="AK134" i="82"/>
  <c r="L17" i="131" s="1"/>
  <c r="AJ134" i="82"/>
  <c r="K17" i="131" s="1"/>
  <c r="AI134" i="82"/>
  <c r="J17" i="131" s="1"/>
  <c r="AH134" i="82"/>
  <c r="I17" i="131" s="1"/>
  <c r="AS133" i="82"/>
  <c r="T17" i="129" s="1"/>
  <c r="AR133" i="82"/>
  <c r="S17" i="129" s="1"/>
  <c r="AQ133" i="82"/>
  <c r="R17" i="129" s="1"/>
  <c r="AP133" i="82"/>
  <c r="Q17" i="129" s="1"/>
  <c r="AO133" i="82"/>
  <c r="P17" i="129" s="1"/>
  <c r="AN133" i="82"/>
  <c r="O17" i="129" s="1"/>
  <c r="AM133" i="82"/>
  <c r="N17" i="129" s="1"/>
  <c r="AL133" i="82"/>
  <c r="M17" i="129" s="1"/>
  <c r="AK133" i="82"/>
  <c r="L17" i="129" s="1"/>
  <c r="AJ133" i="82"/>
  <c r="K17" i="129" s="1"/>
  <c r="AI133" i="82"/>
  <c r="J17" i="129" s="1"/>
  <c r="AH133" i="82"/>
  <c r="I17" i="129" s="1"/>
  <c r="AS132" i="82"/>
  <c r="T17" i="128" s="1"/>
  <c r="AR132" i="82"/>
  <c r="S17" i="128" s="1"/>
  <c r="AQ132" i="82"/>
  <c r="R17" i="128" s="1"/>
  <c r="AP132" i="82"/>
  <c r="Q17" i="128" s="1"/>
  <c r="AO132" i="82"/>
  <c r="P17" i="128" s="1"/>
  <c r="AN132" i="82"/>
  <c r="O17" i="128" s="1"/>
  <c r="AM132" i="82"/>
  <c r="N17" i="128" s="1"/>
  <c r="AL132" i="82"/>
  <c r="M17" i="128" s="1"/>
  <c r="AK132" i="82"/>
  <c r="L17" i="128" s="1"/>
  <c r="AJ132" i="82"/>
  <c r="K17" i="128" s="1"/>
  <c r="AI132" i="82"/>
  <c r="J17" i="128" s="1"/>
  <c r="AH132" i="82"/>
  <c r="I17" i="128" s="1"/>
  <c r="AS131" i="82"/>
  <c r="T17" i="127" s="1"/>
  <c r="AR131" i="82"/>
  <c r="S17" i="127" s="1"/>
  <c r="AQ131" i="82"/>
  <c r="R17" i="127" s="1"/>
  <c r="AP131" i="82"/>
  <c r="Q17" i="127" s="1"/>
  <c r="AO131" i="82"/>
  <c r="P17" i="127" s="1"/>
  <c r="AN131" i="82"/>
  <c r="O17" i="127" s="1"/>
  <c r="AM131" i="82"/>
  <c r="N17" i="127" s="1"/>
  <c r="AL131" i="82"/>
  <c r="M17" i="127" s="1"/>
  <c r="AK131" i="82"/>
  <c r="L17" i="127" s="1"/>
  <c r="AJ131" i="82"/>
  <c r="K17" i="127" s="1"/>
  <c r="AI131" i="82"/>
  <c r="J17" i="127" s="1"/>
  <c r="AH131" i="82"/>
  <c r="I17" i="127" s="1"/>
  <c r="AI130" i="82"/>
  <c r="AJ130" i="82"/>
  <c r="K17" i="69" s="1"/>
  <c r="AK130" i="82"/>
  <c r="L17" i="69" s="1"/>
  <c r="AL130" i="82"/>
  <c r="AM130" i="82"/>
  <c r="N17" i="69" s="1"/>
  <c r="AN130" i="82"/>
  <c r="AO130" i="82"/>
  <c r="P17" i="69" s="1"/>
  <c r="AP130" i="82"/>
  <c r="Q17" i="69" s="1"/>
  <c r="AQ130" i="82"/>
  <c r="R17" i="69" s="1"/>
  <c r="AR130" i="82"/>
  <c r="S17" i="69" s="1"/>
  <c r="AS130" i="82"/>
  <c r="T17" i="69" s="1"/>
  <c r="AH340" i="83"/>
  <c r="AI340" i="83"/>
  <c r="AJ340" i="83"/>
  <c r="AK340" i="83"/>
  <c r="AL340" i="83"/>
  <c r="AM340" i="83"/>
  <c r="AN340" i="83"/>
  <c r="AO340" i="83"/>
  <c r="AP340" i="83"/>
  <c r="AQ340" i="83"/>
  <c r="AR340" i="83"/>
  <c r="AS340" i="83"/>
  <c r="R341" i="83"/>
  <c r="AG341" i="83" s="1"/>
  <c r="R340" i="83"/>
  <c r="AG340" i="83" s="1"/>
  <c r="R339" i="83"/>
  <c r="AG339" i="83" s="1"/>
  <c r="R338" i="83"/>
  <c r="AG338" i="83" s="1"/>
  <c r="D46" i="35"/>
  <c r="E46" i="35"/>
  <c r="E36" i="35"/>
  <c r="E37" i="35"/>
  <c r="E38" i="35"/>
  <c r="E39" i="35"/>
  <c r="E40" i="35"/>
  <c r="E41" i="35"/>
  <c r="AS216" i="83"/>
  <c r="T38" i="131" s="1"/>
  <c r="AR216" i="83"/>
  <c r="S38" i="131" s="1"/>
  <c r="AQ216" i="83"/>
  <c r="R38" i="131" s="1"/>
  <c r="Q38" i="131"/>
  <c r="AO216" i="83"/>
  <c r="P38" i="131" s="1"/>
  <c r="O38" i="131"/>
  <c r="L38" i="131"/>
  <c r="AJ216" i="83"/>
  <c r="K38" i="131" s="1"/>
  <c r="AI216" i="83"/>
  <c r="J38" i="131" s="1"/>
  <c r="AH216" i="83"/>
  <c r="I38" i="131" s="1"/>
  <c r="AS215" i="83"/>
  <c r="T38" i="129" s="1"/>
  <c r="AR215" i="83"/>
  <c r="S38" i="129" s="1"/>
  <c r="AQ215" i="83"/>
  <c r="R38" i="129" s="1"/>
  <c r="Q38" i="129"/>
  <c r="AJ215" i="83"/>
  <c r="AK215" i="83" s="1"/>
  <c r="AL215" i="83" s="1"/>
  <c r="AM215" i="83" s="1"/>
  <c r="AN215" i="83" s="1"/>
  <c r="AI215" i="83"/>
  <c r="J38" i="129" s="1"/>
  <c r="AH215" i="83"/>
  <c r="I38" i="129" s="1"/>
  <c r="AS214" i="83"/>
  <c r="T38" i="128" s="1"/>
  <c r="AR214" i="83"/>
  <c r="S38" i="128" s="1"/>
  <c r="AQ214" i="83"/>
  <c r="R38" i="128" s="1"/>
  <c r="Q38" i="128"/>
  <c r="AO214" i="83"/>
  <c r="P38" i="128" s="1"/>
  <c r="O38" i="128"/>
  <c r="L38" i="128"/>
  <c r="AJ214" i="83"/>
  <c r="K38" i="128" s="1"/>
  <c r="AI214" i="83"/>
  <c r="J38" i="128" s="1"/>
  <c r="AH214" i="83"/>
  <c r="I38" i="128" s="1"/>
  <c r="AS213" i="83"/>
  <c r="AR213" i="83"/>
  <c r="AQ213" i="83"/>
  <c r="AO213" i="83"/>
  <c r="AJ213" i="83"/>
  <c r="AI213" i="83"/>
  <c r="AH213" i="83"/>
  <c r="AS212" i="83"/>
  <c r="T38" i="69" s="1"/>
  <c r="AR212" i="83"/>
  <c r="S38" i="69" s="1"/>
  <c r="AQ212" i="83"/>
  <c r="R38" i="69" s="1"/>
  <c r="Q38" i="69"/>
  <c r="AJ212" i="83"/>
  <c r="AK212" i="83" s="1"/>
  <c r="AL212" i="83" s="1"/>
  <c r="AM212" i="83" s="1"/>
  <c r="AN212" i="83" s="1"/>
  <c r="AI212" i="83"/>
  <c r="J38" i="69" s="1"/>
  <c r="AH212" i="83"/>
  <c r="I38" i="69" s="1"/>
  <c r="AS210" i="83"/>
  <c r="T37" i="131" s="1"/>
  <c r="AR210" i="83"/>
  <c r="S37" i="131" s="1"/>
  <c r="AQ210" i="83"/>
  <c r="R37" i="131" s="1"/>
  <c r="AP210" i="83"/>
  <c r="Q37" i="131" s="1"/>
  <c r="AH210" i="83"/>
  <c r="AS209" i="83"/>
  <c r="T37" i="129" s="1"/>
  <c r="AR209" i="83"/>
  <c r="S37" i="129" s="1"/>
  <c r="AQ209" i="83"/>
  <c r="R37" i="129" s="1"/>
  <c r="AP209" i="83"/>
  <c r="Q37" i="129" s="1"/>
  <c r="AH209" i="83"/>
  <c r="AS208" i="83"/>
  <c r="AR208" i="83"/>
  <c r="AQ208" i="83"/>
  <c r="AP208" i="83"/>
  <c r="AH208" i="83"/>
  <c r="AS207" i="83"/>
  <c r="T37" i="127" s="1"/>
  <c r="AR207" i="83"/>
  <c r="S37" i="127" s="1"/>
  <c r="AQ207" i="83"/>
  <c r="R37" i="127" s="1"/>
  <c r="AP207" i="83"/>
  <c r="Q37" i="127" s="1"/>
  <c r="AH207" i="83"/>
  <c r="AS206" i="83"/>
  <c r="T37" i="69" s="1"/>
  <c r="AR206" i="83"/>
  <c r="S37" i="69" s="1"/>
  <c r="AQ206" i="83"/>
  <c r="R37" i="69" s="1"/>
  <c r="AP206" i="83"/>
  <c r="Q37" i="69" s="1"/>
  <c r="AH206" i="83"/>
  <c r="AS204" i="83"/>
  <c r="T36" i="131" s="1"/>
  <c r="AR204" i="83"/>
  <c r="S36" i="131" s="1"/>
  <c r="AQ204" i="83"/>
  <c r="R36" i="131" s="1"/>
  <c r="AP204" i="83"/>
  <c r="Q36" i="131" s="1"/>
  <c r="AH204" i="83"/>
  <c r="AS203" i="83"/>
  <c r="T36" i="129" s="1"/>
  <c r="AR203" i="83"/>
  <c r="S36" i="129" s="1"/>
  <c r="AQ203" i="83"/>
  <c r="R36" i="129" s="1"/>
  <c r="AP203" i="83"/>
  <c r="Q36" i="129" s="1"/>
  <c r="AH203" i="83"/>
  <c r="AS202" i="83"/>
  <c r="T36" i="128" s="1"/>
  <c r="AR202" i="83"/>
  <c r="S36" i="128" s="1"/>
  <c r="AQ202" i="83"/>
  <c r="R36" i="128" s="1"/>
  <c r="AP202" i="83"/>
  <c r="Q36" i="128" s="1"/>
  <c r="AH202" i="83"/>
  <c r="AS201" i="83"/>
  <c r="T36" i="127" s="1"/>
  <c r="AR201" i="83"/>
  <c r="S36" i="127" s="1"/>
  <c r="AQ201" i="83"/>
  <c r="R36" i="127" s="1"/>
  <c r="AP201" i="83"/>
  <c r="Q36" i="127" s="1"/>
  <c r="AH201" i="83"/>
  <c r="AS200" i="83"/>
  <c r="T36" i="69" s="1"/>
  <c r="AR200" i="83"/>
  <c r="S36" i="69" s="1"/>
  <c r="AQ200" i="83"/>
  <c r="R36" i="69" s="1"/>
  <c r="AP200" i="83"/>
  <c r="Q36" i="69" s="1"/>
  <c r="AH200" i="83"/>
  <c r="AK135" i="82" l="1"/>
  <c r="AI135" i="82"/>
  <c r="AL135" i="82"/>
  <c r="J17" i="69"/>
  <c r="AJ135" i="82"/>
  <c r="O38" i="69"/>
  <c r="AO212" i="83"/>
  <c r="P38" i="69" s="1"/>
  <c r="O38" i="129"/>
  <c r="AO215" i="83"/>
  <c r="P38" i="129" s="1"/>
  <c r="AN135" i="82"/>
  <c r="M38" i="128"/>
  <c r="N38" i="128"/>
  <c r="M38" i="131"/>
  <c r="N38" i="131"/>
  <c r="T38" i="127"/>
  <c r="T37" i="128"/>
  <c r="AI202" i="83"/>
  <c r="I36" i="128"/>
  <c r="AI206" i="83"/>
  <c r="I37" i="69"/>
  <c r="AI209" i="83"/>
  <c r="I37" i="129"/>
  <c r="AI201" i="83"/>
  <c r="I36" i="127"/>
  <c r="K38" i="69"/>
  <c r="S37" i="128"/>
  <c r="S38" i="127"/>
  <c r="AI204" i="83"/>
  <c r="I36" i="131"/>
  <c r="K38" i="129"/>
  <c r="AI208" i="83"/>
  <c r="I37" i="128"/>
  <c r="I38" i="127"/>
  <c r="AI200" i="83"/>
  <c r="I36" i="69"/>
  <c r="AI203" i="83"/>
  <c r="I36" i="129"/>
  <c r="AI207" i="83"/>
  <c r="I37" i="127"/>
  <c r="Q37" i="128"/>
  <c r="Q38" i="127"/>
  <c r="AI210" i="83"/>
  <c r="I37" i="131"/>
  <c r="R37" i="128"/>
  <c r="R38" i="127"/>
  <c r="AO135" i="82"/>
  <c r="AR135" i="82"/>
  <c r="AP135" i="82"/>
  <c r="AS135" i="82"/>
  <c r="AQ135" i="82"/>
  <c r="AM135" i="82"/>
  <c r="O17" i="69"/>
  <c r="M17" i="69"/>
  <c r="AQ211" i="83"/>
  <c r="AS211" i="83"/>
  <c r="AP211" i="83"/>
  <c r="AR211" i="83"/>
  <c r="L38" i="129" l="1"/>
  <c r="AJ203" i="83"/>
  <c r="J36" i="129"/>
  <c r="AJ200" i="83"/>
  <c r="J36" i="69"/>
  <c r="AJ210" i="83"/>
  <c r="J37" i="131"/>
  <c r="AJ209" i="83"/>
  <c r="J37" i="129"/>
  <c r="AJ206" i="83"/>
  <c r="J37" i="69"/>
  <c r="AJ201" i="83"/>
  <c r="J36" i="127"/>
  <c r="AJ207" i="83"/>
  <c r="J37" i="127"/>
  <c r="AJ204" i="83"/>
  <c r="J36" i="131"/>
  <c r="AI211" i="83"/>
  <c r="AJ202" i="83"/>
  <c r="J36" i="128"/>
  <c r="AJ208" i="83"/>
  <c r="J37" i="128"/>
  <c r="J38" i="127"/>
  <c r="L38" i="69"/>
  <c r="V199" i="83"/>
  <c r="AS182" i="83"/>
  <c r="AR182" i="83"/>
  <c r="AQ182" i="83"/>
  <c r="AP182" i="83"/>
  <c r="AO182" i="83"/>
  <c r="AN182" i="83"/>
  <c r="AM182" i="83"/>
  <c r="AL182" i="83"/>
  <c r="AK182" i="83"/>
  <c r="AJ182" i="83"/>
  <c r="AI182" i="83"/>
  <c r="AH182" i="83"/>
  <c r="AS179" i="83"/>
  <c r="AR179" i="83"/>
  <c r="T33" i="131" s="1"/>
  <c r="AQ179" i="83"/>
  <c r="S33" i="131" s="1"/>
  <c r="AP179" i="83"/>
  <c r="R33" i="131" s="1"/>
  <c r="AO179" i="83"/>
  <c r="Q33" i="131" s="1"/>
  <c r="AN179" i="83"/>
  <c r="P33" i="131" s="1"/>
  <c r="AM179" i="83"/>
  <c r="O33" i="131" s="1"/>
  <c r="AL179" i="83"/>
  <c r="N33" i="131" s="1"/>
  <c r="AK179" i="83"/>
  <c r="M33" i="131" s="1"/>
  <c r="AJ179" i="83"/>
  <c r="L33" i="131" s="1"/>
  <c r="AI179" i="83"/>
  <c r="K33" i="131" s="1"/>
  <c r="AH179" i="83"/>
  <c r="AS176" i="83"/>
  <c r="T33" i="129" s="1"/>
  <c r="AR176" i="83"/>
  <c r="S33" i="129" s="1"/>
  <c r="AQ176" i="83"/>
  <c r="R33" i="129" s="1"/>
  <c r="AP176" i="83"/>
  <c r="Q33" i="129" s="1"/>
  <c r="AO176" i="83"/>
  <c r="P33" i="129" s="1"/>
  <c r="AN176" i="83"/>
  <c r="O33" i="129" s="1"/>
  <c r="AM176" i="83"/>
  <c r="N33" i="129" s="1"/>
  <c r="AL176" i="83"/>
  <c r="M33" i="129" s="1"/>
  <c r="AK176" i="83"/>
  <c r="L33" i="129" s="1"/>
  <c r="AJ176" i="83"/>
  <c r="K33" i="129" s="1"/>
  <c r="AI176" i="83"/>
  <c r="J33" i="129" s="1"/>
  <c r="AH176" i="83"/>
  <c r="I33" i="129" s="1"/>
  <c r="AS173" i="83"/>
  <c r="T33" i="128" s="1"/>
  <c r="AR173" i="83"/>
  <c r="S33" i="128" s="1"/>
  <c r="AQ173" i="83"/>
  <c r="R33" i="128" s="1"/>
  <c r="AP173" i="83"/>
  <c r="Q33" i="128" s="1"/>
  <c r="AO173" i="83"/>
  <c r="P33" i="128" s="1"/>
  <c r="AN173" i="83"/>
  <c r="O33" i="128" s="1"/>
  <c r="AM173" i="83"/>
  <c r="N33" i="128" s="1"/>
  <c r="AL173" i="83"/>
  <c r="M33" i="128" s="1"/>
  <c r="AK173" i="83"/>
  <c r="L33" i="128" s="1"/>
  <c r="AJ173" i="83"/>
  <c r="K33" i="128" s="1"/>
  <c r="AI173" i="83"/>
  <c r="J33" i="128" s="1"/>
  <c r="AH173" i="83"/>
  <c r="I33" i="128" s="1"/>
  <c r="AS170" i="83"/>
  <c r="T33" i="127" s="1"/>
  <c r="AR170" i="83"/>
  <c r="S33" i="127" s="1"/>
  <c r="AQ170" i="83"/>
  <c r="R33" i="127" s="1"/>
  <c r="AP170" i="83"/>
  <c r="Q33" i="127" s="1"/>
  <c r="AO170" i="83"/>
  <c r="P33" i="127" s="1"/>
  <c r="AN170" i="83"/>
  <c r="O33" i="127" s="1"/>
  <c r="AM170" i="83"/>
  <c r="N33" i="127" s="1"/>
  <c r="AL170" i="83"/>
  <c r="M33" i="127" s="1"/>
  <c r="AK170" i="83"/>
  <c r="L33" i="127" s="1"/>
  <c r="AJ170" i="83"/>
  <c r="K33" i="127" s="1"/>
  <c r="AI170" i="83"/>
  <c r="J33" i="127" s="1"/>
  <c r="AH170" i="83"/>
  <c r="I33" i="127" s="1"/>
  <c r="AS167" i="83"/>
  <c r="T33" i="69" s="1"/>
  <c r="AR167" i="83"/>
  <c r="S33" i="69" s="1"/>
  <c r="AQ167" i="83"/>
  <c r="R33" i="69" s="1"/>
  <c r="AP167" i="83"/>
  <c r="Q33" i="69" s="1"/>
  <c r="AO167" i="83"/>
  <c r="P33" i="69" s="1"/>
  <c r="AN167" i="83"/>
  <c r="O33" i="69" s="1"/>
  <c r="AM167" i="83"/>
  <c r="N33" i="69" s="1"/>
  <c r="AL167" i="83"/>
  <c r="M33" i="69" s="1"/>
  <c r="AK167" i="83"/>
  <c r="L33" i="69" s="1"/>
  <c r="AJ167" i="83"/>
  <c r="K33" i="69" s="1"/>
  <c r="AI167" i="83"/>
  <c r="J33" i="69" s="1"/>
  <c r="AH167" i="83"/>
  <c r="I33" i="69" s="1"/>
  <c r="R148" i="83"/>
  <c r="R151" i="83"/>
  <c r="R154" i="83"/>
  <c r="R157" i="83"/>
  <c r="R160" i="83"/>
  <c r="R145" i="83"/>
  <c r="D40" i="35"/>
  <c r="D36" i="35"/>
  <c r="AL135" i="83"/>
  <c r="M30" i="129" s="1"/>
  <c r="AK133" i="83"/>
  <c r="L30" i="128" s="1"/>
  <c r="AS139" i="83"/>
  <c r="AR139" i="83"/>
  <c r="AQ139" i="83"/>
  <c r="AP139" i="83"/>
  <c r="AO139" i="83"/>
  <c r="AN139" i="83"/>
  <c r="AM139" i="83"/>
  <c r="AL139" i="83"/>
  <c r="AK139" i="83"/>
  <c r="AJ139" i="83"/>
  <c r="AI139" i="83"/>
  <c r="AH139" i="83"/>
  <c r="AS137" i="83"/>
  <c r="T30" i="131" s="1"/>
  <c r="AR137" i="83"/>
  <c r="S30" i="131" s="1"/>
  <c r="AQ137" i="83"/>
  <c r="R30" i="131" s="1"/>
  <c r="AP137" i="83"/>
  <c r="Q30" i="131" s="1"/>
  <c r="AO137" i="83"/>
  <c r="P30" i="131" s="1"/>
  <c r="AN137" i="83"/>
  <c r="O30" i="131" s="1"/>
  <c r="AM137" i="83"/>
  <c r="N30" i="131" s="1"/>
  <c r="AL137" i="83"/>
  <c r="M30" i="131" s="1"/>
  <c r="AK137" i="83"/>
  <c r="L30" i="131" s="1"/>
  <c r="AJ137" i="83"/>
  <c r="K30" i="131" s="1"/>
  <c r="AI137" i="83"/>
  <c r="J30" i="131" s="1"/>
  <c r="AH137" i="83"/>
  <c r="I30" i="131" s="1"/>
  <c r="AS135" i="83"/>
  <c r="T30" i="129" s="1"/>
  <c r="AR135" i="83"/>
  <c r="S30" i="129" s="1"/>
  <c r="AQ135" i="83"/>
  <c r="R30" i="129" s="1"/>
  <c r="AP135" i="83"/>
  <c r="Q30" i="129" s="1"/>
  <c r="AO135" i="83"/>
  <c r="P30" i="129" s="1"/>
  <c r="AN135" i="83"/>
  <c r="O30" i="129" s="1"/>
  <c r="AM135" i="83"/>
  <c r="N30" i="129" s="1"/>
  <c r="AQ133" i="83"/>
  <c r="R30" i="128" s="1"/>
  <c r="AP133" i="83"/>
  <c r="Q30" i="128" s="1"/>
  <c r="AO133" i="83"/>
  <c r="P30" i="128" s="1"/>
  <c r="AN133" i="83"/>
  <c r="O30" i="128" s="1"/>
  <c r="AM133" i="83"/>
  <c r="N30" i="128" s="1"/>
  <c r="AL133" i="83"/>
  <c r="M30" i="128" s="1"/>
  <c r="AS131" i="83"/>
  <c r="T30" i="127" s="1"/>
  <c r="AR131" i="83"/>
  <c r="S30" i="127" s="1"/>
  <c r="AQ131" i="83"/>
  <c r="R30" i="127" s="1"/>
  <c r="AP131" i="83"/>
  <c r="Q30" i="127" s="1"/>
  <c r="AO131" i="83"/>
  <c r="P30" i="127" s="1"/>
  <c r="AN131" i="83"/>
  <c r="O30" i="127" s="1"/>
  <c r="AM131" i="83"/>
  <c r="N30" i="127" s="1"/>
  <c r="AL131" i="83"/>
  <c r="M30" i="127" s="1"/>
  <c r="AK131" i="83"/>
  <c r="L30" i="127" s="1"/>
  <c r="AJ131" i="83"/>
  <c r="K30" i="127" s="1"/>
  <c r="AI131" i="83"/>
  <c r="J30" i="127" s="1"/>
  <c r="AH131" i="83"/>
  <c r="I30" i="127" s="1"/>
  <c r="AJ129" i="83"/>
  <c r="K30" i="69" s="1"/>
  <c r="AK129" i="83"/>
  <c r="L30" i="69" s="1"/>
  <c r="AL129" i="83"/>
  <c r="M30" i="69" s="1"/>
  <c r="AM129" i="83"/>
  <c r="N30" i="69" s="1"/>
  <c r="AN129" i="83"/>
  <c r="O30" i="69" s="1"/>
  <c r="AO129" i="83"/>
  <c r="P30" i="69" s="1"/>
  <c r="AP129" i="83"/>
  <c r="Q30" i="69" s="1"/>
  <c r="AQ129" i="83"/>
  <c r="R30" i="69" s="1"/>
  <c r="AR129" i="83"/>
  <c r="S30" i="69" s="1"/>
  <c r="AS129" i="83"/>
  <c r="T30" i="69" s="1"/>
  <c r="AI129" i="83"/>
  <c r="J30" i="69" s="1"/>
  <c r="R139" i="83"/>
  <c r="AG139" i="83" s="1"/>
  <c r="R137" i="83"/>
  <c r="AG137" i="83" s="1"/>
  <c r="R135" i="83"/>
  <c r="AG135" i="83" s="1"/>
  <c r="R133" i="83"/>
  <c r="AG133" i="83" s="1"/>
  <c r="R131" i="83"/>
  <c r="AG131" i="83" s="1"/>
  <c r="R129" i="83"/>
  <c r="AG129" i="83" s="1"/>
  <c r="AH129" i="83"/>
  <c r="I30" i="69" s="1"/>
  <c r="D24" i="35"/>
  <c r="T46" i="83"/>
  <c r="U46" i="83"/>
  <c r="V46" i="83"/>
  <c r="T47" i="83"/>
  <c r="U47" i="83"/>
  <c r="V47" i="83"/>
  <c r="W48" i="83"/>
  <c r="Y48" i="83"/>
  <c r="Z48" i="83"/>
  <c r="AA48" i="83"/>
  <c r="AB48" i="83"/>
  <c r="AC48" i="83"/>
  <c r="AD48" i="83"/>
  <c r="AH45" i="83"/>
  <c r="I22" i="131" s="1"/>
  <c r="AI42" i="83"/>
  <c r="J22" i="129" s="1"/>
  <c r="AH42" i="83"/>
  <c r="I22" i="129" s="1"/>
  <c r="AI39" i="83"/>
  <c r="J22" i="128" s="1"/>
  <c r="AI36" i="83"/>
  <c r="J22" i="127" s="1"/>
  <c r="AH36" i="83"/>
  <c r="I22" i="127" s="1"/>
  <c r="AJ31" i="83"/>
  <c r="AJ33" i="83" s="1"/>
  <c r="K22" i="69" s="1"/>
  <c r="AK31" i="83"/>
  <c r="AL31" i="83"/>
  <c r="AM31" i="83"/>
  <c r="AN31" i="83"/>
  <c r="AO31" i="83"/>
  <c r="AP31" i="83"/>
  <c r="AQ31" i="83"/>
  <c r="AR31" i="83"/>
  <c r="AS31" i="83"/>
  <c r="AH31" i="83"/>
  <c r="S47" i="83"/>
  <c r="S46" i="83"/>
  <c r="AH46" i="83" s="1"/>
  <c r="AD45" i="83"/>
  <c r="AC45" i="83"/>
  <c r="AB45" i="83"/>
  <c r="AA45" i="83"/>
  <c r="Z45" i="83"/>
  <c r="Y45" i="83"/>
  <c r="X45" i="83"/>
  <c r="W45" i="83"/>
  <c r="V45" i="83"/>
  <c r="U45" i="83"/>
  <c r="T45" i="83"/>
  <c r="S45" i="83"/>
  <c r="AD42" i="83"/>
  <c r="AC42" i="83"/>
  <c r="AB42" i="83"/>
  <c r="AA42" i="83"/>
  <c r="Z42" i="83"/>
  <c r="Y42" i="83"/>
  <c r="X42" i="83"/>
  <c r="W42" i="83"/>
  <c r="V42" i="83"/>
  <c r="U42" i="83"/>
  <c r="T42" i="83"/>
  <c r="S42" i="83"/>
  <c r="AD39" i="83"/>
  <c r="AC39" i="83"/>
  <c r="AB39" i="83"/>
  <c r="AA39" i="83"/>
  <c r="Z39" i="83"/>
  <c r="Y39" i="83"/>
  <c r="X39" i="83"/>
  <c r="W39" i="83"/>
  <c r="V39" i="83"/>
  <c r="U39" i="83"/>
  <c r="T39" i="83"/>
  <c r="S39" i="83"/>
  <c r="AD36" i="83"/>
  <c r="AC36" i="83"/>
  <c r="AB36" i="83"/>
  <c r="AA36" i="83"/>
  <c r="Z36" i="83"/>
  <c r="Y36" i="83"/>
  <c r="X36" i="83"/>
  <c r="W36" i="83"/>
  <c r="V36" i="83"/>
  <c r="U36" i="83"/>
  <c r="T36" i="83"/>
  <c r="S36" i="83"/>
  <c r="T33" i="83"/>
  <c r="U33" i="83"/>
  <c r="V33" i="83"/>
  <c r="W33" i="83"/>
  <c r="X33" i="83"/>
  <c r="Y33" i="83"/>
  <c r="Z33" i="83"/>
  <c r="AA33" i="83"/>
  <c r="AB33" i="83"/>
  <c r="AC33" i="83"/>
  <c r="AD33" i="83"/>
  <c r="S33" i="83"/>
  <c r="T23" i="83"/>
  <c r="U23" i="83"/>
  <c r="V23" i="83"/>
  <c r="W23" i="83"/>
  <c r="X23" i="83"/>
  <c r="Y23" i="83"/>
  <c r="Z23" i="83"/>
  <c r="AA23" i="83"/>
  <c r="AB23" i="83"/>
  <c r="AC23" i="83"/>
  <c r="AD23" i="83"/>
  <c r="T24" i="83"/>
  <c r="U24" i="83"/>
  <c r="V24" i="83"/>
  <c r="W24" i="83"/>
  <c r="X24" i="83"/>
  <c r="Y24" i="83"/>
  <c r="Z24" i="83"/>
  <c r="AA24" i="83"/>
  <c r="AB24" i="83"/>
  <c r="AC24" i="83"/>
  <c r="AD24" i="83"/>
  <c r="S23" i="83"/>
  <c r="M38" i="69" l="1"/>
  <c r="N38" i="69"/>
  <c r="M38" i="129"/>
  <c r="N38" i="129"/>
  <c r="AK209" i="83"/>
  <c r="K37" i="129"/>
  <c r="AK202" i="83"/>
  <c r="K36" i="128"/>
  <c r="AS47" i="83"/>
  <c r="AI47" i="83"/>
  <c r="AR47" i="83"/>
  <c r="AN47" i="83"/>
  <c r="AQ47" i="83"/>
  <c r="AJ47" i="83"/>
  <c r="AP47" i="83"/>
  <c r="AO47" i="83"/>
  <c r="AM47" i="83"/>
  <c r="AL47" i="83"/>
  <c r="AK47" i="83"/>
  <c r="AH47" i="83"/>
  <c r="AH48" i="83" s="1"/>
  <c r="I21" i="36" s="1"/>
  <c r="AK204" i="83"/>
  <c r="K36" i="131"/>
  <c r="AK207" i="83"/>
  <c r="K37" i="127"/>
  <c r="AK203" i="83"/>
  <c r="K36" i="129"/>
  <c r="AK206" i="83"/>
  <c r="K37" i="69"/>
  <c r="AJ211" i="83"/>
  <c r="AK208" i="83"/>
  <c r="K37" i="128"/>
  <c r="K38" i="127"/>
  <c r="AK210" i="83"/>
  <c r="K37" i="131"/>
  <c r="J33" i="131"/>
  <c r="I33" i="131"/>
  <c r="AK200" i="83"/>
  <c r="K36" i="69"/>
  <c r="AK201" i="83"/>
  <c r="K36" i="127"/>
  <c r="AH39" i="83"/>
  <c r="I22" i="128" s="1"/>
  <c r="U48" i="83"/>
  <c r="AH135" i="83"/>
  <c r="I30" i="129" s="1"/>
  <c r="AJ135" i="83"/>
  <c r="K30" i="129" s="1"/>
  <c r="AI135" i="83"/>
  <c r="J30" i="129" s="1"/>
  <c r="AK135" i="83"/>
  <c r="L30" i="129" s="1"/>
  <c r="AR133" i="83"/>
  <c r="S30" i="128" s="1"/>
  <c r="AH133" i="83"/>
  <c r="I30" i="128" s="1"/>
  <c r="AI133" i="83"/>
  <c r="J30" i="128" s="1"/>
  <c r="AS133" i="83"/>
  <c r="T30" i="128" s="1"/>
  <c r="AJ133" i="83"/>
  <c r="K30" i="128" s="1"/>
  <c r="T48" i="83"/>
  <c r="AN46" i="83"/>
  <c r="AH33" i="83"/>
  <c r="I22" i="69" s="1"/>
  <c r="AQ46" i="83"/>
  <c r="AI45" i="83"/>
  <c r="J22" i="131" s="1"/>
  <c r="AL33" i="83"/>
  <c r="M22" i="69" s="1"/>
  <c r="AK33" i="83"/>
  <c r="L22" i="69" s="1"/>
  <c r="V48" i="83"/>
  <c r="S48" i="83"/>
  <c r="AS45" i="83"/>
  <c r="T22" i="131" s="1"/>
  <c r="AN36" i="83"/>
  <c r="O22" i="127" s="1"/>
  <c r="AL39" i="83"/>
  <c r="M22" i="128" s="1"/>
  <c r="AK42" i="83"/>
  <c r="L22" i="129" s="1"/>
  <c r="AP45" i="83"/>
  <c r="Q22" i="131" s="1"/>
  <c r="AK39" i="83"/>
  <c r="L22" i="128" s="1"/>
  <c r="AM39" i="83"/>
  <c r="N22" i="128" s="1"/>
  <c r="AO39" i="83"/>
  <c r="P22" i="128" s="1"/>
  <c r="AR39" i="83"/>
  <c r="S22" i="128" s="1"/>
  <c r="AQ42" i="83"/>
  <c r="R22" i="129" s="1"/>
  <c r="AL46" i="83"/>
  <c r="AK46" i="83"/>
  <c r="AO45" i="83"/>
  <c r="P22" i="131" s="1"/>
  <c r="AM33" i="83"/>
  <c r="N22" i="69" s="1"/>
  <c r="AN39" i="83"/>
  <c r="O22" i="128" s="1"/>
  <c r="AN42" i="83"/>
  <c r="O22" i="129" s="1"/>
  <c r="AS36" i="83"/>
  <c r="T22" i="127" s="1"/>
  <c r="AI46" i="83"/>
  <c r="AS39" i="83"/>
  <c r="T22" i="128" s="1"/>
  <c r="AR42" i="83"/>
  <c r="S22" i="129" s="1"/>
  <c r="AM46" i="83"/>
  <c r="AJ42" i="83"/>
  <c r="K22" i="129" s="1"/>
  <c r="AQ45" i="83"/>
  <c r="R22" i="131" s="1"/>
  <c r="AP36" i="83"/>
  <c r="Q22" i="127" s="1"/>
  <c r="AR45" i="83"/>
  <c r="S22" i="131" s="1"/>
  <c r="AP39" i="83"/>
  <c r="Q22" i="128" s="1"/>
  <c r="AJ36" i="83"/>
  <c r="K22" i="127" s="1"/>
  <c r="AS42" i="83"/>
  <c r="T22" i="129" s="1"/>
  <c r="AO36" i="83"/>
  <c r="P22" i="127" s="1"/>
  <c r="AL42" i="83"/>
  <c r="M22" i="129" s="1"/>
  <c r="AM42" i="83"/>
  <c r="N22" i="129" s="1"/>
  <c r="AO42" i="83"/>
  <c r="P22" i="129" s="1"/>
  <c r="AQ39" i="83"/>
  <c r="R22" i="128" s="1"/>
  <c r="AP42" i="83"/>
  <c r="Q22" i="129" s="1"/>
  <c r="AQ33" i="83"/>
  <c r="R22" i="69" s="1"/>
  <c r="AK36" i="83"/>
  <c r="L22" i="127" s="1"/>
  <c r="AM36" i="83"/>
  <c r="N22" i="127" s="1"/>
  <c r="AQ36" i="83"/>
  <c r="R22" i="127" s="1"/>
  <c r="AR36" i="83"/>
  <c r="S22" i="127" s="1"/>
  <c r="AL36" i="83"/>
  <c r="M22" i="127" s="1"/>
  <c r="AJ39" i="83"/>
  <c r="K22" i="128" s="1"/>
  <c r="AJ46" i="83"/>
  <c r="AO46" i="83"/>
  <c r="AR46" i="83"/>
  <c r="AS46" i="83"/>
  <c r="AP46" i="83"/>
  <c r="AL45" i="83"/>
  <c r="M22" i="131" s="1"/>
  <c r="AM45" i="83"/>
  <c r="N22" i="131" s="1"/>
  <c r="AJ45" i="83"/>
  <c r="K22" i="131" s="1"/>
  <c r="AK45" i="83"/>
  <c r="L22" i="131" s="1"/>
  <c r="AN45" i="83"/>
  <c r="O22" i="131" s="1"/>
  <c r="AP33" i="83"/>
  <c r="Q22" i="69" s="1"/>
  <c r="AO33" i="83"/>
  <c r="P22" i="69" s="1"/>
  <c r="AS33" i="83"/>
  <c r="T22" i="69" s="1"/>
  <c r="AR33" i="83"/>
  <c r="S22" i="69" s="1"/>
  <c r="AN33" i="83"/>
  <c r="O22" i="69" s="1"/>
  <c r="BY14" i="138" l="1"/>
  <c r="AN48" i="83"/>
  <c r="O21" i="36" s="1"/>
  <c r="AM48" i="83"/>
  <c r="N21" i="36" s="1"/>
  <c r="AR48" i="83"/>
  <c r="S21" i="36" s="1"/>
  <c r="AL201" i="83"/>
  <c r="L36" i="127"/>
  <c r="L37" i="69"/>
  <c r="AL206" i="83"/>
  <c r="AM206" i="83" s="1"/>
  <c r="AN206" i="83" s="1"/>
  <c r="AO206" i="83" s="1"/>
  <c r="AK211" i="83"/>
  <c r="AL203" i="83"/>
  <c r="L36" i="129"/>
  <c r="AL204" i="83"/>
  <c r="L36" i="131"/>
  <c r="AO48" i="83"/>
  <c r="P21" i="36" s="1"/>
  <c r="AL202" i="83"/>
  <c r="L36" i="128"/>
  <c r="AL200" i="83"/>
  <c r="L36" i="69"/>
  <c r="AL207" i="83"/>
  <c r="L37" i="127"/>
  <c r="AL208" i="83"/>
  <c r="AM208" i="83" s="1"/>
  <c r="AN208" i="83" s="1"/>
  <c r="AO208" i="83" s="1"/>
  <c r="L37" i="128"/>
  <c r="L38" i="127"/>
  <c r="AL210" i="83"/>
  <c r="L37" i="131"/>
  <c r="AL209" i="83"/>
  <c r="L37" i="129"/>
  <c r="AQ48" i="83"/>
  <c r="R21" i="36" s="1"/>
  <c r="AI48" i="83"/>
  <c r="J21" i="36" s="1"/>
  <c r="AJ48" i="83"/>
  <c r="K21" i="36" s="1"/>
  <c r="AK48" i="83"/>
  <c r="L21" i="36" s="1"/>
  <c r="AP48" i="83"/>
  <c r="Q21" i="36" s="1"/>
  <c r="AL48" i="83"/>
  <c r="M21" i="36" s="1"/>
  <c r="AS48" i="83"/>
  <c r="T21" i="36" s="1"/>
  <c r="P38" i="127" l="1"/>
  <c r="P37" i="128"/>
  <c r="P37" i="69"/>
  <c r="O38" i="127"/>
  <c r="O37" i="128"/>
  <c r="O37" i="69"/>
  <c r="M37" i="129"/>
  <c r="AM209" i="83"/>
  <c r="M36" i="128"/>
  <c r="AM202" i="83"/>
  <c r="M37" i="131"/>
  <c r="AM210" i="83"/>
  <c r="M36" i="129"/>
  <c r="AM203" i="83"/>
  <c r="M36" i="131"/>
  <c r="AM204" i="83"/>
  <c r="N37" i="128"/>
  <c r="N38" i="127"/>
  <c r="N37" i="69"/>
  <c r="M37" i="127"/>
  <c r="AM207" i="83"/>
  <c r="M36" i="69"/>
  <c r="AM200" i="83"/>
  <c r="M36" i="127"/>
  <c r="AM201" i="83"/>
  <c r="M37" i="128"/>
  <c r="M38" i="127"/>
  <c r="M37" i="69"/>
  <c r="AL211" i="83"/>
  <c r="AJ121" i="82"/>
  <c r="K16" i="129" s="1"/>
  <c r="AK121" i="82"/>
  <c r="L16" i="129" s="1"/>
  <c r="AL121" i="82"/>
  <c r="M16" i="129" s="1"/>
  <c r="N16" i="129"/>
  <c r="AN121" i="82"/>
  <c r="O16" i="129" s="1"/>
  <c r="AO121" i="82"/>
  <c r="P16" i="129" s="1"/>
  <c r="AP121" i="82"/>
  <c r="Q16" i="129" s="1"/>
  <c r="AQ121" i="82"/>
  <c r="R16" i="129" s="1"/>
  <c r="AR121" i="82"/>
  <c r="S16" i="129" s="1"/>
  <c r="AS121" i="82"/>
  <c r="T16" i="129" s="1"/>
  <c r="AJ119" i="82"/>
  <c r="K16" i="128" s="1"/>
  <c r="AK119" i="82"/>
  <c r="L16" i="128" s="1"/>
  <c r="AL119" i="82"/>
  <c r="M16" i="128" s="1"/>
  <c r="AM119" i="82"/>
  <c r="N16" i="128" s="1"/>
  <c r="AN119" i="82"/>
  <c r="O16" i="128" s="1"/>
  <c r="AO119" i="82"/>
  <c r="P16" i="128" s="1"/>
  <c r="AP119" i="82"/>
  <c r="Q16" i="128" s="1"/>
  <c r="AQ119" i="82"/>
  <c r="R16" i="128" s="1"/>
  <c r="AR119" i="82"/>
  <c r="S16" i="128" s="1"/>
  <c r="AS119" i="82"/>
  <c r="T16" i="128" s="1"/>
  <c r="AI119" i="82"/>
  <c r="J16" i="128" s="1"/>
  <c r="AJ117" i="82"/>
  <c r="K16" i="127" s="1"/>
  <c r="AK117" i="82"/>
  <c r="L16" i="127" s="1"/>
  <c r="AL117" i="82"/>
  <c r="M16" i="127" s="1"/>
  <c r="AM117" i="82"/>
  <c r="N16" i="127" s="1"/>
  <c r="AN117" i="82"/>
  <c r="O16" i="127" s="1"/>
  <c r="AO117" i="82"/>
  <c r="P16" i="127" s="1"/>
  <c r="AP117" i="82"/>
  <c r="Q16" i="127" s="1"/>
  <c r="AQ117" i="82"/>
  <c r="R16" i="127" s="1"/>
  <c r="AR117" i="82"/>
  <c r="S16" i="127" s="1"/>
  <c r="AS117" i="82"/>
  <c r="T16" i="127" s="1"/>
  <c r="AI117" i="82"/>
  <c r="J16" i="127" s="1"/>
  <c r="AJ115" i="82"/>
  <c r="K16" i="69" s="1"/>
  <c r="AK115" i="82"/>
  <c r="L16" i="69" s="1"/>
  <c r="AL115" i="82"/>
  <c r="M16" i="69" s="1"/>
  <c r="AM115" i="82"/>
  <c r="N16" i="69" s="1"/>
  <c r="AN115" i="82"/>
  <c r="O16" i="69" s="1"/>
  <c r="AO115" i="82"/>
  <c r="P16" i="69" s="1"/>
  <c r="AP115" i="82"/>
  <c r="Q16" i="69" s="1"/>
  <c r="AQ115" i="82"/>
  <c r="R16" i="69" s="1"/>
  <c r="AR115" i="82"/>
  <c r="S16" i="69" s="1"/>
  <c r="AS115" i="82"/>
  <c r="T16" i="69" s="1"/>
  <c r="AI115" i="82"/>
  <c r="J16" i="69" s="1"/>
  <c r="AH115" i="82"/>
  <c r="I16" i="69" s="1"/>
  <c r="AH117" i="82"/>
  <c r="I16" i="127" s="1"/>
  <c r="AH119" i="82"/>
  <c r="I16" i="128" s="1"/>
  <c r="AH121" i="82"/>
  <c r="I16" i="129" s="1"/>
  <c r="AI121" i="82"/>
  <c r="J16" i="129" s="1"/>
  <c r="AJ123" i="82"/>
  <c r="K16" i="131" s="1"/>
  <c r="AK123" i="82"/>
  <c r="L16" i="131" s="1"/>
  <c r="AM123" i="82"/>
  <c r="N16" i="131" s="1"/>
  <c r="AN123" i="82"/>
  <c r="O16" i="131" s="1"/>
  <c r="AO123" i="82"/>
  <c r="P16" i="131" s="1"/>
  <c r="AP123" i="82"/>
  <c r="Q16" i="131" s="1"/>
  <c r="AQ123" i="82"/>
  <c r="R16" i="131" s="1"/>
  <c r="AR123" i="82"/>
  <c r="S16" i="131" s="1"/>
  <c r="AS123" i="82"/>
  <c r="T16" i="131" s="1"/>
  <c r="AI123" i="82"/>
  <c r="J16" i="131" s="1"/>
  <c r="AH123" i="82"/>
  <c r="I16" i="131" s="1"/>
  <c r="J16" i="137"/>
  <c r="K16" i="137"/>
  <c r="L16" i="137"/>
  <c r="M16" i="137"/>
  <c r="N16" i="137"/>
  <c r="O16" i="137"/>
  <c r="P16" i="137"/>
  <c r="Q16" i="137"/>
  <c r="R16" i="137"/>
  <c r="S16" i="137"/>
  <c r="T16" i="137"/>
  <c r="I16" i="137"/>
  <c r="J16" i="136"/>
  <c r="K16" i="136"/>
  <c r="L16" i="136"/>
  <c r="M16" i="136"/>
  <c r="N16" i="136"/>
  <c r="O16" i="136"/>
  <c r="P16" i="136"/>
  <c r="Q16" i="136"/>
  <c r="R16" i="136"/>
  <c r="S16" i="136"/>
  <c r="T16" i="136"/>
  <c r="I16" i="136"/>
  <c r="J16" i="135"/>
  <c r="K16" i="135"/>
  <c r="L16" i="135"/>
  <c r="M16" i="135"/>
  <c r="N16" i="135"/>
  <c r="O16" i="135"/>
  <c r="P16" i="135"/>
  <c r="Q16" i="135"/>
  <c r="R16" i="135"/>
  <c r="S16" i="135"/>
  <c r="T16" i="135"/>
  <c r="I16" i="135"/>
  <c r="J16" i="134"/>
  <c r="K16" i="134"/>
  <c r="L16" i="134"/>
  <c r="M16" i="134"/>
  <c r="N16" i="134"/>
  <c r="O16" i="134"/>
  <c r="P16" i="134"/>
  <c r="Q16" i="134"/>
  <c r="R16" i="134"/>
  <c r="S16" i="134"/>
  <c r="T16" i="134"/>
  <c r="I16" i="134"/>
  <c r="J16" i="73"/>
  <c r="K16" i="73"/>
  <c r="L16" i="73"/>
  <c r="M16" i="73"/>
  <c r="N16" i="73"/>
  <c r="O16" i="73"/>
  <c r="P16" i="73"/>
  <c r="Q16" i="73"/>
  <c r="R16" i="73"/>
  <c r="S16" i="73"/>
  <c r="T16" i="73"/>
  <c r="I16" i="73"/>
  <c r="J15" i="58"/>
  <c r="K15" i="58"/>
  <c r="L15" i="58"/>
  <c r="M15" i="58"/>
  <c r="N15" i="58"/>
  <c r="O15" i="58"/>
  <c r="P15" i="58"/>
  <c r="Q15" i="58"/>
  <c r="R15" i="58"/>
  <c r="S15" i="58"/>
  <c r="T15" i="58"/>
  <c r="I15" i="58"/>
  <c r="Q125" i="82"/>
  <c r="AJ122" i="82"/>
  <c r="AK122" i="82"/>
  <c r="AL122" i="82"/>
  <c r="AM122" i="82"/>
  <c r="AN122" i="82"/>
  <c r="AO122" i="82"/>
  <c r="AP122" i="82"/>
  <c r="AQ122" i="82"/>
  <c r="AR122" i="82"/>
  <c r="AS122" i="82"/>
  <c r="AJ120" i="82"/>
  <c r="AK120" i="82"/>
  <c r="AL120" i="82"/>
  <c r="AM120" i="82"/>
  <c r="AN120" i="82"/>
  <c r="AO120" i="82"/>
  <c r="AP120" i="82"/>
  <c r="AQ120" i="82"/>
  <c r="AR120" i="82"/>
  <c r="AS120" i="82"/>
  <c r="AJ118" i="82"/>
  <c r="AK118" i="82"/>
  <c r="AL118" i="82"/>
  <c r="AM118" i="82"/>
  <c r="AN118" i="82"/>
  <c r="AO118" i="82"/>
  <c r="AP118" i="82"/>
  <c r="AQ118" i="82"/>
  <c r="AR118" i="82"/>
  <c r="AS118" i="82"/>
  <c r="AI122" i="82"/>
  <c r="AI120" i="82"/>
  <c r="AK116" i="82"/>
  <c r="AL116" i="82"/>
  <c r="AM116" i="82"/>
  <c r="AN116" i="82"/>
  <c r="AO116" i="82"/>
  <c r="AP116" i="82"/>
  <c r="AQ116" i="82"/>
  <c r="AR116" i="82"/>
  <c r="AS116" i="82"/>
  <c r="AI118" i="82"/>
  <c r="AI116" i="82"/>
  <c r="AJ116" i="82"/>
  <c r="AH122" i="82"/>
  <c r="AH120" i="82"/>
  <c r="AH118" i="82"/>
  <c r="AH116" i="82"/>
  <c r="AJ114" i="82"/>
  <c r="AK114" i="82"/>
  <c r="AL114" i="82"/>
  <c r="AM114" i="82"/>
  <c r="AN114" i="82"/>
  <c r="AO114" i="82"/>
  <c r="AP114" i="82"/>
  <c r="AQ114" i="82"/>
  <c r="AR114" i="82"/>
  <c r="AS114" i="82"/>
  <c r="AI114" i="82"/>
  <c r="AH114" i="82"/>
  <c r="BY15" i="138" l="1"/>
  <c r="BY22" i="138"/>
  <c r="N36" i="129"/>
  <c r="AN203" i="83"/>
  <c r="N36" i="69"/>
  <c r="AN200" i="83"/>
  <c r="N37" i="131"/>
  <c r="AN210" i="83"/>
  <c r="N37" i="127"/>
  <c r="AN207" i="83"/>
  <c r="AO207" i="83" s="1"/>
  <c r="N36" i="128"/>
  <c r="AN202" i="83"/>
  <c r="AM211" i="83"/>
  <c r="AN209" i="83"/>
  <c r="N37" i="129"/>
  <c r="N36" i="127"/>
  <c r="AN201" i="83"/>
  <c r="N36" i="131"/>
  <c r="AN204" i="83"/>
  <c r="I56" i="36"/>
  <c r="H44" i="36"/>
  <c r="G44" i="36"/>
  <c r="R24" i="83"/>
  <c r="AG24" i="83" s="1"/>
  <c r="R23" i="83"/>
  <c r="AG23" i="83" s="1"/>
  <c r="R21" i="83"/>
  <c r="AG21" i="83" s="1"/>
  <c r="R20" i="83"/>
  <c r="AG20" i="83" s="1"/>
  <c r="R18" i="83"/>
  <c r="AG18" i="83" s="1"/>
  <c r="R17" i="83"/>
  <c r="AG17" i="83" s="1"/>
  <c r="R15" i="83"/>
  <c r="AG15" i="83" s="1"/>
  <c r="R14" i="83"/>
  <c r="AG14" i="83" s="1"/>
  <c r="R12" i="83"/>
  <c r="AG12" i="83" s="1"/>
  <c r="R11" i="83"/>
  <c r="AG11" i="83" s="1"/>
  <c r="R9" i="83"/>
  <c r="AG9" i="83" s="1"/>
  <c r="R8" i="83"/>
  <c r="AG8" i="83" s="1"/>
  <c r="J48" i="137"/>
  <c r="K48" i="137"/>
  <c r="L48" i="137"/>
  <c r="M48" i="137"/>
  <c r="N48" i="137"/>
  <c r="G48" i="137" s="1"/>
  <c r="O48" i="137"/>
  <c r="P48" i="137"/>
  <c r="Q48" i="137"/>
  <c r="R48" i="137"/>
  <c r="S48" i="137"/>
  <c r="T48" i="137"/>
  <c r="H48" i="137" s="1"/>
  <c r="I48" i="137"/>
  <c r="J47" i="137"/>
  <c r="K47" i="137"/>
  <c r="L47" i="137"/>
  <c r="M47" i="137"/>
  <c r="N47" i="137"/>
  <c r="G47" i="137" s="1"/>
  <c r="G47" i="131" s="1"/>
  <c r="O47" i="137"/>
  <c r="P47" i="137"/>
  <c r="Q47" i="137"/>
  <c r="R47" i="137"/>
  <c r="S47" i="137"/>
  <c r="T47" i="137"/>
  <c r="H47" i="137" s="1"/>
  <c r="H47" i="131" s="1"/>
  <c r="I47" i="137"/>
  <c r="J45" i="137"/>
  <c r="K45" i="137"/>
  <c r="L45" i="137"/>
  <c r="M45" i="137"/>
  <c r="N45" i="137"/>
  <c r="O45" i="137"/>
  <c r="P45" i="137"/>
  <c r="Q45" i="137"/>
  <c r="R45" i="137"/>
  <c r="S45" i="137"/>
  <c r="T45" i="137"/>
  <c r="I45" i="137"/>
  <c r="J43" i="137"/>
  <c r="K43" i="137"/>
  <c r="L43" i="137"/>
  <c r="M43" i="137"/>
  <c r="N43" i="137"/>
  <c r="O43" i="137"/>
  <c r="P43" i="137"/>
  <c r="Q43" i="137"/>
  <c r="R43" i="137"/>
  <c r="S43" i="137"/>
  <c r="T43" i="137"/>
  <c r="I43" i="137"/>
  <c r="J41" i="137"/>
  <c r="K41" i="137"/>
  <c r="L41" i="137"/>
  <c r="M41" i="137"/>
  <c r="N41" i="137"/>
  <c r="O41" i="137"/>
  <c r="P41" i="137"/>
  <c r="Q41" i="137"/>
  <c r="R41" i="137"/>
  <c r="S41" i="137"/>
  <c r="T41" i="137"/>
  <c r="I41" i="137"/>
  <c r="J40" i="137"/>
  <c r="K40" i="137"/>
  <c r="L40" i="137"/>
  <c r="M40" i="137"/>
  <c r="N40" i="137"/>
  <c r="O40" i="137"/>
  <c r="P40" i="137"/>
  <c r="Q40" i="137"/>
  <c r="R40" i="137"/>
  <c r="S40" i="137"/>
  <c r="T40" i="137"/>
  <c r="I40" i="137"/>
  <c r="J38" i="137"/>
  <c r="K38" i="137"/>
  <c r="L38" i="137"/>
  <c r="M38" i="137"/>
  <c r="N38" i="137"/>
  <c r="G38" i="137" s="1"/>
  <c r="G38" i="131" s="1"/>
  <c r="O38" i="137"/>
  <c r="P38" i="137"/>
  <c r="Q38" i="137"/>
  <c r="R38" i="137"/>
  <c r="S38" i="137"/>
  <c r="T38" i="137"/>
  <c r="I38" i="137"/>
  <c r="J37" i="137"/>
  <c r="K37" i="137"/>
  <c r="L37" i="137"/>
  <c r="M37" i="137"/>
  <c r="N37" i="137"/>
  <c r="O37" i="137"/>
  <c r="P37" i="137"/>
  <c r="Q37" i="137"/>
  <c r="R37" i="137"/>
  <c r="S37" i="137"/>
  <c r="T37" i="137"/>
  <c r="I37" i="137"/>
  <c r="J36" i="137"/>
  <c r="K36" i="137"/>
  <c r="L36" i="137"/>
  <c r="M36" i="137"/>
  <c r="N36" i="137"/>
  <c r="O36" i="137"/>
  <c r="P36" i="137"/>
  <c r="Q36" i="137"/>
  <c r="R36" i="137"/>
  <c r="S36" i="137"/>
  <c r="T36" i="137"/>
  <c r="I36" i="137"/>
  <c r="G35" i="137"/>
  <c r="G35" i="131" s="1"/>
  <c r="H35" i="137"/>
  <c r="H35" i="131" s="1"/>
  <c r="J33" i="137"/>
  <c r="K33" i="137"/>
  <c r="L33" i="137"/>
  <c r="M33" i="137"/>
  <c r="N33" i="137"/>
  <c r="O33" i="137"/>
  <c r="P33" i="137"/>
  <c r="Q33" i="137"/>
  <c r="R33" i="137"/>
  <c r="S33" i="137"/>
  <c r="T33" i="137"/>
  <c r="I33" i="137"/>
  <c r="J32" i="137"/>
  <c r="K32" i="137"/>
  <c r="L32" i="137"/>
  <c r="M32" i="137"/>
  <c r="N32" i="137"/>
  <c r="O32" i="137"/>
  <c r="P32" i="137"/>
  <c r="Q32" i="137"/>
  <c r="R32" i="137"/>
  <c r="S32" i="137"/>
  <c r="T32" i="137"/>
  <c r="I32" i="137"/>
  <c r="J30" i="137"/>
  <c r="K30" i="137"/>
  <c r="L30" i="137"/>
  <c r="M30" i="137"/>
  <c r="N30" i="137"/>
  <c r="O30" i="137"/>
  <c r="P30" i="137"/>
  <c r="Q30" i="137"/>
  <c r="R30" i="137"/>
  <c r="S30" i="137"/>
  <c r="T30" i="137"/>
  <c r="I30" i="137"/>
  <c r="J29" i="137"/>
  <c r="K29" i="137"/>
  <c r="L29" i="137"/>
  <c r="M29" i="137"/>
  <c r="N29" i="137"/>
  <c r="O29" i="137"/>
  <c r="P29" i="137"/>
  <c r="Q29" i="137"/>
  <c r="R29" i="137"/>
  <c r="S29" i="137"/>
  <c r="T29" i="137"/>
  <c r="I29" i="137"/>
  <c r="J27" i="137"/>
  <c r="K27" i="137"/>
  <c r="L27" i="137"/>
  <c r="M27" i="137"/>
  <c r="N27" i="137"/>
  <c r="O27" i="137"/>
  <c r="P27" i="137"/>
  <c r="Q27" i="137"/>
  <c r="R27" i="137"/>
  <c r="S27" i="137"/>
  <c r="T27" i="137"/>
  <c r="I27" i="137"/>
  <c r="J26" i="137"/>
  <c r="K26" i="137"/>
  <c r="L26" i="137"/>
  <c r="M26" i="137"/>
  <c r="N26" i="137"/>
  <c r="O26" i="137"/>
  <c r="P26" i="137"/>
  <c r="Q26" i="137"/>
  <c r="R26" i="137"/>
  <c r="S26" i="137"/>
  <c r="T26" i="137"/>
  <c r="I26" i="137"/>
  <c r="J25" i="137"/>
  <c r="K25" i="137"/>
  <c r="L25" i="137"/>
  <c r="M25" i="137"/>
  <c r="N25" i="137"/>
  <c r="G25" i="137" s="1"/>
  <c r="G25" i="131" s="1"/>
  <c r="O25" i="137"/>
  <c r="P25" i="137"/>
  <c r="Q25" i="137"/>
  <c r="R25" i="137"/>
  <c r="S25" i="137"/>
  <c r="T25" i="137"/>
  <c r="I25" i="137"/>
  <c r="J24" i="137"/>
  <c r="K24" i="137"/>
  <c r="L24" i="137"/>
  <c r="M24" i="137"/>
  <c r="N24" i="137"/>
  <c r="O24" i="137"/>
  <c r="P24" i="137"/>
  <c r="Q24" i="137"/>
  <c r="R24" i="137"/>
  <c r="S24" i="137"/>
  <c r="T24" i="137"/>
  <c r="I24" i="137"/>
  <c r="J22" i="137"/>
  <c r="K22" i="137"/>
  <c r="L22" i="137"/>
  <c r="M22" i="137"/>
  <c r="N22" i="137"/>
  <c r="O22" i="137"/>
  <c r="P22" i="137"/>
  <c r="Q22" i="137"/>
  <c r="R22" i="137"/>
  <c r="S22" i="137"/>
  <c r="T22" i="137"/>
  <c r="I22" i="137"/>
  <c r="J21" i="137"/>
  <c r="K21" i="137"/>
  <c r="L21" i="137"/>
  <c r="M21" i="137"/>
  <c r="N21" i="137"/>
  <c r="O21" i="137"/>
  <c r="P21" i="137"/>
  <c r="Q21" i="137"/>
  <c r="R21" i="137"/>
  <c r="S21" i="137"/>
  <c r="T21" i="137"/>
  <c r="I21" i="137"/>
  <c r="J20" i="137"/>
  <c r="K20" i="137"/>
  <c r="L20" i="137"/>
  <c r="M20" i="137"/>
  <c r="N20" i="137"/>
  <c r="O20" i="137"/>
  <c r="P20" i="137"/>
  <c r="Q20" i="137"/>
  <c r="R20" i="137"/>
  <c r="S20" i="137"/>
  <c r="T20" i="137"/>
  <c r="I20" i="137"/>
  <c r="J17" i="137"/>
  <c r="K17" i="137"/>
  <c r="L17" i="137"/>
  <c r="M17" i="137"/>
  <c r="N17" i="137"/>
  <c r="O17" i="137"/>
  <c r="P17" i="137"/>
  <c r="Q17" i="137"/>
  <c r="R17" i="137"/>
  <c r="S17" i="137"/>
  <c r="T17" i="137"/>
  <c r="I17" i="137"/>
  <c r="J14" i="137"/>
  <c r="K14" i="137"/>
  <c r="L14" i="137"/>
  <c r="M14" i="137"/>
  <c r="N14" i="137"/>
  <c r="O14" i="137"/>
  <c r="P14" i="137"/>
  <c r="Q14" i="137"/>
  <c r="R14" i="137"/>
  <c r="S14" i="137"/>
  <c r="T14" i="137"/>
  <c r="I14" i="137"/>
  <c r="G49" i="136"/>
  <c r="G49" i="129" s="1"/>
  <c r="H49" i="136"/>
  <c r="H49" i="129" s="1"/>
  <c r="J48" i="136"/>
  <c r="K48" i="136"/>
  <c r="L48" i="136"/>
  <c r="M48" i="136"/>
  <c r="N48" i="136"/>
  <c r="G48" i="136" s="1"/>
  <c r="G48" i="129" s="1"/>
  <c r="O48" i="136"/>
  <c r="P48" i="136"/>
  <c r="Q48" i="136"/>
  <c r="R48" i="136"/>
  <c r="S48" i="136"/>
  <c r="T48" i="136"/>
  <c r="H48" i="136" s="1"/>
  <c r="H48" i="129" s="1"/>
  <c r="I48" i="136"/>
  <c r="J47" i="136"/>
  <c r="K47" i="136"/>
  <c r="L47" i="136"/>
  <c r="M47" i="136"/>
  <c r="N47" i="136"/>
  <c r="G47" i="136" s="1"/>
  <c r="G47" i="129" s="1"/>
  <c r="O47" i="136"/>
  <c r="P47" i="136"/>
  <c r="Q47" i="136"/>
  <c r="R47" i="136"/>
  <c r="S47" i="136"/>
  <c r="T47" i="136"/>
  <c r="H47" i="136" s="1"/>
  <c r="H47" i="129" s="1"/>
  <c r="I47" i="136"/>
  <c r="J45" i="136"/>
  <c r="K45" i="136"/>
  <c r="L45" i="136"/>
  <c r="M45" i="136"/>
  <c r="N45" i="136"/>
  <c r="O45" i="136"/>
  <c r="P45" i="136"/>
  <c r="Q45" i="136"/>
  <c r="R45" i="136"/>
  <c r="S45" i="136"/>
  <c r="T45" i="136"/>
  <c r="I45" i="136"/>
  <c r="J43" i="136"/>
  <c r="K43" i="136"/>
  <c r="L43" i="136"/>
  <c r="M43" i="136"/>
  <c r="N43" i="136"/>
  <c r="O43" i="136"/>
  <c r="P43" i="136"/>
  <c r="Q43" i="136"/>
  <c r="R43" i="136"/>
  <c r="S43" i="136"/>
  <c r="T43" i="136"/>
  <c r="I43" i="136"/>
  <c r="J41" i="136"/>
  <c r="K41" i="136"/>
  <c r="L41" i="136"/>
  <c r="M41" i="136"/>
  <c r="N41" i="136"/>
  <c r="O41" i="136"/>
  <c r="P41" i="136"/>
  <c r="Q41" i="136"/>
  <c r="R41" i="136"/>
  <c r="S41" i="136"/>
  <c r="T41" i="136"/>
  <c r="I41" i="136"/>
  <c r="J40" i="136"/>
  <c r="K40" i="136"/>
  <c r="L40" i="136"/>
  <c r="M40" i="136"/>
  <c r="N40" i="136"/>
  <c r="O40" i="136"/>
  <c r="P40" i="136"/>
  <c r="Q40" i="136"/>
  <c r="R40" i="136"/>
  <c r="S40" i="136"/>
  <c r="T40" i="136"/>
  <c r="I40" i="136"/>
  <c r="J38" i="136"/>
  <c r="K38" i="136"/>
  <c r="L38" i="136"/>
  <c r="M38" i="136"/>
  <c r="N38" i="136"/>
  <c r="G38" i="136" s="1"/>
  <c r="G38" i="129" s="1"/>
  <c r="O38" i="136"/>
  <c r="P38" i="136"/>
  <c r="Q38" i="136"/>
  <c r="R38" i="136"/>
  <c r="S38" i="136"/>
  <c r="T38" i="136"/>
  <c r="I38" i="136"/>
  <c r="J37" i="136"/>
  <c r="K37" i="136"/>
  <c r="L37" i="136"/>
  <c r="M37" i="136"/>
  <c r="N37" i="136"/>
  <c r="O37" i="136"/>
  <c r="P37" i="136"/>
  <c r="Q37" i="136"/>
  <c r="R37" i="136"/>
  <c r="S37" i="136"/>
  <c r="T37" i="136"/>
  <c r="I37" i="136"/>
  <c r="J36" i="136"/>
  <c r="K36" i="136"/>
  <c r="L36" i="136"/>
  <c r="M36" i="136"/>
  <c r="N36" i="136"/>
  <c r="O36" i="136"/>
  <c r="P36" i="136"/>
  <c r="Q36" i="136"/>
  <c r="R36" i="136"/>
  <c r="S36" i="136"/>
  <c r="T36" i="136"/>
  <c r="I36" i="136"/>
  <c r="J35" i="136"/>
  <c r="K35" i="136"/>
  <c r="L35" i="136"/>
  <c r="M35" i="136"/>
  <c r="N35" i="136"/>
  <c r="G35" i="136" s="1"/>
  <c r="G35" i="129" s="1"/>
  <c r="O35" i="136"/>
  <c r="P35" i="136"/>
  <c r="Q35" i="136"/>
  <c r="R35" i="136"/>
  <c r="S35" i="136"/>
  <c r="T35" i="136"/>
  <c r="I35" i="136"/>
  <c r="J33" i="136"/>
  <c r="K33" i="136"/>
  <c r="L33" i="136"/>
  <c r="M33" i="136"/>
  <c r="N33" i="136"/>
  <c r="O33" i="136"/>
  <c r="P33" i="136"/>
  <c r="Q33" i="136"/>
  <c r="R33" i="136"/>
  <c r="S33" i="136"/>
  <c r="T33" i="136"/>
  <c r="I33" i="136"/>
  <c r="J32" i="136"/>
  <c r="K32" i="136"/>
  <c r="L32" i="136"/>
  <c r="M32" i="136"/>
  <c r="N32" i="136"/>
  <c r="O32" i="136"/>
  <c r="P32" i="136"/>
  <c r="Q32" i="136"/>
  <c r="R32" i="136"/>
  <c r="S32" i="136"/>
  <c r="T32" i="136"/>
  <c r="I32" i="136"/>
  <c r="J30" i="136"/>
  <c r="K30" i="136"/>
  <c r="L30" i="136"/>
  <c r="M30" i="136"/>
  <c r="N30" i="136"/>
  <c r="O30" i="136"/>
  <c r="P30" i="136"/>
  <c r="Q30" i="136"/>
  <c r="R30" i="136"/>
  <c r="S30" i="136"/>
  <c r="T30" i="136"/>
  <c r="I30" i="136"/>
  <c r="J29" i="136"/>
  <c r="K29" i="136"/>
  <c r="L29" i="136"/>
  <c r="M29" i="136"/>
  <c r="N29" i="136"/>
  <c r="O29" i="136"/>
  <c r="P29" i="136"/>
  <c r="Q29" i="136"/>
  <c r="R29" i="136"/>
  <c r="S29" i="136"/>
  <c r="T29" i="136"/>
  <c r="I29" i="136"/>
  <c r="J27" i="136"/>
  <c r="K27" i="136"/>
  <c r="L27" i="136"/>
  <c r="M27" i="136"/>
  <c r="N27" i="136"/>
  <c r="O27" i="136"/>
  <c r="P27" i="136"/>
  <c r="Q27" i="136"/>
  <c r="R27" i="136"/>
  <c r="S27" i="136"/>
  <c r="T27" i="136"/>
  <c r="AO28" i="21" s="1"/>
  <c r="I27" i="136"/>
  <c r="J26" i="136"/>
  <c r="K26" i="136"/>
  <c r="L26" i="136"/>
  <c r="M26" i="136"/>
  <c r="N26" i="136"/>
  <c r="O26" i="136"/>
  <c r="P26" i="136"/>
  <c r="Q26" i="136"/>
  <c r="R26" i="136"/>
  <c r="S26" i="136"/>
  <c r="T26" i="136"/>
  <c r="I26" i="136"/>
  <c r="J25" i="136"/>
  <c r="K25" i="136"/>
  <c r="L25" i="136"/>
  <c r="M25" i="136"/>
  <c r="N25" i="136"/>
  <c r="G25" i="136" s="1"/>
  <c r="G25" i="129" s="1"/>
  <c r="O25" i="136"/>
  <c r="P25" i="136"/>
  <c r="Q25" i="136"/>
  <c r="R25" i="136"/>
  <c r="S25" i="136"/>
  <c r="T25" i="136"/>
  <c r="I25" i="136"/>
  <c r="S24" i="136"/>
  <c r="T24" i="136"/>
  <c r="J22" i="136"/>
  <c r="K22" i="136"/>
  <c r="L22" i="136"/>
  <c r="M22" i="136"/>
  <c r="N22" i="136"/>
  <c r="O22" i="136"/>
  <c r="P22" i="136"/>
  <c r="Q22" i="136"/>
  <c r="R22" i="136"/>
  <c r="S22" i="136"/>
  <c r="T22" i="136"/>
  <c r="I22" i="136"/>
  <c r="J21" i="136"/>
  <c r="K21" i="136"/>
  <c r="L21" i="136"/>
  <c r="M21" i="136"/>
  <c r="N21" i="136"/>
  <c r="O21" i="136"/>
  <c r="P21" i="136"/>
  <c r="Q21" i="136"/>
  <c r="R21" i="136"/>
  <c r="S21" i="136"/>
  <c r="T21" i="136"/>
  <c r="I21" i="136"/>
  <c r="J20" i="136"/>
  <c r="K20" i="136"/>
  <c r="L20" i="136"/>
  <c r="M20" i="136"/>
  <c r="N20" i="136"/>
  <c r="O20" i="136"/>
  <c r="P20" i="136"/>
  <c r="Q20" i="136"/>
  <c r="R20" i="136"/>
  <c r="S20" i="136"/>
  <c r="T20" i="136"/>
  <c r="I20" i="136"/>
  <c r="J17" i="136"/>
  <c r="K17" i="136"/>
  <c r="L17" i="136"/>
  <c r="M17" i="136"/>
  <c r="N17" i="136"/>
  <c r="O17" i="136"/>
  <c r="P17" i="136"/>
  <c r="Q17" i="136"/>
  <c r="R17" i="136"/>
  <c r="S17" i="136"/>
  <c r="T17" i="136"/>
  <c r="I17" i="136"/>
  <c r="J14" i="136"/>
  <c r="K14" i="136"/>
  <c r="L14" i="136"/>
  <c r="M14" i="136"/>
  <c r="N14" i="136"/>
  <c r="O14" i="136"/>
  <c r="P14" i="136"/>
  <c r="Q14" i="136"/>
  <c r="R14" i="136"/>
  <c r="S14" i="136"/>
  <c r="T14" i="136"/>
  <c r="I14" i="136"/>
  <c r="BY16" i="138" l="1"/>
  <c r="BY23" i="138"/>
  <c r="BY24" i="138"/>
  <c r="O36" i="128"/>
  <c r="AO202" i="83"/>
  <c r="P36" i="128" s="1"/>
  <c r="P37" i="127"/>
  <c r="O37" i="131"/>
  <c r="AO210" i="83"/>
  <c r="P37" i="131" s="1"/>
  <c r="O36" i="69"/>
  <c r="AO200" i="83"/>
  <c r="P36" i="69" s="1"/>
  <c r="O36" i="127"/>
  <c r="AO201" i="83"/>
  <c r="P36" i="127" s="1"/>
  <c r="O37" i="129"/>
  <c r="AO209" i="83"/>
  <c r="P37" i="129" s="1"/>
  <c r="H38" i="137"/>
  <c r="H38" i="131" s="1"/>
  <c r="AZ39" i="21"/>
  <c r="O36" i="131"/>
  <c r="AO204" i="83"/>
  <c r="P36" i="131" s="1"/>
  <c r="O36" i="129"/>
  <c r="AO203" i="83"/>
  <c r="P36" i="129" s="1"/>
  <c r="O37" i="127"/>
  <c r="AN211" i="83"/>
  <c r="BA26" i="21"/>
  <c r="H25" i="137"/>
  <c r="H25" i="131" s="1"/>
  <c r="AZ26" i="21"/>
  <c r="H25" i="136"/>
  <c r="H25" i="129" s="1"/>
  <c r="AO26" i="21"/>
  <c r="H35" i="136"/>
  <c r="H35" i="129" s="1"/>
  <c r="AO36" i="21"/>
  <c r="H38" i="136"/>
  <c r="H38" i="129" s="1"/>
  <c r="AO39" i="21"/>
  <c r="J49" i="135"/>
  <c r="K49" i="135"/>
  <c r="L49" i="135"/>
  <c r="M49" i="135"/>
  <c r="N49" i="135"/>
  <c r="G49" i="135" s="1"/>
  <c r="O49" i="135"/>
  <c r="P49" i="135"/>
  <c r="Q49" i="135"/>
  <c r="R49" i="135"/>
  <c r="S49" i="135"/>
  <c r="T49" i="135"/>
  <c r="H49" i="135" s="1"/>
  <c r="I49" i="135"/>
  <c r="J48" i="135"/>
  <c r="K48" i="135"/>
  <c r="L48" i="135"/>
  <c r="M48" i="135"/>
  <c r="N48" i="135"/>
  <c r="G48" i="135" s="1"/>
  <c r="G48" i="128" s="1"/>
  <c r="O48" i="135"/>
  <c r="P48" i="135"/>
  <c r="Q48" i="135"/>
  <c r="R48" i="135"/>
  <c r="S48" i="135"/>
  <c r="T48" i="135"/>
  <c r="H48" i="135" s="1"/>
  <c r="H48" i="128" s="1"/>
  <c r="I48" i="135"/>
  <c r="J47" i="135"/>
  <c r="K47" i="135"/>
  <c r="L47" i="135"/>
  <c r="M47" i="135"/>
  <c r="N47" i="135"/>
  <c r="G47" i="135" s="1"/>
  <c r="G47" i="128" s="1"/>
  <c r="O47" i="135"/>
  <c r="P47" i="135"/>
  <c r="Q47" i="135"/>
  <c r="R47" i="135"/>
  <c r="S47" i="135"/>
  <c r="T47" i="135"/>
  <c r="H47" i="135" s="1"/>
  <c r="H47" i="128" s="1"/>
  <c r="I47" i="135"/>
  <c r="J45" i="135"/>
  <c r="K45" i="135"/>
  <c r="L45" i="135"/>
  <c r="M45" i="135"/>
  <c r="N45" i="135"/>
  <c r="O45" i="135"/>
  <c r="P45" i="135"/>
  <c r="Q45" i="135"/>
  <c r="R45" i="135"/>
  <c r="S45" i="135"/>
  <c r="T45" i="135"/>
  <c r="I45" i="135"/>
  <c r="J43" i="135"/>
  <c r="K43" i="135"/>
  <c r="L43" i="135"/>
  <c r="M43" i="135"/>
  <c r="N43" i="135"/>
  <c r="O43" i="135"/>
  <c r="P43" i="135"/>
  <c r="Q43" i="135"/>
  <c r="R43" i="135"/>
  <c r="S43" i="135"/>
  <c r="T43" i="135"/>
  <c r="I43" i="135"/>
  <c r="J41" i="135"/>
  <c r="K41" i="135"/>
  <c r="L41" i="135"/>
  <c r="M41" i="135"/>
  <c r="N41" i="135"/>
  <c r="O41" i="135"/>
  <c r="P41" i="135"/>
  <c r="Q41" i="135"/>
  <c r="R41" i="135"/>
  <c r="S41" i="135"/>
  <c r="T41" i="135"/>
  <c r="I41" i="135"/>
  <c r="J40" i="135"/>
  <c r="K40" i="135"/>
  <c r="L40" i="135"/>
  <c r="M40" i="135"/>
  <c r="N40" i="135"/>
  <c r="O40" i="135"/>
  <c r="P40" i="135"/>
  <c r="Q40" i="135"/>
  <c r="R40" i="135"/>
  <c r="S40" i="135"/>
  <c r="T40" i="135"/>
  <c r="I40" i="135"/>
  <c r="J37" i="135"/>
  <c r="K37" i="135"/>
  <c r="L37" i="135"/>
  <c r="M37" i="135"/>
  <c r="N37" i="135"/>
  <c r="O37" i="135"/>
  <c r="P37" i="135"/>
  <c r="Q37" i="135"/>
  <c r="R37" i="135"/>
  <c r="S37" i="135"/>
  <c r="T37" i="135"/>
  <c r="I37" i="135"/>
  <c r="J35" i="135"/>
  <c r="K35" i="135"/>
  <c r="L35" i="135"/>
  <c r="M35" i="135"/>
  <c r="N35" i="135"/>
  <c r="G35" i="135" s="1"/>
  <c r="G35" i="128" s="1"/>
  <c r="O35" i="135"/>
  <c r="P35" i="135"/>
  <c r="Q35" i="135"/>
  <c r="R35" i="135"/>
  <c r="S35" i="135"/>
  <c r="T35" i="135"/>
  <c r="I35" i="135"/>
  <c r="J33" i="135"/>
  <c r="K33" i="135"/>
  <c r="L33" i="135"/>
  <c r="M33" i="135"/>
  <c r="N33" i="135"/>
  <c r="O33" i="135"/>
  <c r="P33" i="135"/>
  <c r="Q33" i="135"/>
  <c r="R33" i="135"/>
  <c r="S33" i="135"/>
  <c r="T33" i="135"/>
  <c r="I33" i="135"/>
  <c r="J32" i="135"/>
  <c r="K32" i="135"/>
  <c r="L32" i="135"/>
  <c r="M32" i="135"/>
  <c r="N32" i="135"/>
  <c r="O32" i="135"/>
  <c r="P32" i="135"/>
  <c r="Q32" i="135"/>
  <c r="R32" i="135"/>
  <c r="S32" i="135"/>
  <c r="T32" i="135"/>
  <c r="I32" i="135"/>
  <c r="J30" i="135"/>
  <c r="K30" i="135"/>
  <c r="L30" i="135"/>
  <c r="M30" i="135"/>
  <c r="N30" i="135"/>
  <c r="O30" i="135"/>
  <c r="P30" i="135"/>
  <c r="Q30" i="135"/>
  <c r="R30" i="135"/>
  <c r="S30" i="135"/>
  <c r="T30" i="135"/>
  <c r="I30" i="135"/>
  <c r="J29" i="135"/>
  <c r="K29" i="135"/>
  <c r="L29" i="135"/>
  <c r="M29" i="135"/>
  <c r="N29" i="135"/>
  <c r="O29" i="135"/>
  <c r="P29" i="135"/>
  <c r="Q29" i="135"/>
  <c r="R29" i="135"/>
  <c r="S29" i="135"/>
  <c r="T29" i="135"/>
  <c r="I29" i="135"/>
  <c r="J27" i="135"/>
  <c r="K27" i="135"/>
  <c r="L27" i="135"/>
  <c r="M27" i="135"/>
  <c r="N27" i="135"/>
  <c r="O27" i="135"/>
  <c r="P27" i="135"/>
  <c r="Q27" i="135"/>
  <c r="R27" i="135"/>
  <c r="S27" i="135"/>
  <c r="T27" i="135"/>
  <c r="I27" i="135"/>
  <c r="J26" i="135"/>
  <c r="K26" i="135"/>
  <c r="L26" i="135"/>
  <c r="M26" i="135"/>
  <c r="N26" i="135"/>
  <c r="O26" i="135"/>
  <c r="P26" i="135"/>
  <c r="Q26" i="135"/>
  <c r="R26" i="135"/>
  <c r="S26" i="135"/>
  <c r="T26" i="135"/>
  <c r="I26" i="135"/>
  <c r="J25" i="135"/>
  <c r="K25" i="135"/>
  <c r="L25" i="135"/>
  <c r="M25" i="135"/>
  <c r="N25" i="135"/>
  <c r="G25" i="135" s="1"/>
  <c r="G25" i="128" s="1"/>
  <c r="O25" i="135"/>
  <c r="P25" i="135"/>
  <c r="Q25" i="135"/>
  <c r="R25" i="135"/>
  <c r="S25" i="135"/>
  <c r="T25" i="135"/>
  <c r="I25" i="135"/>
  <c r="J24" i="135"/>
  <c r="K24" i="135"/>
  <c r="L24" i="135"/>
  <c r="M24" i="135"/>
  <c r="N24" i="135"/>
  <c r="O24" i="135"/>
  <c r="P24" i="135"/>
  <c r="Q24" i="135"/>
  <c r="R24" i="135"/>
  <c r="S24" i="135"/>
  <c r="T24" i="135"/>
  <c r="I24" i="135"/>
  <c r="J22" i="135"/>
  <c r="K22" i="135"/>
  <c r="L22" i="135"/>
  <c r="M22" i="135"/>
  <c r="N22" i="135"/>
  <c r="O22" i="135"/>
  <c r="P22" i="135"/>
  <c r="Q22" i="135"/>
  <c r="R22" i="135"/>
  <c r="S22" i="135"/>
  <c r="T22" i="135"/>
  <c r="I22" i="135"/>
  <c r="I21" i="135"/>
  <c r="J21" i="135"/>
  <c r="K21" i="135"/>
  <c r="L21" i="135"/>
  <c r="M21" i="135"/>
  <c r="N21" i="135"/>
  <c r="O21" i="135"/>
  <c r="P21" i="135"/>
  <c r="Q21" i="135"/>
  <c r="R21" i="135"/>
  <c r="S21" i="135"/>
  <c r="T21" i="135"/>
  <c r="J20" i="135"/>
  <c r="K20" i="135"/>
  <c r="L20" i="135"/>
  <c r="M20" i="135"/>
  <c r="N20" i="135"/>
  <c r="O20" i="135"/>
  <c r="P20" i="135"/>
  <c r="Q20" i="135"/>
  <c r="R20" i="135"/>
  <c r="S20" i="135"/>
  <c r="T20" i="135"/>
  <c r="I20" i="135"/>
  <c r="J17" i="135"/>
  <c r="K17" i="135"/>
  <c r="L17" i="135"/>
  <c r="M17" i="135"/>
  <c r="N17" i="135"/>
  <c r="O17" i="135"/>
  <c r="P17" i="135"/>
  <c r="Q17" i="135"/>
  <c r="R17" i="135"/>
  <c r="S17" i="135"/>
  <c r="T17" i="135"/>
  <c r="I17" i="135"/>
  <c r="J14" i="135"/>
  <c r="K14" i="135"/>
  <c r="L14" i="135"/>
  <c r="M14" i="135"/>
  <c r="N14" i="135"/>
  <c r="O14" i="135"/>
  <c r="P14" i="135"/>
  <c r="Q14" i="135"/>
  <c r="R14" i="135"/>
  <c r="S14" i="135"/>
  <c r="T14" i="135"/>
  <c r="I14" i="135"/>
  <c r="J12" i="135"/>
  <c r="K12" i="135"/>
  <c r="L12" i="135"/>
  <c r="M12" i="135"/>
  <c r="N12" i="135"/>
  <c r="O12" i="135"/>
  <c r="P12" i="135"/>
  <c r="Q12" i="135"/>
  <c r="R12" i="135"/>
  <c r="S12" i="135"/>
  <c r="T12" i="135"/>
  <c r="I12" i="135"/>
  <c r="J11" i="135"/>
  <c r="K11" i="135"/>
  <c r="L11" i="135"/>
  <c r="M11" i="135"/>
  <c r="N11" i="135"/>
  <c r="O11" i="135"/>
  <c r="P11" i="135"/>
  <c r="Q11" i="135"/>
  <c r="R11" i="135"/>
  <c r="S11" i="135"/>
  <c r="T11" i="135"/>
  <c r="I11" i="135"/>
  <c r="J10" i="135"/>
  <c r="K10" i="135"/>
  <c r="L10" i="135"/>
  <c r="M10" i="135"/>
  <c r="N10" i="135"/>
  <c r="O10" i="135"/>
  <c r="P10" i="135"/>
  <c r="Q10" i="135"/>
  <c r="R10" i="135"/>
  <c r="S10" i="135"/>
  <c r="T10" i="135"/>
  <c r="I10" i="135"/>
  <c r="J8" i="135"/>
  <c r="K8" i="135"/>
  <c r="L8" i="135"/>
  <c r="M8" i="135"/>
  <c r="N8" i="135"/>
  <c r="O8" i="135"/>
  <c r="P8" i="135"/>
  <c r="Q8" i="135"/>
  <c r="R8" i="135"/>
  <c r="S8" i="135"/>
  <c r="T8" i="135"/>
  <c r="I8" i="135"/>
  <c r="J49" i="134"/>
  <c r="K49" i="134"/>
  <c r="L49" i="134"/>
  <c r="M49" i="134"/>
  <c r="N49" i="134"/>
  <c r="G49" i="134" s="1"/>
  <c r="G49" i="127" s="1"/>
  <c r="O49" i="134"/>
  <c r="P49" i="134"/>
  <c r="Q49" i="134"/>
  <c r="R49" i="134"/>
  <c r="S49" i="134"/>
  <c r="S50" i="21" s="1"/>
  <c r="T49" i="134"/>
  <c r="H49" i="134" s="1"/>
  <c r="H49" i="127" s="1"/>
  <c r="I49" i="134"/>
  <c r="J48" i="134"/>
  <c r="K48" i="134"/>
  <c r="L48" i="134"/>
  <c r="M48" i="134"/>
  <c r="N48" i="134"/>
  <c r="G48" i="134" s="1"/>
  <c r="G48" i="127" s="1"/>
  <c r="O48" i="134"/>
  <c r="P48" i="134"/>
  <c r="Q48" i="134"/>
  <c r="R48" i="134"/>
  <c r="S48" i="134"/>
  <c r="S49" i="21" s="1"/>
  <c r="T48" i="134"/>
  <c r="H48" i="134" s="1"/>
  <c r="H48" i="127" s="1"/>
  <c r="I48" i="134"/>
  <c r="J47" i="134"/>
  <c r="K47" i="134"/>
  <c r="L47" i="134"/>
  <c r="M47" i="134"/>
  <c r="N47" i="134"/>
  <c r="O47" i="134"/>
  <c r="P47" i="134"/>
  <c r="Q47" i="134"/>
  <c r="R47" i="134"/>
  <c r="S47" i="134"/>
  <c r="T47" i="134"/>
  <c r="I47" i="134"/>
  <c r="J45" i="134"/>
  <c r="K45" i="134"/>
  <c r="L45" i="134"/>
  <c r="M45" i="134"/>
  <c r="N45" i="134"/>
  <c r="O45" i="134"/>
  <c r="P45" i="134"/>
  <c r="Q45" i="134"/>
  <c r="R45" i="134"/>
  <c r="S45" i="134"/>
  <c r="T45" i="134"/>
  <c r="I45" i="134"/>
  <c r="J43" i="134"/>
  <c r="K43" i="134"/>
  <c r="L43" i="134"/>
  <c r="M43" i="134"/>
  <c r="N43" i="134"/>
  <c r="O43" i="134"/>
  <c r="P43" i="134"/>
  <c r="Q43" i="134"/>
  <c r="R43" i="134"/>
  <c r="S43" i="134"/>
  <c r="T43" i="134"/>
  <c r="I43" i="134"/>
  <c r="J38" i="134"/>
  <c r="K38" i="134"/>
  <c r="L38" i="134"/>
  <c r="M38" i="134"/>
  <c r="N38" i="134"/>
  <c r="G38" i="134" s="1"/>
  <c r="G38" i="127" s="1"/>
  <c r="O38" i="134"/>
  <c r="P38" i="134"/>
  <c r="Q38" i="134"/>
  <c r="R38" i="134"/>
  <c r="S38" i="134"/>
  <c r="S39" i="21" s="1"/>
  <c r="T38" i="134"/>
  <c r="H38" i="134" s="1"/>
  <c r="H38" i="127" s="1"/>
  <c r="I38" i="134"/>
  <c r="J37" i="134"/>
  <c r="K37" i="134"/>
  <c r="L37" i="134"/>
  <c r="M37" i="134"/>
  <c r="N37" i="134"/>
  <c r="O37" i="134"/>
  <c r="P37" i="134"/>
  <c r="Q37" i="134"/>
  <c r="R37" i="134"/>
  <c r="S37" i="134"/>
  <c r="T37" i="134"/>
  <c r="I37" i="134"/>
  <c r="J36" i="134"/>
  <c r="K36" i="134"/>
  <c r="L36" i="134"/>
  <c r="M36" i="134"/>
  <c r="N36" i="134"/>
  <c r="O36" i="134"/>
  <c r="P36" i="134"/>
  <c r="Q36" i="134"/>
  <c r="R36" i="134"/>
  <c r="S36" i="134"/>
  <c r="T36" i="134"/>
  <c r="I36" i="134"/>
  <c r="J35" i="134"/>
  <c r="K35" i="134"/>
  <c r="L35" i="134"/>
  <c r="M35" i="134"/>
  <c r="N35" i="134"/>
  <c r="G35" i="134" s="1"/>
  <c r="G35" i="127" s="1"/>
  <c r="O35" i="134"/>
  <c r="P35" i="134"/>
  <c r="Q35" i="134"/>
  <c r="R35" i="134"/>
  <c r="S35" i="134"/>
  <c r="S36" i="21" s="1"/>
  <c r="T35" i="134"/>
  <c r="H35" i="134" s="1"/>
  <c r="H35" i="127" s="1"/>
  <c r="I35" i="134"/>
  <c r="J33" i="134"/>
  <c r="K33" i="134"/>
  <c r="L33" i="134"/>
  <c r="M33" i="134"/>
  <c r="N33" i="134"/>
  <c r="O33" i="134"/>
  <c r="P33" i="134"/>
  <c r="Q33" i="134"/>
  <c r="R33" i="134"/>
  <c r="S33" i="134"/>
  <c r="T33" i="134"/>
  <c r="I33" i="134"/>
  <c r="J32" i="134"/>
  <c r="K32" i="134"/>
  <c r="L32" i="134"/>
  <c r="M32" i="134"/>
  <c r="N32" i="134"/>
  <c r="O32" i="134"/>
  <c r="P32" i="134"/>
  <c r="Q32" i="134"/>
  <c r="R32" i="134"/>
  <c r="S32" i="134"/>
  <c r="T32" i="134"/>
  <c r="I32" i="134"/>
  <c r="J29" i="134"/>
  <c r="K29" i="134"/>
  <c r="L29" i="134"/>
  <c r="M29" i="134"/>
  <c r="N29" i="134"/>
  <c r="O29" i="134"/>
  <c r="P29" i="134"/>
  <c r="Q29" i="134"/>
  <c r="R29" i="134"/>
  <c r="S29" i="134"/>
  <c r="T29" i="134"/>
  <c r="I29" i="134"/>
  <c r="J30" i="134"/>
  <c r="K30" i="134"/>
  <c r="L30" i="134"/>
  <c r="M30" i="134"/>
  <c r="N30" i="134"/>
  <c r="O30" i="134"/>
  <c r="P30" i="134"/>
  <c r="Q30" i="134"/>
  <c r="R30" i="134"/>
  <c r="S30" i="134"/>
  <c r="T30" i="134"/>
  <c r="I30" i="134"/>
  <c r="J27" i="134"/>
  <c r="K27" i="134"/>
  <c r="L27" i="134"/>
  <c r="M27" i="134"/>
  <c r="N27" i="134"/>
  <c r="O27" i="134"/>
  <c r="P27" i="134"/>
  <c r="Q27" i="134"/>
  <c r="R27" i="134"/>
  <c r="S27" i="134"/>
  <c r="T27" i="134"/>
  <c r="I27" i="134"/>
  <c r="J26" i="134"/>
  <c r="K26" i="134"/>
  <c r="L26" i="134"/>
  <c r="M26" i="134"/>
  <c r="N26" i="134"/>
  <c r="O26" i="134"/>
  <c r="P26" i="134"/>
  <c r="Q26" i="134"/>
  <c r="R26" i="134"/>
  <c r="S26" i="134"/>
  <c r="T26" i="134"/>
  <c r="I26" i="134"/>
  <c r="J25" i="134"/>
  <c r="K25" i="134"/>
  <c r="L25" i="134"/>
  <c r="M25" i="134"/>
  <c r="N25" i="134"/>
  <c r="G25" i="134" s="1"/>
  <c r="G25" i="127" s="1"/>
  <c r="O25" i="134"/>
  <c r="P25" i="134"/>
  <c r="Q25" i="134"/>
  <c r="R25" i="134"/>
  <c r="S25" i="134"/>
  <c r="S26" i="21" s="1"/>
  <c r="T25" i="134"/>
  <c r="H25" i="134" s="1"/>
  <c r="H25" i="127" s="1"/>
  <c r="I25" i="134"/>
  <c r="J24" i="134"/>
  <c r="K24" i="134"/>
  <c r="L24" i="134"/>
  <c r="M24" i="134"/>
  <c r="N24" i="134"/>
  <c r="O24" i="134"/>
  <c r="P24" i="134"/>
  <c r="Q24" i="134"/>
  <c r="R24" i="134"/>
  <c r="S24" i="134"/>
  <c r="T24" i="134"/>
  <c r="I24" i="134"/>
  <c r="J22" i="134"/>
  <c r="K22" i="134"/>
  <c r="L22" i="134"/>
  <c r="M22" i="134"/>
  <c r="N22" i="134"/>
  <c r="O22" i="134"/>
  <c r="P22" i="134"/>
  <c r="Q22" i="134"/>
  <c r="R22" i="134"/>
  <c r="S22" i="134"/>
  <c r="T22" i="134"/>
  <c r="I22" i="134"/>
  <c r="J21" i="134"/>
  <c r="K21" i="134"/>
  <c r="L21" i="134"/>
  <c r="M21" i="134"/>
  <c r="N21" i="134"/>
  <c r="O21" i="134"/>
  <c r="P21" i="134"/>
  <c r="Q21" i="134"/>
  <c r="R21" i="134"/>
  <c r="S21" i="134"/>
  <c r="T21" i="134"/>
  <c r="I21" i="134"/>
  <c r="J20" i="134"/>
  <c r="K20" i="134"/>
  <c r="L20" i="134"/>
  <c r="M20" i="134"/>
  <c r="N20" i="134"/>
  <c r="O20" i="134"/>
  <c r="P20" i="134"/>
  <c r="Q20" i="134"/>
  <c r="R20" i="134"/>
  <c r="S20" i="134"/>
  <c r="T20" i="134"/>
  <c r="I20" i="134"/>
  <c r="J17" i="134"/>
  <c r="K17" i="134"/>
  <c r="L17" i="134"/>
  <c r="M17" i="134"/>
  <c r="N17" i="134"/>
  <c r="O17" i="134"/>
  <c r="P17" i="134"/>
  <c r="Q17" i="134"/>
  <c r="R17" i="134"/>
  <c r="S17" i="134"/>
  <c r="T17" i="134"/>
  <c r="I17" i="134"/>
  <c r="G16" i="134"/>
  <c r="H16" i="134"/>
  <c r="J14" i="134"/>
  <c r="K14" i="134"/>
  <c r="L14" i="134"/>
  <c r="M14" i="134"/>
  <c r="N14" i="134"/>
  <c r="O14" i="134"/>
  <c r="P14" i="134"/>
  <c r="Q14" i="134"/>
  <c r="R14" i="134"/>
  <c r="S14" i="134"/>
  <c r="T14" i="134"/>
  <c r="I14" i="134"/>
  <c r="J12" i="134"/>
  <c r="K12" i="134"/>
  <c r="L12" i="134"/>
  <c r="M12" i="134"/>
  <c r="N12" i="134"/>
  <c r="O12" i="134"/>
  <c r="P12" i="134"/>
  <c r="Q12" i="134"/>
  <c r="R12" i="134"/>
  <c r="S12" i="134"/>
  <c r="T12" i="134"/>
  <c r="I12" i="134"/>
  <c r="J11" i="134"/>
  <c r="K11" i="134"/>
  <c r="L11" i="134"/>
  <c r="M11" i="134"/>
  <c r="N11" i="134"/>
  <c r="O11" i="134"/>
  <c r="P11" i="134"/>
  <c r="Q11" i="134"/>
  <c r="R11" i="134"/>
  <c r="S11" i="134"/>
  <c r="T11" i="134"/>
  <c r="I11" i="134"/>
  <c r="J10" i="134"/>
  <c r="K10" i="134"/>
  <c r="L10" i="134"/>
  <c r="M10" i="134"/>
  <c r="N10" i="134"/>
  <c r="O10" i="134"/>
  <c r="P10" i="134"/>
  <c r="Q10" i="134"/>
  <c r="R10" i="134"/>
  <c r="S10" i="134"/>
  <c r="T10" i="134"/>
  <c r="I10" i="134"/>
  <c r="J8" i="134"/>
  <c r="K8" i="134"/>
  <c r="L8" i="134"/>
  <c r="M8" i="134"/>
  <c r="N8" i="134"/>
  <c r="O8" i="134"/>
  <c r="P8" i="134"/>
  <c r="Q8" i="134"/>
  <c r="R8" i="134"/>
  <c r="S8" i="134"/>
  <c r="T8" i="134"/>
  <c r="I8" i="134"/>
  <c r="J49" i="73"/>
  <c r="K49" i="73"/>
  <c r="L49" i="73"/>
  <c r="M49" i="73"/>
  <c r="N49" i="73"/>
  <c r="G49" i="73" s="1"/>
  <c r="O49" i="73"/>
  <c r="P49" i="73"/>
  <c r="Q49" i="73"/>
  <c r="R49" i="73"/>
  <c r="S49" i="73"/>
  <c r="T49" i="73"/>
  <c r="H49" i="73" s="1"/>
  <c r="H50" i="21" s="1"/>
  <c r="I49" i="73"/>
  <c r="J48" i="73"/>
  <c r="K48" i="73"/>
  <c r="L48" i="73"/>
  <c r="M48" i="73"/>
  <c r="N48" i="73"/>
  <c r="G48" i="73" s="1"/>
  <c r="O48" i="73"/>
  <c r="P48" i="73"/>
  <c r="Q48" i="73"/>
  <c r="R48" i="73"/>
  <c r="S48" i="73"/>
  <c r="T48" i="73"/>
  <c r="H48" i="73" s="1"/>
  <c r="H49" i="21" s="1"/>
  <c r="I48" i="73"/>
  <c r="J47" i="73"/>
  <c r="K47" i="73"/>
  <c r="L47" i="73"/>
  <c r="M47" i="73"/>
  <c r="N47" i="73"/>
  <c r="O47" i="73"/>
  <c r="P47" i="73"/>
  <c r="Q47" i="73"/>
  <c r="R47" i="73"/>
  <c r="S47" i="73"/>
  <c r="T47" i="73"/>
  <c r="I47" i="73"/>
  <c r="J43" i="73"/>
  <c r="K43" i="73"/>
  <c r="L43" i="73"/>
  <c r="M43" i="73"/>
  <c r="N43" i="73"/>
  <c r="O43" i="73"/>
  <c r="P43" i="73"/>
  <c r="Q43" i="73"/>
  <c r="R43" i="73"/>
  <c r="S43" i="73"/>
  <c r="T43" i="73"/>
  <c r="I43" i="73"/>
  <c r="J41" i="73"/>
  <c r="K41" i="73"/>
  <c r="L41" i="73"/>
  <c r="M41" i="73"/>
  <c r="N41" i="73"/>
  <c r="O41" i="73"/>
  <c r="P41" i="73"/>
  <c r="Q41" i="73"/>
  <c r="R41" i="73"/>
  <c r="S41" i="73"/>
  <c r="T41" i="73"/>
  <c r="I41" i="73"/>
  <c r="J40" i="73"/>
  <c r="K40" i="73"/>
  <c r="L40" i="73"/>
  <c r="M40" i="73"/>
  <c r="N40" i="73"/>
  <c r="O40" i="73"/>
  <c r="P40" i="73"/>
  <c r="Q40" i="73"/>
  <c r="R40" i="73"/>
  <c r="S40" i="73"/>
  <c r="T40" i="73"/>
  <c r="I40" i="73"/>
  <c r="J38" i="73"/>
  <c r="K38" i="73"/>
  <c r="L38" i="73"/>
  <c r="M38" i="73"/>
  <c r="N38" i="73"/>
  <c r="G38" i="73" s="1"/>
  <c r="G38" i="69" s="1"/>
  <c r="O38" i="73"/>
  <c r="P38" i="73"/>
  <c r="Q38" i="73"/>
  <c r="R38" i="73"/>
  <c r="S38" i="73"/>
  <c r="T38" i="73"/>
  <c r="H38" i="73" s="1"/>
  <c r="I38" i="73"/>
  <c r="J37" i="73"/>
  <c r="K37" i="73"/>
  <c r="L37" i="73"/>
  <c r="M37" i="73"/>
  <c r="N37" i="73"/>
  <c r="O37" i="73"/>
  <c r="P37" i="73"/>
  <c r="Q37" i="73"/>
  <c r="R37" i="73"/>
  <c r="S37" i="73"/>
  <c r="T37" i="73"/>
  <c r="I37" i="73"/>
  <c r="J36" i="73"/>
  <c r="K36" i="73"/>
  <c r="L36" i="73"/>
  <c r="M36" i="73"/>
  <c r="N36" i="73"/>
  <c r="O36" i="73"/>
  <c r="P36" i="73"/>
  <c r="Q36" i="73"/>
  <c r="R36" i="73"/>
  <c r="S36" i="73"/>
  <c r="T36" i="73"/>
  <c r="I36" i="73"/>
  <c r="J35" i="73"/>
  <c r="K35" i="73"/>
  <c r="L35" i="73"/>
  <c r="M35" i="73"/>
  <c r="N35" i="73"/>
  <c r="G35" i="73" s="1"/>
  <c r="O35" i="73"/>
  <c r="P35" i="73"/>
  <c r="Q35" i="73"/>
  <c r="R35" i="73"/>
  <c r="S35" i="73"/>
  <c r="T35" i="73"/>
  <c r="H35" i="73" s="1"/>
  <c r="H36" i="21" s="1"/>
  <c r="I35" i="73"/>
  <c r="J33" i="73"/>
  <c r="K33" i="73"/>
  <c r="L33" i="73"/>
  <c r="M33" i="73"/>
  <c r="N33" i="73"/>
  <c r="O33" i="73"/>
  <c r="P33" i="73"/>
  <c r="Q33" i="73"/>
  <c r="R33" i="73"/>
  <c r="S33" i="73"/>
  <c r="T33" i="73"/>
  <c r="I33" i="73"/>
  <c r="J32" i="73"/>
  <c r="K32" i="73"/>
  <c r="L32" i="73"/>
  <c r="M32" i="73"/>
  <c r="N32" i="73"/>
  <c r="O32" i="73"/>
  <c r="P32" i="73"/>
  <c r="Q32" i="73"/>
  <c r="R32" i="73"/>
  <c r="S32" i="73"/>
  <c r="T32" i="73"/>
  <c r="I32" i="73"/>
  <c r="J30" i="73"/>
  <c r="K30" i="73"/>
  <c r="L30" i="73"/>
  <c r="M30" i="73"/>
  <c r="N30" i="73"/>
  <c r="O30" i="73"/>
  <c r="P30" i="73"/>
  <c r="Q30" i="73"/>
  <c r="R30" i="73"/>
  <c r="S30" i="73"/>
  <c r="T30" i="73"/>
  <c r="I30" i="73"/>
  <c r="J29" i="73"/>
  <c r="K29" i="73"/>
  <c r="L29" i="73"/>
  <c r="M29" i="73"/>
  <c r="N29" i="73"/>
  <c r="O29" i="73"/>
  <c r="P29" i="73"/>
  <c r="Q29" i="73"/>
  <c r="R29" i="73"/>
  <c r="S29" i="73"/>
  <c r="T29" i="73"/>
  <c r="I29" i="73"/>
  <c r="J27" i="73"/>
  <c r="K27" i="73"/>
  <c r="L27" i="73"/>
  <c r="M27" i="73"/>
  <c r="N27" i="73"/>
  <c r="O27" i="73"/>
  <c r="P27" i="73"/>
  <c r="Q27" i="73"/>
  <c r="R27" i="73"/>
  <c r="S27" i="73"/>
  <c r="T27" i="73"/>
  <c r="I27" i="73"/>
  <c r="J26" i="73"/>
  <c r="K26" i="73"/>
  <c r="L26" i="73"/>
  <c r="M26" i="73"/>
  <c r="N26" i="73"/>
  <c r="O26" i="73"/>
  <c r="P26" i="73"/>
  <c r="Q26" i="73"/>
  <c r="R26" i="73"/>
  <c r="S26" i="73"/>
  <c r="T26" i="73"/>
  <c r="I26" i="73"/>
  <c r="J25" i="73"/>
  <c r="K25" i="73"/>
  <c r="L25" i="73"/>
  <c r="M25" i="73"/>
  <c r="N25" i="73"/>
  <c r="G25" i="73" s="1"/>
  <c r="G25" i="69" s="1"/>
  <c r="O25" i="73"/>
  <c r="P25" i="73"/>
  <c r="Q25" i="73"/>
  <c r="R25" i="73"/>
  <c r="S25" i="73"/>
  <c r="T25" i="73"/>
  <c r="H25" i="73" s="1"/>
  <c r="I25" i="73"/>
  <c r="J24" i="73"/>
  <c r="K24" i="73"/>
  <c r="L24" i="73"/>
  <c r="M24" i="73"/>
  <c r="N24" i="73"/>
  <c r="O24" i="73"/>
  <c r="P24" i="73"/>
  <c r="Q24" i="73"/>
  <c r="R24" i="73"/>
  <c r="S24" i="73"/>
  <c r="T24" i="73"/>
  <c r="I24" i="73"/>
  <c r="J22" i="73"/>
  <c r="K22" i="73"/>
  <c r="L22" i="73"/>
  <c r="M22" i="73"/>
  <c r="N22" i="73"/>
  <c r="I22" i="73"/>
  <c r="J21" i="73"/>
  <c r="K21" i="73"/>
  <c r="L21" i="73"/>
  <c r="M21" i="73"/>
  <c r="N21" i="73"/>
  <c r="O21" i="73"/>
  <c r="P21" i="73"/>
  <c r="Q21" i="73"/>
  <c r="R21" i="73"/>
  <c r="S21" i="73"/>
  <c r="T21" i="73"/>
  <c r="I21" i="73"/>
  <c r="J20" i="73"/>
  <c r="K20" i="73"/>
  <c r="L20" i="73"/>
  <c r="M20" i="73"/>
  <c r="N20" i="73"/>
  <c r="O20" i="73"/>
  <c r="P20" i="73"/>
  <c r="Q20" i="73"/>
  <c r="R20" i="73"/>
  <c r="S20" i="73"/>
  <c r="T20" i="73"/>
  <c r="I20" i="73"/>
  <c r="J17" i="73"/>
  <c r="K17" i="73"/>
  <c r="L17" i="73"/>
  <c r="M17" i="73"/>
  <c r="N17" i="73"/>
  <c r="O17" i="73"/>
  <c r="P17" i="73"/>
  <c r="Q17" i="73"/>
  <c r="R17" i="73"/>
  <c r="S17" i="73"/>
  <c r="T17" i="73"/>
  <c r="I17" i="73"/>
  <c r="J14" i="73"/>
  <c r="K14" i="73"/>
  <c r="L14" i="73"/>
  <c r="M14" i="73"/>
  <c r="N14" i="73"/>
  <c r="O14" i="73"/>
  <c r="P14" i="73"/>
  <c r="Q14" i="73"/>
  <c r="R14" i="73"/>
  <c r="S14" i="73"/>
  <c r="T14" i="73"/>
  <c r="I14" i="73"/>
  <c r="J12" i="73"/>
  <c r="K12" i="73"/>
  <c r="L12" i="73"/>
  <c r="M12" i="73"/>
  <c r="N12" i="73"/>
  <c r="O12" i="73"/>
  <c r="P12" i="73"/>
  <c r="Q12" i="73"/>
  <c r="R12" i="73"/>
  <c r="S12" i="73"/>
  <c r="T12" i="73"/>
  <c r="I12" i="73"/>
  <c r="J11" i="73"/>
  <c r="K11" i="73"/>
  <c r="L11" i="73"/>
  <c r="M11" i="73"/>
  <c r="N11" i="73"/>
  <c r="O11" i="73"/>
  <c r="P11" i="73"/>
  <c r="Q11" i="73"/>
  <c r="R11" i="73"/>
  <c r="S11" i="73"/>
  <c r="T11" i="73"/>
  <c r="I11" i="73"/>
  <c r="J10" i="73"/>
  <c r="K10" i="73"/>
  <c r="L10" i="73"/>
  <c r="M10" i="73"/>
  <c r="N10" i="73"/>
  <c r="O10" i="73"/>
  <c r="P10" i="73"/>
  <c r="Q10" i="73"/>
  <c r="R10" i="73"/>
  <c r="S10" i="73"/>
  <c r="T10" i="73"/>
  <c r="I10" i="73"/>
  <c r="J8" i="73"/>
  <c r="K8" i="73"/>
  <c r="L8" i="73"/>
  <c r="M8" i="73"/>
  <c r="N8" i="73"/>
  <c r="O8" i="73"/>
  <c r="P8" i="73"/>
  <c r="Q8" i="73"/>
  <c r="R8" i="73"/>
  <c r="S8" i="73"/>
  <c r="T8" i="73"/>
  <c r="I8" i="73"/>
  <c r="I63" i="58"/>
  <c r="J63" i="58"/>
  <c r="K63" i="58"/>
  <c r="L63" i="58"/>
  <c r="M63" i="58"/>
  <c r="N63" i="58"/>
  <c r="G63" i="58" s="1"/>
  <c r="G62" i="36" s="1"/>
  <c r="O63" i="58"/>
  <c r="P63" i="58"/>
  <c r="Q63" i="58"/>
  <c r="R63" i="58"/>
  <c r="S63" i="58"/>
  <c r="T63" i="58"/>
  <c r="H63" i="58" s="1"/>
  <c r="H62" i="36" s="1"/>
  <c r="I62" i="58"/>
  <c r="J62" i="58"/>
  <c r="K62" i="58"/>
  <c r="L62" i="58"/>
  <c r="M62" i="58"/>
  <c r="N62" i="58"/>
  <c r="G62" i="58" s="1"/>
  <c r="G61" i="36" s="1"/>
  <c r="O62" i="58"/>
  <c r="P62" i="58"/>
  <c r="Q62" i="58"/>
  <c r="R62" i="58"/>
  <c r="S62" i="58"/>
  <c r="T62" i="58"/>
  <c r="H62" i="58" s="1"/>
  <c r="H61" i="36" s="1"/>
  <c r="I61" i="58"/>
  <c r="J61" i="58"/>
  <c r="K61" i="58"/>
  <c r="L61" i="58"/>
  <c r="M61" i="58"/>
  <c r="N61" i="58"/>
  <c r="G61" i="58" s="1"/>
  <c r="G60" i="36" s="1"/>
  <c r="O61" i="58"/>
  <c r="P61" i="58"/>
  <c r="Q61" i="58"/>
  <c r="R61" i="58"/>
  <c r="S61" i="58"/>
  <c r="T61" i="58"/>
  <c r="H61" i="58" s="1"/>
  <c r="H60" i="36" s="1"/>
  <c r="J60" i="58"/>
  <c r="K60" i="58"/>
  <c r="L60" i="58"/>
  <c r="M60" i="58"/>
  <c r="N60" i="58"/>
  <c r="O60" i="58"/>
  <c r="P60" i="58"/>
  <c r="Q60" i="58"/>
  <c r="R60" i="58"/>
  <c r="S60" i="58"/>
  <c r="T60" i="58"/>
  <c r="I60" i="58"/>
  <c r="J57" i="58"/>
  <c r="K57" i="58"/>
  <c r="L57" i="58"/>
  <c r="M57" i="58"/>
  <c r="N57" i="58"/>
  <c r="G57" i="58" s="1"/>
  <c r="G56" i="36" s="1"/>
  <c r="O57" i="58"/>
  <c r="P57" i="58"/>
  <c r="Q57" i="58"/>
  <c r="R57" i="58"/>
  <c r="S57" i="58"/>
  <c r="T57" i="58"/>
  <c r="H57" i="58" s="1"/>
  <c r="I57" i="58"/>
  <c r="J56" i="58"/>
  <c r="K56" i="58"/>
  <c r="L56" i="58"/>
  <c r="M56" i="58"/>
  <c r="N56" i="58"/>
  <c r="O56" i="58"/>
  <c r="P56" i="58"/>
  <c r="Q56" i="58"/>
  <c r="R56" i="58"/>
  <c r="S56" i="58"/>
  <c r="T56" i="58"/>
  <c r="I56" i="58"/>
  <c r="J55" i="58"/>
  <c r="K55" i="58"/>
  <c r="L55" i="58"/>
  <c r="M55" i="58"/>
  <c r="N55" i="58"/>
  <c r="O55" i="58"/>
  <c r="P55" i="58"/>
  <c r="Q55" i="58"/>
  <c r="R55" i="58"/>
  <c r="S55" i="58"/>
  <c r="T55" i="58"/>
  <c r="I55" i="58"/>
  <c r="J53" i="58"/>
  <c r="K53" i="58"/>
  <c r="L53" i="58"/>
  <c r="M53" i="58"/>
  <c r="N53" i="58"/>
  <c r="O53" i="58"/>
  <c r="P53" i="58"/>
  <c r="Q53" i="58"/>
  <c r="R53" i="58"/>
  <c r="S53" i="58"/>
  <c r="T53" i="58"/>
  <c r="I53" i="58"/>
  <c r="J52" i="58"/>
  <c r="K52" i="58"/>
  <c r="L52" i="58"/>
  <c r="M52" i="58"/>
  <c r="N52" i="58"/>
  <c r="O52" i="58"/>
  <c r="P52" i="58"/>
  <c r="Q52" i="58"/>
  <c r="R52" i="58"/>
  <c r="S52" i="58"/>
  <c r="T52" i="58"/>
  <c r="I52" i="58"/>
  <c r="J51" i="58"/>
  <c r="K51" i="58"/>
  <c r="L51" i="58"/>
  <c r="M51" i="58"/>
  <c r="N51" i="58"/>
  <c r="O51" i="58"/>
  <c r="P51" i="58"/>
  <c r="Q51" i="58"/>
  <c r="R51" i="58"/>
  <c r="S51" i="58"/>
  <c r="T51" i="58"/>
  <c r="I51" i="58"/>
  <c r="Q328" i="83"/>
  <c r="AF328" i="83"/>
  <c r="J44" i="58"/>
  <c r="K44" i="58"/>
  <c r="L44" i="58"/>
  <c r="M44" i="58"/>
  <c r="N44" i="58"/>
  <c r="O44" i="58"/>
  <c r="P44" i="58"/>
  <c r="Q44" i="58"/>
  <c r="R44" i="58"/>
  <c r="S44" i="58"/>
  <c r="T44" i="58"/>
  <c r="I44" i="58"/>
  <c r="J42" i="58"/>
  <c r="K42" i="58"/>
  <c r="L42" i="58"/>
  <c r="M42" i="58"/>
  <c r="N42" i="58"/>
  <c r="O42" i="58"/>
  <c r="P42" i="58"/>
  <c r="Q42" i="58"/>
  <c r="R42" i="58"/>
  <c r="S42" i="58"/>
  <c r="T42" i="58"/>
  <c r="I42" i="58"/>
  <c r="J41" i="58"/>
  <c r="K41" i="58"/>
  <c r="L41" i="58"/>
  <c r="M41" i="58"/>
  <c r="N41" i="58"/>
  <c r="G41" i="58" s="1"/>
  <c r="G40" i="36" s="1"/>
  <c r="O41" i="58"/>
  <c r="P41" i="58"/>
  <c r="Q41" i="58"/>
  <c r="R41" i="58"/>
  <c r="S41" i="58"/>
  <c r="T41" i="58"/>
  <c r="H41" i="58" s="1"/>
  <c r="I41" i="58"/>
  <c r="J40" i="58"/>
  <c r="K40" i="58"/>
  <c r="L40" i="58"/>
  <c r="M40" i="58"/>
  <c r="N40" i="58"/>
  <c r="O40" i="58"/>
  <c r="P40" i="58"/>
  <c r="Q40" i="58"/>
  <c r="R40" i="58"/>
  <c r="S40" i="58"/>
  <c r="T40" i="58"/>
  <c r="I40" i="58"/>
  <c r="J39" i="58"/>
  <c r="K39" i="58"/>
  <c r="L39" i="58"/>
  <c r="M39" i="58"/>
  <c r="N39" i="58"/>
  <c r="O39" i="58"/>
  <c r="P39" i="58"/>
  <c r="Q39" i="58"/>
  <c r="R39" i="58"/>
  <c r="S39" i="58"/>
  <c r="T39" i="58"/>
  <c r="I39" i="58"/>
  <c r="J38" i="58"/>
  <c r="K38" i="58"/>
  <c r="L38" i="58"/>
  <c r="M38" i="58"/>
  <c r="N38" i="58"/>
  <c r="O38" i="58"/>
  <c r="P38" i="58"/>
  <c r="Q38" i="58"/>
  <c r="R38" i="58"/>
  <c r="S38" i="58"/>
  <c r="T38" i="58"/>
  <c r="I38" i="58"/>
  <c r="J37" i="58"/>
  <c r="K37" i="58"/>
  <c r="L37" i="58"/>
  <c r="M37" i="58"/>
  <c r="N37" i="58"/>
  <c r="G37" i="58" s="1"/>
  <c r="G36" i="36" s="1"/>
  <c r="O37" i="58"/>
  <c r="P37" i="58"/>
  <c r="Q37" i="58"/>
  <c r="R37" i="58"/>
  <c r="S37" i="58"/>
  <c r="T37" i="58"/>
  <c r="H37" i="58" s="1"/>
  <c r="I37" i="58"/>
  <c r="D34" i="35"/>
  <c r="J34" i="58"/>
  <c r="K34" i="58"/>
  <c r="L34" i="58"/>
  <c r="M34" i="58"/>
  <c r="N34" i="58"/>
  <c r="G34" i="58" s="1"/>
  <c r="G34" i="36" s="1"/>
  <c r="O34" i="58"/>
  <c r="P34" i="58"/>
  <c r="Q34" i="58"/>
  <c r="R34" i="58"/>
  <c r="S34" i="58"/>
  <c r="T34" i="58"/>
  <c r="H34" i="58" s="1"/>
  <c r="I34" i="58"/>
  <c r="J32" i="58"/>
  <c r="K32" i="58"/>
  <c r="L32" i="58"/>
  <c r="M32" i="58"/>
  <c r="N32" i="58"/>
  <c r="O32" i="58"/>
  <c r="P32" i="58"/>
  <c r="Q32" i="58"/>
  <c r="R32" i="58"/>
  <c r="S32" i="58"/>
  <c r="T32" i="58"/>
  <c r="I32" i="58"/>
  <c r="J31" i="58"/>
  <c r="K31" i="58"/>
  <c r="L31" i="58"/>
  <c r="M31" i="58"/>
  <c r="N31" i="58"/>
  <c r="O31" i="58"/>
  <c r="P31" i="58"/>
  <c r="Q31" i="58"/>
  <c r="R31" i="58"/>
  <c r="S31" i="58"/>
  <c r="T31" i="58"/>
  <c r="I31" i="58"/>
  <c r="J29" i="58"/>
  <c r="K29" i="58"/>
  <c r="L29" i="58"/>
  <c r="M29" i="58"/>
  <c r="N29" i="58"/>
  <c r="O29" i="58"/>
  <c r="P29" i="58"/>
  <c r="Q29" i="58"/>
  <c r="R29" i="58"/>
  <c r="S29" i="58"/>
  <c r="T29" i="58"/>
  <c r="I29" i="58"/>
  <c r="J28" i="58"/>
  <c r="K28" i="58"/>
  <c r="L28" i="58"/>
  <c r="M28" i="58"/>
  <c r="N28" i="58"/>
  <c r="O28" i="58"/>
  <c r="P28" i="58"/>
  <c r="Q28" i="58"/>
  <c r="R28" i="58"/>
  <c r="S28" i="58"/>
  <c r="T28" i="58"/>
  <c r="I28" i="58"/>
  <c r="J26" i="58"/>
  <c r="K26" i="58"/>
  <c r="L26" i="58"/>
  <c r="M26" i="58"/>
  <c r="N26" i="58"/>
  <c r="O26" i="58"/>
  <c r="P26" i="58"/>
  <c r="Q26" i="58"/>
  <c r="R26" i="58"/>
  <c r="S26" i="58"/>
  <c r="T26" i="58"/>
  <c r="I26" i="58"/>
  <c r="J25" i="58"/>
  <c r="K25" i="58"/>
  <c r="L25" i="58"/>
  <c r="M25" i="58"/>
  <c r="N25" i="58"/>
  <c r="O25" i="58"/>
  <c r="P25" i="58"/>
  <c r="Q25" i="58"/>
  <c r="R25" i="58"/>
  <c r="S25" i="58"/>
  <c r="T25" i="58"/>
  <c r="I25" i="58"/>
  <c r="J24" i="58"/>
  <c r="K24" i="58"/>
  <c r="L24" i="58"/>
  <c r="M24" i="58"/>
  <c r="N24" i="58"/>
  <c r="G24" i="58" s="1"/>
  <c r="G24" i="36" s="1"/>
  <c r="O24" i="58"/>
  <c r="P24" i="58"/>
  <c r="Q24" i="58"/>
  <c r="R24" i="58"/>
  <c r="S24" i="58"/>
  <c r="T24" i="58"/>
  <c r="H24" i="58" s="1"/>
  <c r="I24" i="58"/>
  <c r="J23" i="58"/>
  <c r="K23" i="58"/>
  <c r="L23" i="58"/>
  <c r="M23" i="58"/>
  <c r="N23" i="58"/>
  <c r="G23" i="58" s="1"/>
  <c r="G23" i="36" s="1"/>
  <c r="O23" i="58"/>
  <c r="P23" i="58"/>
  <c r="Q23" i="58"/>
  <c r="R23" i="58"/>
  <c r="S23" i="58"/>
  <c r="T23" i="58"/>
  <c r="H23" i="58" s="1"/>
  <c r="H23" i="36" s="1"/>
  <c r="I23" i="58"/>
  <c r="J20" i="58"/>
  <c r="K20" i="58"/>
  <c r="L20" i="58"/>
  <c r="M20" i="58"/>
  <c r="N20" i="58"/>
  <c r="O20" i="58"/>
  <c r="P20" i="58"/>
  <c r="Q20" i="58"/>
  <c r="R20" i="58"/>
  <c r="S20" i="58"/>
  <c r="T20" i="58"/>
  <c r="I20" i="58"/>
  <c r="J19" i="58"/>
  <c r="K19" i="58"/>
  <c r="L19" i="58"/>
  <c r="M19" i="58"/>
  <c r="N19" i="58"/>
  <c r="O19" i="58"/>
  <c r="P19" i="58"/>
  <c r="Q19" i="58"/>
  <c r="R19" i="58"/>
  <c r="S19" i="58"/>
  <c r="T19" i="58"/>
  <c r="I19" i="58"/>
  <c r="J16" i="58"/>
  <c r="K16" i="58"/>
  <c r="L16" i="58"/>
  <c r="M16" i="58"/>
  <c r="N16" i="58"/>
  <c r="O16" i="58"/>
  <c r="P16" i="58"/>
  <c r="Q16" i="58"/>
  <c r="R16" i="58"/>
  <c r="S16" i="58"/>
  <c r="T16" i="58"/>
  <c r="I16" i="58"/>
  <c r="J14" i="58"/>
  <c r="K14" i="58"/>
  <c r="L14" i="58"/>
  <c r="M14" i="58"/>
  <c r="N14" i="58"/>
  <c r="O14" i="58"/>
  <c r="P14" i="58"/>
  <c r="Q14" i="58"/>
  <c r="R14" i="58"/>
  <c r="S14" i="58"/>
  <c r="T14" i="58"/>
  <c r="I14" i="58"/>
  <c r="J8" i="58"/>
  <c r="K8" i="58"/>
  <c r="L8" i="58"/>
  <c r="M8" i="58"/>
  <c r="N8" i="58"/>
  <c r="O8" i="58"/>
  <c r="P8" i="58"/>
  <c r="Q8" i="58"/>
  <c r="R8" i="58"/>
  <c r="S8" i="58"/>
  <c r="T8" i="58"/>
  <c r="I8" i="58"/>
  <c r="BY25" i="138" l="1"/>
  <c r="AO211" i="83"/>
  <c r="H26" i="21"/>
  <c r="H25" i="69"/>
  <c r="H25" i="135"/>
  <c r="H25" i="128" s="1"/>
  <c r="AD26" i="21"/>
  <c r="H35" i="135"/>
  <c r="H35" i="128" s="1"/>
  <c r="AD36" i="21"/>
  <c r="H39" i="21"/>
  <c r="H38" i="69"/>
  <c r="H56" i="36"/>
  <c r="F56" i="35"/>
  <c r="H34" i="36"/>
  <c r="F34" i="35"/>
  <c r="H36" i="36"/>
  <c r="F36" i="35"/>
  <c r="H40" i="36"/>
  <c r="F40" i="35"/>
  <c r="F24" i="35"/>
  <c r="H24" i="36"/>
  <c r="AY29" i="21"/>
  <c r="AY32" i="21"/>
  <c r="AY43" i="21"/>
  <c r="AY52" i="21"/>
  <c r="AY53" i="21"/>
  <c r="AY54" i="21"/>
  <c r="AY55" i="21"/>
  <c r="AY56" i="21"/>
  <c r="AX22" i="21"/>
  <c r="AX23" i="21"/>
  <c r="AX25" i="21"/>
  <c r="AX26" i="21"/>
  <c r="AX27" i="21"/>
  <c r="AX28" i="21"/>
  <c r="AX30" i="21"/>
  <c r="AX31" i="21"/>
  <c r="AX33" i="21"/>
  <c r="AX34" i="21"/>
  <c r="AX36" i="21"/>
  <c r="AX37" i="21"/>
  <c r="AX38" i="21"/>
  <c r="AX39" i="21"/>
  <c r="AX41" i="21"/>
  <c r="AX42" i="21"/>
  <c r="AX44" i="21"/>
  <c r="AX45" i="21"/>
  <c r="AX46" i="21"/>
  <c r="AX47" i="21"/>
  <c r="AX48" i="21"/>
  <c r="AX49" i="21"/>
  <c r="AX50" i="21"/>
  <c r="AW22" i="21"/>
  <c r="AW23" i="21"/>
  <c r="AW25" i="21"/>
  <c r="AW26" i="21"/>
  <c r="AW27" i="21"/>
  <c r="AW28" i="21"/>
  <c r="AW30" i="21"/>
  <c r="AW31" i="21"/>
  <c r="AW33" i="21"/>
  <c r="AW34" i="21"/>
  <c r="AW36" i="21"/>
  <c r="AW37" i="21"/>
  <c r="AW38" i="21"/>
  <c r="AW39" i="21"/>
  <c r="AW41" i="21"/>
  <c r="AW42" i="21"/>
  <c r="AW44" i="21"/>
  <c r="AW45" i="21"/>
  <c r="AW46" i="21"/>
  <c r="AW48" i="21"/>
  <c r="AW49" i="21"/>
  <c r="AW50" i="21"/>
  <c r="AU24" i="21"/>
  <c r="AU29" i="21"/>
  <c r="AU32" i="21"/>
  <c r="AU35" i="21"/>
  <c r="AU40" i="21"/>
  <c r="AU43" i="21"/>
  <c r="AU46" i="21"/>
  <c r="AU47" i="21"/>
  <c r="AU51" i="21"/>
  <c r="AV56" i="21"/>
  <c r="AV55" i="21"/>
  <c r="AV54" i="21"/>
  <c r="AV53" i="21"/>
  <c r="AV52" i="21"/>
  <c r="AV51" i="21"/>
  <c r="AV50" i="21"/>
  <c r="BA50" i="21" s="1"/>
  <c r="AV49" i="21"/>
  <c r="BA49" i="21" s="1"/>
  <c r="AV48" i="21"/>
  <c r="AV47" i="21"/>
  <c r="AV46" i="21"/>
  <c r="AV45" i="21"/>
  <c r="AV44" i="21"/>
  <c r="AV43" i="21"/>
  <c r="AV42" i="21"/>
  <c r="AV41" i="21"/>
  <c r="AV40" i="21"/>
  <c r="AV39" i="21"/>
  <c r="AV38" i="21"/>
  <c r="AV37" i="21"/>
  <c r="AV36" i="21"/>
  <c r="BA36" i="21" s="1"/>
  <c r="AV35" i="21"/>
  <c r="AV34" i="21"/>
  <c r="AV33" i="21"/>
  <c r="AV32" i="21"/>
  <c r="AV31" i="21"/>
  <c r="AV30" i="21"/>
  <c r="AV29" i="21"/>
  <c r="AV28" i="21"/>
  <c r="AV27" i="21"/>
  <c r="AV25" i="21"/>
  <c r="AV24" i="21"/>
  <c r="AV23" i="21"/>
  <c r="AV22" i="21"/>
  <c r="AV21" i="21"/>
  <c r="AN29" i="21"/>
  <c r="AN32" i="21"/>
  <c r="AN43" i="21"/>
  <c r="AN52" i="21"/>
  <c r="AN53" i="21"/>
  <c r="AN54" i="21"/>
  <c r="AN55" i="21"/>
  <c r="AN56" i="21"/>
  <c r="AL22" i="21"/>
  <c r="AL23" i="21"/>
  <c r="AL25" i="21"/>
  <c r="AL26" i="21"/>
  <c r="AL27" i="21"/>
  <c r="AL28" i="21"/>
  <c r="AL30" i="21"/>
  <c r="AL31" i="21"/>
  <c r="AL33" i="21"/>
  <c r="AL34" i="21"/>
  <c r="AL36" i="21"/>
  <c r="AL37" i="21"/>
  <c r="AL38" i="21"/>
  <c r="AL39" i="21"/>
  <c r="AL41" i="21"/>
  <c r="AL42" i="21"/>
  <c r="AL44" i="21"/>
  <c r="AL45" i="21"/>
  <c r="AL46" i="21"/>
  <c r="AL48" i="21"/>
  <c r="AL49" i="21"/>
  <c r="AL50" i="21"/>
  <c r="AJ24" i="21"/>
  <c r="AJ29" i="21"/>
  <c r="AJ32" i="21"/>
  <c r="AJ35" i="21"/>
  <c r="AJ40" i="21"/>
  <c r="AJ43" i="21"/>
  <c r="AJ46" i="21"/>
  <c r="AJ47" i="21"/>
  <c r="AJ51" i="21"/>
  <c r="AK56" i="21"/>
  <c r="AK55" i="21"/>
  <c r="AK54" i="21"/>
  <c r="AK53" i="21"/>
  <c r="AK52" i="21"/>
  <c r="AK51" i="21"/>
  <c r="AK50" i="21"/>
  <c r="AP50" i="21" s="1"/>
  <c r="AK49" i="21"/>
  <c r="AP49" i="21" s="1"/>
  <c r="AK48" i="21"/>
  <c r="AK47" i="21"/>
  <c r="AK46" i="21"/>
  <c r="AK45" i="21"/>
  <c r="AK44" i="21"/>
  <c r="AK43" i="21"/>
  <c r="AK42" i="21"/>
  <c r="AP42" i="21" s="1"/>
  <c r="AR42" i="21" s="1"/>
  <c r="AK41" i="21"/>
  <c r="AP41" i="21" s="1"/>
  <c r="AR41" i="21" s="1"/>
  <c r="AK40" i="21"/>
  <c r="AK39" i="21"/>
  <c r="AK38" i="21"/>
  <c r="AK37" i="21"/>
  <c r="AK36" i="21"/>
  <c r="AP36" i="21" s="1"/>
  <c r="AK35" i="21"/>
  <c r="AK34" i="21"/>
  <c r="AK33" i="21"/>
  <c r="AK32" i="21"/>
  <c r="AK31" i="21"/>
  <c r="AK30" i="21"/>
  <c r="AK29" i="21"/>
  <c r="AK28" i="21"/>
  <c r="AP28" i="21" s="1"/>
  <c r="AK27" i="21"/>
  <c r="AK26" i="21"/>
  <c r="AP26" i="21" s="1"/>
  <c r="AK25" i="21"/>
  <c r="AP25" i="21" s="1"/>
  <c r="AK24" i="21"/>
  <c r="AK23" i="21"/>
  <c r="AK22" i="21"/>
  <c r="AK21" i="21"/>
  <c r="AC29" i="21"/>
  <c r="AC32" i="21"/>
  <c r="AC43" i="21"/>
  <c r="AC52" i="21"/>
  <c r="AC53" i="21"/>
  <c r="AC54" i="21"/>
  <c r="AC55" i="21"/>
  <c r="AC56" i="21"/>
  <c r="AA22" i="21"/>
  <c r="AA23" i="21"/>
  <c r="AA25" i="21"/>
  <c r="AA26" i="21"/>
  <c r="AA27" i="21"/>
  <c r="AA28" i="21"/>
  <c r="AA30" i="21"/>
  <c r="AA31" i="21"/>
  <c r="AA33" i="21"/>
  <c r="AA34" i="21"/>
  <c r="AA36" i="21"/>
  <c r="AA37" i="21"/>
  <c r="AA38" i="21"/>
  <c r="AA39" i="21"/>
  <c r="AA41" i="21"/>
  <c r="AA42" i="21"/>
  <c r="AA44" i="21"/>
  <c r="AA45" i="21"/>
  <c r="AA46" i="21"/>
  <c r="AA48" i="21"/>
  <c r="AA49" i="21"/>
  <c r="AA50" i="21"/>
  <c r="AB22" i="21"/>
  <c r="AB23" i="21"/>
  <c r="AB25" i="21"/>
  <c r="AB26" i="21"/>
  <c r="AB27" i="21"/>
  <c r="AB28" i="21"/>
  <c r="AB30" i="21"/>
  <c r="AB31" i="21"/>
  <c r="AB33" i="21"/>
  <c r="AB34" i="21"/>
  <c r="AB36" i="21"/>
  <c r="AB37" i="21"/>
  <c r="AB38" i="21"/>
  <c r="AB39" i="21"/>
  <c r="AB41" i="21"/>
  <c r="AB42" i="21"/>
  <c r="AB44" i="21"/>
  <c r="AB45" i="21"/>
  <c r="AB46" i="21"/>
  <c r="AB47" i="21"/>
  <c r="AB48" i="21"/>
  <c r="AB49" i="21"/>
  <c r="AB50" i="21"/>
  <c r="Y24" i="21"/>
  <c r="Y29" i="21"/>
  <c r="Y32" i="21"/>
  <c r="Y35" i="21"/>
  <c r="Y40" i="21"/>
  <c r="Y43" i="21"/>
  <c r="Y46" i="21"/>
  <c r="Y47" i="21"/>
  <c r="Y51" i="21"/>
  <c r="Z56" i="21"/>
  <c r="Z55" i="21"/>
  <c r="Z54" i="21"/>
  <c r="Z53" i="21"/>
  <c r="Z52" i="21"/>
  <c r="Z51" i="21"/>
  <c r="Z50" i="21"/>
  <c r="Z49" i="21"/>
  <c r="Z48" i="21"/>
  <c r="Z47" i="21"/>
  <c r="Z46" i="21"/>
  <c r="Z45" i="21"/>
  <c r="Z44" i="21"/>
  <c r="Z43" i="21"/>
  <c r="Z42" i="21"/>
  <c r="Z41" i="21"/>
  <c r="Z40" i="21"/>
  <c r="Z39" i="21"/>
  <c r="Z38" i="21"/>
  <c r="Z37" i="21"/>
  <c r="Z36" i="21"/>
  <c r="Z35" i="21"/>
  <c r="Z34" i="21"/>
  <c r="Z33" i="21"/>
  <c r="Z32" i="21"/>
  <c r="Z31" i="21"/>
  <c r="Z30" i="21"/>
  <c r="Z29" i="21"/>
  <c r="Z28" i="21"/>
  <c r="Z27" i="21"/>
  <c r="Z26" i="21"/>
  <c r="Z25" i="21"/>
  <c r="Z24" i="21"/>
  <c r="Z23" i="21"/>
  <c r="Z22" i="21"/>
  <c r="Z21" i="21"/>
  <c r="R29" i="21"/>
  <c r="R32" i="21"/>
  <c r="R43" i="21"/>
  <c r="R52" i="21"/>
  <c r="R53" i="21"/>
  <c r="R54" i="21"/>
  <c r="R55" i="21"/>
  <c r="R56" i="21"/>
  <c r="Q22" i="21"/>
  <c r="Q23" i="21"/>
  <c r="Q25" i="21"/>
  <c r="Q26" i="21"/>
  <c r="Q27" i="21"/>
  <c r="Q28" i="21"/>
  <c r="Q30" i="21"/>
  <c r="Q31" i="21"/>
  <c r="Q33" i="21"/>
  <c r="Q34" i="21"/>
  <c r="Q36" i="21"/>
  <c r="Q37" i="21"/>
  <c r="Q38" i="21"/>
  <c r="Q39" i="21"/>
  <c r="Q41" i="21"/>
  <c r="Q42" i="21"/>
  <c r="Q44" i="21"/>
  <c r="Q45" i="21"/>
  <c r="Q46" i="21"/>
  <c r="Q47" i="21"/>
  <c r="Q48" i="21"/>
  <c r="Q49" i="21"/>
  <c r="Q50" i="21"/>
  <c r="N24" i="21"/>
  <c r="N29" i="21"/>
  <c r="N32" i="21"/>
  <c r="N35" i="21"/>
  <c r="N40" i="21"/>
  <c r="N43" i="21"/>
  <c r="N46" i="21"/>
  <c r="N47" i="21"/>
  <c r="N51" i="21"/>
  <c r="E22" i="21"/>
  <c r="F22" i="21"/>
  <c r="E23" i="21"/>
  <c r="F23" i="21"/>
  <c r="E25" i="21"/>
  <c r="F25" i="21"/>
  <c r="E26" i="21"/>
  <c r="F26" i="21"/>
  <c r="E27" i="21"/>
  <c r="F27" i="21"/>
  <c r="E28" i="21"/>
  <c r="F28" i="21"/>
  <c r="E30" i="21"/>
  <c r="F30" i="21"/>
  <c r="E31" i="21"/>
  <c r="F31" i="21"/>
  <c r="E33" i="21"/>
  <c r="F33" i="21"/>
  <c r="E34" i="21"/>
  <c r="F34" i="21"/>
  <c r="E36" i="21"/>
  <c r="F36" i="21"/>
  <c r="E37" i="21"/>
  <c r="F37" i="21"/>
  <c r="E38" i="21"/>
  <c r="F38" i="21"/>
  <c r="E39" i="21"/>
  <c r="F39" i="21"/>
  <c r="E41" i="21"/>
  <c r="F41" i="21"/>
  <c r="E42" i="21"/>
  <c r="F42" i="21"/>
  <c r="E44" i="21"/>
  <c r="F44" i="21"/>
  <c r="E45" i="21"/>
  <c r="F45" i="21"/>
  <c r="E46" i="21"/>
  <c r="F46" i="21"/>
  <c r="E48" i="21"/>
  <c r="F48" i="21"/>
  <c r="E49" i="21"/>
  <c r="F49" i="21"/>
  <c r="E50" i="21"/>
  <c r="F50" i="21"/>
  <c r="C25" i="21"/>
  <c r="C30" i="21"/>
  <c r="C33" i="21"/>
  <c r="C36" i="21"/>
  <c r="C41" i="21"/>
  <c r="C43" i="21"/>
  <c r="C46" i="21"/>
  <c r="C47" i="21"/>
  <c r="C51" i="21"/>
  <c r="O56" i="21"/>
  <c r="O55" i="21"/>
  <c r="O54" i="21"/>
  <c r="O53" i="21"/>
  <c r="O52" i="21"/>
  <c r="O51" i="21"/>
  <c r="O50" i="21"/>
  <c r="O49" i="21"/>
  <c r="O48" i="21"/>
  <c r="O47" i="21"/>
  <c r="O46" i="21"/>
  <c r="O45" i="21"/>
  <c r="O44" i="21"/>
  <c r="O43" i="2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45" i="35"/>
  <c r="E22" i="35"/>
  <c r="E27" i="35"/>
  <c r="E30" i="35"/>
  <c r="E33" i="35"/>
  <c r="E42" i="35"/>
  <c r="E45" i="35"/>
  <c r="E49" i="35"/>
  <c r="E58" i="35"/>
  <c r="E64" i="35"/>
  <c r="E65" i="35"/>
  <c r="E66" i="35"/>
  <c r="E67" i="35"/>
  <c r="E68" i="35"/>
  <c r="D10" i="35"/>
  <c r="D11" i="35"/>
  <c r="D12" i="35"/>
  <c r="D14" i="35"/>
  <c r="D15" i="35"/>
  <c r="D16" i="35"/>
  <c r="C19" i="35"/>
  <c r="C20" i="35"/>
  <c r="C21" i="35"/>
  <c r="C23" i="35"/>
  <c r="C24" i="35"/>
  <c r="C25" i="35"/>
  <c r="C26" i="35"/>
  <c r="C28" i="35"/>
  <c r="C29" i="35"/>
  <c r="C31" i="35"/>
  <c r="C32" i="35"/>
  <c r="C36" i="35"/>
  <c r="C37" i="35"/>
  <c r="C38" i="35"/>
  <c r="C39" i="35"/>
  <c r="C40" i="35"/>
  <c r="C41" i="35"/>
  <c r="C43" i="35"/>
  <c r="C44" i="35"/>
  <c r="C46" i="35"/>
  <c r="C47" i="35"/>
  <c r="C48" i="35"/>
  <c r="C50" i="35"/>
  <c r="C51" i="35"/>
  <c r="C52" i="35"/>
  <c r="C54" i="35"/>
  <c r="C55" i="35"/>
  <c r="C56" i="35"/>
  <c r="C57" i="35"/>
  <c r="C59" i="35"/>
  <c r="C60" i="35"/>
  <c r="C61" i="35"/>
  <c r="C62" i="35"/>
  <c r="A22" i="35"/>
  <c r="A27" i="35"/>
  <c r="A30" i="35"/>
  <c r="A33" i="35"/>
  <c r="A35" i="35"/>
  <c r="A42" i="35"/>
  <c r="A45" i="35"/>
  <c r="A49" i="35"/>
  <c r="A53" i="35"/>
  <c r="A58" i="35"/>
  <c r="A63" i="35"/>
  <c r="B68" i="35"/>
  <c r="B67" i="35"/>
  <c r="B66" i="35"/>
  <c r="B65" i="35"/>
  <c r="B64" i="35"/>
  <c r="B63" i="35"/>
  <c r="B62" i="35"/>
  <c r="B61" i="35"/>
  <c r="B60" i="35"/>
  <c r="B59" i="35"/>
  <c r="G59" i="35" s="1"/>
  <c r="B58" i="35"/>
  <c r="B57" i="35"/>
  <c r="G57" i="35" s="1"/>
  <c r="B56" i="35"/>
  <c r="G56" i="35" s="1"/>
  <c r="B55" i="35"/>
  <c r="G55" i="35" s="1"/>
  <c r="B54" i="35"/>
  <c r="B53" i="35"/>
  <c r="B52" i="35"/>
  <c r="B51" i="35"/>
  <c r="B50" i="35"/>
  <c r="B49" i="35"/>
  <c r="B48" i="35"/>
  <c r="B47" i="35"/>
  <c r="B46" i="35"/>
  <c r="B45" i="35"/>
  <c r="B44" i="35"/>
  <c r="B43" i="35"/>
  <c r="B42" i="35"/>
  <c r="B41" i="35"/>
  <c r="B40" i="35"/>
  <c r="G40" i="35" s="1"/>
  <c r="B39" i="35"/>
  <c r="B38" i="35"/>
  <c r="B37" i="35"/>
  <c r="B36" i="35"/>
  <c r="G36" i="35" s="1"/>
  <c r="B35" i="35"/>
  <c r="B34" i="35"/>
  <c r="B33" i="35"/>
  <c r="B32" i="35"/>
  <c r="G32" i="35" s="1"/>
  <c r="B31" i="35"/>
  <c r="B30" i="35"/>
  <c r="B29" i="35"/>
  <c r="B28" i="35"/>
  <c r="B27" i="35"/>
  <c r="B26" i="35"/>
  <c r="B25" i="35"/>
  <c r="B24" i="35"/>
  <c r="G24" i="35" s="1"/>
  <c r="B23" i="35"/>
  <c r="B22" i="35"/>
  <c r="B21" i="35"/>
  <c r="B20" i="35"/>
  <c r="B19" i="35"/>
  <c r="F23" i="131"/>
  <c r="F28" i="131"/>
  <c r="F31" i="131"/>
  <c r="F34" i="131"/>
  <c r="F39" i="131"/>
  <c r="F42" i="131"/>
  <c r="F45" i="131"/>
  <c r="F46" i="131"/>
  <c r="F51" i="131"/>
  <c r="F52" i="131"/>
  <c r="F53" i="131"/>
  <c r="F54" i="131"/>
  <c r="F55" i="131"/>
  <c r="D21" i="131"/>
  <c r="D22" i="131"/>
  <c r="D24" i="131"/>
  <c r="D25" i="131"/>
  <c r="D26" i="131"/>
  <c r="D27" i="131"/>
  <c r="D29" i="131"/>
  <c r="D30" i="131"/>
  <c r="D32" i="131"/>
  <c r="D33" i="131"/>
  <c r="D35" i="131"/>
  <c r="D36" i="131"/>
  <c r="D37" i="131"/>
  <c r="D38" i="131"/>
  <c r="D40" i="131"/>
  <c r="D41" i="131"/>
  <c r="D43" i="131"/>
  <c r="D44" i="131"/>
  <c r="D45" i="131"/>
  <c r="D46" i="131"/>
  <c r="D47" i="131"/>
  <c r="D48" i="131"/>
  <c r="D49" i="131"/>
  <c r="D20" i="131"/>
  <c r="C21" i="131"/>
  <c r="C22" i="131"/>
  <c r="C24" i="131"/>
  <c r="C25" i="131"/>
  <c r="C26" i="131"/>
  <c r="C27" i="131"/>
  <c r="C29" i="131"/>
  <c r="C30" i="131"/>
  <c r="C32" i="131"/>
  <c r="C33" i="131"/>
  <c r="C35" i="131"/>
  <c r="C36" i="131"/>
  <c r="C37" i="131"/>
  <c r="C38" i="131"/>
  <c r="C40" i="131"/>
  <c r="C41" i="131"/>
  <c r="C43" i="131"/>
  <c r="C44" i="131"/>
  <c r="C45" i="131"/>
  <c r="C47" i="131"/>
  <c r="C48" i="131"/>
  <c r="C49" i="131"/>
  <c r="A23" i="131"/>
  <c r="A28" i="131"/>
  <c r="A31" i="131"/>
  <c r="A34" i="131"/>
  <c r="A39" i="131"/>
  <c r="A42" i="131"/>
  <c r="A45" i="131"/>
  <c r="A46" i="131"/>
  <c r="A50" i="131"/>
  <c r="B55" i="131"/>
  <c r="B54" i="131"/>
  <c r="B53" i="131"/>
  <c r="B52" i="131"/>
  <c r="B51" i="131"/>
  <c r="B50" i="131"/>
  <c r="B49" i="131"/>
  <c r="B48" i="131"/>
  <c r="B47" i="131"/>
  <c r="B46" i="131"/>
  <c r="B45" i="131"/>
  <c r="B44" i="131"/>
  <c r="B43" i="131"/>
  <c r="B42" i="131"/>
  <c r="B41" i="131"/>
  <c r="B40" i="131"/>
  <c r="B39" i="131"/>
  <c r="B38" i="131"/>
  <c r="B37" i="131"/>
  <c r="B36" i="131"/>
  <c r="B35" i="131"/>
  <c r="B34" i="131"/>
  <c r="B33" i="131"/>
  <c r="B32" i="131"/>
  <c r="B31" i="131"/>
  <c r="B30" i="131"/>
  <c r="B29" i="131"/>
  <c r="B28" i="131"/>
  <c r="B27" i="131"/>
  <c r="B26" i="131"/>
  <c r="B25" i="131"/>
  <c r="B24" i="131"/>
  <c r="B23" i="131"/>
  <c r="B22" i="131"/>
  <c r="B21" i="131"/>
  <c r="B20" i="131"/>
  <c r="D21" i="69"/>
  <c r="D22" i="69"/>
  <c r="D24" i="69"/>
  <c r="D25" i="69"/>
  <c r="D26" i="69"/>
  <c r="D27" i="69"/>
  <c r="D29" i="69"/>
  <c r="D30" i="69"/>
  <c r="D32" i="69"/>
  <c r="D33" i="69"/>
  <c r="D35" i="69"/>
  <c r="D36" i="69"/>
  <c r="D37" i="69"/>
  <c r="D38" i="69"/>
  <c r="D40" i="69"/>
  <c r="D41" i="69"/>
  <c r="D43" i="69"/>
  <c r="D44" i="69"/>
  <c r="D45" i="69"/>
  <c r="D47" i="69"/>
  <c r="D48" i="69"/>
  <c r="D49" i="69"/>
  <c r="D50" i="69"/>
  <c r="D51" i="69"/>
  <c r="D52" i="69"/>
  <c r="D53" i="69"/>
  <c r="D54" i="69"/>
  <c r="D55" i="69"/>
  <c r="A23" i="129"/>
  <c r="A28" i="129"/>
  <c r="A31" i="129"/>
  <c r="A34" i="129"/>
  <c r="A39" i="129"/>
  <c r="A42" i="129"/>
  <c r="A45" i="129"/>
  <c r="A46" i="129"/>
  <c r="A50" i="129"/>
  <c r="D9" i="129"/>
  <c r="D10" i="129"/>
  <c r="D11" i="129"/>
  <c r="D12" i="129"/>
  <c r="D13" i="129"/>
  <c r="D14" i="129"/>
  <c r="D15" i="129"/>
  <c r="D16" i="129"/>
  <c r="D17" i="129"/>
  <c r="F9" i="129"/>
  <c r="F13" i="129"/>
  <c r="F23" i="129"/>
  <c r="F28" i="129"/>
  <c r="F31" i="129"/>
  <c r="F34" i="129"/>
  <c r="F39" i="129"/>
  <c r="F42" i="129"/>
  <c r="F45" i="129"/>
  <c r="F46" i="129"/>
  <c r="F51" i="129"/>
  <c r="F52" i="129"/>
  <c r="F53" i="129"/>
  <c r="F54" i="129"/>
  <c r="F55" i="129"/>
  <c r="D21" i="129"/>
  <c r="D22" i="129"/>
  <c r="D24" i="129"/>
  <c r="D25" i="129"/>
  <c r="D26" i="129"/>
  <c r="D27" i="129"/>
  <c r="D29" i="129"/>
  <c r="D30" i="129"/>
  <c r="D32" i="129"/>
  <c r="D33" i="129"/>
  <c r="D35" i="129"/>
  <c r="D36" i="129"/>
  <c r="D37" i="129"/>
  <c r="D38" i="129"/>
  <c r="D40" i="129"/>
  <c r="D41" i="129"/>
  <c r="D43" i="129"/>
  <c r="D44" i="129"/>
  <c r="D46" i="129"/>
  <c r="D47" i="129"/>
  <c r="D48" i="129"/>
  <c r="D49" i="129"/>
  <c r="C21" i="129"/>
  <c r="C22" i="129"/>
  <c r="C24" i="129"/>
  <c r="C25" i="129"/>
  <c r="C26" i="129"/>
  <c r="C27" i="129"/>
  <c r="C29" i="129"/>
  <c r="C30" i="129"/>
  <c r="C32" i="129"/>
  <c r="C33" i="129"/>
  <c r="C35" i="129"/>
  <c r="C36" i="129"/>
  <c r="C37" i="129"/>
  <c r="C38" i="129"/>
  <c r="C40" i="129"/>
  <c r="C41" i="129"/>
  <c r="C43" i="129"/>
  <c r="C44" i="129"/>
  <c r="C45" i="129"/>
  <c r="C47" i="129"/>
  <c r="C48" i="129"/>
  <c r="C49" i="129"/>
  <c r="B55" i="129"/>
  <c r="B54" i="129"/>
  <c r="B53" i="129"/>
  <c r="B52" i="129"/>
  <c r="B51" i="129"/>
  <c r="B50" i="129"/>
  <c r="B49" i="129"/>
  <c r="B48" i="129"/>
  <c r="B47" i="129"/>
  <c r="B46" i="129"/>
  <c r="B45" i="129"/>
  <c r="B44" i="129"/>
  <c r="B43" i="129"/>
  <c r="B42" i="129"/>
  <c r="B41" i="129"/>
  <c r="B40" i="129"/>
  <c r="B39" i="129"/>
  <c r="B38" i="129"/>
  <c r="B37" i="129"/>
  <c r="B36" i="129"/>
  <c r="B35" i="129"/>
  <c r="B34" i="129"/>
  <c r="B33" i="129"/>
  <c r="B32" i="129"/>
  <c r="B31" i="129"/>
  <c r="B30" i="129"/>
  <c r="B29" i="129"/>
  <c r="B28" i="129"/>
  <c r="B27" i="129"/>
  <c r="B26" i="129"/>
  <c r="B25" i="129"/>
  <c r="B24" i="129"/>
  <c r="B23" i="129"/>
  <c r="B22" i="129"/>
  <c r="B21" i="129"/>
  <c r="B20" i="129"/>
  <c r="F23" i="128"/>
  <c r="F28" i="128"/>
  <c r="F31" i="128"/>
  <c r="F34" i="128"/>
  <c r="F39" i="128"/>
  <c r="F42" i="128"/>
  <c r="F45" i="128"/>
  <c r="F46" i="128"/>
  <c r="F51" i="128"/>
  <c r="F52" i="128"/>
  <c r="F53" i="128"/>
  <c r="F54" i="128"/>
  <c r="F55" i="128"/>
  <c r="D21" i="128"/>
  <c r="D22" i="128"/>
  <c r="D24" i="128"/>
  <c r="D25" i="128"/>
  <c r="D26" i="128"/>
  <c r="D27" i="128"/>
  <c r="D29" i="128"/>
  <c r="D30" i="128"/>
  <c r="D32" i="128"/>
  <c r="D33" i="128"/>
  <c r="D35" i="128"/>
  <c r="D36" i="128"/>
  <c r="D37" i="128"/>
  <c r="D38" i="128"/>
  <c r="D40" i="128"/>
  <c r="D41" i="128"/>
  <c r="D43" i="128"/>
  <c r="D44" i="128"/>
  <c r="D46" i="128"/>
  <c r="D47" i="128"/>
  <c r="D48" i="128"/>
  <c r="D49" i="128"/>
  <c r="C21" i="128"/>
  <c r="C22" i="128"/>
  <c r="C24" i="128"/>
  <c r="C25" i="128"/>
  <c r="C26" i="128"/>
  <c r="C27" i="128"/>
  <c r="C29" i="128"/>
  <c r="C30" i="128"/>
  <c r="C32" i="128"/>
  <c r="C33" i="128"/>
  <c r="C35" i="128"/>
  <c r="C36" i="128"/>
  <c r="C37" i="128"/>
  <c r="C38" i="128"/>
  <c r="C40" i="128"/>
  <c r="C41" i="128"/>
  <c r="C43" i="128"/>
  <c r="C44" i="128"/>
  <c r="C45" i="128"/>
  <c r="C47" i="128"/>
  <c r="C48" i="128"/>
  <c r="C49" i="128"/>
  <c r="A23" i="128"/>
  <c r="A28" i="128"/>
  <c r="A31" i="128"/>
  <c r="A34" i="128"/>
  <c r="A39" i="128"/>
  <c r="A42" i="128"/>
  <c r="A45" i="128"/>
  <c r="A46" i="128"/>
  <c r="A50" i="128"/>
  <c r="B55" i="128"/>
  <c r="B54" i="128"/>
  <c r="B53" i="128"/>
  <c r="B52" i="128"/>
  <c r="B51" i="128"/>
  <c r="B50" i="128"/>
  <c r="B49" i="128"/>
  <c r="B48" i="128"/>
  <c r="B47" i="128"/>
  <c r="B46" i="128"/>
  <c r="B45" i="128"/>
  <c r="B44" i="128"/>
  <c r="B43" i="128"/>
  <c r="B42" i="128"/>
  <c r="B41" i="128"/>
  <c r="B40" i="128"/>
  <c r="B39" i="128"/>
  <c r="B38" i="128"/>
  <c r="B37" i="128"/>
  <c r="B36" i="128"/>
  <c r="B35" i="128"/>
  <c r="B34" i="128"/>
  <c r="B33" i="128"/>
  <c r="B32" i="128"/>
  <c r="B31" i="128"/>
  <c r="B30" i="128"/>
  <c r="B29" i="128"/>
  <c r="B28" i="128"/>
  <c r="B27" i="128"/>
  <c r="B26" i="128"/>
  <c r="B25" i="128"/>
  <c r="B24" i="128"/>
  <c r="B23" i="128"/>
  <c r="B22" i="128"/>
  <c r="B21" i="128"/>
  <c r="B20" i="128"/>
  <c r="D10" i="128"/>
  <c r="D11" i="128"/>
  <c r="D12" i="128"/>
  <c r="D14" i="128"/>
  <c r="D15" i="128"/>
  <c r="D16" i="128"/>
  <c r="D17" i="128"/>
  <c r="F9" i="128"/>
  <c r="F13" i="128"/>
  <c r="F23" i="127"/>
  <c r="F28" i="127"/>
  <c r="F31" i="127"/>
  <c r="F34" i="127"/>
  <c r="F39" i="127"/>
  <c r="F42" i="127"/>
  <c r="F45" i="127"/>
  <c r="F46" i="127"/>
  <c r="F51" i="127"/>
  <c r="F52" i="127"/>
  <c r="F53" i="127"/>
  <c r="F54" i="127"/>
  <c r="F55" i="127"/>
  <c r="F9" i="127"/>
  <c r="F13" i="127"/>
  <c r="D21" i="127"/>
  <c r="D22" i="127"/>
  <c r="D24" i="127"/>
  <c r="D25" i="127"/>
  <c r="D26" i="127"/>
  <c r="D27" i="127"/>
  <c r="D29" i="127"/>
  <c r="D30" i="127"/>
  <c r="D32" i="127"/>
  <c r="D33" i="127"/>
  <c r="D35" i="127"/>
  <c r="D36" i="127"/>
  <c r="D37" i="127"/>
  <c r="D38" i="127"/>
  <c r="D40" i="127"/>
  <c r="D41" i="127"/>
  <c r="D43" i="127"/>
  <c r="D44" i="127"/>
  <c r="D46" i="127"/>
  <c r="D47" i="127"/>
  <c r="D48" i="127"/>
  <c r="D49" i="127"/>
  <c r="C21" i="127"/>
  <c r="C22" i="127"/>
  <c r="C24" i="127"/>
  <c r="C25" i="127"/>
  <c r="C26" i="127"/>
  <c r="C27" i="127"/>
  <c r="C29" i="127"/>
  <c r="C30" i="127"/>
  <c r="C32" i="127"/>
  <c r="C33" i="127"/>
  <c r="C35" i="127"/>
  <c r="C36" i="127"/>
  <c r="C37" i="127"/>
  <c r="C38" i="127"/>
  <c r="C40" i="127"/>
  <c r="C41" i="127"/>
  <c r="C43" i="127"/>
  <c r="C44" i="127"/>
  <c r="C45" i="127"/>
  <c r="C47" i="127"/>
  <c r="C48" i="127"/>
  <c r="C49" i="127"/>
  <c r="A23" i="127"/>
  <c r="A28" i="127"/>
  <c r="A31" i="127"/>
  <c r="A34" i="127"/>
  <c r="A39" i="127"/>
  <c r="A42" i="127"/>
  <c r="A45" i="127"/>
  <c r="A46" i="127"/>
  <c r="A50" i="127"/>
  <c r="B55" i="127"/>
  <c r="B54" i="127"/>
  <c r="B53" i="127"/>
  <c r="B52" i="127"/>
  <c r="B51" i="127"/>
  <c r="B50" i="127"/>
  <c r="B49" i="127"/>
  <c r="B48" i="127"/>
  <c r="B47" i="127"/>
  <c r="B46" i="127"/>
  <c r="B45" i="127"/>
  <c r="B44" i="127"/>
  <c r="B43" i="127"/>
  <c r="B42" i="127"/>
  <c r="B41" i="127"/>
  <c r="B40" i="127"/>
  <c r="B39" i="127"/>
  <c r="B37" i="127"/>
  <c r="B36" i="127"/>
  <c r="B35" i="127"/>
  <c r="B34" i="127"/>
  <c r="B33" i="127"/>
  <c r="B32" i="127"/>
  <c r="B31" i="127"/>
  <c r="B30" i="127"/>
  <c r="B29" i="127"/>
  <c r="B28" i="127"/>
  <c r="B27" i="127"/>
  <c r="B26" i="127"/>
  <c r="B25" i="127"/>
  <c r="B24" i="127"/>
  <c r="B23" i="127"/>
  <c r="B22" i="127"/>
  <c r="B21" i="127"/>
  <c r="B20" i="127"/>
  <c r="D10" i="127"/>
  <c r="D11" i="127"/>
  <c r="D12" i="127"/>
  <c r="D14" i="127"/>
  <c r="D15" i="127"/>
  <c r="D16" i="127"/>
  <c r="D17" i="127"/>
  <c r="F23" i="69"/>
  <c r="F28" i="69"/>
  <c r="F31" i="69"/>
  <c r="F34" i="69"/>
  <c r="F39" i="69"/>
  <c r="F42" i="69"/>
  <c r="F45" i="69"/>
  <c r="F46" i="69"/>
  <c r="F51" i="69"/>
  <c r="F52" i="69"/>
  <c r="F53" i="69"/>
  <c r="F54" i="69"/>
  <c r="F55" i="69"/>
  <c r="C21" i="69"/>
  <c r="C22" i="69"/>
  <c r="C24" i="69"/>
  <c r="C25" i="69"/>
  <c r="C26" i="69"/>
  <c r="C27" i="69"/>
  <c r="C29" i="69"/>
  <c r="C30" i="69"/>
  <c r="C32" i="69"/>
  <c r="C33" i="69"/>
  <c r="C35" i="69"/>
  <c r="C36" i="69"/>
  <c r="C37" i="69"/>
  <c r="C38" i="69"/>
  <c r="C40" i="69"/>
  <c r="C41" i="69"/>
  <c r="C43" i="69"/>
  <c r="C44" i="69"/>
  <c r="C45" i="69"/>
  <c r="C47" i="69"/>
  <c r="C48" i="69"/>
  <c r="C49" i="69"/>
  <c r="C10" i="69"/>
  <c r="C11" i="69"/>
  <c r="C12" i="69"/>
  <c r="C14" i="69"/>
  <c r="C15" i="69"/>
  <c r="C16" i="69"/>
  <c r="C17" i="69"/>
  <c r="D20" i="69"/>
  <c r="A31" i="69"/>
  <c r="A34" i="69"/>
  <c r="A39" i="69"/>
  <c r="A42" i="69"/>
  <c r="A45" i="69"/>
  <c r="A46" i="69"/>
  <c r="A50" i="69"/>
  <c r="A23" i="69"/>
  <c r="A28" i="69"/>
  <c r="B55" i="69"/>
  <c r="B54" i="69"/>
  <c r="B53" i="69"/>
  <c r="B52" i="69"/>
  <c r="B51" i="69"/>
  <c r="B50" i="69"/>
  <c r="B49" i="69"/>
  <c r="B48" i="69"/>
  <c r="B47" i="69"/>
  <c r="B46" i="69"/>
  <c r="B45" i="69"/>
  <c r="B44" i="69"/>
  <c r="B43" i="69"/>
  <c r="B42" i="69"/>
  <c r="B41" i="69"/>
  <c r="B40" i="69"/>
  <c r="B39" i="69"/>
  <c r="B38" i="69"/>
  <c r="B37" i="69"/>
  <c r="B36" i="69"/>
  <c r="B35" i="69"/>
  <c r="B34" i="69"/>
  <c r="B33" i="69"/>
  <c r="B32" i="69"/>
  <c r="B31" i="69"/>
  <c r="B30" i="69"/>
  <c r="B29" i="69"/>
  <c r="B28" i="69"/>
  <c r="B27" i="69"/>
  <c r="B26" i="69"/>
  <c r="B25" i="69"/>
  <c r="B24" i="69"/>
  <c r="B23" i="69"/>
  <c r="B22" i="69"/>
  <c r="B21" i="69"/>
  <c r="B20" i="69"/>
  <c r="D58" i="73"/>
  <c r="G10" i="73"/>
  <c r="BY26" i="138" l="1"/>
  <c r="BA39" i="21"/>
  <c r="BC39" i="21" s="1"/>
  <c r="BD39" i="21" s="1"/>
  <c r="G21" i="35"/>
  <c r="G44" i="35"/>
  <c r="I44" i="35" s="1"/>
  <c r="BA23" i="21"/>
  <c r="AP23" i="21"/>
  <c r="AP39" i="21"/>
  <c r="T39" i="21"/>
  <c r="V39" i="21" s="1"/>
  <c r="W39" i="21" s="1"/>
  <c r="I36" i="21"/>
  <c r="I50" i="21"/>
  <c r="T50" i="21"/>
  <c r="AE36" i="21"/>
  <c r="T26" i="21"/>
  <c r="AE49" i="21"/>
  <c r="I33" i="21"/>
  <c r="AE26" i="21"/>
  <c r="AE50" i="21"/>
  <c r="T36" i="21"/>
  <c r="I26" i="21"/>
  <c r="I49" i="21"/>
  <c r="I34" i="21"/>
  <c r="AE39" i="21"/>
  <c r="AG39" i="21" s="1"/>
  <c r="AH39" i="21" s="1"/>
  <c r="I39" i="21"/>
  <c r="T49" i="21"/>
  <c r="G34" i="35"/>
  <c r="BY27" i="138" l="1"/>
  <c r="AS367" i="83"/>
  <c r="T62" i="36" s="1"/>
  <c r="AR367" i="83"/>
  <c r="S62" i="36" s="1"/>
  <c r="AQ367" i="83"/>
  <c r="R62" i="36" s="1"/>
  <c r="AP367" i="83"/>
  <c r="Q62" i="36" s="1"/>
  <c r="AO367" i="83"/>
  <c r="P62" i="36" s="1"/>
  <c r="AN367" i="83"/>
  <c r="O62" i="36" s="1"/>
  <c r="AM367" i="83"/>
  <c r="N62" i="36" s="1"/>
  <c r="AL367" i="83"/>
  <c r="M62" i="36" s="1"/>
  <c r="AK367" i="83"/>
  <c r="L62" i="36" s="1"/>
  <c r="AJ367" i="83"/>
  <c r="K62" i="36" s="1"/>
  <c r="AI367" i="83"/>
  <c r="J62" i="36" s="1"/>
  <c r="AH367" i="83"/>
  <c r="I62" i="36" s="1"/>
  <c r="AS366" i="83"/>
  <c r="T61" i="36" s="1"/>
  <c r="AR366" i="83"/>
  <c r="S61" i="36" s="1"/>
  <c r="AQ366" i="83"/>
  <c r="R61" i="36" s="1"/>
  <c r="AP366" i="83"/>
  <c r="Q61" i="36" s="1"/>
  <c r="AO366" i="83"/>
  <c r="P61" i="36" s="1"/>
  <c r="AN366" i="83"/>
  <c r="O61" i="36" s="1"/>
  <c r="AM366" i="83"/>
  <c r="N61" i="36" s="1"/>
  <c r="AL366" i="83"/>
  <c r="M61" i="36" s="1"/>
  <c r="AK366" i="83"/>
  <c r="L61" i="36" s="1"/>
  <c r="AJ366" i="83"/>
  <c r="K61" i="36" s="1"/>
  <c r="AI366" i="83"/>
  <c r="J61" i="36" s="1"/>
  <c r="AH366" i="83"/>
  <c r="I61" i="36" s="1"/>
  <c r="AS365" i="83"/>
  <c r="T60" i="36" s="1"/>
  <c r="AR365" i="83"/>
  <c r="S60" i="36" s="1"/>
  <c r="AQ365" i="83"/>
  <c r="R60" i="36" s="1"/>
  <c r="AP365" i="83"/>
  <c r="Q60" i="36" s="1"/>
  <c r="AO365" i="83"/>
  <c r="P60" i="36" s="1"/>
  <c r="AN365" i="83"/>
  <c r="O60" i="36" s="1"/>
  <c r="AM365" i="83"/>
  <c r="N60" i="36" s="1"/>
  <c r="AL365" i="83"/>
  <c r="M60" i="36" s="1"/>
  <c r="AK365" i="83"/>
  <c r="L60" i="36" s="1"/>
  <c r="AJ365" i="83"/>
  <c r="K60" i="36" s="1"/>
  <c r="AI365" i="83"/>
  <c r="J60" i="36" s="1"/>
  <c r="AH365" i="83"/>
  <c r="I60" i="36" s="1"/>
  <c r="AS359" i="83"/>
  <c r="T57" i="36" s="1"/>
  <c r="AR359" i="83"/>
  <c r="S57" i="36" s="1"/>
  <c r="AQ359" i="83"/>
  <c r="R57" i="36" s="1"/>
  <c r="AP359" i="83"/>
  <c r="Q57" i="36" s="1"/>
  <c r="AO359" i="83"/>
  <c r="P57" i="36" s="1"/>
  <c r="AN359" i="83"/>
  <c r="O57" i="36" s="1"/>
  <c r="AM359" i="83"/>
  <c r="N57" i="36" s="1"/>
  <c r="AL359" i="83"/>
  <c r="M57" i="36" s="1"/>
  <c r="AK359" i="83"/>
  <c r="L57" i="36" s="1"/>
  <c r="AJ359" i="83"/>
  <c r="K57" i="36" s="1"/>
  <c r="AI359" i="83"/>
  <c r="J57" i="36" s="1"/>
  <c r="AH359" i="83"/>
  <c r="AF356" i="83"/>
  <c r="Q356" i="83"/>
  <c r="AS346" i="83"/>
  <c r="T55" i="36" s="1"/>
  <c r="AR346" i="83"/>
  <c r="S55" i="36" s="1"/>
  <c r="AQ346" i="83"/>
  <c r="R55" i="36" s="1"/>
  <c r="AP346" i="83"/>
  <c r="Q55" i="36" s="1"/>
  <c r="AO346" i="83"/>
  <c r="P55" i="36" s="1"/>
  <c r="AN346" i="83"/>
  <c r="O55" i="36" s="1"/>
  <c r="AM346" i="83"/>
  <c r="N55" i="36" s="1"/>
  <c r="AL346" i="83"/>
  <c r="M55" i="36" s="1"/>
  <c r="AK346" i="83"/>
  <c r="L55" i="36" s="1"/>
  <c r="AJ346" i="83"/>
  <c r="K55" i="36" s="1"/>
  <c r="AI346" i="83"/>
  <c r="J55" i="36" s="1"/>
  <c r="AH346" i="83"/>
  <c r="I55" i="36" s="1"/>
  <c r="AF346" i="83"/>
  <c r="Q346" i="83"/>
  <c r="AF343" i="83"/>
  <c r="Q343" i="83"/>
  <c r="AS333" i="83"/>
  <c r="T52" i="36" s="1"/>
  <c r="AR333" i="83"/>
  <c r="S52" i="36" s="1"/>
  <c r="AQ333" i="83"/>
  <c r="R52" i="36" s="1"/>
  <c r="AP333" i="83"/>
  <c r="Q52" i="36" s="1"/>
  <c r="AO333" i="83"/>
  <c r="P52" i="36" s="1"/>
  <c r="AN333" i="83"/>
  <c r="O52" i="36" s="1"/>
  <c r="AM333" i="83"/>
  <c r="N52" i="36" s="1"/>
  <c r="AL333" i="83"/>
  <c r="M52" i="36" s="1"/>
  <c r="AK333" i="83"/>
  <c r="L52" i="36" s="1"/>
  <c r="AJ333" i="83"/>
  <c r="K52" i="36" s="1"/>
  <c r="AI333" i="83"/>
  <c r="J52" i="36" s="1"/>
  <c r="AH333" i="83"/>
  <c r="I52" i="36" s="1"/>
  <c r="AG333" i="83"/>
  <c r="R333" i="83"/>
  <c r="AS332" i="83"/>
  <c r="T51" i="36" s="1"/>
  <c r="AR332" i="83"/>
  <c r="S51" i="36" s="1"/>
  <c r="AQ332" i="83"/>
  <c r="R51" i="36" s="1"/>
  <c r="AP332" i="83"/>
  <c r="Q51" i="36" s="1"/>
  <c r="AO332" i="83"/>
  <c r="P51" i="36" s="1"/>
  <c r="AN332" i="83"/>
  <c r="O51" i="36" s="1"/>
  <c r="AM332" i="83"/>
  <c r="N51" i="36" s="1"/>
  <c r="AL332" i="83"/>
  <c r="M51" i="36" s="1"/>
  <c r="AK332" i="83"/>
  <c r="L51" i="36" s="1"/>
  <c r="AJ332" i="83"/>
  <c r="K51" i="36" s="1"/>
  <c r="AI332" i="83"/>
  <c r="J51" i="36" s="1"/>
  <c r="AH332" i="83"/>
  <c r="I51" i="36" s="1"/>
  <c r="AG332" i="83"/>
  <c r="R332" i="83"/>
  <c r="AD229" i="83"/>
  <c r="AC229" i="83"/>
  <c r="AB229" i="83"/>
  <c r="AA229" i="83"/>
  <c r="Z229" i="83"/>
  <c r="Y229" i="83"/>
  <c r="X229" i="83"/>
  <c r="W229" i="83"/>
  <c r="V229" i="83"/>
  <c r="U229" i="83"/>
  <c r="T229" i="83"/>
  <c r="S229" i="83"/>
  <c r="AS228" i="83"/>
  <c r="T41" i="131" s="1"/>
  <c r="AR228" i="83"/>
  <c r="S41" i="131" s="1"/>
  <c r="AQ228" i="83"/>
  <c r="R41" i="131" s="1"/>
  <c r="AP228" i="83"/>
  <c r="Q41" i="131" s="1"/>
  <c r="AH228" i="83"/>
  <c r="I41" i="131" s="1"/>
  <c r="AS227" i="83"/>
  <c r="T41" i="129" s="1"/>
  <c r="AR227" i="83"/>
  <c r="S41" i="129" s="1"/>
  <c r="AQ227" i="83"/>
  <c r="R41" i="129" s="1"/>
  <c r="AP227" i="83"/>
  <c r="Q41" i="129" s="1"/>
  <c r="AH227" i="83"/>
  <c r="I41" i="129" s="1"/>
  <c r="AS226" i="83"/>
  <c r="T41" i="128" s="1"/>
  <c r="AR226" i="83"/>
  <c r="S41" i="128" s="1"/>
  <c r="AQ226" i="83"/>
  <c r="R41" i="128" s="1"/>
  <c r="AP226" i="83"/>
  <c r="Q41" i="128" s="1"/>
  <c r="AH226" i="83"/>
  <c r="I41" i="128" s="1"/>
  <c r="AS225" i="83"/>
  <c r="T41" i="127" s="1"/>
  <c r="AR225" i="83"/>
  <c r="S41" i="127" s="1"/>
  <c r="AQ225" i="83"/>
  <c r="R41" i="127" s="1"/>
  <c r="AP225" i="83"/>
  <c r="Q41" i="127" s="1"/>
  <c r="AH225" i="83"/>
  <c r="I41" i="127" s="1"/>
  <c r="AS224" i="83"/>
  <c r="T41" i="69" s="1"/>
  <c r="AR224" i="83"/>
  <c r="S41" i="69" s="1"/>
  <c r="AQ224" i="83"/>
  <c r="R41" i="69" s="1"/>
  <c r="AP224" i="83"/>
  <c r="Q41" i="69" s="1"/>
  <c r="AH224" i="83"/>
  <c r="AF224" i="83"/>
  <c r="Q224" i="83"/>
  <c r="AD223" i="83"/>
  <c r="AC223" i="83"/>
  <c r="AB223" i="83"/>
  <c r="AA223" i="83"/>
  <c r="Z223" i="83"/>
  <c r="Y223" i="83"/>
  <c r="X223" i="83"/>
  <c r="W223" i="83"/>
  <c r="V223" i="83"/>
  <c r="U223" i="83"/>
  <c r="T223" i="83"/>
  <c r="S223" i="83"/>
  <c r="AS222" i="83"/>
  <c r="T40" i="131" s="1"/>
  <c r="AR222" i="83"/>
  <c r="S40" i="131" s="1"/>
  <c r="AQ222" i="83"/>
  <c r="R40" i="131" s="1"/>
  <c r="AP222" i="83"/>
  <c r="Q40" i="131" s="1"/>
  <c r="AH222" i="83"/>
  <c r="I40" i="131" s="1"/>
  <c r="AS221" i="83"/>
  <c r="T40" i="129" s="1"/>
  <c r="AR221" i="83"/>
  <c r="S40" i="129" s="1"/>
  <c r="AQ221" i="83"/>
  <c r="R40" i="129" s="1"/>
  <c r="AP221" i="83"/>
  <c r="Q40" i="129" s="1"/>
  <c r="AH221" i="83"/>
  <c r="I40" i="129" s="1"/>
  <c r="AS220" i="83"/>
  <c r="T40" i="128" s="1"/>
  <c r="AR220" i="83"/>
  <c r="S40" i="128" s="1"/>
  <c r="AQ220" i="83"/>
  <c r="R40" i="128" s="1"/>
  <c r="Q40" i="128"/>
  <c r="AH220" i="83"/>
  <c r="I40" i="128" s="1"/>
  <c r="AS219" i="83"/>
  <c r="T40" i="127" s="1"/>
  <c r="AR219" i="83"/>
  <c r="S40" i="127" s="1"/>
  <c r="AQ219" i="83"/>
  <c r="R40" i="127" s="1"/>
  <c r="AP219" i="83"/>
  <c r="Q40" i="127" s="1"/>
  <c r="AH219" i="83"/>
  <c r="AI219" i="83" s="1"/>
  <c r="J40" i="127" s="1"/>
  <c r="AS218" i="83"/>
  <c r="T40" i="69" s="1"/>
  <c r="AR218" i="83"/>
  <c r="S40" i="69" s="1"/>
  <c r="AQ218" i="83"/>
  <c r="R40" i="69" s="1"/>
  <c r="Q40" i="69"/>
  <c r="AH218" i="83"/>
  <c r="AF218" i="83"/>
  <c r="Q218" i="83"/>
  <c r="T34" i="36"/>
  <c r="S34" i="36"/>
  <c r="R34" i="36"/>
  <c r="Q34" i="36"/>
  <c r="P34" i="36"/>
  <c r="O34" i="36"/>
  <c r="N34" i="36"/>
  <c r="M34" i="36"/>
  <c r="L34" i="36"/>
  <c r="K34" i="36"/>
  <c r="J34" i="36"/>
  <c r="I34" i="36"/>
  <c r="AG189" i="83"/>
  <c r="AF189" i="83"/>
  <c r="R189" i="83"/>
  <c r="Q189" i="83"/>
  <c r="AF186" i="83"/>
  <c r="Q186" i="83"/>
  <c r="AG48" i="83"/>
  <c r="R48" i="83"/>
  <c r="AG47" i="83"/>
  <c r="R47" i="83"/>
  <c r="AG46" i="83"/>
  <c r="R46" i="83"/>
  <c r="AF126" i="83"/>
  <c r="T29" i="36"/>
  <c r="S29" i="36"/>
  <c r="R29" i="36"/>
  <c r="Q29" i="36"/>
  <c r="P29" i="36"/>
  <c r="O29" i="36"/>
  <c r="N29" i="36"/>
  <c r="M29" i="36"/>
  <c r="L29" i="36"/>
  <c r="K29" i="36"/>
  <c r="J29" i="36"/>
  <c r="I29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R97" i="83"/>
  <c r="AG97" i="83" s="1"/>
  <c r="Q97" i="83"/>
  <c r="AF97" i="83" s="1"/>
  <c r="AF94" i="83"/>
  <c r="Q94" i="83"/>
  <c r="AG45" i="83"/>
  <c r="R45" i="83"/>
  <c r="AG44" i="83"/>
  <c r="R44" i="83"/>
  <c r="AG43" i="83"/>
  <c r="R43" i="83"/>
  <c r="AG42" i="83"/>
  <c r="R42" i="83"/>
  <c r="AG41" i="83"/>
  <c r="R41" i="83"/>
  <c r="AG40" i="83"/>
  <c r="R40" i="83"/>
  <c r="AG39" i="83"/>
  <c r="R39" i="83"/>
  <c r="AG38" i="83"/>
  <c r="R38" i="83"/>
  <c r="AG37" i="83"/>
  <c r="R37" i="83"/>
  <c r="AG36" i="83"/>
  <c r="R36" i="83"/>
  <c r="AG35" i="83"/>
  <c r="R35" i="83"/>
  <c r="AG34" i="83"/>
  <c r="R34" i="83"/>
  <c r="AG33" i="83"/>
  <c r="R33" i="83"/>
  <c r="AG32" i="83"/>
  <c r="R32" i="83"/>
  <c r="AG31" i="83"/>
  <c r="R31" i="83"/>
  <c r="Q28" i="83"/>
  <c r="AF28" i="83" s="1"/>
  <c r="S24" i="83"/>
  <c r="AH21" i="83"/>
  <c r="I21" i="131" s="1"/>
  <c r="AH20" i="83"/>
  <c r="I20" i="131" s="1"/>
  <c r="AH18" i="83"/>
  <c r="I21" i="129" s="1"/>
  <c r="AH17" i="83"/>
  <c r="I20" i="129" s="1"/>
  <c r="AH15" i="83"/>
  <c r="I21" i="128" s="1"/>
  <c r="AH14" i="83"/>
  <c r="I20" i="128" s="1"/>
  <c r="AH12" i="83"/>
  <c r="I21" i="127" s="1"/>
  <c r="AH9" i="83"/>
  <c r="AH8" i="83"/>
  <c r="AF5" i="83"/>
  <c r="Q5" i="83"/>
  <c r="AD135" i="82"/>
  <c r="T16" i="36" s="1"/>
  <c r="AC135" i="82"/>
  <c r="S16" i="36" s="1"/>
  <c r="AB135" i="82"/>
  <c r="R16" i="36" s="1"/>
  <c r="AA135" i="82"/>
  <c r="Q16" i="36" s="1"/>
  <c r="Z135" i="82"/>
  <c r="P16" i="36" s="1"/>
  <c r="Y135" i="82"/>
  <c r="O16" i="36" s="1"/>
  <c r="X135" i="82"/>
  <c r="W135" i="82"/>
  <c r="V135" i="82"/>
  <c r="U135" i="82"/>
  <c r="T135" i="82"/>
  <c r="S135" i="82"/>
  <c r="AH130" i="82"/>
  <c r="AF127" i="82"/>
  <c r="Q127" i="82"/>
  <c r="AD124" i="82"/>
  <c r="AC124" i="82"/>
  <c r="AB124" i="82"/>
  <c r="AA124" i="82"/>
  <c r="Z124" i="82"/>
  <c r="Y124" i="82"/>
  <c r="X124" i="82"/>
  <c r="W124" i="82"/>
  <c r="V124" i="82"/>
  <c r="U124" i="82"/>
  <c r="T124" i="82"/>
  <c r="S124" i="82"/>
  <c r="AF111" i="82"/>
  <c r="Q111" i="82"/>
  <c r="U108" i="82"/>
  <c r="U107" i="82"/>
  <c r="U106" i="82"/>
  <c r="U105" i="82"/>
  <c r="U101" i="82"/>
  <c r="U97" i="82"/>
  <c r="U93" i="82"/>
  <c r="U89" i="82"/>
  <c r="U323" i="83"/>
  <c r="K49" i="58" s="1"/>
  <c r="I17" i="69" l="1"/>
  <c r="AH135" i="82"/>
  <c r="I16" i="36" s="1"/>
  <c r="AI125" i="82"/>
  <c r="J15" i="36" s="1"/>
  <c r="AH125" i="82"/>
  <c r="I15" i="36" s="1"/>
  <c r="AJ125" i="82"/>
  <c r="K15" i="36" s="1"/>
  <c r="AK125" i="82"/>
  <c r="L15" i="36" s="1"/>
  <c r="I21" i="69"/>
  <c r="AH24" i="83"/>
  <c r="I20" i="36" s="1"/>
  <c r="I20" i="69"/>
  <c r="AH23" i="83"/>
  <c r="I19" i="36" s="1"/>
  <c r="AI218" i="83"/>
  <c r="J40" i="69" s="1"/>
  <c r="I40" i="69"/>
  <c r="AI224" i="83"/>
  <c r="J41" i="69" s="1"/>
  <c r="I41" i="69"/>
  <c r="AJ219" i="83"/>
  <c r="I40" i="127"/>
  <c r="AL125" i="82"/>
  <c r="M15" i="36" s="1"/>
  <c r="AM125" i="82"/>
  <c r="N15" i="36" s="1"/>
  <c r="AN125" i="82"/>
  <c r="O15" i="36" s="1"/>
  <c r="AO125" i="82"/>
  <c r="P15" i="36" s="1"/>
  <c r="AP125" i="82"/>
  <c r="Q15" i="36" s="1"/>
  <c r="AQ125" i="82"/>
  <c r="R15" i="36" s="1"/>
  <c r="AR125" i="82"/>
  <c r="S15" i="36" s="1"/>
  <c r="AS125" i="82"/>
  <c r="T15" i="36" s="1"/>
  <c r="AI226" i="83"/>
  <c r="AI221" i="83"/>
  <c r="AI225" i="83"/>
  <c r="AI220" i="83"/>
  <c r="AI228" i="83"/>
  <c r="AI227" i="83"/>
  <c r="J41" i="129" s="1"/>
  <c r="AI222" i="83"/>
  <c r="AJ124" i="82"/>
  <c r="AK124" i="82"/>
  <c r="AL124" i="82"/>
  <c r="AM124" i="82"/>
  <c r="AN124" i="82"/>
  <c r="AI124" i="82"/>
  <c r="AO124" i="82"/>
  <c r="AP124" i="82"/>
  <c r="AQ124" i="82"/>
  <c r="AH124" i="82"/>
  <c r="AR124" i="82"/>
  <c r="AS124" i="82"/>
  <c r="K16" i="36"/>
  <c r="N16" i="36"/>
  <c r="AP229" i="83"/>
  <c r="Q41" i="36" s="1"/>
  <c r="AR229" i="83"/>
  <c r="S41" i="36" s="1"/>
  <c r="AQ229" i="83"/>
  <c r="R41" i="36" s="1"/>
  <c r="AS229" i="83"/>
  <c r="T41" i="36" s="1"/>
  <c r="AH229" i="83"/>
  <c r="I41" i="36" s="1"/>
  <c r="AP223" i="83"/>
  <c r="Q40" i="36" s="1"/>
  <c r="AQ223" i="83"/>
  <c r="R40" i="36" s="1"/>
  <c r="AR223" i="83"/>
  <c r="S40" i="36" s="1"/>
  <c r="AS223" i="83"/>
  <c r="T40" i="36" s="1"/>
  <c r="AH223" i="83"/>
  <c r="I40" i="36" s="1"/>
  <c r="Q126" i="83"/>
  <c r="J19" i="36"/>
  <c r="J16" i="36"/>
  <c r="L16" i="36"/>
  <c r="M16" i="36"/>
  <c r="U109" i="82"/>
  <c r="AJ224" i="83" l="1"/>
  <c r="K41" i="69" s="1"/>
  <c r="AJ218" i="83"/>
  <c r="K40" i="69" s="1"/>
  <c r="AJ221" i="83"/>
  <c r="J40" i="129"/>
  <c r="AJ226" i="83"/>
  <c r="J41" i="128"/>
  <c r="AJ225" i="83"/>
  <c r="J41" i="127"/>
  <c r="AJ228" i="83"/>
  <c r="J41" i="131"/>
  <c r="AJ220" i="83"/>
  <c r="J40" i="128"/>
  <c r="AK219" i="83"/>
  <c r="AL219" i="83" s="1"/>
  <c r="AM219" i="83" s="1"/>
  <c r="AN219" i="83" s="1"/>
  <c r="K40" i="127"/>
  <c r="AJ222" i="83"/>
  <c r="J40" i="131"/>
  <c r="AI229" i="83"/>
  <c r="J41" i="36" s="1"/>
  <c r="AJ227" i="83"/>
  <c r="AI223" i="83"/>
  <c r="J40" i="36" s="1"/>
  <c r="K20" i="36"/>
  <c r="K19" i="36"/>
  <c r="U78" i="82"/>
  <c r="U42" i="82"/>
  <c r="U77" i="82"/>
  <c r="U39" i="82"/>
  <c r="U76" i="82"/>
  <c r="U36" i="82"/>
  <c r="U75" i="82"/>
  <c r="U33" i="82"/>
  <c r="U74" i="82"/>
  <c r="U30" i="82"/>
  <c r="AH286" i="83"/>
  <c r="I48" i="69" s="1"/>
  <c r="T205" i="83"/>
  <c r="AK218" i="83" l="1"/>
  <c r="L40" i="69" s="1"/>
  <c r="AK224" i="83"/>
  <c r="L41" i="69" s="1"/>
  <c r="U79" i="82"/>
  <c r="O40" i="127"/>
  <c r="AO219" i="83"/>
  <c r="P40" i="127" s="1"/>
  <c r="K41" i="129"/>
  <c r="AK227" i="83"/>
  <c r="K40" i="129"/>
  <c r="AK221" i="83"/>
  <c r="N40" i="127"/>
  <c r="M40" i="127"/>
  <c r="L40" i="127"/>
  <c r="AK220" i="83"/>
  <c r="AL220" i="83" s="1"/>
  <c r="AM220" i="83" s="1"/>
  <c r="K40" i="128"/>
  <c r="AK228" i="83"/>
  <c r="K41" i="131"/>
  <c r="AJ229" i="83"/>
  <c r="K41" i="36" s="1"/>
  <c r="AK225" i="83"/>
  <c r="K41" i="127"/>
  <c r="AK226" i="83"/>
  <c r="K41" i="128"/>
  <c r="AJ223" i="83"/>
  <c r="K40" i="36" s="1"/>
  <c r="AK222" i="83"/>
  <c r="AL222" i="83" s="1"/>
  <c r="AM222" i="83" s="1"/>
  <c r="K40" i="131"/>
  <c r="J20" i="36"/>
  <c r="L19" i="36"/>
  <c r="L20" i="36"/>
  <c r="T78" i="82"/>
  <c r="T42" i="82"/>
  <c r="T77" i="82"/>
  <c r="T39" i="82"/>
  <c r="V45" i="82"/>
  <c r="T62" i="82"/>
  <c r="T76" i="82"/>
  <c r="T36" i="82"/>
  <c r="T75" i="82"/>
  <c r="T33" i="82"/>
  <c r="T74" i="82"/>
  <c r="T30" i="82"/>
  <c r="BY17" i="138" l="1"/>
  <c r="BY28" i="138"/>
  <c r="AL218" i="83"/>
  <c r="AM218" i="83" s="1"/>
  <c r="N40" i="69" s="1"/>
  <c r="AL224" i="83"/>
  <c r="AM224" i="83" s="1"/>
  <c r="AN224" i="83" s="1"/>
  <c r="AO224" i="83" s="1"/>
  <c r="T79" i="82"/>
  <c r="N40" i="128"/>
  <c r="AN220" i="83"/>
  <c r="N40" i="131"/>
  <c r="AN222" i="83"/>
  <c r="AL221" i="83"/>
  <c r="L40" i="129"/>
  <c r="L41" i="129"/>
  <c r="AL227" i="83"/>
  <c r="AK223" i="83"/>
  <c r="L40" i="36" s="1"/>
  <c r="AL228" i="83"/>
  <c r="L41" i="131"/>
  <c r="M40" i="128"/>
  <c r="L40" i="128"/>
  <c r="AL226" i="83"/>
  <c r="L41" i="128"/>
  <c r="AL225" i="83"/>
  <c r="L41" i="127"/>
  <c r="AK229" i="83"/>
  <c r="L41" i="36" s="1"/>
  <c r="M40" i="131"/>
  <c r="L40" i="131"/>
  <c r="M20" i="36"/>
  <c r="M19" i="36"/>
  <c r="S290" i="83"/>
  <c r="T290" i="83"/>
  <c r="U290" i="83"/>
  <c r="V290" i="83"/>
  <c r="W290" i="83"/>
  <c r="X290" i="83"/>
  <c r="Y290" i="83"/>
  <c r="Z290" i="83"/>
  <c r="AA290" i="83"/>
  <c r="AB290" i="83"/>
  <c r="AC290" i="83"/>
  <c r="AD290" i="83"/>
  <c r="T265" i="83"/>
  <c r="U265" i="83"/>
  <c r="V265" i="83"/>
  <c r="W265" i="83"/>
  <c r="X265" i="83"/>
  <c r="Y265" i="83"/>
  <c r="Z265" i="83"/>
  <c r="AA265" i="83"/>
  <c r="AB265" i="83"/>
  <c r="AC265" i="83"/>
  <c r="AD265" i="83"/>
  <c r="T268" i="83"/>
  <c r="U268" i="83"/>
  <c r="V268" i="83"/>
  <c r="W268" i="83"/>
  <c r="X268" i="83"/>
  <c r="Y268" i="83"/>
  <c r="Z268" i="83"/>
  <c r="AA268" i="83"/>
  <c r="AB268" i="83"/>
  <c r="AC268" i="83"/>
  <c r="AD268" i="83"/>
  <c r="T271" i="83"/>
  <c r="U271" i="83"/>
  <c r="V271" i="83"/>
  <c r="W271" i="83"/>
  <c r="X271" i="83"/>
  <c r="Y271" i="83"/>
  <c r="Z271" i="83"/>
  <c r="AA271" i="83"/>
  <c r="AB271" i="83"/>
  <c r="AC271" i="83"/>
  <c r="AD271" i="83"/>
  <c r="T274" i="83"/>
  <c r="U274" i="83"/>
  <c r="V274" i="83"/>
  <c r="W274" i="83"/>
  <c r="X274" i="83"/>
  <c r="Y274" i="83"/>
  <c r="Z274" i="83"/>
  <c r="AA274" i="83"/>
  <c r="AB274" i="83"/>
  <c r="AC274" i="83"/>
  <c r="AD274" i="83"/>
  <c r="S265" i="83"/>
  <c r="S268" i="83"/>
  <c r="S271" i="83"/>
  <c r="S274" i="83"/>
  <c r="S277" i="83"/>
  <c r="T277" i="83"/>
  <c r="U277" i="83"/>
  <c r="V277" i="83"/>
  <c r="W277" i="83"/>
  <c r="X277" i="83"/>
  <c r="Y277" i="83"/>
  <c r="Z277" i="83"/>
  <c r="AA277" i="83"/>
  <c r="AB277" i="83"/>
  <c r="AC277" i="83"/>
  <c r="AD277" i="83"/>
  <c r="S287" i="83"/>
  <c r="T287" i="83"/>
  <c r="U287" i="83"/>
  <c r="V287" i="83"/>
  <c r="W287" i="83"/>
  <c r="X287" i="83"/>
  <c r="Y287" i="83"/>
  <c r="Z287" i="83"/>
  <c r="AA287" i="83"/>
  <c r="AB287" i="83"/>
  <c r="AC287" i="83"/>
  <c r="AD287" i="83"/>
  <c r="S293" i="83"/>
  <c r="T293" i="83"/>
  <c r="U293" i="83"/>
  <c r="V293" i="83"/>
  <c r="W293" i="83"/>
  <c r="X293" i="83"/>
  <c r="Y293" i="83"/>
  <c r="Z293" i="83"/>
  <c r="AA293" i="83"/>
  <c r="AB293" i="83"/>
  <c r="AC293" i="83"/>
  <c r="AD293" i="83"/>
  <c r="S296" i="83"/>
  <c r="T296" i="83"/>
  <c r="U296" i="83"/>
  <c r="V296" i="83"/>
  <c r="W296" i="83"/>
  <c r="X296" i="83"/>
  <c r="Y296" i="83"/>
  <c r="Z296" i="83"/>
  <c r="AA296" i="83"/>
  <c r="AB296" i="83"/>
  <c r="AC296" i="83"/>
  <c r="AD296" i="83"/>
  <c r="S299" i="83"/>
  <c r="T299" i="83"/>
  <c r="U299" i="83"/>
  <c r="V299" i="83"/>
  <c r="W299" i="83"/>
  <c r="X299" i="83"/>
  <c r="Y299" i="83"/>
  <c r="Z299" i="83"/>
  <c r="AA299" i="83"/>
  <c r="AB299" i="83"/>
  <c r="AC299" i="83"/>
  <c r="AD299" i="83"/>
  <c r="T302" i="83"/>
  <c r="J48" i="58" s="1"/>
  <c r="U302" i="83"/>
  <c r="K48" i="58" s="1"/>
  <c r="V302" i="83"/>
  <c r="L48" i="58" s="1"/>
  <c r="W302" i="83"/>
  <c r="M48" i="58" s="1"/>
  <c r="X302" i="83"/>
  <c r="N48" i="58" s="1"/>
  <c r="Y302" i="83"/>
  <c r="O48" i="58" s="1"/>
  <c r="Z302" i="83"/>
  <c r="P48" i="58" s="1"/>
  <c r="AA302" i="83"/>
  <c r="Q48" i="58" s="1"/>
  <c r="AB302" i="83"/>
  <c r="R48" i="58" s="1"/>
  <c r="AC302" i="83"/>
  <c r="S48" i="58" s="1"/>
  <c r="AD302" i="83"/>
  <c r="T48" i="58" s="1"/>
  <c r="T280" i="83"/>
  <c r="J47" i="58" s="1"/>
  <c r="Y68" i="83"/>
  <c r="Z68" i="83"/>
  <c r="AA68" i="83"/>
  <c r="AB68" i="83"/>
  <c r="AC68" i="83"/>
  <c r="AD68" i="83"/>
  <c r="AD69" i="83"/>
  <c r="AC69" i="83"/>
  <c r="AB69" i="83"/>
  <c r="AA69" i="83"/>
  <c r="Z69" i="83"/>
  <c r="Y69" i="83"/>
  <c r="X69" i="83"/>
  <c r="W69" i="83"/>
  <c r="V69" i="83"/>
  <c r="U69" i="83"/>
  <c r="T69" i="83"/>
  <c r="S69" i="83"/>
  <c r="T75" i="83"/>
  <c r="U75" i="83"/>
  <c r="V75" i="83"/>
  <c r="W75" i="83"/>
  <c r="X75" i="83"/>
  <c r="Y75" i="83"/>
  <c r="Z75" i="83"/>
  <c r="AA75" i="83"/>
  <c r="AB75" i="83"/>
  <c r="AC75" i="83"/>
  <c r="AD75" i="83"/>
  <c r="T78" i="83"/>
  <c r="U78" i="83"/>
  <c r="V78" i="83"/>
  <c r="W78" i="83"/>
  <c r="X78" i="83"/>
  <c r="Y78" i="83"/>
  <c r="Z78" i="83"/>
  <c r="AA78" i="83"/>
  <c r="AB78" i="83"/>
  <c r="AC78" i="83"/>
  <c r="AD78" i="83"/>
  <c r="T81" i="83"/>
  <c r="U81" i="83"/>
  <c r="V81" i="83"/>
  <c r="W81" i="83"/>
  <c r="X81" i="83"/>
  <c r="Y81" i="83"/>
  <c r="Z81" i="83"/>
  <c r="AA81" i="83"/>
  <c r="AB81" i="83"/>
  <c r="AC81" i="83"/>
  <c r="AD81" i="83"/>
  <c r="T84" i="83"/>
  <c r="U84" i="83"/>
  <c r="V84" i="83"/>
  <c r="W84" i="83"/>
  <c r="X84" i="83"/>
  <c r="Y84" i="83"/>
  <c r="Z84" i="83"/>
  <c r="AA84" i="83"/>
  <c r="AB84" i="83"/>
  <c r="AC84" i="83"/>
  <c r="AD84" i="83"/>
  <c r="M41" i="69" l="1"/>
  <c r="AN218" i="83"/>
  <c r="AO218" i="83" s="1"/>
  <c r="P40" i="69" s="1"/>
  <c r="M40" i="69"/>
  <c r="N41" i="69"/>
  <c r="O40" i="131"/>
  <c r="AO222" i="83"/>
  <c r="P40" i="131" s="1"/>
  <c r="P41" i="69"/>
  <c r="O40" i="128"/>
  <c r="AO220" i="83"/>
  <c r="P40" i="128" s="1"/>
  <c r="O41" i="69"/>
  <c r="M41" i="129"/>
  <c r="AM227" i="83"/>
  <c r="M41" i="128"/>
  <c r="AM226" i="83"/>
  <c r="M41" i="131"/>
  <c r="AM228" i="83"/>
  <c r="M41" i="127"/>
  <c r="AM225" i="83"/>
  <c r="AN225" i="83" s="1"/>
  <c r="AM221" i="83"/>
  <c r="AN221" i="83" s="1"/>
  <c r="M40" i="129"/>
  <c r="AL223" i="83"/>
  <c r="M40" i="36" s="1"/>
  <c r="AL229" i="83"/>
  <c r="M41" i="36" s="1"/>
  <c r="N19" i="36"/>
  <c r="N20" i="36"/>
  <c r="S78" i="82"/>
  <c r="S42" i="82"/>
  <c r="S77" i="82"/>
  <c r="S39" i="82"/>
  <c r="S76" i="82"/>
  <c r="S36" i="82"/>
  <c r="S75" i="82"/>
  <c r="S33" i="82"/>
  <c r="S74" i="82"/>
  <c r="S30" i="82"/>
  <c r="I10" i="58"/>
  <c r="J10" i="58"/>
  <c r="K10" i="58"/>
  <c r="L10" i="58"/>
  <c r="M10" i="58"/>
  <c r="N10" i="58"/>
  <c r="I11" i="58"/>
  <c r="J11" i="58"/>
  <c r="K11" i="58"/>
  <c r="L11" i="58"/>
  <c r="M11" i="58"/>
  <c r="N11" i="58"/>
  <c r="I12" i="58"/>
  <c r="J12" i="58"/>
  <c r="K12" i="58"/>
  <c r="L12" i="58"/>
  <c r="M12" i="58"/>
  <c r="N12" i="58"/>
  <c r="O10" i="58"/>
  <c r="BY20" i="138" l="1"/>
  <c r="BY29" i="138"/>
  <c r="O40" i="69"/>
  <c r="S79" i="82"/>
  <c r="O40" i="129"/>
  <c r="AO221" i="83"/>
  <c r="P40" i="129" s="1"/>
  <c r="O41" i="127"/>
  <c r="AO225" i="83"/>
  <c r="AN223" i="83"/>
  <c r="O40" i="36" s="1"/>
  <c r="N41" i="131"/>
  <c r="AN228" i="83"/>
  <c r="N41" i="128"/>
  <c r="AN226" i="83"/>
  <c r="N41" i="129"/>
  <c r="AN227" i="83"/>
  <c r="N41" i="127"/>
  <c r="AM229" i="83"/>
  <c r="N41" i="36" s="1"/>
  <c r="N40" i="129"/>
  <c r="AM223" i="83"/>
  <c r="N40" i="36" s="1"/>
  <c r="O19" i="36"/>
  <c r="O20" i="36"/>
  <c r="AD79" i="82"/>
  <c r="AD44" i="82"/>
  <c r="AO223" i="83" l="1"/>
  <c r="P40" i="36" s="1"/>
  <c r="O41" i="131"/>
  <c r="AO228" i="83"/>
  <c r="P41" i="131" s="1"/>
  <c r="P41" i="127"/>
  <c r="O41" i="129"/>
  <c r="AO227" i="83"/>
  <c r="P41" i="129" s="1"/>
  <c r="O41" i="128"/>
  <c r="AO226" i="83"/>
  <c r="P41" i="128" s="1"/>
  <c r="AN229" i="83"/>
  <c r="O41" i="36" s="1"/>
  <c r="P19" i="36"/>
  <c r="P20" i="36"/>
  <c r="G4" i="35"/>
  <c r="AD205" i="83"/>
  <c r="AD199" i="83"/>
  <c r="AD107" i="83"/>
  <c r="AD239" i="83"/>
  <c r="AD90" i="83"/>
  <c r="AD92" i="83" s="1"/>
  <c r="AD87" i="83"/>
  <c r="AD89" i="83" s="1"/>
  <c r="AD86" i="83"/>
  <c r="AD83" i="83"/>
  <c r="AD80" i="83"/>
  <c r="AD77" i="83"/>
  <c r="AD70" i="83"/>
  <c r="AD67" i="83"/>
  <c r="AD64" i="83"/>
  <c r="AD61" i="83"/>
  <c r="AD58" i="83"/>
  <c r="AO229" i="83" l="1"/>
  <c r="P41" i="36" s="1"/>
  <c r="Q20" i="36"/>
  <c r="Q19" i="36"/>
  <c r="AS205" i="83"/>
  <c r="T37" i="36" s="1"/>
  <c r="AC79" i="82"/>
  <c r="BY21" i="138" l="1"/>
  <c r="BY30" i="138"/>
  <c r="BY31" i="138"/>
  <c r="R19" i="36"/>
  <c r="R20" i="36"/>
  <c r="BY18" i="138" l="1"/>
  <c r="S20" i="36"/>
  <c r="T20" i="36"/>
  <c r="S19" i="36"/>
  <c r="AC239" i="83"/>
  <c r="AC77" i="83"/>
  <c r="AC80" i="83"/>
  <c r="AC83" i="83"/>
  <c r="AC86" i="83"/>
  <c r="AC87" i="83"/>
  <c r="AC89" i="83" s="1"/>
  <c r="AC90" i="83"/>
  <c r="AC92" i="83" s="1"/>
  <c r="AC70" i="83"/>
  <c r="AC67" i="83"/>
  <c r="AC64" i="83"/>
  <c r="AC61" i="83"/>
  <c r="AC58" i="83"/>
  <c r="BY19" i="138" l="1"/>
  <c r="BY32" i="138"/>
  <c r="BY33" i="138"/>
  <c r="T19" i="36"/>
  <c r="AC205" i="83"/>
  <c r="AC199" i="83"/>
  <c r="AC107" i="83"/>
  <c r="BY34" i="138" l="1"/>
  <c r="BY35" i="138"/>
  <c r="AH14" i="82"/>
  <c r="AI14" i="82" s="1"/>
  <c r="AJ14" i="82" s="1"/>
  <c r="AK14" i="82" s="1"/>
  <c r="AL14" i="82" s="1"/>
  <c r="AM14" i="82" s="1"/>
  <c r="AN14" i="82" s="1"/>
  <c r="AO14" i="82" s="1"/>
  <c r="AP14" i="82" s="1"/>
  <c r="AQ14" i="82" s="1"/>
  <c r="AR14" i="82" s="1"/>
  <c r="AS14" i="82" s="1"/>
  <c r="AH11" i="82"/>
  <c r="BZ6" i="138" l="1"/>
  <c r="S21" i="140" s="1"/>
  <c r="BU4" i="138" a="1"/>
  <c r="AI11" i="82"/>
  <c r="I8" i="127"/>
  <c r="AB239" i="83"/>
  <c r="AB205" i="83"/>
  <c r="AB199" i="83"/>
  <c r="AB107" i="83"/>
  <c r="AB87" i="83"/>
  <c r="AB89" i="83" s="1"/>
  <c r="AB86" i="83"/>
  <c r="AB83" i="83"/>
  <c r="AB80" i="83"/>
  <c r="AB77" i="83"/>
  <c r="AB90" i="83"/>
  <c r="AB92" i="83" s="1"/>
  <c r="AB67" i="83"/>
  <c r="AB64" i="83"/>
  <c r="AB61" i="83"/>
  <c r="AB58" i="83"/>
  <c r="CC4" i="138" l="1"/>
  <c r="BZ3" i="138"/>
  <c r="BZ4" i="138"/>
  <c r="S17" i="140" s="1"/>
  <c r="BU4" i="138"/>
  <c r="BZ8" i="138"/>
  <c r="S25" i="140" s="1"/>
  <c r="AJ11" i="82"/>
  <c r="J8" i="127"/>
  <c r="AB70" i="83"/>
  <c r="BZ38" i="138" l="1"/>
  <c r="CA38" i="138" s="1"/>
  <c r="BZ22" i="138"/>
  <c r="CA22" i="138" s="1"/>
  <c r="BZ41" i="138"/>
  <c r="CA41" i="138" s="1"/>
  <c r="BZ37" i="138"/>
  <c r="CA37" i="138" s="1"/>
  <c r="BZ21" i="138"/>
  <c r="CA21" i="138" s="1"/>
  <c r="BZ25" i="138"/>
  <c r="CA25" i="138" s="1"/>
  <c r="BZ36" i="138"/>
  <c r="CA36" i="138" s="1"/>
  <c r="BZ20" i="138"/>
  <c r="CA20" i="138" s="1"/>
  <c r="BZ35" i="138"/>
  <c r="CA35" i="138" s="1"/>
  <c r="BZ19" i="138"/>
  <c r="CA19" i="138" s="1"/>
  <c r="BZ34" i="138"/>
  <c r="CA34" i="138" s="1"/>
  <c r="BZ18" i="138"/>
  <c r="CA18" i="138" s="1"/>
  <c r="BZ33" i="138"/>
  <c r="CA33" i="138" s="1"/>
  <c r="BZ17" i="138"/>
  <c r="CA17" i="138" s="1"/>
  <c r="BZ32" i="138"/>
  <c r="CA32" i="138" s="1"/>
  <c r="BZ16" i="138"/>
  <c r="CA16" i="138" s="1"/>
  <c r="BZ31" i="138"/>
  <c r="CA31" i="138" s="1"/>
  <c r="BZ15" i="138"/>
  <c r="CA15" i="138" s="1"/>
  <c r="BZ40" i="138"/>
  <c r="CA40" i="138" s="1"/>
  <c r="BZ30" i="138"/>
  <c r="CA30" i="138" s="1"/>
  <c r="BZ14" i="138"/>
  <c r="CA14" i="138" s="1"/>
  <c r="BZ29" i="138"/>
  <c r="CA29" i="138" s="1"/>
  <c r="BZ13" i="138"/>
  <c r="CA13" i="138" s="1"/>
  <c r="BZ28" i="138"/>
  <c r="CA28" i="138" s="1"/>
  <c r="BZ24" i="138"/>
  <c r="CA24" i="138" s="1"/>
  <c r="BZ27" i="138"/>
  <c r="CA27" i="138" s="1"/>
  <c r="BZ26" i="138"/>
  <c r="CA26" i="138" s="1"/>
  <c r="BZ39" i="138"/>
  <c r="CA39" i="138" s="1"/>
  <c r="BZ23" i="138"/>
  <c r="CA23" i="138" s="1"/>
  <c r="BZ7" i="138"/>
  <c r="S23" i="140" s="1"/>
  <c r="S15" i="140"/>
  <c r="CC3" i="138"/>
  <c r="AK11" i="82"/>
  <c r="K8" i="127"/>
  <c r="AB65" i="82"/>
  <c r="AB62" i="82"/>
  <c r="AB59" i="82"/>
  <c r="AB79" i="82"/>
  <c r="AB56" i="82"/>
  <c r="AB53" i="82"/>
  <c r="CC5" i="138" l="1"/>
  <c r="AB26" i="140"/>
  <c r="CB27" i="138"/>
  <c r="CD27" i="138"/>
  <c r="CD36" i="138"/>
  <c r="CB36" i="138"/>
  <c r="CD32" i="138"/>
  <c r="CB32" i="138"/>
  <c r="CB25" i="138"/>
  <c r="CD25" i="138"/>
  <c r="CB26" i="138"/>
  <c r="CD26" i="138"/>
  <c r="CB28" i="138"/>
  <c r="CD28" i="138"/>
  <c r="CB23" i="138"/>
  <c r="CD23" i="138"/>
  <c r="CD24" i="138"/>
  <c r="CB24" i="138"/>
  <c r="CD30" i="138"/>
  <c r="CB30" i="138"/>
  <c r="CD37" i="138"/>
  <c r="CB37" i="138"/>
  <c r="CD39" i="138"/>
  <c r="CB39" i="138"/>
  <c r="CD35" i="138"/>
  <c r="CB35" i="138"/>
  <c r="CD40" i="138"/>
  <c r="CB40" i="138"/>
  <c r="CB41" i="138"/>
  <c r="CD41" i="138"/>
  <c r="CD34" i="138"/>
  <c r="CB34" i="138"/>
  <c r="CD33" i="138"/>
  <c r="CB33" i="138"/>
  <c r="CB29" i="138"/>
  <c r="CD29" i="138"/>
  <c r="CB31" i="138"/>
  <c r="CD31" i="138"/>
  <c r="CD38" i="138"/>
  <c r="CB38" i="138"/>
  <c r="CG13" i="138"/>
  <c r="CD22" i="138"/>
  <c r="CB22" i="138"/>
  <c r="CD20" i="138"/>
  <c r="CB20" i="138"/>
  <c r="CD21" i="138"/>
  <c r="CB21" i="138"/>
  <c r="CD16" i="138"/>
  <c r="CB16" i="138"/>
  <c r="CB14" i="138"/>
  <c r="CD14" i="138"/>
  <c r="CD17" i="138"/>
  <c r="CB17" i="138"/>
  <c r="CB13" i="138"/>
  <c r="CD13" i="138"/>
  <c r="CD19" i="138"/>
  <c r="CB19" i="138"/>
  <c r="CB15" i="138"/>
  <c r="CD15" i="138"/>
  <c r="CD18" i="138"/>
  <c r="CB18" i="138"/>
  <c r="AL11" i="82"/>
  <c r="L8" i="127"/>
  <c r="AA87" i="83"/>
  <c r="AA89" i="83" s="1"/>
  <c r="AA86" i="83"/>
  <c r="AA83" i="83"/>
  <c r="AA80" i="83"/>
  <c r="AA77" i="83"/>
  <c r="AA70" i="83"/>
  <c r="AA67" i="83"/>
  <c r="AA64" i="83"/>
  <c r="AA61" i="83"/>
  <c r="AA58" i="83"/>
  <c r="AM11" i="82" l="1"/>
  <c r="M8" i="127"/>
  <c r="AQ11" i="82"/>
  <c r="R8" i="127" s="1"/>
  <c r="AA90" i="83"/>
  <c r="AA92" i="83" s="1"/>
  <c r="AA79" i="82"/>
  <c r="AA199" i="83"/>
  <c r="AA239" i="83"/>
  <c r="AA107" i="83"/>
  <c r="AN11" i="82" l="1"/>
  <c r="N8" i="127"/>
  <c r="AA205" i="83"/>
  <c r="Z239" i="83"/>
  <c r="AO11" i="82" l="1"/>
  <c r="O8" i="127"/>
  <c r="Z205" i="83"/>
  <c r="Z199" i="83"/>
  <c r="Z107" i="83"/>
  <c r="Z67" i="83"/>
  <c r="Z64" i="83"/>
  <c r="Z61" i="83"/>
  <c r="Z58" i="83"/>
  <c r="Z90" i="83"/>
  <c r="Z77" i="83"/>
  <c r="Z80" i="83"/>
  <c r="Z83" i="83"/>
  <c r="Z86" i="83"/>
  <c r="Z87" i="83"/>
  <c r="Z89" i="83" s="1"/>
  <c r="Z91" i="83"/>
  <c r="Z59" i="82"/>
  <c r="P8" i="127" l="1"/>
  <c r="AP11" i="82"/>
  <c r="Q8" i="127" s="1"/>
  <c r="Z70" i="83"/>
  <c r="Z92" i="83"/>
  <c r="AK18" i="21" l="1"/>
  <c r="AN331" i="83"/>
  <c r="O50" i="36" s="1"/>
  <c r="AN351" i="83" l="1"/>
  <c r="AN352" i="83"/>
  <c r="AN353" i="83"/>
  <c r="O56" i="36" s="1"/>
  <c r="Y205" i="83"/>
  <c r="Y199" i="83"/>
  <c r="Y107" i="83"/>
  <c r="Y239" i="83" l="1"/>
  <c r="Y91" i="83"/>
  <c r="Y87" i="83"/>
  <c r="Y89" i="83" s="1"/>
  <c r="Y67" i="83"/>
  <c r="Y86" i="83"/>
  <c r="Y83" i="83"/>
  <c r="Y64" i="83"/>
  <c r="Y61" i="83"/>
  <c r="Y80" i="83"/>
  <c r="Y58" i="83"/>
  <c r="Y77" i="83"/>
  <c r="Y70" i="83" l="1"/>
  <c r="Y90" i="83"/>
  <c r="Y92" i="83" s="1"/>
  <c r="AM364" i="83" l="1"/>
  <c r="N59" i="36" s="1"/>
  <c r="AN239" i="83" l="1"/>
  <c r="O43" i="36" s="1"/>
  <c r="AO239" i="83"/>
  <c r="P43" i="36" s="1"/>
  <c r="AP239" i="83"/>
  <c r="Q43" i="36" s="1"/>
  <c r="AQ239" i="83"/>
  <c r="R43" i="36" s="1"/>
  <c r="AR239" i="83"/>
  <c r="S43" i="36" s="1"/>
  <c r="AS239" i="83"/>
  <c r="T43" i="36" s="1"/>
  <c r="AS238" i="83"/>
  <c r="T43" i="131" s="1"/>
  <c r="AR238" i="83"/>
  <c r="S43" i="131" s="1"/>
  <c r="AQ238" i="83"/>
  <c r="R43" i="131" s="1"/>
  <c r="AP238" i="83"/>
  <c r="Q43" i="131" s="1"/>
  <c r="AO238" i="83"/>
  <c r="P43" i="131" s="1"/>
  <c r="AN238" i="83"/>
  <c r="O43" i="131" s="1"/>
  <c r="AM238" i="83"/>
  <c r="N43" i="131" s="1"/>
  <c r="AL238" i="83"/>
  <c r="M43" i="131" s="1"/>
  <c r="AK238" i="83"/>
  <c r="L43" i="131" s="1"/>
  <c r="AJ238" i="83"/>
  <c r="K43" i="131" s="1"/>
  <c r="AI238" i="83"/>
  <c r="J43" i="131" s="1"/>
  <c r="AH238" i="83"/>
  <c r="I43" i="131" s="1"/>
  <c r="AS237" i="83"/>
  <c r="T43" i="129" s="1"/>
  <c r="AR237" i="83"/>
  <c r="S43" i="129" s="1"/>
  <c r="AQ237" i="83"/>
  <c r="R43" i="129" s="1"/>
  <c r="AP237" i="83"/>
  <c r="Q43" i="129" s="1"/>
  <c r="AO237" i="83"/>
  <c r="P43" i="129" s="1"/>
  <c r="AN237" i="83"/>
  <c r="O43" i="129" s="1"/>
  <c r="AM237" i="83"/>
  <c r="N43" i="129" s="1"/>
  <c r="AL237" i="83"/>
  <c r="M43" i="129" s="1"/>
  <c r="AK237" i="83"/>
  <c r="L43" i="129" s="1"/>
  <c r="AJ237" i="83"/>
  <c r="K43" i="129" s="1"/>
  <c r="AI237" i="83"/>
  <c r="J43" i="129" s="1"/>
  <c r="AH237" i="83"/>
  <c r="I43" i="129" s="1"/>
  <c r="AS236" i="83"/>
  <c r="T43" i="128" s="1"/>
  <c r="AR236" i="83"/>
  <c r="S43" i="128" s="1"/>
  <c r="AQ236" i="83"/>
  <c r="R43" i="128" s="1"/>
  <c r="AP236" i="83"/>
  <c r="Q43" i="128" s="1"/>
  <c r="AO236" i="83"/>
  <c r="P43" i="128" s="1"/>
  <c r="AN236" i="83"/>
  <c r="O43" i="128" s="1"/>
  <c r="AM236" i="83"/>
  <c r="N43" i="128" s="1"/>
  <c r="AL236" i="83"/>
  <c r="M43" i="128" s="1"/>
  <c r="AK236" i="83"/>
  <c r="L43" i="128" s="1"/>
  <c r="AJ236" i="83"/>
  <c r="K43" i="128" s="1"/>
  <c r="AI236" i="83"/>
  <c r="J43" i="128" s="1"/>
  <c r="AH236" i="83"/>
  <c r="I43" i="128" s="1"/>
  <c r="AS235" i="83"/>
  <c r="T43" i="127" s="1"/>
  <c r="AR235" i="83"/>
  <c r="S43" i="127" s="1"/>
  <c r="AQ235" i="83"/>
  <c r="R43" i="127" s="1"/>
  <c r="AP235" i="83"/>
  <c r="Q43" i="127" s="1"/>
  <c r="AO235" i="83"/>
  <c r="P43" i="127" s="1"/>
  <c r="AN235" i="83"/>
  <c r="O43" i="127" s="1"/>
  <c r="AM235" i="83"/>
  <c r="N43" i="127" s="1"/>
  <c r="AL235" i="83"/>
  <c r="M43" i="127" s="1"/>
  <c r="AK235" i="83"/>
  <c r="L43" i="127" s="1"/>
  <c r="AJ235" i="83"/>
  <c r="K43" i="127" s="1"/>
  <c r="AI235" i="83"/>
  <c r="J43" i="127" s="1"/>
  <c r="AH235" i="83"/>
  <c r="I43" i="127" s="1"/>
  <c r="AS234" i="83"/>
  <c r="T43" i="69" s="1"/>
  <c r="AR234" i="83"/>
  <c r="S43" i="69" s="1"/>
  <c r="AQ234" i="83"/>
  <c r="R43" i="69" s="1"/>
  <c r="AP234" i="83"/>
  <c r="Q43" i="69" s="1"/>
  <c r="AO234" i="83"/>
  <c r="P43" i="69" s="1"/>
  <c r="AN234" i="83"/>
  <c r="O43" i="69" s="1"/>
  <c r="AM234" i="83"/>
  <c r="N43" i="69" s="1"/>
  <c r="AL234" i="83"/>
  <c r="M43" i="69" s="1"/>
  <c r="AK234" i="83"/>
  <c r="L43" i="69" s="1"/>
  <c r="AI234" i="83"/>
  <c r="J43" i="69" s="1"/>
  <c r="AJ234" i="83"/>
  <c r="K43" i="69" s="1"/>
  <c r="AO157" i="83" l="1"/>
  <c r="P32" i="131" s="1"/>
  <c r="AO160" i="83"/>
  <c r="P31" i="36" s="1"/>
  <c r="O32" i="36"/>
  <c r="P32" i="36"/>
  <c r="Q32" i="36"/>
  <c r="R32" i="36"/>
  <c r="S32" i="36"/>
  <c r="T32" i="36"/>
  <c r="AN145" i="83"/>
  <c r="O32" i="69" s="1"/>
  <c r="AO145" i="83"/>
  <c r="P32" i="69" s="1"/>
  <c r="AP145" i="83"/>
  <c r="Q32" i="69" s="1"/>
  <c r="AQ145" i="83"/>
  <c r="R32" i="69" s="1"/>
  <c r="AR145" i="83"/>
  <c r="S32" i="69" s="1"/>
  <c r="AS145" i="83"/>
  <c r="T32" i="69" s="1"/>
  <c r="AN148" i="83"/>
  <c r="O32" i="127" s="1"/>
  <c r="AO148" i="83"/>
  <c r="P32" i="127" s="1"/>
  <c r="AP148" i="83"/>
  <c r="Q32" i="127" s="1"/>
  <c r="AQ148" i="83"/>
  <c r="R32" i="127" s="1"/>
  <c r="AR148" i="83"/>
  <c r="S32" i="127" s="1"/>
  <c r="AS148" i="83"/>
  <c r="T32" i="127" s="1"/>
  <c r="AN151" i="83"/>
  <c r="O32" i="128" s="1"/>
  <c r="AO151" i="83"/>
  <c r="P32" i="128" s="1"/>
  <c r="AP151" i="83"/>
  <c r="Q32" i="128" s="1"/>
  <c r="AQ151" i="83"/>
  <c r="R32" i="128" s="1"/>
  <c r="AR151" i="83"/>
  <c r="S32" i="128" s="1"/>
  <c r="AS151" i="83"/>
  <c r="T32" i="128" s="1"/>
  <c r="AN154" i="83"/>
  <c r="O32" i="129" s="1"/>
  <c r="AO154" i="83"/>
  <c r="P32" i="129" s="1"/>
  <c r="AP154" i="83"/>
  <c r="Q32" i="129" s="1"/>
  <c r="AQ154" i="83"/>
  <c r="R32" i="129" s="1"/>
  <c r="AR154" i="83"/>
  <c r="S32" i="129" s="1"/>
  <c r="AS154" i="83"/>
  <c r="T32" i="129" s="1"/>
  <c r="AN157" i="83"/>
  <c r="O32" i="131" s="1"/>
  <c r="AP157" i="83"/>
  <c r="Q32" i="131" s="1"/>
  <c r="AQ157" i="83"/>
  <c r="R32" i="131" s="1"/>
  <c r="AR157" i="83"/>
  <c r="S32" i="131" s="1"/>
  <c r="AS157" i="83"/>
  <c r="T32" i="131" s="1"/>
  <c r="AN160" i="83"/>
  <c r="O31" i="36" s="1"/>
  <c r="AP160" i="83"/>
  <c r="Q31" i="36" s="1"/>
  <c r="AQ160" i="83"/>
  <c r="R31" i="36" s="1"/>
  <c r="AR160" i="83"/>
  <c r="S31" i="36" s="1"/>
  <c r="AS160" i="83"/>
  <c r="T31" i="36" s="1"/>
  <c r="AH157" i="83"/>
  <c r="I32" i="131" s="1"/>
  <c r="AG148" i="83"/>
  <c r="AG151" i="83"/>
  <c r="AG154" i="83"/>
  <c r="AG157" i="83"/>
  <c r="AG160" i="83"/>
  <c r="AG145" i="83"/>
  <c r="AK154" i="83" l="1"/>
  <c r="L32" i="129" s="1"/>
  <c r="AI148" i="83"/>
  <c r="J32" i="127" s="1"/>
  <c r="I32" i="36"/>
  <c r="AJ151" i="83"/>
  <c r="K32" i="128" s="1"/>
  <c r="AL151" i="83"/>
  <c r="M32" i="128" s="1"/>
  <c r="AI151" i="83"/>
  <c r="J32" i="128" s="1"/>
  <c r="AH148" i="83"/>
  <c r="I32" i="127" s="1"/>
  <c r="AK151" i="83"/>
  <c r="L32" i="128" s="1"/>
  <c r="AJ157" i="83"/>
  <c r="K32" i="131" s="1"/>
  <c r="AH151" i="83"/>
  <c r="I32" i="128" s="1"/>
  <c r="AM148" i="83"/>
  <c r="N32" i="127" s="1"/>
  <c r="AM154" i="83"/>
  <c r="N32" i="129" s="1"/>
  <c r="AH160" i="83"/>
  <c r="I31" i="36" s="1"/>
  <c r="AL154" i="83"/>
  <c r="M32" i="129" s="1"/>
  <c r="AM157" i="83"/>
  <c r="N32" i="131" s="1"/>
  <c r="AJ154" i="83"/>
  <c r="K32" i="129" s="1"/>
  <c r="AM145" i="83"/>
  <c r="N32" i="69" s="1"/>
  <c r="AL157" i="83"/>
  <c r="M32" i="131" s="1"/>
  <c r="AI154" i="83"/>
  <c r="J32" i="129" s="1"/>
  <c r="AL145" i="83"/>
  <c r="M32" i="69" s="1"/>
  <c r="K32" i="36"/>
  <c r="AK157" i="83"/>
  <c r="L32" i="131" s="1"/>
  <c r="AK145" i="83"/>
  <c r="L32" i="69" s="1"/>
  <c r="J32" i="36"/>
  <c r="AH154" i="83"/>
  <c r="I32" i="129" s="1"/>
  <c r="AI157" i="83"/>
  <c r="J32" i="131" s="1"/>
  <c r="AL148" i="83"/>
  <c r="M32" i="127" s="1"/>
  <c r="AI145" i="83"/>
  <c r="J32" i="69" s="1"/>
  <c r="AK148" i="83"/>
  <c r="L32" i="127" s="1"/>
  <c r="AJ145" i="83"/>
  <c r="K32" i="69" s="1"/>
  <c r="AM151" i="83"/>
  <c r="N32" i="128" s="1"/>
  <c r="AJ148" i="83"/>
  <c r="K32" i="127" s="1"/>
  <c r="AI160" i="83" l="1"/>
  <c r="J31" i="36" s="1"/>
  <c r="AK160" i="83"/>
  <c r="L31" i="36" s="1"/>
  <c r="AL160" i="83"/>
  <c r="M31" i="36" s="1"/>
  <c r="L32" i="36"/>
  <c r="AM160" i="83"/>
  <c r="N31" i="36" s="1"/>
  <c r="N32" i="36"/>
  <c r="M32" i="36"/>
  <c r="AJ160" i="83"/>
  <c r="K31" i="36" s="1"/>
  <c r="AJ82" i="83"/>
  <c r="AK82" i="83"/>
  <c r="AL82" i="83"/>
  <c r="AM82" i="83"/>
  <c r="AN82" i="83"/>
  <c r="AO82" i="83"/>
  <c r="AP82" i="83"/>
  <c r="AQ82" i="83"/>
  <c r="AR82" i="83"/>
  <c r="AS82" i="83"/>
  <c r="AJ76" i="83"/>
  <c r="AK76" i="83"/>
  <c r="AL76" i="83"/>
  <c r="AM76" i="83"/>
  <c r="AN76" i="83"/>
  <c r="AO76" i="83"/>
  <c r="AP76" i="83"/>
  <c r="AQ76" i="83"/>
  <c r="AR76" i="83"/>
  <c r="AS76" i="83"/>
  <c r="AJ88" i="83"/>
  <c r="AK88" i="83"/>
  <c r="AL88" i="83"/>
  <c r="AM88" i="83"/>
  <c r="AN88" i="83"/>
  <c r="AO88" i="83"/>
  <c r="AP88" i="83"/>
  <c r="AQ88" i="83"/>
  <c r="AR88" i="83"/>
  <c r="AS88" i="83"/>
  <c r="AI88" i="83"/>
  <c r="AJ85" i="83"/>
  <c r="AK85" i="83"/>
  <c r="AL85" i="83"/>
  <c r="AM85" i="83"/>
  <c r="AN85" i="83"/>
  <c r="AO85" i="83"/>
  <c r="AP85" i="83"/>
  <c r="AQ85" i="83"/>
  <c r="AR85" i="83"/>
  <c r="AS85" i="83"/>
  <c r="AI85" i="83"/>
  <c r="AI82" i="83"/>
  <c r="AJ79" i="83"/>
  <c r="AK79" i="83"/>
  <c r="AL79" i="83"/>
  <c r="AM79" i="83"/>
  <c r="AN79" i="83"/>
  <c r="AO79" i="83"/>
  <c r="AP79" i="83"/>
  <c r="AQ79" i="83"/>
  <c r="AR79" i="83"/>
  <c r="AS79" i="83"/>
  <c r="AI79" i="83"/>
  <c r="AI76" i="83"/>
  <c r="AH76" i="83"/>
  <c r="AH79" i="83"/>
  <c r="AH82" i="83"/>
  <c r="AH85" i="83"/>
  <c r="AH88" i="83"/>
  <c r="AJ69" i="83"/>
  <c r="AI69" i="83"/>
  <c r="AJ66" i="83"/>
  <c r="AK66" i="83"/>
  <c r="AL66" i="83"/>
  <c r="AM66" i="83"/>
  <c r="AN66" i="83"/>
  <c r="AO66" i="83"/>
  <c r="AP66" i="83"/>
  <c r="AQ66" i="83"/>
  <c r="AR66" i="83"/>
  <c r="AS66" i="83"/>
  <c r="AI66" i="83"/>
  <c r="AJ65" i="83"/>
  <c r="AK65" i="83"/>
  <c r="AL65" i="83"/>
  <c r="AM65" i="83"/>
  <c r="AN65" i="83"/>
  <c r="AO65" i="83"/>
  <c r="AP65" i="83"/>
  <c r="AQ65" i="83"/>
  <c r="AR65" i="83"/>
  <c r="AS65" i="83"/>
  <c r="AI65" i="83"/>
  <c r="AJ63" i="83"/>
  <c r="AK63" i="83"/>
  <c r="AL63" i="83"/>
  <c r="AM63" i="83"/>
  <c r="AN63" i="83"/>
  <c r="AO63" i="83"/>
  <c r="AP63" i="83"/>
  <c r="AQ63" i="83"/>
  <c r="AR63" i="83"/>
  <c r="AS63" i="83"/>
  <c r="AI63" i="83"/>
  <c r="AJ62" i="83"/>
  <c r="AK62" i="83"/>
  <c r="AL62" i="83"/>
  <c r="AM62" i="83"/>
  <c r="AN62" i="83"/>
  <c r="AO62" i="83"/>
  <c r="AP62" i="83"/>
  <c r="AQ62" i="83"/>
  <c r="AR62" i="83"/>
  <c r="AS62" i="83"/>
  <c r="AI62" i="83"/>
  <c r="AJ60" i="83"/>
  <c r="AK60" i="83"/>
  <c r="AL60" i="83"/>
  <c r="AM60" i="83"/>
  <c r="AN60" i="83"/>
  <c r="AO60" i="83"/>
  <c r="AP60" i="83"/>
  <c r="AQ60" i="83"/>
  <c r="AR60" i="83"/>
  <c r="AS60" i="83"/>
  <c r="AI60" i="83"/>
  <c r="AJ59" i="83"/>
  <c r="AK59" i="83"/>
  <c r="AL59" i="83"/>
  <c r="AM59" i="83"/>
  <c r="AN59" i="83"/>
  <c r="AO59" i="83"/>
  <c r="AP59" i="83"/>
  <c r="AQ59" i="83"/>
  <c r="AR59" i="83"/>
  <c r="AS59" i="83"/>
  <c r="AI59" i="83"/>
  <c r="AJ57" i="83"/>
  <c r="AK57" i="83"/>
  <c r="AL57" i="83"/>
  <c r="AM57" i="83"/>
  <c r="AN57" i="83"/>
  <c r="AO57" i="83"/>
  <c r="AP57" i="83"/>
  <c r="AQ57" i="83"/>
  <c r="AR57" i="83"/>
  <c r="AS57" i="83"/>
  <c r="AJ56" i="83"/>
  <c r="AK56" i="83"/>
  <c r="AL56" i="83"/>
  <c r="AM56" i="83"/>
  <c r="AN56" i="83"/>
  <c r="AO56" i="83"/>
  <c r="AP56" i="83"/>
  <c r="AQ56" i="83"/>
  <c r="AR56" i="83"/>
  <c r="AS56" i="83"/>
  <c r="AI57" i="83"/>
  <c r="AI56" i="83"/>
  <c r="AH69" i="83"/>
  <c r="AH66" i="83"/>
  <c r="AH65" i="83"/>
  <c r="AH63" i="83"/>
  <c r="AH62" i="83"/>
  <c r="AH60" i="83"/>
  <c r="AH59" i="83"/>
  <c r="AH57" i="83"/>
  <c r="AH56" i="83"/>
  <c r="AJ53" i="83"/>
  <c r="AK53" i="83"/>
  <c r="AL53" i="83"/>
  <c r="AM53" i="83"/>
  <c r="AN53" i="83"/>
  <c r="AO53" i="83"/>
  <c r="AP53" i="83"/>
  <c r="AQ53" i="83"/>
  <c r="AR53" i="83"/>
  <c r="AS53" i="83"/>
  <c r="AI53" i="83"/>
  <c r="AJ54" i="83"/>
  <c r="AK54" i="83"/>
  <c r="AL54" i="83"/>
  <c r="AM54" i="83"/>
  <c r="AN54" i="83"/>
  <c r="AO54" i="83"/>
  <c r="AP54" i="83"/>
  <c r="AQ54" i="83"/>
  <c r="AR54" i="83"/>
  <c r="AS54" i="83"/>
  <c r="AI54" i="83"/>
  <c r="AK58" i="83" l="1"/>
  <c r="AJ58" i="83"/>
  <c r="AJ64" i="83"/>
  <c r="K24" i="129" s="1"/>
  <c r="AN67" i="83"/>
  <c r="O24" i="131" s="1"/>
  <c r="AR58" i="83"/>
  <c r="AJ67" i="83"/>
  <c r="K24" i="131" s="1"/>
  <c r="AS55" i="83"/>
  <c r="T24" i="69" s="1"/>
  <c r="AK64" i="83"/>
  <c r="L24" i="129" s="1"/>
  <c r="AI67" i="83"/>
  <c r="J24" i="131" s="1"/>
  <c r="AO61" i="83"/>
  <c r="P24" i="128" s="1"/>
  <c r="AQ58" i="83"/>
  <c r="AJ55" i="83"/>
  <c r="K24" i="69" s="1"/>
  <c r="AM64" i="83"/>
  <c r="N24" i="129" s="1"/>
  <c r="AL67" i="83"/>
  <c r="M24" i="131" s="1"/>
  <c r="AP55" i="83"/>
  <c r="Q24" i="69" s="1"/>
  <c r="AM55" i="83"/>
  <c r="N24" i="127" s="1"/>
  <c r="AK61" i="83"/>
  <c r="L24" i="128" s="1"/>
  <c r="AS67" i="83"/>
  <c r="T24" i="131" s="1"/>
  <c r="AJ61" i="83"/>
  <c r="K24" i="128" s="1"/>
  <c r="AI64" i="83"/>
  <c r="J24" i="129" s="1"/>
  <c r="AH67" i="83"/>
  <c r="I24" i="131" s="1"/>
  <c r="AR64" i="83"/>
  <c r="S24" i="129" s="1"/>
  <c r="AL55" i="83"/>
  <c r="M24" i="127" s="1"/>
  <c r="AR67" i="83"/>
  <c r="S24" i="131" s="1"/>
  <c r="AQ67" i="83"/>
  <c r="R24" i="131" s="1"/>
  <c r="AI55" i="83"/>
  <c r="AH64" i="83"/>
  <c r="I24" i="129" s="1"/>
  <c r="AO55" i="83"/>
  <c r="P24" i="69" s="1"/>
  <c r="AI61" i="83"/>
  <c r="J24" i="128" s="1"/>
  <c r="AP67" i="83"/>
  <c r="Q24" i="131" s="1"/>
  <c r="AH61" i="83"/>
  <c r="I24" i="128" s="1"/>
  <c r="AH58" i="83"/>
  <c r="AP64" i="83"/>
  <c r="Q24" i="129" s="1"/>
  <c r="AO58" i="83"/>
  <c r="AQ64" i="83"/>
  <c r="R24" i="129" s="1"/>
  <c r="AI58" i="83"/>
  <c r="AO64" i="83"/>
  <c r="P24" i="129" s="1"/>
  <c r="AK55" i="83"/>
  <c r="AN64" i="83"/>
  <c r="O24" i="129" s="1"/>
  <c r="AK67" i="83"/>
  <c r="L24" i="131" s="1"/>
  <c r="AO67" i="83"/>
  <c r="P24" i="131" s="1"/>
  <c r="AM67" i="83"/>
  <c r="N24" i="131" s="1"/>
  <c r="AS64" i="83"/>
  <c r="T24" i="129" s="1"/>
  <c r="AL64" i="83"/>
  <c r="M24" i="129" s="1"/>
  <c r="AM61" i="83"/>
  <c r="N24" i="128" s="1"/>
  <c r="AQ61" i="83"/>
  <c r="R24" i="128" s="1"/>
  <c r="AN61" i="83"/>
  <c r="O24" i="128" s="1"/>
  <c r="AL61" i="83"/>
  <c r="M24" i="128" s="1"/>
  <c r="AS61" i="83"/>
  <c r="T24" i="128" s="1"/>
  <c r="AR61" i="83"/>
  <c r="S24" i="128" s="1"/>
  <c r="AP61" i="83"/>
  <c r="Q24" i="128" s="1"/>
  <c r="AL58" i="83"/>
  <c r="AP58" i="83"/>
  <c r="AN58" i="83"/>
  <c r="AM58" i="83"/>
  <c r="AS58" i="83"/>
  <c r="AR55" i="83"/>
  <c r="S24" i="69" s="1"/>
  <c r="AQ55" i="83"/>
  <c r="R24" i="127" s="1"/>
  <c r="AN55" i="83"/>
  <c r="O24" i="69" s="1"/>
  <c r="X239" i="83"/>
  <c r="X91" i="83"/>
  <c r="X87" i="83"/>
  <c r="X89" i="83" s="1"/>
  <c r="X86" i="83"/>
  <c r="X83" i="83"/>
  <c r="X80" i="83"/>
  <c r="X77" i="83"/>
  <c r="X68" i="83"/>
  <c r="X90" i="83" s="1"/>
  <c r="X67" i="83"/>
  <c r="X64" i="83"/>
  <c r="X61" i="83"/>
  <c r="X58" i="83"/>
  <c r="K24" i="127" l="1"/>
  <c r="N24" i="69"/>
  <c r="T24" i="127"/>
  <c r="R24" i="69"/>
  <c r="Q24" i="127"/>
  <c r="M24" i="69"/>
  <c r="S24" i="127"/>
  <c r="J24" i="127"/>
  <c r="J24" i="69"/>
  <c r="L24" i="127"/>
  <c r="L24" i="69"/>
  <c r="P24" i="127"/>
  <c r="O24" i="127"/>
  <c r="X92" i="83"/>
  <c r="X70" i="83"/>
  <c r="T217" i="83"/>
  <c r="AI217" i="83" s="1"/>
  <c r="U217" i="83"/>
  <c r="V217" i="83"/>
  <c r="W217" i="83"/>
  <c r="X217" i="83"/>
  <c r="Y217" i="83"/>
  <c r="Z217" i="83"/>
  <c r="AA217" i="83"/>
  <c r="AB217" i="83"/>
  <c r="AC217" i="83"/>
  <c r="AD217" i="83"/>
  <c r="S217" i="83"/>
  <c r="T211" i="83"/>
  <c r="U211" i="83"/>
  <c r="V211" i="83"/>
  <c r="W211" i="83"/>
  <c r="X211" i="83"/>
  <c r="Y211" i="83"/>
  <c r="Z211" i="83"/>
  <c r="AA211" i="83"/>
  <c r="AB211" i="83"/>
  <c r="AC211" i="83"/>
  <c r="AD211" i="83"/>
  <c r="S211" i="83"/>
  <c r="X205" i="83"/>
  <c r="X199" i="83"/>
  <c r="X107" i="83"/>
  <c r="T38" i="36" l="1"/>
  <c r="AH211" i="83"/>
  <c r="I38" i="36" l="1"/>
  <c r="J38" i="36"/>
  <c r="N38" i="36"/>
  <c r="O38" i="36"/>
  <c r="K38" i="36"/>
  <c r="P38" i="36" l="1"/>
  <c r="M38" i="36"/>
  <c r="L38" i="36"/>
  <c r="Q38" i="36" l="1"/>
  <c r="R38" i="36" l="1"/>
  <c r="S38" i="36"/>
  <c r="AZ37" i="21"/>
  <c r="AM47" i="21"/>
  <c r="AM37" i="21"/>
  <c r="P36" i="21"/>
  <c r="P37" i="21"/>
  <c r="AM33" i="21"/>
  <c r="AM34" i="21"/>
  <c r="P33" i="21"/>
  <c r="P34" i="21"/>
  <c r="AZ31" i="21"/>
  <c r="AZ30" i="21"/>
  <c r="AO31" i="21"/>
  <c r="AO30" i="21"/>
  <c r="AD31" i="21"/>
  <c r="AD30" i="21"/>
  <c r="AM30" i="21"/>
  <c r="AM31" i="21"/>
  <c r="P30" i="21"/>
  <c r="P31" i="21"/>
  <c r="AM25" i="21"/>
  <c r="P25" i="21"/>
  <c r="C11" i="21"/>
  <c r="C15" i="21"/>
  <c r="W32" i="82"/>
  <c r="AH264" i="83"/>
  <c r="I47" i="69" s="1"/>
  <c r="BA37" i="21" l="1"/>
  <c r="AJ123" i="83"/>
  <c r="K28" i="36" s="1"/>
  <c r="AK123" i="83"/>
  <c r="L28" i="36" s="1"/>
  <c r="AL123" i="83"/>
  <c r="M28" i="36" s="1"/>
  <c r="AM123" i="83"/>
  <c r="N28" i="36" s="1"/>
  <c r="AN123" i="83"/>
  <c r="O28" i="36" s="1"/>
  <c r="AO123" i="83"/>
  <c r="P28" i="36" s="1"/>
  <c r="AP123" i="83"/>
  <c r="Q28" i="36" s="1"/>
  <c r="AQ123" i="83"/>
  <c r="R28" i="36" s="1"/>
  <c r="AR123" i="83"/>
  <c r="S28" i="36" s="1"/>
  <c r="AS123" i="83"/>
  <c r="T28" i="36" s="1"/>
  <c r="AI123" i="83"/>
  <c r="J28" i="36" s="1"/>
  <c r="AJ121" i="83"/>
  <c r="K29" i="131" s="1"/>
  <c r="AK121" i="83"/>
  <c r="L29" i="131" s="1"/>
  <c r="AL121" i="83"/>
  <c r="M29" i="131" s="1"/>
  <c r="AM121" i="83"/>
  <c r="N29" i="131" s="1"/>
  <c r="AN121" i="83"/>
  <c r="O29" i="131" s="1"/>
  <c r="AO121" i="83"/>
  <c r="P29" i="131" s="1"/>
  <c r="AP121" i="83"/>
  <c r="Q29" i="131" s="1"/>
  <c r="AQ121" i="83"/>
  <c r="R29" i="131" s="1"/>
  <c r="AR121" i="83"/>
  <c r="S29" i="131" s="1"/>
  <c r="AS121" i="83"/>
  <c r="T29" i="131" s="1"/>
  <c r="AI121" i="83"/>
  <c r="J29" i="131" s="1"/>
  <c r="AJ119" i="83"/>
  <c r="K29" i="129" s="1"/>
  <c r="AK119" i="83"/>
  <c r="L29" i="129" s="1"/>
  <c r="AL119" i="83"/>
  <c r="M29" i="129" s="1"/>
  <c r="AM119" i="83"/>
  <c r="N29" i="129" s="1"/>
  <c r="AN119" i="83"/>
  <c r="O29" i="129" s="1"/>
  <c r="AO119" i="83"/>
  <c r="P29" i="129" s="1"/>
  <c r="AP119" i="83"/>
  <c r="Q29" i="129" s="1"/>
  <c r="AQ119" i="83"/>
  <c r="R29" i="129" s="1"/>
  <c r="AR119" i="83"/>
  <c r="S29" i="129" s="1"/>
  <c r="AS119" i="83"/>
  <c r="T29" i="129" s="1"/>
  <c r="AI119" i="83"/>
  <c r="J29" i="129" s="1"/>
  <c r="AJ117" i="83"/>
  <c r="K29" i="128" s="1"/>
  <c r="AK117" i="83"/>
  <c r="L29" i="128" s="1"/>
  <c r="AL117" i="83"/>
  <c r="M29" i="128" s="1"/>
  <c r="AM117" i="83"/>
  <c r="N29" i="128" s="1"/>
  <c r="AN117" i="83"/>
  <c r="O29" i="128" s="1"/>
  <c r="AO117" i="83"/>
  <c r="P29" i="128" s="1"/>
  <c r="AP117" i="83"/>
  <c r="Q29" i="128" s="1"/>
  <c r="AQ117" i="83"/>
  <c r="R29" i="128" s="1"/>
  <c r="AR117" i="83"/>
  <c r="S29" i="128" s="1"/>
  <c r="AS117" i="83"/>
  <c r="T29" i="128" s="1"/>
  <c r="AI117" i="83"/>
  <c r="J29" i="128" s="1"/>
  <c r="AJ115" i="83"/>
  <c r="K29" i="127" s="1"/>
  <c r="AK115" i="83"/>
  <c r="L29" i="127" s="1"/>
  <c r="AL115" i="83"/>
  <c r="M29" i="127" s="1"/>
  <c r="AM115" i="83"/>
  <c r="N29" i="127" s="1"/>
  <c r="AN115" i="83"/>
  <c r="O29" i="127" s="1"/>
  <c r="AO115" i="83"/>
  <c r="P29" i="127" s="1"/>
  <c r="AP115" i="83"/>
  <c r="Q29" i="127" s="1"/>
  <c r="AQ115" i="83"/>
  <c r="R29" i="127" s="1"/>
  <c r="AR115" i="83"/>
  <c r="S29" i="127" s="1"/>
  <c r="AS115" i="83"/>
  <c r="T29" i="127" s="1"/>
  <c r="AI115" i="83"/>
  <c r="J29" i="127" s="1"/>
  <c r="AJ113" i="83"/>
  <c r="K29" i="69" s="1"/>
  <c r="AK113" i="83"/>
  <c r="L29" i="69" s="1"/>
  <c r="AL113" i="83"/>
  <c r="M29" i="69" s="1"/>
  <c r="AM113" i="83"/>
  <c r="N29" i="69" s="1"/>
  <c r="AN113" i="83"/>
  <c r="O29" i="69" s="1"/>
  <c r="AO113" i="83"/>
  <c r="P29" i="69" s="1"/>
  <c r="AP113" i="83"/>
  <c r="Q29" i="69" s="1"/>
  <c r="AQ113" i="83"/>
  <c r="R29" i="69" s="1"/>
  <c r="AR113" i="83"/>
  <c r="S29" i="69" s="1"/>
  <c r="AS113" i="83"/>
  <c r="T29" i="69" s="1"/>
  <c r="AI113" i="83"/>
  <c r="J29" i="69" s="1"/>
  <c r="AH234" i="83"/>
  <c r="I43" i="69" s="1"/>
  <c r="AH54" i="83"/>
  <c r="AH53" i="83"/>
  <c r="W352" i="83"/>
  <c r="W205" i="83"/>
  <c r="W199" i="83"/>
  <c r="T107" i="83"/>
  <c r="U107" i="83"/>
  <c r="V107" i="83"/>
  <c r="W107" i="83"/>
  <c r="S107" i="83"/>
  <c r="AH55" i="83" l="1"/>
  <c r="W91" i="83"/>
  <c r="W87" i="83"/>
  <c r="W89" i="83" s="1"/>
  <c r="W86" i="83"/>
  <c r="W83" i="83"/>
  <c r="W80" i="83"/>
  <c r="W77" i="83"/>
  <c r="W68" i="83"/>
  <c r="W90" i="83" s="1"/>
  <c r="W67" i="83"/>
  <c r="W64" i="83"/>
  <c r="W61" i="83"/>
  <c r="W58" i="83"/>
  <c r="I24" i="69" l="1"/>
  <c r="I24" i="127"/>
  <c r="W92" i="83"/>
  <c r="W70" i="83"/>
  <c r="T239" i="83"/>
  <c r="U239" i="83"/>
  <c r="V239" i="83"/>
  <c r="W239" i="83"/>
  <c r="S239" i="83"/>
  <c r="AJ239" i="83" l="1"/>
  <c r="K43" i="36" s="1"/>
  <c r="AH239" i="83"/>
  <c r="I43" i="36" s="1"/>
  <c r="AI239" i="83"/>
  <c r="J43" i="36" s="1"/>
  <c r="AK239" i="83"/>
  <c r="L43" i="36" s="1"/>
  <c r="AL239" i="83"/>
  <c r="M43" i="36" s="1"/>
  <c r="AM239" i="83"/>
  <c r="N43" i="36" s="1"/>
  <c r="G35" i="69" l="1"/>
  <c r="H35" i="69"/>
  <c r="G33" i="137"/>
  <c r="G33" i="131" s="1"/>
  <c r="G30" i="137"/>
  <c r="G30" i="131" s="1"/>
  <c r="H30" i="137"/>
  <c r="H30" i="131" s="1"/>
  <c r="G29" i="137"/>
  <c r="G29" i="131" s="1"/>
  <c r="H29" i="137"/>
  <c r="H29" i="131" s="1"/>
  <c r="G24" i="137"/>
  <c r="G24" i="131" s="1"/>
  <c r="AZ25" i="21"/>
  <c r="G49" i="137"/>
  <c r="AO37" i="21"/>
  <c r="G33" i="136"/>
  <c r="G33" i="129" s="1"/>
  <c r="G30" i="136"/>
  <c r="G30" i="129" s="1"/>
  <c r="H30" i="136"/>
  <c r="H30" i="129" s="1"/>
  <c r="G29" i="136"/>
  <c r="G29" i="129" s="1"/>
  <c r="H29" i="136"/>
  <c r="H29" i="129" s="1"/>
  <c r="G24" i="129"/>
  <c r="AO25" i="21"/>
  <c r="G49" i="128"/>
  <c r="AD37" i="21"/>
  <c r="G33" i="135"/>
  <c r="G33" i="128" s="1"/>
  <c r="G30" i="135"/>
  <c r="G30" i="128" s="1"/>
  <c r="H30" i="135"/>
  <c r="H30" i="128" s="1"/>
  <c r="G29" i="135"/>
  <c r="G29" i="128" s="1"/>
  <c r="H29" i="135"/>
  <c r="H29" i="128" s="1"/>
  <c r="G24" i="135"/>
  <c r="G24" i="128" s="1"/>
  <c r="G46" i="127"/>
  <c r="H46" i="127"/>
  <c r="G36" i="134"/>
  <c r="G36" i="127" s="1"/>
  <c r="S37" i="21"/>
  <c r="H36" i="134"/>
  <c r="H36" i="127" s="1"/>
  <c r="G33" i="134"/>
  <c r="G33" i="127" s="1"/>
  <c r="S34" i="21"/>
  <c r="H33" i="134"/>
  <c r="H33" i="127" s="1"/>
  <c r="G32" i="134"/>
  <c r="G32" i="127" s="1"/>
  <c r="S33" i="21"/>
  <c r="H32" i="134"/>
  <c r="H32" i="127" s="1"/>
  <c r="G30" i="134"/>
  <c r="G30" i="127" s="1"/>
  <c r="S31" i="21"/>
  <c r="H30" i="134"/>
  <c r="H30" i="127" s="1"/>
  <c r="G29" i="134"/>
  <c r="G29" i="127" s="1"/>
  <c r="S30" i="21"/>
  <c r="H29" i="134"/>
  <c r="H29" i="127" s="1"/>
  <c r="G24" i="134"/>
  <c r="G24" i="127" s="1"/>
  <c r="S25" i="21"/>
  <c r="H24" i="134"/>
  <c r="H24" i="127" s="1"/>
  <c r="G49" i="69"/>
  <c r="G37" i="73"/>
  <c r="H37" i="73"/>
  <c r="G33" i="73"/>
  <c r="G33" i="69" s="1"/>
  <c r="H33" i="73"/>
  <c r="G32" i="73"/>
  <c r="G32" i="69" s="1"/>
  <c r="H32" i="73"/>
  <c r="G30" i="73"/>
  <c r="G30" i="69" s="1"/>
  <c r="H30" i="73"/>
  <c r="G29" i="73"/>
  <c r="G29" i="69" s="1"/>
  <c r="H29" i="73"/>
  <c r="G24" i="73"/>
  <c r="G24" i="69" s="1"/>
  <c r="H24" i="73"/>
  <c r="D23" i="35"/>
  <c r="D39" i="35"/>
  <c r="H24" i="137" l="1"/>
  <c r="H24" i="131" s="1"/>
  <c r="BA25" i="21"/>
  <c r="BA33" i="21"/>
  <c r="BA34" i="21"/>
  <c r="I25" i="21"/>
  <c r="I31" i="21"/>
  <c r="K31" i="21" s="1"/>
  <c r="I37" i="21"/>
  <c r="T25" i="21"/>
  <c r="T34" i="21"/>
  <c r="T37" i="21"/>
  <c r="AE25" i="21"/>
  <c r="AE34" i="21"/>
  <c r="AP33" i="21"/>
  <c r="AP34" i="21"/>
  <c r="AP37" i="21"/>
  <c r="I30" i="21"/>
  <c r="T33" i="21"/>
  <c r="AE33" i="21"/>
  <c r="AE37" i="21"/>
  <c r="H24" i="129"/>
  <c r="H33" i="136"/>
  <c r="H33" i="129" s="1"/>
  <c r="AO33" i="21"/>
  <c r="H29" i="69"/>
  <c r="H30" i="21"/>
  <c r="H32" i="69"/>
  <c r="H33" i="21"/>
  <c r="H49" i="137"/>
  <c r="H33" i="137"/>
  <c r="H33" i="131" s="1"/>
  <c r="AZ33" i="21"/>
  <c r="AE30" i="21"/>
  <c r="BA30" i="21"/>
  <c r="AP30" i="21"/>
  <c r="T30" i="21"/>
  <c r="AE31" i="21"/>
  <c r="AG31" i="21" s="1"/>
  <c r="T31" i="21"/>
  <c r="V31" i="21" s="1"/>
  <c r="BA31" i="21"/>
  <c r="BC31" i="21" s="1"/>
  <c r="AP31" i="21"/>
  <c r="AR31" i="21" s="1"/>
  <c r="H49" i="69"/>
  <c r="H24" i="135"/>
  <c r="H24" i="128" s="1"/>
  <c r="AD25" i="21"/>
  <c r="H33" i="135"/>
  <c r="H33" i="128" s="1"/>
  <c r="AD33" i="21"/>
  <c r="H49" i="128"/>
  <c r="H24" i="69"/>
  <c r="H25" i="21"/>
  <c r="H30" i="69"/>
  <c r="H31" i="21"/>
  <c r="H33" i="69"/>
  <c r="H34" i="21"/>
  <c r="D44" i="35" l="1"/>
  <c r="AE39" i="35"/>
  <c r="D58" i="137" l="1"/>
  <c r="AZ48" i="21"/>
  <c r="AZ46" i="21"/>
  <c r="G45" i="137"/>
  <c r="AZ44" i="21"/>
  <c r="G43" i="137"/>
  <c r="G43" i="131" s="1"/>
  <c r="H43" i="137"/>
  <c r="H43" i="131" s="1"/>
  <c r="AZ42" i="21"/>
  <c r="G41" i="137"/>
  <c r="G41" i="131" s="1"/>
  <c r="AZ41" i="21"/>
  <c r="G40" i="137"/>
  <c r="G40" i="131" s="1"/>
  <c r="H37" i="137"/>
  <c r="H37" i="131" s="1"/>
  <c r="G37" i="137"/>
  <c r="G37" i="131" s="1"/>
  <c r="H36" i="137"/>
  <c r="H36" i="131" s="1"/>
  <c r="G36" i="137"/>
  <c r="G36" i="131" s="1"/>
  <c r="H32" i="137"/>
  <c r="H32" i="131" s="1"/>
  <c r="G32" i="137"/>
  <c r="G32" i="131" s="1"/>
  <c r="AZ28" i="21"/>
  <c r="G27" i="137"/>
  <c r="G27" i="131" s="1"/>
  <c r="AZ27" i="21"/>
  <c r="G26" i="137"/>
  <c r="G26" i="131" s="1"/>
  <c r="AZ23" i="21"/>
  <c r="G22" i="137"/>
  <c r="G22" i="131" s="1"/>
  <c r="AZ22" i="21"/>
  <c r="G21" i="137"/>
  <c r="G21" i="131" s="1"/>
  <c r="AZ21" i="21"/>
  <c r="G20" i="137"/>
  <c r="G20" i="131" s="1"/>
  <c r="F18" i="137"/>
  <c r="AZ18" i="21"/>
  <c r="G17" i="137"/>
  <c r="G17" i="131" s="1"/>
  <c r="H17" i="137"/>
  <c r="H17" i="131" s="1"/>
  <c r="AZ17" i="21"/>
  <c r="G16" i="137"/>
  <c r="G16" i="131" s="1"/>
  <c r="H16" i="137"/>
  <c r="H16" i="131" s="1"/>
  <c r="G15" i="131"/>
  <c r="AZ16" i="21"/>
  <c r="G14" i="137"/>
  <c r="G14" i="131" s="1"/>
  <c r="T12" i="137"/>
  <c r="AZ14" i="21" s="1"/>
  <c r="S12" i="137"/>
  <c r="R12" i="137"/>
  <c r="Q12" i="137"/>
  <c r="P12" i="137"/>
  <c r="O12" i="137"/>
  <c r="N12" i="137"/>
  <c r="G12" i="137" s="1"/>
  <c r="G12" i="131" s="1"/>
  <c r="M12" i="137"/>
  <c r="L12" i="137"/>
  <c r="K12" i="137"/>
  <c r="J12" i="137"/>
  <c r="I12" i="137"/>
  <c r="T11" i="137"/>
  <c r="AZ13" i="21" s="1"/>
  <c r="S11" i="137"/>
  <c r="R11" i="137"/>
  <c r="Q11" i="137"/>
  <c r="P11" i="137"/>
  <c r="O11" i="137"/>
  <c r="N11" i="137"/>
  <c r="G11" i="137" s="1"/>
  <c r="G11" i="131" s="1"/>
  <c r="M11" i="137"/>
  <c r="L11" i="137"/>
  <c r="K11" i="137"/>
  <c r="J11" i="137"/>
  <c r="I11" i="137"/>
  <c r="AZ12" i="21"/>
  <c r="G10" i="137"/>
  <c r="G10" i="131" s="1"/>
  <c r="H10" i="137"/>
  <c r="H10" i="131" s="1"/>
  <c r="T8" i="137"/>
  <c r="AZ10" i="21" s="1"/>
  <c r="S8" i="137"/>
  <c r="R8" i="137"/>
  <c r="Q8" i="137"/>
  <c r="P8" i="137"/>
  <c r="O8" i="137"/>
  <c r="N8" i="137"/>
  <c r="G8" i="137" s="1"/>
  <c r="G8" i="131" s="1"/>
  <c r="M8" i="137"/>
  <c r="L8" i="137"/>
  <c r="K8" i="137"/>
  <c r="J8" i="137"/>
  <c r="I8" i="137"/>
  <c r="F7" i="137"/>
  <c r="D58" i="136"/>
  <c r="AO48" i="21"/>
  <c r="AO46" i="21"/>
  <c r="G45" i="136"/>
  <c r="G45" i="129" s="1"/>
  <c r="AO45" i="21"/>
  <c r="G44" i="129"/>
  <c r="AO44" i="21"/>
  <c r="G43" i="136"/>
  <c r="G43" i="129" s="1"/>
  <c r="AO42" i="21"/>
  <c r="G41" i="136"/>
  <c r="G41" i="129" s="1"/>
  <c r="G40" i="136"/>
  <c r="G40" i="129" s="1"/>
  <c r="G37" i="136"/>
  <c r="G37" i="129" s="1"/>
  <c r="H37" i="136"/>
  <c r="H37" i="129" s="1"/>
  <c r="H36" i="136"/>
  <c r="H36" i="129" s="1"/>
  <c r="G36" i="136"/>
  <c r="G36" i="129" s="1"/>
  <c r="H32" i="136"/>
  <c r="H32" i="129" s="1"/>
  <c r="G32" i="136"/>
  <c r="G32" i="129" s="1"/>
  <c r="G27" i="136"/>
  <c r="G27" i="129" s="1"/>
  <c r="AO27" i="21"/>
  <c r="G26" i="136"/>
  <c r="G26" i="129" s="1"/>
  <c r="AO23" i="21"/>
  <c r="G22" i="136"/>
  <c r="G22" i="129" s="1"/>
  <c r="AO22" i="21"/>
  <c r="G21" i="136"/>
  <c r="G21" i="129" s="1"/>
  <c r="AO21" i="21"/>
  <c r="G20" i="136"/>
  <c r="G20" i="129" s="1"/>
  <c r="F18" i="136"/>
  <c r="AO18" i="21"/>
  <c r="G17" i="136"/>
  <c r="G17" i="129" s="1"/>
  <c r="AO17" i="21"/>
  <c r="G16" i="136"/>
  <c r="G16" i="129" s="1"/>
  <c r="H16" i="136"/>
  <c r="H16" i="129" s="1"/>
  <c r="G15" i="129"/>
  <c r="AO16" i="21"/>
  <c r="G14" i="136"/>
  <c r="G14" i="129" s="1"/>
  <c r="T12" i="136"/>
  <c r="AO14" i="21" s="1"/>
  <c r="S12" i="136"/>
  <c r="R12" i="136"/>
  <c r="Q12" i="136"/>
  <c r="P12" i="136"/>
  <c r="O12" i="136"/>
  <c r="N12" i="136"/>
  <c r="G12" i="136" s="1"/>
  <c r="G12" i="129" s="1"/>
  <c r="M12" i="136"/>
  <c r="L12" i="136"/>
  <c r="K12" i="136"/>
  <c r="J12" i="136"/>
  <c r="I12" i="136"/>
  <c r="AO13" i="21"/>
  <c r="G11" i="136"/>
  <c r="G11" i="129" s="1"/>
  <c r="G10" i="136"/>
  <c r="G10" i="129" s="1"/>
  <c r="H10" i="136"/>
  <c r="H10" i="129" s="1"/>
  <c r="T8" i="136"/>
  <c r="AO10" i="21" s="1"/>
  <c r="S8" i="136"/>
  <c r="R8" i="136"/>
  <c r="Q8" i="136"/>
  <c r="P8" i="136"/>
  <c r="O8" i="136"/>
  <c r="N8" i="136"/>
  <c r="G8" i="136" s="1"/>
  <c r="G8" i="129" s="1"/>
  <c r="M8" i="136"/>
  <c r="L8" i="136"/>
  <c r="K8" i="136"/>
  <c r="J8" i="136"/>
  <c r="I8" i="136"/>
  <c r="F7" i="136"/>
  <c r="D58" i="135"/>
  <c r="H45" i="135"/>
  <c r="H45" i="128" s="1"/>
  <c r="G45" i="135"/>
  <c r="G45" i="128" s="1"/>
  <c r="AD45" i="21"/>
  <c r="G44" i="128"/>
  <c r="AD44" i="21"/>
  <c r="G43" i="135"/>
  <c r="G43" i="128" s="1"/>
  <c r="AD42" i="21"/>
  <c r="G41" i="135"/>
  <c r="G41" i="128" s="1"/>
  <c r="AD41" i="21"/>
  <c r="G40" i="135"/>
  <c r="G40" i="128" s="1"/>
  <c r="G37" i="135"/>
  <c r="G37" i="128" s="1"/>
  <c r="H37" i="135"/>
  <c r="H37" i="128" s="1"/>
  <c r="H36" i="135"/>
  <c r="H36" i="128" s="1"/>
  <c r="G36" i="135"/>
  <c r="G36" i="128" s="1"/>
  <c r="H32" i="135"/>
  <c r="H32" i="128" s="1"/>
  <c r="G32" i="135"/>
  <c r="G32" i="128" s="1"/>
  <c r="AD28" i="21"/>
  <c r="G27" i="135"/>
  <c r="G27" i="128" s="1"/>
  <c r="AD27" i="21"/>
  <c r="G26" i="135"/>
  <c r="G26" i="128" s="1"/>
  <c r="AD23" i="21"/>
  <c r="G22" i="135"/>
  <c r="G22" i="128" s="1"/>
  <c r="AD22" i="21"/>
  <c r="G21" i="135"/>
  <c r="G21" i="128" s="1"/>
  <c r="AD21" i="21"/>
  <c r="G20" i="135"/>
  <c r="G20" i="128" s="1"/>
  <c r="F18" i="135"/>
  <c r="AD18" i="21"/>
  <c r="G17" i="135"/>
  <c r="G17" i="128" s="1"/>
  <c r="AD17" i="21"/>
  <c r="G16" i="135"/>
  <c r="G16" i="128" s="1"/>
  <c r="G15" i="128"/>
  <c r="AD16" i="21"/>
  <c r="G14" i="135"/>
  <c r="G14" i="128" s="1"/>
  <c r="AD14" i="21"/>
  <c r="G12" i="135"/>
  <c r="G12" i="128" s="1"/>
  <c r="AD13" i="21"/>
  <c r="G11" i="135"/>
  <c r="G11" i="128" s="1"/>
  <c r="G10" i="135"/>
  <c r="G10" i="128" s="1"/>
  <c r="H10" i="135"/>
  <c r="H10" i="128" s="1"/>
  <c r="AD10" i="21"/>
  <c r="G8" i="135"/>
  <c r="G8" i="128" s="1"/>
  <c r="F7" i="135"/>
  <c r="D58" i="134"/>
  <c r="H47" i="134"/>
  <c r="H47" i="127" s="1"/>
  <c r="S48" i="21"/>
  <c r="G47" i="134"/>
  <c r="G47" i="127" s="1"/>
  <c r="H45" i="134"/>
  <c r="H45" i="127" s="1"/>
  <c r="S46" i="21"/>
  <c r="G45" i="134"/>
  <c r="G45" i="127" s="1"/>
  <c r="H44" i="127"/>
  <c r="S45" i="21"/>
  <c r="G44" i="127"/>
  <c r="H43" i="134"/>
  <c r="H43" i="127" s="1"/>
  <c r="S44" i="21"/>
  <c r="G43" i="134"/>
  <c r="G43" i="127" s="1"/>
  <c r="H41" i="134"/>
  <c r="H41" i="127" s="1"/>
  <c r="S42" i="21"/>
  <c r="G41" i="134"/>
  <c r="G41" i="127" s="1"/>
  <c r="H40" i="134"/>
  <c r="H40" i="127" s="1"/>
  <c r="G40" i="134"/>
  <c r="G40" i="127" s="1"/>
  <c r="H37" i="134"/>
  <c r="H37" i="127" s="1"/>
  <c r="S38" i="21"/>
  <c r="G37" i="134"/>
  <c r="G37" i="127" s="1"/>
  <c r="H27" i="134"/>
  <c r="H27" i="127" s="1"/>
  <c r="S28" i="21"/>
  <c r="G27" i="134"/>
  <c r="G27" i="127" s="1"/>
  <c r="S27" i="21"/>
  <c r="G26" i="134"/>
  <c r="G26" i="127" s="1"/>
  <c r="H26" i="134"/>
  <c r="H26" i="127" s="1"/>
  <c r="S24" i="21"/>
  <c r="H22" i="134"/>
  <c r="H22" i="127" s="1"/>
  <c r="S23" i="21"/>
  <c r="G22" i="134"/>
  <c r="G22" i="127" s="1"/>
  <c r="H21" i="134"/>
  <c r="H21" i="127" s="1"/>
  <c r="S22" i="21"/>
  <c r="G21" i="134"/>
  <c r="G21" i="127" s="1"/>
  <c r="H20" i="134"/>
  <c r="H20" i="127" s="1"/>
  <c r="S21" i="21"/>
  <c r="G20" i="134"/>
  <c r="G20" i="127" s="1"/>
  <c r="F18" i="134"/>
  <c r="S18" i="21"/>
  <c r="G17" i="134"/>
  <c r="G17" i="127" s="1"/>
  <c r="S17" i="21"/>
  <c r="G16" i="127"/>
  <c r="G15" i="127"/>
  <c r="S16" i="21"/>
  <c r="G14" i="134"/>
  <c r="G14" i="127" s="1"/>
  <c r="S14" i="21"/>
  <c r="G12" i="134"/>
  <c r="G12" i="127" s="1"/>
  <c r="H12" i="134"/>
  <c r="H12" i="127" s="1"/>
  <c r="S13" i="21"/>
  <c r="G11" i="134"/>
  <c r="G11" i="127" s="1"/>
  <c r="S12" i="21"/>
  <c r="G10" i="134"/>
  <c r="G10" i="127" s="1"/>
  <c r="H10" i="134"/>
  <c r="H10" i="127" s="1"/>
  <c r="S10" i="21"/>
  <c r="G8" i="134"/>
  <c r="G8" i="127" s="1"/>
  <c r="F7" i="134"/>
  <c r="H47" i="73"/>
  <c r="H47" i="69" s="1"/>
  <c r="G47" i="73"/>
  <c r="G47" i="69" s="1"/>
  <c r="H45" i="73"/>
  <c r="H45" i="69" s="1"/>
  <c r="G45" i="73"/>
  <c r="H44" i="69"/>
  <c r="G44" i="69"/>
  <c r="H43" i="73"/>
  <c r="G43" i="73"/>
  <c r="G43" i="69" s="1"/>
  <c r="H41" i="73"/>
  <c r="H41" i="69" s="1"/>
  <c r="G41" i="73"/>
  <c r="G41" i="69" s="1"/>
  <c r="H40" i="73"/>
  <c r="H40" i="69" s="1"/>
  <c r="G40" i="73"/>
  <c r="G40" i="69" s="1"/>
  <c r="G37" i="69"/>
  <c r="H36" i="73"/>
  <c r="G36" i="73"/>
  <c r="G36" i="69" s="1"/>
  <c r="G34" i="69"/>
  <c r="H27" i="73"/>
  <c r="H28" i="21" s="1"/>
  <c r="G27" i="73"/>
  <c r="G27" i="69" s="1"/>
  <c r="H26" i="73"/>
  <c r="G26" i="73"/>
  <c r="G26" i="69" s="1"/>
  <c r="H22" i="73"/>
  <c r="G22" i="73"/>
  <c r="G22" i="69" s="1"/>
  <c r="H21" i="73"/>
  <c r="G21" i="73"/>
  <c r="G21" i="69" s="1"/>
  <c r="H20" i="73"/>
  <c r="G20" i="73"/>
  <c r="G20" i="69" s="1"/>
  <c r="F18" i="73"/>
  <c r="H17" i="73"/>
  <c r="H17" i="69" s="1"/>
  <c r="H16" i="73"/>
  <c r="H16" i="69" s="1"/>
  <c r="H15" i="69"/>
  <c r="H14" i="73"/>
  <c r="H14" i="69" s="1"/>
  <c r="H12" i="73"/>
  <c r="H14" i="21" s="1"/>
  <c r="H11" i="73"/>
  <c r="H13" i="21" s="1"/>
  <c r="G10" i="69"/>
  <c r="H10" i="73"/>
  <c r="H12" i="21" s="1"/>
  <c r="H8" i="73"/>
  <c r="H10" i="21" s="1"/>
  <c r="F7" i="73"/>
  <c r="D72" i="58"/>
  <c r="H60" i="58"/>
  <c r="G60" i="58"/>
  <c r="G59" i="36" s="1"/>
  <c r="H58" i="58"/>
  <c r="G58" i="58"/>
  <c r="G57" i="36" s="1"/>
  <c r="H56" i="58"/>
  <c r="H55" i="36" s="1"/>
  <c r="G56" i="58"/>
  <c r="G55" i="36" s="1"/>
  <c r="H55" i="58"/>
  <c r="G55" i="58"/>
  <c r="G54" i="36" s="1"/>
  <c r="H53" i="58"/>
  <c r="H52" i="36" s="1"/>
  <c r="G53" i="58"/>
  <c r="G52" i="36" s="1"/>
  <c r="U52" i="58"/>
  <c r="H52" i="58"/>
  <c r="H51" i="36" s="1"/>
  <c r="G52" i="58"/>
  <c r="G51" i="36" s="1"/>
  <c r="U51" i="58"/>
  <c r="H51" i="58"/>
  <c r="G51" i="58"/>
  <c r="G50" i="36" s="1"/>
  <c r="H48" i="58"/>
  <c r="G48" i="58"/>
  <c r="G47" i="36" s="1"/>
  <c r="H44" i="58"/>
  <c r="G44" i="58"/>
  <c r="G43" i="36" s="1"/>
  <c r="H42" i="58"/>
  <c r="H41" i="36" s="1"/>
  <c r="G42" i="58"/>
  <c r="G41" i="36" s="1"/>
  <c r="H40" i="58"/>
  <c r="G40" i="58"/>
  <c r="G39" i="36" s="1"/>
  <c r="H39" i="58"/>
  <c r="G39" i="58"/>
  <c r="G38" i="36" s="1"/>
  <c r="H38" i="58"/>
  <c r="H37" i="36" s="1"/>
  <c r="G38" i="58"/>
  <c r="G37" i="36" s="1"/>
  <c r="H32" i="58"/>
  <c r="G32" i="58"/>
  <c r="G32" i="36" s="1"/>
  <c r="H31" i="58"/>
  <c r="G31" i="58"/>
  <c r="G31" i="36" s="1"/>
  <c r="H29" i="58"/>
  <c r="H29" i="36" s="1"/>
  <c r="G29" i="58"/>
  <c r="G29" i="36" s="1"/>
  <c r="H28" i="58"/>
  <c r="H28" i="36" s="1"/>
  <c r="G28" i="58"/>
  <c r="G28" i="36" s="1"/>
  <c r="H26" i="58"/>
  <c r="G26" i="58"/>
  <c r="G26" i="36" s="1"/>
  <c r="H25" i="58"/>
  <c r="H25" i="36" s="1"/>
  <c r="G25" i="58"/>
  <c r="G25" i="36" s="1"/>
  <c r="H20" i="58"/>
  <c r="G20" i="58"/>
  <c r="G20" i="36" s="1"/>
  <c r="H19" i="58"/>
  <c r="H19" i="36" s="1"/>
  <c r="G19" i="58"/>
  <c r="G19" i="36" s="1"/>
  <c r="F17" i="58"/>
  <c r="H16" i="58"/>
  <c r="G16" i="58"/>
  <c r="G16" i="36" s="1"/>
  <c r="H15" i="58"/>
  <c r="G15" i="58"/>
  <c r="G15" i="36" s="1"/>
  <c r="H14" i="58"/>
  <c r="F14" i="35" s="1"/>
  <c r="G14" i="58"/>
  <c r="G14" i="36" s="1"/>
  <c r="T12" i="58"/>
  <c r="H12" i="58" s="1"/>
  <c r="F12" i="35" s="1"/>
  <c r="S12" i="58"/>
  <c r="R12" i="58"/>
  <c r="Q12" i="58"/>
  <c r="P12" i="58"/>
  <c r="O12" i="58"/>
  <c r="G12" i="58"/>
  <c r="G12" i="36" s="1"/>
  <c r="T11" i="58"/>
  <c r="H11" i="58" s="1"/>
  <c r="S11" i="58"/>
  <c r="R11" i="58"/>
  <c r="Q11" i="58"/>
  <c r="P11" i="58"/>
  <c r="O11" i="58"/>
  <c r="G11" i="58"/>
  <c r="G11" i="36" s="1"/>
  <c r="T10" i="58"/>
  <c r="S10" i="58"/>
  <c r="R10" i="58"/>
  <c r="Q10" i="58"/>
  <c r="P10" i="58"/>
  <c r="G10" i="58"/>
  <c r="G10" i="36" s="1"/>
  <c r="F7" i="58"/>
  <c r="B56" i="131"/>
  <c r="E55" i="131"/>
  <c r="E53" i="131"/>
  <c r="E52" i="131"/>
  <c r="E51" i="131"/>
  <c r="E40" i="131"/>
  <c r="E39" i="131"/>
  <c r="E38" i="131"/>
  <c r="E34" i="131"/>
  <c r="E32" i="131"/>
  <c r="E27" i="131"/>
  <c r="E26" i="131"/>
  <c r="E23" i="131"/>
  <c r="E22" i="131"/>
  <c r="E21" i="131"/>
  <c r="E20" i="131"/>
  <c r="C20" i="131"/>
  <c r="F19" i="131"/>
  <c r="B19" i="131"/>
  <c r="A19" i="131"/>
  <c r="B18" i="131"/>
  <c r="A18" i="131"/>
  <c r="E17" i="131"/>
  <c r="D17" i="131"/>
  <c r="C17" i="131"/>
  <c r="B17" i="131"/>
  <c r="D16" i="131"/>
  <c r="C16" i="131"/>
  <c r="B16" i="131"/>
  <c r="D15" i="131"/>
  <c r="C15" i="131"/>
  <c r="B15" i="131"/>
  <c r="D14" i="131"/>
  <c r="C14" i="131"/>
  <c r="B14" i="131"/>
  <c r="F13" i="131"/>
  <c r="B13" i="131"/>
  <c r="A13" i="131"/>
  <c r="E12" i="131"/>
  <c r="D12" i="131"/>
  <c r="C12" i="131"/>
  <c r="B12" i="131"/>
  <c r="E11" i="131"/>
  <c r="D11" i="131"/>
  <c r="C11" i="131"/>
  <c r="B11" i="131"/>
  <c r="E10" i="131"/>
  <c r="D10" i="131"/>
  <c r="C10" i="131"/>
  <c r="B10" i="131"/>
  <c r="F9" i="131"/>
  <c r="B9" i="131"/>
  <c r="A9" i="131"/>
  <c r="F8" i="131"/>
  <c r="E8" i="131"/>
  <c r="D8" i="131"/>
  <c r="C8" i="131"/>
  <c r="B8" i="131"/>
  <c r="A8" i="131"/>
  <c r="B7" i="131"/>
  <c r="B56" i="129"/>
  <c r="E55" i="129"/>
  <c r="E53" i="129"/>
  <c r="E52" i="129"/>
  <c r="E51" i="129"/>
  <c r="E50" i="129"/>
  <c r="E34" i="129"/>
  <c r="E32" i="129"/>
  <c r="E27" i="129"/>
  <c r="E26" i="129"/>
  <c r="E23" i="129"/>
  <c r="E22" i="129"/>
  <c r="E21" i="129"/>
  <c r="E20" i="129"/>
  <c r="D20" i="129"/>
  <c r="C20" i="129"/>
  <c r="F19" i="129"/>
  <c r="B19" i="129"/>
  <c r="A19" i="129"/>
  <c r="B18" i="129"/>
  <c r="A18" i="129"/>
  <c r="E17" i="129"/>
  <c r="C17" i="129"/>
  <c r="B17" i="129"/>
  <c r="C16" i="129"/>
  <c r="B16" i="129"/>
  <c r="C15" i="129"/>
  <c r="B15" i="129"/>
  <c r="C14" i="129"/>
  <c r="B14" i="129"/>
  <c r="B13" i="129"/>
  <c r="A13" i="129"/>
  <c r="E12" i="129"/>
  <c r="C12" i="129"/>
  <c r="B12" i="129"/>
  <c r="E11" i="129"/>
  <c r="C11" i="129"/>
  <c r="B11" i="129"/>
  <c r="E10" i="129"/>
  <c r="C10" i="129"/>
  <c r="B10" i="129"/>
  <c r="B9" i="129"/>
  <c r="A9" i="129"/>
  <c r="F8" i="129"/>
  <c r="E8" i="129"/>
  <c r="D8" i="129"/>
  <c r="C8" i="129"/>
  <c r="B8" i="129"/>
  <c r="A8" i="129"/>
  <c r="B7" i="129"/>
  <c r="B56" i="128"/>
  <c r="E55" i="128"/>
  <c r="E53" i="128"/>
  <c r="E52" i="128"/>
  <c r="E51" i="128"/>
  <c r="E50" i="128"/>
  <c r="E44" i="128"/>
  <c r="E43" i="128"/>
  <c r="E42" i="128"/>
  <c r="E41" i="128"/>
  <c r="E39" i="128"/>
  <c r="E22" i="128"/>
  <c r="E21" i="128"/>
  <c r="E20" i="128"/>
  <c r="D20" i="128"/>
  <c r="C20" i="128"/>
  <c r="F19" i="128"/>
  <c r="B19" i="128"/>
  <c r="A19" i="128"/>
  <c r="B18" i="128"/>
  <c r="A18" i="128"/>
  <c r="E17" i="128"/>
  <c r="C17" i="128"/>
  <c r="B17" i="128"/>
  <c r="E16" i="128"/>
  <c r="C16" i="128"/>
  <c r="B16" i="128"/>
  <c r="E15" i="128"/>
  <c r="C15" i="128"/>
  <c r="B15" i="128"/>
  <c r="C14" i="128"/>
  <c r="B14" i="128"/>
  <c r="B13" i="128"/>
  <c r="A13" i="128"/>
  <c r="C12" i="128"/>
  <c r="B12" i="128"/>
  <c r="C11" i="128"/>
  <c r="B11" i="128"/>
  <c r="E10" i="128"/>
  <c r="C10" i="128"/>
  <c r="B10" i="128"/>
  <c r="B9" i="128"/>
  <c r="A9" i="128"/>
  <c r="F8" i="128"/>
  <c r="F7" i="128" s="1"/>
  <c r="E8" i="128"/>
  <c r="D8" i="128"/>
  <c r="C8" i="128"/>
  <c r="B8" i="128"/>
  <c r="A8" i="128"/>
  <c r="B7" i="128"/>
  <c r="B56" i="127"/>
  <c r="E55" i="127"/>
  <c r="E53" i="127"/>
  <c r="E52" i="127"/>
  <c r="E51" i="127"/>
  <c r="E40" i="127"/>
  <c r="E39" i="127"/>
  <c r="E38" i="127"/>
  <c r="E34" i="127"/>
  <c r="E31" i="127"/>
  <c r="E27" i="127"/>
  <c r="E26" i="127"/>
  <c r="E23" i="127"/>
  <c r="E22" i="127"/>
  <c r="E21" i="127"/>
  <c r="E20" i="127"/>
  <c r="D20" i="127"/>
  <c r="C20" i="127"/>
  <c r="F19" i="127"/>
  <c r="B19" i="127"/>
  <c r="A19" i="127"/>
  <c r="B18" i="127"/>
  <c r="A18" i="127"/>
  <c r="E17" i="127"/>
  <c r="C17" i="127"/>
  <c r="B17" i="127"/>
  <c r="E16" i="127"/>
  <c r="C16" i="127"/>
  <c r="B16" i="127"/>
  <c r="E15" i="127"/>
  <c r="C15" i="127"/>
  <c r="B15" i="127"/>
  <c r="C14" i="127"/>
  <c r="B14" i="127"/>
  <c r="B13" i="127"/>
  <c r="A13" i="127"/>
  <c r="C12" i="127"/>
  <c r="B12" i="127"/>
  <c r="C11" i="127"/>
  <c r="B11" i="127"/>
  <c r="E10" i="127"/>
  <c r="C10" i="127"/>
  <c r="B10" i="127"/>
  <c r="B9" i="127"/>
  <c r="A9" i="127"/>
  <c r="F8" i="127"/>
  <c r="E8" i="127"/>
  <c r="D8" i="127"/>
  <c r="C8" i="127"/>
  <c r="B8" i="127"/>
  <c r="A8" i="127"/>
  <c r="B7" i="127"/>
  <c r="B56" i="69"/>
  <c r="E55" i="69"/>
  <c r="E53" i="69"/>
  <c r="E52" i="69"/>
  <c r="E51" i="69"/>
  <c r="E50" i="69"/>
  <c r="H37" i="69"/>
  <c r="T34" i="69"/>
  <c r="S34" i="69"/>
  <c r="R34" i="69"/>
  <c r="Q34" i="69"/>
  <c r="P34" i="69"/>
  <c r="O34" i="69"/>
  <c r="N34" i="69"/>
  <c r="M34" i="69"/>
  <c r="L34" i="69"/>
  <c r="K34" i="69"/>
  <c r="J34" i="69"/>
  <c r="I34" i="69"/>
  <c r="E34" i="69"/>
  <c r="E31" i="69"/>
  <c r="E27" i="69"/>
  <c r="E26" i="69"/>
  <c r="E23" i="69"/>
  <c r="E22" i="69"/>
  <c r="E21" i="69"/>
  <c r="E20" i="69"/>
  <c r="C20" i="69"/>
  <c r="F19" i="69"/>
  <c r="B19" i="69"/>
  <c r="A19" i="69"/>
  <c r="B18" i="69"/>
  <c r="A18" i="69"/>
  <c r="F17" i="69"/>
  <c r="E17" i="69"/>
  <c r="D17" i="69"/>
  <c r="B17" i="69"/>
  <c r="D16" i="69"/>
  <c r="B16" i="69"/>
  <c r="D15" i="69"/>
  <c r="B15" i="69"/>
  <c r="D14" i="69"/>
  <c r="B14" i="69"/>
  <c r="F13" i="69"/>
  <c r="B13" i="69"/>
  <c r="A13" i="69"/>
  <c r="E12" i="69"/>
  <c r="D12" i="69"/>
  <c r="B12" i="69"/>
  <c r="E11" i="69"/>
  <c r="D11" i="69"/>
  <c r="B11" i="69"/>
  <c r="E10" i="69"/>
  <c r="D10" i="69"/>
  <c r="B10" i="69"/>
  <c r="F9" i="69"/>
  <c r="B9" i="69"/>
  <c r="A9" i="69"/>
  <c r="F8" i="69"/>
  <c r="E8" i="69"/>
  <c r="D8" i="69"/>
  <c r="C8" i="69"/>
  <c r="B8" i="69"/>
  <c r="A8" i="69"/>
  <c r="B7" i="69"/>
  <c r="U58" i="36"/>
  <c r="U56" i="36"/>
  <c r="U55" i="36"/>
  <c r="U54" i="36"/>
  <c r="U53" i="36"/>
  <c r="D16" i="36"/>
  <c r="B16" i="36"/>
  <c r="A16" i="36"/>
  <c r="D15" i="36"/>
  <c r="B15" i="36"/>
  <c r="D14" i="36"/>
  <c r="B14" i="36"/>
  <c r="B13" i="36"/>
  <c r="A13" i="36"/>
  <c r="D12" i="36"/>
  <c r="B12" i="36"/>
  <c r="D11" i="36"/>
  <c r="B11" i="36"/>
  <c r="D10" i="36"/>
  <c r="B10" i="36"/>
  <c r="B9" i="36"/>
  <c r="A9" i="36"/>
  <c r="D8" i="36"/>
  <c r="B8" i="36"/>
  <c r="A8" i="36"/>
  <c r="F7" i="36"/>
  <c r="P48" i="21"/>
  <c r="P46" i="21"/>
  <c r="AM45" i="21"/>
  <c r="P45" i="21"/>
  <c r="AM44" i="21"/>
  <c r="P44" i="21"/>
  <c r="AM42" i="21"/>
  <c r="P42" i="21"/>
  <c r="AM41" i="21"/>
  <c r="P41" i="21"/>
  <c r="AO38" i="21"/>
  <c r="AM38" i="21"/>
  <c r="AP38" i="21"/>
  <c r="AD38" i="21"/>
  <c r="P38" i="21"/>
  <c r="H38" i="21"/>
  <c r="AM28" i="21"/>
  <c r="P28" i="21"/>
  <c r="AM27" i="21"/>
  <c r="P27" i="21"/>
  <c r="AM23" i="21"/>
  <c r="P23" i="21"/>
  <c r="AM22" i="21"/>
  <c r="P22" i="21"/>
  <c r="AX21" i="21"/>
  <c r="AW21" i="21"/>
  <c r="AM21" i="21"/>
  <c r="AL21" i="21"/>
  <c r="AB21" i="21"/>
  <c r="AA21" i="21"/>
  <c r="Q21" i="21"/>
  <c r="P21" i="21"/>
  <c r="F21" i="21"/>
  <c r="E21" i="21"/>
  <c r="AY20" i="21"/>
  <c r="AV20" i="21"/>
  <c r="AU20" i="21"/>
  <c r="AN20" i="21"/>
  <c r="AK20" i="21"/>
  <c r="AJ20" i="21"/>
  <c r="AC20" i="21"/>
  <c r="Z20" i="21"/>
  <c r="Y20" i="21"/>
  <c r="R20" i="21"/>
  <c r="N20" i="21"/>
  <c r="D20" i="21"/>
  <c r="C20" i="21"/>
  <c r="D19" i="21"/>
  <c r="Z19" i="21" s="1"/>
  <c r="C19" i="21"/>
  <c r="AJ19" i="21" s="1"/>
  <c r="AX18" i="21"/>
  <c r="AW18" i="21"/>
  <c r="AV18" i="21"/>
  <c r="AM18" i="21"/>
  <c r="AL18" i="21"/>
  <c r="AB18" i="21"/>
  <c r="AA18" i="21"/>
  <c r="Z18" i="21"/>
  <c r="P18" i="21"/>
  <c r="O18" i="21"/>
  <c r="E18" i="21"/>
  <c r="D18" i="21"/>
  <c r="AX17" i="21"/>
  <c r="AW17" i="21"/>
  <c r="AV17" i="21"/>
  <c r="AM17" i="21"/>
  <c r="AL17" i="21"/>
  <c r="AK17" i="21"/>
  <c r="AB17" i="21"/>
  <c r="AA17" i="21"/>
  <c r="Z17" i="21"/>
  <c r="P17" i="21"/>
  <c r="O17" i="21"/>
  <c r="D17" i="21"/>
  <c r="AX16" i="21"/>
  <c r="AW16" i="21"/>
  <c r="AV16" i="21"/>
  <c r="AM16" i="21"/>
  <c r="AL16" i="21"/>
  <c r="AK16" i="21"/>
  <c r="AB16" i="21"/>
  <c r="AA16" i="21"/>
  <c r="Z16" i="21"/>
  <c r="P16" i="21"/>
  <c r="O16" i="21"/>
  <c r="D16" i="21"/>
  <c r="AY15" i="21"/>
  <c r="AV15" i="21"/>
  <c r="AU15" i="21"/>
  <c r="AN15" i="21"/>
  <c r="AK15" i="21"/>
  <c r="AJ15" i="21"/>
  <c r="AC15" i="21"/>
  <c r="Z15" i="21"/>
  <c r="Y15" i="21"/>
  <c r="R15" i="21"/>
  <c r="O15" i="21"/>
  <c r="N15" i="21"/>
  <c r="D15" i="21"/>
  <c r="AX14" i="21"/>
  <c r="AW14" i="21"/>
  <c r="AV14" i="21"/>
  <c r="AM14" i="21"/>
  <c r="AL14" i="21"/>
  <c r="AK14" i="21"/>
  <c r="AB14" i="21"/>
  <c r="AA14" i="21"/>
  <c r="Z14" i="21"/>
  <c r="P14" i="21"/>
  <c r="O14" i="21"/>
  <c r="E14" i="21"/>
  <c r="D14" i="21"/>
  <c r="AX13" i="21"/>
  <c r="AW13" i="21"/>
  <c r="AV13" i="21"/>
  <c r="AM13" i="21"/>
  <c r="AL13" i="21"/>
  <c r="AK13" i="21"/>
  <c r="AB13" i="21"/>
  <c r="AA13" i="21"/>
  <c r="Z13" i="21"/>
  <c r="P13" i="21"/>
  <c r="O13" i="21"/>
  <c r="E13" i="21"/>
  <c r="D13" i="21"/>
  <c r="AX12" i="21"/>
  <c r="AW12" i="21"/>
  <c r="AV12" i="21"/>
  <c r="AO12" i="21"/>
  <c r="AM12" i="21"/>
  <c r="AL12" i="21"/>
  <c r="AK12" i="21"/>
  <c r="AD12" i="21"/>
  <c r="AB12" i="21"/>
  <c r="AA12" i="21"/>
  <c r="Z12" i="21"/>
  <c r="AE12" i="21" s="1"/>
  <c r="P12" i="21"/>
  <c r="O12" i="21"/>
  <c r="E12" i="21"/>
  <c r="D12" i="21"/>
  <c r="AV11" i="21"/>
  <c r="AU11" i="21"/>
  <c r="AK11" i="21"/>
  <c r="AJ11" i="21"/>
  <c r="Z11" i="21"/>
  <c r="Y11" i="21"/>
  <c r="O11" i="21"/>
  <c r="N11" i="21"/>
  <c r="D11" i="21"/>
  <c r="AX10" i="21"/>
  <c r="AW10" i="21"/>
  <c r="AV10" i="21"/>
  <c r="AU10" i="21"/>
  <c r="AM10" i="21"/>
  <c r="AL10" i="21"/>
  <c r="AK10" i="21"/>
  <c r="AJ10" i="21"/>
  <c r="AB10" i="21"/>
  <c r="AA10" i="21"/>
  <c r="Z10" i="21"/>
  <c r="Y10" i="21"/>
  <c r="P10" i="21"/>
  <c r="O10" i="21"/>
  <c r="N10" i="21"/>
  <c r="F10" i="21"/>
  <c r="E10" i="21"/>
  <c r="D10" i="21"/>
  <c r="C10" i="21"/>
  <c r="AJ9" i="21"/>
  <c r="Y9" i="21"/>
  <c r="N9" i="21"/>
  <c r="D9" i="21"/>
  <c r="AK9" i="21" s="1"/>
  <c r="BA6" i="21"/>
  <c r="AP6" i="21"/>
  <c r="AE6" i="21"/>
  <c r="T6" i="21"/>
  <c r="I6" i="21"/>
  <c r="AV3" i="21"/>
  <c r="AK3" i="21"/>
  <c r="Z3" i="21"/>
  <c r="O3" i="21"/>
  <c r="D49" i="133"/>
  <c r="B49" i="133"/>
  <c r="A49" i="133"/>
  <c r="D48" i="133"/>
  <c r="B48" i="133"/>
  <c r="A48" i="133"/>
  <c r="D47" i="133"/>
  <c r="B47" i="133"/>
  <c r="A47" i="133"/>
  <c r="D46" i="133"/>
  <c r="B46" i="133"/>
  <c r="A46" i="133"/>
  <c r="B45" i="133"/>
  <c r="A45" i="133"/>
  <c r="I44" i="133"/>
  <c r="J44" i="133" s="1"/>
  <c r="D44" i="133"/>
  <c r="C44" i="133"/>
  <c r="B44" i="133"/>
  <c r="A44" i="133"/>
  <c r="D43" i="133"/>
  <c r="C43" i="133"/>
  <c r="B43" i="133"/>
  <c r="A43" i="133"/>
  <c r="T42" i="133"/>
  <c r="B42" i="133"/>
  <c r="A42" i="133"/>
  <c r="T41" i="133"/>
  <c r="I41" i="133"/>
  <c r="E41" i="133"/>
  <c r="D41" i="133"/>
  <c r="C41" i="133"/>
  <c r="B41" i="133"/>
  <c r="A41" i="133"/>
  <c r="D40" i="133"/>
  <c r="C40" i="133"/>
  <c r="B40" i="133"/>
  <c r="A40" i="133"/>
  <c r="T39" i="133"/>
  <c r="F39" i="133"/>
  <c r="D39" i="133"/>
  <c r="C39" i="133"/>
  <c r="B39" i="133"/>
  <c r="A39" i="133"/>
  <c r="T38" i="133"/>
  <c r="D38" i="133"/>
  <c r="C38" i="133"/>
  <c r="B38" i="133"/>
  <c r="G38" i="133" s="1"/>
  <c r="A38" i="133"/>
  <c r="T37" i="133"/>
  <c r="F37" i="133"/>
  <c r="D37" i="133"/>
  <c r="C37" i="133"/>
  <c r="B37" i="133"/>
  <c r="A37" i="133"/>
  <c r="T36" i="133"/>
  <c r="F36" i="133"/>
  <c r="D36" i="133"/>
  <c r="C36" i="133"/>
  <c r="B36" i="133"/>
  <c r="A36" i="133"/>
  <c r="T35" i="133"/>
  <c r="F35" i="133"/>
  <c r="D35" i="133"/>
  <c r="C35" i="133"/>
  <c r="B35" i="133"/>
  <c r="A35" i="133"/>
  <c r="T34" i="133"/>
  <c r="I34" i="133"/>
  <c r="E34" i="133"/>
  <c r="B34" i="133"/>
  <c r="A34" i="133"/>
  <c r="D33" i="133"/>
  <c r="C33" i="133"/>
  <c r="B33" i="133"/>
  <c r="G33" i="133" s="1"/>
  <c r="A33" i="133"/>
  <c r="T32" i="133"/>
  <c r="F32" i="133"/>
  <c r="D32" i="133"/>
  <c r="C32" i="133"/>
  <c r="B32" i="133"/>
  <c r="A32" i="133"/>
  <c r="D31" i="133"/>
  <c r="C31" i="133"/>
  <c r="B31" i="133"/>
  <c r="A31" i="133"/>
  <c r="T30" i="133"/>
  <c r="D30" i="133"/>
  <c r="C30" i="133"/>
  <c r="B30" i="133"/>
  <c r="G30" i="133" s="1"/>
  <c r="A30" i="133"/>
  <c r="T29" i="133"/>
  <c r="D29" i="133"/>
  <c r="C29" i="133"/>
  <c r="B29" i="133"/>
  <c r="A29" i="133"/>
  <c r="T28" i="133"/>
  <c r="E28" i="133"/>
  <c r="B28" i="133"/>
  <c r="A28" i="133"/>
  <c r="T27" i="133"/>
  <c r="D27" i="133"/>
  <c r="C27" i="133"/>
  <c r="B27" i="133"/>
  <c r="A27" i="133"/>
  <c r="T26" i="133"/>
  <c r="F26" i="133"/>
  <c r="D26" i="133"/>
  <c r="C26" i="133"/>
  <c r="B26" i="133"/>
  <c r="G26" i="133" s="1"/>
  <c r="A26" i="133"/>
  <c r="T25" i="133"/>
  <c r="D25" i="133"/>
  <c r="C25" i="133"/>
  <c r="B25" i="133"/>
  <c r="A25" i="133"/>
  <c r="F24" i="133"/>
  <c r="D24" i="133"/>
  <c r="C24" i="133"/>
  <c r="B24" i="133"/>
  <c r="A24" i="133"/>
  <c r="T23" i="133"/>
  <c r="D23" i="133"/>
  <c r="C23" i="133"/>
  <c r="B23" i="133"/>
  <c r="G23" i="133" s="1"/>
  <c r="A23" i="133"/>
  <c r="T22" i="133"/>
  <c r="E22" i="133"/>
  <c r="B22" i="133"/>
  <c r="A22" i="133"/>
  <c r="T21" i="133"/>
  <c r="D21" i="133"/>
  <c r="C21" i="133"/>
  <c r="B21" i="133"/>
  <c r="A21" i="133"/>
  <c r="D20" i="133"/>
  <c r="C20" i="133"/>
  <c r="B20" i="133"/>
  <c r="A20" i="133"/>
  <c r="T19" i="133"/>
  <c r="D19" i="133"/>
  <c r="C19" i="133"/>
  <c r="B19" i="133"/>
  <c r="A19" i="133"/>
  <c r="T18" i="133"/>
  <c r="D18" i="133"/>
  <c r="C18" i="133"/>
  <c r="B18" i="133"/>
  <c r="A18" i="133"/>
  <c r="T17" i="133"/>
  <c r="I17" i="133"/>
  <c r="E17" i="133"/>
  <c r="B17" i="133"/>
  <c r="A17" i="133"/>
  <c r="S16" i="133"/>
  <c r="R16" i="133"/>
  <c r="B16" i="133"/>
  <c r="A16" i="133"/>
  <c r="F15" i="133"/>
  <c r="D15" i="133"/>
  <c r="C15" i="133"/>
  <c r="B15" i="133"/>
  <c r="H15" i="133" s="1"/>
  <c r="D14" i="133"/>
  <c r="C14" i="133"/>
  <c r="B14" i="133"/>
  <c r="E13" i="133"/>
  <c r="B13" i="133"/>
  <c r="A13" i="133"/>
  <c r="D12" i="133"/>
  <c r="C12" i="133"/>
  <c r="B12" i="133"/>
  <c r="D11" i="133"/>
  <c r="C11" i="133"/>
  <c r="B11" i="133"/>
  <c r="T10" i="133"/>
  <c r="D10" i="133"/>
  <c r="C10" i="133"/>
  <c r="B10" i="133"/>
  <c r="T9" i="133"/>
  <c r="I9" i="133"/>
  <c r="E9" i="133"/>
  <c r="B9" i="133"/>
  <c r="A9" i="133"/>
  <c r="T8" i="133"/>
  <c r="D8" i="133"/>
  <c r="C8" i="133"/>
  <c r="B8" i="133"/>
  <c r="A8" i="133"/>
  <c r="S7" i="133"/>
  <c r="R7" i="133"/>
  <c r="B7" i="133"/>
  <c r="A7" i="133"/>
  <c r="G4" i="133"/>
  <c r="B30" i="71"/>
  <c r="B29" i="71"/>
  <c r="B28" i="71"/>
  <c r="T64" i="35"/>
  <c r="T63" i="35"/>
  <c r="T58" i="35"/>
  <c r="B24" i="71"/>
  <c r="T57" i="35"/>
  <c r="D55" i="35"/>
  <c r="B23" i="71"/>
  <c r="D54" i="35"/>
  <c r="T55" i="35"/>
  <c r="T54" i="35"/>
  <c r="D52" i="35"/>
  <c r="T53" i="35"/>
  <c r="D51" i="35"/>
  <c r="T52" i="35"/>
  <c r="D50" i="35"/>
  <c r="D48" i="35"/>
  <c r="D47" i="35"/>
  <c r="T45" i="35"/>
  <c r="D43" i="35"/>
  <c r="T43" i="35"/>
  <c r="D41" i="35"/>
  <c r="T42" i="35"/>
  <c r="T40" i="35"/>
  <c r="D38" i="35"/>
  <c r="D37" i="35"/>
  <c r="T34" i="35"/>
  <c r="D32" i="35"/>
  <c r="D31" i="35"/>
  <c r="D29" i="35"/>
  <c r="D28" i="35"/>
  <c r="D26" i="35"/>
  <c r="T26" i="35"/>
  <c r="D25" i="35"/>
  <c r="T25" i="35"/>
  <c r="T23" i="35"/>
  <c r="T22" i="35"/>
  <c r="D21" i="35"/>
  <c r="D20" i="35"/>
  <c r="T20" i="35"/>
  <c r="D19" i="35"/>
  <c r="T19" i="35"/>
  <c r="E18" i="35"/>
  <c r="B18" i="35"/>
  <c r="A18" i="35"/>
  <c r="S18" i="35"/>
  <c r="R18" i="35"/>
  <c r="B17" i="35"/>
  <c r="A17" i="35"/>
  <c r="C16" i="35"/>
  <c r="B16" i="35"/>
  <c r="C15" i="35"/>
  <c r="B15" i="35"/>
  <c r="C14" i="35"/>
  <c r="B14" i="35"/>
  <c r="E13" i="35"/>
  <c r="B13" i="35"/>
  <c r="A13" i="35"/>
  <c r="C12" i="35"/>
  <c r="B12" i="35"/>
  <c r="C11" i="35"/>
  <c r="B11" i="35"/>
  <c r="T10" i="35"/>
  <c r="C10" i="35"/>
  <c r="B10" i="35"/>
  <c r="T9" i="35"/>
  <c r="E9" i="35"/>
  <c r="B9" i="35"/>
  <c r="A9" i="35"/>
  <c r="T8" i="35"/>
  <c r="D8" i="35"/>
  <c r="C8" i="35"/>
  <c r="B8" i="35"/>
  <c r="G8" i="35" s="1"/>
  <c r="A8" i="35"/>
  <c r="S7" i="35"/>
  <c r="R7" i="35"/>
  <c r="B7" i="35"/>
  <c r="A7" i="35"/>
  <c r="E42" i="121"/>
  <c r="B42" i="121"/>
  <c r="E41" i="121"/>
  <c r="B41" i="121"/>
  <c r="E40" i="121"/>
  <c r="B40" i="121"/>
  <c r="E39" i="121"/>
  <c r="B39" i="121"/>
  <c r="B38" i="121"/>
  <c r="A38" i="121"/>
  <c r="D37" i="121"/>
  <c r="C37" i="121"/>
  <c r="B37" i="121"/>
  <c r="D36" i="121"/>
  <c r="C36" i="121"/>
  <c r="B36" i="121"/>
  <c r="B35" i="121"/>
  <c r="A35" i="121"/>
  <c r="F34" i="121"/>
  <c r="D34" i="121"/>
  <c r="C34" i="121"/>
  <c r="B34" i="121"/>
  <c r="G34" i="121" s="1"/>
  <c r="I34" i="121" s="1"/>
  <c r="J34" i="121" s="1"/>
  <c r="D33" i="121"/>
  <c r="C33" i="121"/>
  <c r="B33" i="121"/>
  <c r="F32" i="121"/>
  <c r="D32" i="121"/>
  <c r="C32" i="121"/>
  <c r="B32" i="121"/>
  <c r="H32" i="121" s="1"/>
  <c r="F31" i="121"/>
  <c r="D31" i="121"/>
  <c r="C31" i="121"/>
  <c r="B31" i="121"/>
  <c r="H31" i="121" s="1"/>
  <c r="F30" i="121"/>
  <c r="D30" i="121"/>
  <c r="C30" i="121"/>
  <c r="B30" i="121"/>
  <c r="G30" i="121" s="1"/>
  <c r="D29" i="121"/>
  <c r="C29" i="121"/>
  <c r="B29" i="121"/>
  <c r="B28" i="121"/>
  <c r="F27" i="121"/>
  <c r="D27" i="121"/>
  <c r="C27" i="121"/>
  <c r="B27" i="121"/>
  <c r="G27" i="121" s="1"/>
  <c r="B26" i="121"/>
  <c r="A26" i="121"/>
  <c r="D25" i="121"/>
  <c r="C25" i="121"/>
  <c r="B25" i="121"/>
  <c r="A25" i="121"/>
  <c r="I24" i="121"/>
  <c r="E24" i="121"/>
  <c r="D24" i="121"/>
  <c r="C24" i="121"/>
  <c r="B24" i="121"/>
  <c r="A24" i="121"/>
  <c r="F23" i="121"/>
  <c r="D23" i="121"/>
  <c r="C23" i="121"/>
  <c r="B23" i="121"/>
  <c r="G23" i="121" s="1"/>
  <c r="A23" i="121"/>
  <c r="D22" i="121"/>
  <c r="C22" i="121"/>
  <c r="B22" i="121"/>
  <c r="A22" i="121"/>
  <c r="F21" i="121"/>
  <c r="D21" i="121"/>
  <c r="C21" i="121"/>
  <c r="B21" i="121"/>
  <c r="G21" i="121" s="1"/>
  <c r="D20" i="121"/>
  <c r="C20" i="121"/>
  <c r="B20" i="121"/>
  <c r="B19" i="121"/>
  <c r="A19" i="121"/>
  <c r="D18" i="121"/>
  <c r="C18" i="121"/>
  <c r="B18" i="121"/>
  <c r="A18" i="121"/>
  <c r="F17" i="121"/>
  <c r="D17" i="121"/>
  <c r="C17" i="121"/>
  <c r="B17" i="121"/>
  <c r="G17" i="121" s="1"/>
  <c r="D16" i="121"/>
  <c r="C16" i="121"/>
  <c r="B16" i="121"/>
  <c r="B15" i="121"/>
  <c r="A15" i="121"/>
  <c r="D14" i="121"/>
  <c r="C14" i="121"/>
  <c r="B14" i="121"/>
  <c r="A14" i="121"/>
  <c r="D13" i="121"/>
  <c r="C13" i="121"/>
  <c r="B13" i="121"/>
  <c r="A13" i="121"/>
  <c r="F12" i="121"/>
  <c r="D12" i="121"/>
  <c r="C12" i="121"/>
  <c r="B12" i="121"/>
  <c r="A12" i="121"/>
  <c r="B11" i="121"/>
  <c r="A11" i="121"/>
  <c r="D10" i="121"/>
  <c r="C10" i="121"/>
  <c r="B10" i="121"/>
  <c r="A10" i="121"/>
  <c r="F9" i="121"/>
  <c r="D9" i="121"/>
  <c r="C9" i="121"/>
  <c r="B9" i="121"/>
  <c r="G9" i="121" s="1"/>
  <c r="A9" i="121"/>
  <c r="D8" i="121"/>
  <c r="C8" i="121"/>
  <c r="B8" i="121"/>
  <c r="A8" i="121"/>
  <c r="B7" i="121"/>
  <c r="A7" i="121"/>
  <c r="G4" i="121"/>
  <c r="AS353" i="83"/>
  <c r="T56" i="36" s="1"/>
  <c r="AR353" i="83"/>
  <c r="S56" i="36" s="1"/>
  <c r="AQ353" i="83"/>
  <c r="R56" i="36" s="1"/>
  <c r="AP353" i="83"/>
  <c r="Q56" i="36" s="1"/>
  <c r="AO353" i="83"/>
  <c r="P56" i="36" s="1"/>
  <c r="AL353" i="83"/>
  <c r="M56" i="36" s="1"/>
  <c r="AK353" i="83"/>
  <c r="L56" i="36" s="1"/>
  <c r="AJ353" i="83"/>
  <c r="K56" i="36" s="1"/>
  <c r="AI353" i="83"/>
  <c r="J56" i="36" s="1"/>
  <c r="AS352" i="83"/>
  <c r="AR352" i="83"/>
  <c r="AQ352" i="83"/>
  <c r="AP352" i="83"/>
  <c r="AO352" i="83"/>
  <c r="AM352" i="83"/>
  <c r="AL352" i="83"/>
  <c r="V352" i="83"/>
  <c r="AK352" i="83" s="1"/>
  <c r="U352" i="83"/>
  <c r="AJ352" i="83" s="1"/>
  <c r="T352" i="83"/>
  <c r="AI352" i="83" s="1"/>
  <c r="S352" i="83"/>
  <c r="AH352" i="83" s="1"/>
  <c r="AS351" i="83"/>
  <c r="AR351" i="83"/>
  <c r="AQ351" i="83"/>
  <c r="AP351" i="83"/>
  <c r="AO351" i="83"/>
  <c r="AM351" i="83"/>
  <c r="AL351" i="83"/>
  <c r="AK351" i="83"/>
  <c r="AJ351" i="83"/>
  <c r="AI351" i="83"/>
  <c r="AH351" i="83"/>
  <c r="AF348" i="83"/>
  <c r="Q348" i="83"/>
  <c r="AS341" i="83"/>
  <c r="T54" i="36" s="1"/>
  <c r="AR341" i="83"/>
  <c r="S54" i="36" s="1"/>
  <c r="AQ341" i="83"/>
  <c r="R54" i="36" s="1"/>
  <c r="AP341" i="83"/>
  <c r="Q54" i="36" s="1"/>
  <c r="AO341" i="83"/>
  <c r="P54" i="36" s="1"/>
  <c r="AN341" i="83"/>
  <c r="O54" i="36" s="1"/>
  <c r="AM341" i="83"/>
  <c r="N54" i="36" s="1"/>
  <c r="AL341" i="83"/>
  <c r="M54" i="36" s="1"/>
  <c r="V341" i="83"/>
  <c r="AK341" i="83" s="1"/>
  <c r="L54" i="36" s="1"/>
  <c r="U341" i="83"/>
  <c r="AJ341" i="83" s="1"/>
  <c r="K54" i="36" s="1"/>
  <c r="T341" i="83"/>
  <c r="AI341" i="83" s="1"/>
  <c r="J54" i="36" s="1"/>
  <c r="S341" i="83"/>
  <c r="AH341" i="83" s="1"/>
  <c r="I54" i="36" s="1"/>
  <c r="AS339" i="83"/>
  <c r="AR339" i="83"/>
  <c r="AQ339" i="83"/>
  <c r="AP339" i="83"/>
  <c r="AO339" i="83"/>
  <c r="AN339" i="83"/>
  <c r="AM339" i="83"/>
  <c r="AL339" i="83"/>
  <c r="AK339" i="83"/>
  <c r="AJ339" i="83"/>
  <c r="AI339" i="83"/>
  <c r="AH339" i="83"/>
  <c r="AS338" i="83"/>
  <c r="AR338" i="83"/>
  <c r="AQ338" i="83"/>
  <c r="AP338" i="83"/>
  <c r="AO338" i="83"/>
  <c r="AN338" i="83"/>
  <c r="AM338" i="83"/>
  <c r="AL338" i="83"/>
  <c r="AK338" i="83"/>
  <c r="AJ338" i="83"/>
  <c r="AI338" i="83"/>
  <c r="AH338" i="83"/>
  <c r="AF335" i="83"/>
  <c r="Q335" i="83"/>
  <c r="AS364" i="83"/>
  <c r="T59" i="36" s="1"/>
  <c r="AR364" i="83"/>
  <c r="S59" i="36" s="1"/>
  <c r="AQ364" i="83"/>
  <c r="R59" i="36" s="1"/>
  <c r="AP364" i="83"/>
  <c r="Q59" i="36" s="1"/>
  <c r="AO364" i="83"/>
  <c r="P59" i="36" s="1"/>
  <c r="AN364" i="83"/>
  <c r="O59" i="36" s="1"/>
  <c r="AL364" i="83"/>
  <c r="M59" i="36" s="1"/>
  <c r="AK364" i="83"/>
  <c r="L59" i="36" s="1"/>
  <c r="AJ364" i="83"/>
  <c r="K59" i="36" s="1"/>
  <c r="AI364" i="83"/>
  <c r="J59" i="36" s="1"/>
  <c r="AH364" i="83"/>
  <c r="I59" i="36" s="1"/>
  <c r="AF361" i="83"/>
  <c r="Q361" i="83"/>
  <c r="AS331" i="83"/>
  <c r="T50" i="36" s="1"/>
  <c r="AR331" i="83"/>
  <c r="S50" i="36" s="1"/>
  <c r="AQ331" i="83"/>
  <c r="R50" i="36" s="1"/>
  <c r="AP331" i="83"/>
  <c r="Q50" i="36" s="1"/>
  <c r="P50" i="36"/>
  <c r="AM331" i="83"/>
  <c r="N50" i="36" s="1"/>
  <c r="AL331" i="83"/>
  <c r="M50" i="36" s="1"/>
  <c r="AK331" i="83"/>
  <c r="L50" i="36" s="1"/>
  <c r="AJ331" i="83"/>
  <c r="K50" i="36" s="1"/>
  <c r="AI331" i="83"/>
  <c r="J50" i="36" s="1"/>
  <c r="AH331" i="83"/>
  <c r="I50" i="36" s="1"/>
  <c r="R325" i="83"/>
  <c r="AG325" i="83" s="1"/>
  <c r="AD324" i="83"/>
  <c r="AS324" i="83" s="1"/>
  <c r="T48" i="36" s="1"/>
  <c r="AC324" i="83"/>
  <c r="AR324" i="83" s="1"/>
  <c r="S48" i="36" s="1"/>
  <c r="AB324" i="83"/>
  <c r="AQ324" i="83" s="1"/>
  <c r="R48" i="36" s="1"/>
  <c r="AA324" i="83"/>
  <c r="AP324" i="83" s="1"/>
  <c r="Q48" i="36" s="1"/>
  <c r="Z324" i="83"/>
  <c r="AO324" i="83" s="1"/>
  <c r="P48" i="36" s="1"/>
  <c r="Y324" i="83"/>
  <c r="AN324" i="83" s="1"/>
  <c r="O48" i="36" s="1"/>
  <c r="X324" i="83"/>
  <c r="R324" i="83"/>
  <c r="AG324" i="83" s="1"/>
  <c r="AD323" i="83"/>
  <c r="T49" i="58" s="1"/>
  <c r="H49" i="58" s="1"/>
  <c r="AC323" i="83"/>
  <c r="S49" i="58" s="1"/>
  <c r="AB323" i="83"/>
  <c r="R49" i="58" s="1"/>
  <c r="AA323" i="83"/>
  <c r="Q49" i="58" s="1"/>
  <c r="Z323" i="83"/>
  <c r="P49" i="58" s="1"/>
  <c r="Y323" i="83"/>
  <c r="O49" i="58" s="1"/>
  <c r="X323" i="83"/>
  <c r="N49" i="58" s="1"/>
  <c r="G49" i="58" s="1"/>
  <c r="G48" i="36" s="1"/>
  <c r="W323" i="83"/>
  <c r="M49" i="58" s="1"/>
  <c r="V323" i="83"/>
  <c r="L49" i="58" s="1"/>
  <c r="T323" i="83"/>
  <c r="J49" i="58" s="1"/>
  <c r="S323" i="83"/>
  <c r="I49" i="58" s="1"/>
  <c r="R323" i="83"/>
  <c r="AG323" i="83" s="1"/>
  <c r="R322" i="83"/>
  <c r="AG322" i="83" s="1"/>
  <c r="AS321" i="83"/>
  <c r="T49" i="131" s="1"/>
  <c r="AR321" i="83"/>
  <c r="S49" i="131" s="1"/>
  <c r="AQ321" i="83"/>
  <c r="R49" i="131" s="1"/>
  <c r="AP321" i="83"/>
  <c r="Q49" i="131" s="1"/>
  <c r="AO321" i="83"/>
  <c r="P49" i="131" s="1"/>
  <c r="AN321" i="83"/>
  <c r="O49" i="131" s="1"/>
  <c r="AM321" i="83"/>
  <c r="N49" i="131" s="1"/>
  <c r="AL321" i="83"/>
  <c r="M49" i="131" s="1"/>
  <c r="AK321" i="83"/>
  <c r="L49" i="131" s="1"/>
  <c r="AJ321" i="83"/>
  <c r="K49" i="131" s="1"/>
  <c r="AI321" i="83"/>
  <c r="J49" i="131" s="1"/>
  <c r="AH321" i="83"/>
  <c r="I49" i="131" s="1"/>
  <c r="R321" i="83"/>
  <c r="AG321" i="83" s="1"/>
  <c r="AD320" i="83"/>
  <c r="AS320" i="83" s="1"/>
  <c r="AC320" i="83"/>
  <c r="AR320" i="83" s="1"/>
  <c r="AB320" i="83"/>
  <c r="AQ320" i="83" s="1"/>
  <c r="AA320" i="83"/>
  <c r="Z320" i="83"/>
  <c r="Y320" i="83"/>
  <c r="X320" i="83"/>
  <c r="X322" i="83" s="1"/>
  <c r="AM322" i="83" s="1"/>
  <c r="W320" i="83"/>
  <c r="W322" i="83" s="1"/>
  <c r="AL322" i="83" s="1"/>
  <c r="V320" i="83"/>
  <c r="V322" i="83" s="1"/>
  <c r="AK322" i="83" s="1"/>
  <c r="U320" i="83"/>
  <c r="T320" i="83"/>
  <c r="S320" i="83"/>
  <c r="S322" i="83" s="1"/>
  <c r="R320" i="83"/>
  <c r="AG320" i="83" s="1"/>
  <c r="R319" i="83"/>
  <c r="AG319" i="83" s="1"/>
  <c r="AS318" i="83"/>
  <c r="T49" i="129" s="1"/>
  <c r="AR318" i="83"/>
  <c r="S49" i="129" s="1"/>
  <c r="AQ318" i="83"/>
  <c r="R49" i="129" s="1"/>
  <c r="AP318" i="83"/>
  <c r="Q49" i="129" s="1"/>
  <c r="AO318" i="83"/>
  <c r="P49" i="129" s="1"/>
  <c r="AN318" i="83"/>
  <c r="O49" i="129" s="1"/>
  <c r="AM318" i="83"/>
  <c r="N49" i="129" s="1"/>
  <c r="AL318" i="83"/>
  <c r="M49" i="129" s="1"/>
  <c r="AK318" i="83"/>
  <c r="L49" i="129" s="1"/>
  <c r="AJ318" i="83"/>
  <c r="K49" i="129" s="1"/>
  <c r="AI318" i="83"/>
  <c r="J49" i="129" s="1"/>
  <c r="AH318" i="83"/>
  <c r="I49" i="129" s="1"/>
  <c r="R318" i="83"/>
  <c r="AG318" i="83" s="1"/>
  <c r="AD317" i="83"/>
  <c r="AD319" i="83" s="1"/>
  <c r="AC317" i="83"/>
  <c r="AB317" i="83"/>
  <c r="AA317" i="83"/>
  <c r="AA319" i="83" s="1"/>
  <c r="Z317" i="83"/>
  <c r="Z319" i="83" s="1"/>
  <c r="Y317" i="83"/>
  <c r="Y319" i="83" s="1"/>
  <c r="X317" i="83"/>
  <c r="W317" i="83"/>
  <c r="W319" i="83" s="1"/>
  <c r="V317" i="83"/>
  <c r="U317" i="83"/>
  <c r="T317" i="83"/>
  <c r="T319" i="83" s="1"/>
  <c r="S317" i="83"/>
  <c r="S319" i="83" s="1"/>
  <c r="R317" i="83"/>
  <c r="AG317" i="83" s="1"/>
  <c r="R316" i="83"/>
  <c r="AG316" i="83" s="1"/>
  <c r="AS315" i="83"/>
  <c r="T49" i="128" s="1"/>
  <c r="AR315" i="83"/>
  <c r="S49" i="128" s="1"/>
  <c r="AQ315" i="83"/>
  <c r="R49" i="128" s="1"/>
  <c r="AP315" i="83"/>
  <c r="Q49" i="128" s="1"/>
  <c r="AO315" i="83"/>
  <c r="P49" i="128" s="1"/>
  <c r="AN315" i="83"/>
  <c r="O49" i="128" s="1"/>
  <c r="AM315" i="83"/>
  <c r="N49" i="128" s="1"/>
  <c r="AL315" i="83"/>
  <c r="M49" i="128" s="1"/>
  <c r="AK315" i="83"/>
  <c r="L49" i="128" s="1"/>
  <c r="AJ315" i="83"/>
  <c r="K49" i="128" s="1"/>
  <c r="AI315" i="83"/>
  <c r="J49" i="128" s="1"/>
  <c r="AH315" i="83"/>
  <c r="I49" i="128" s="1"/>
  <c r="R315" i="83"/>
  <c r="AG315" i="83" s="1"/>
  <c r="AD314" i="83"/>
  <c r="AD316" i="83" s="1"/>
  <c r="AS316" i="83" s="1"/>
  <c r="AC314" i="83"/>
  <c r="AC316" i="83" s="1"/>
  <c r="AR316" i="83" s="1"/>
  <c r="AB314" i="83"/>
  <c r="AB316" i="83" s="1"/>
  <c r="AQ316" i="83" s="1"/>
  <c r="AA314" i="83"/>
  <c r="AA316" i="83" s="1"/>
  <c r="AP316" i="83" s="1"/>
  <c r="Z314" i="83"/>
  <c r="Z316" i="83" s="1"/>
  <c r="AO316" i="83" s="1"/>
  <c r="Y314" i="83"/>
  <c r="Y316" i="83" s="1"/>
  <c r="AN316" i="83" s="1"/>
  <c r="X314" i="83"/>
  <c r="X316" i="83" s="1"/>
  <c r="AM316" i="83" s="1"/>
  <c r="W314" i="83"/>
  <c r="W316" i="83" s="1"/>
  <c r="AL316" i="83" s="1"/>
  <c r="V314" i="83"/>
  <c r="U314" i="83"/>
  <c r="T314" i="83"/>
  <c r="T316" i="83" s="1"/>
  <c r="AI316" i="83" s="1"/>
  <c r="S314" i="83"/>
  <c r="AH314" i="83" s="1"/>
  <c r="R314" i="83"/>
  <c r="AG314" i="83" s="1"/>
  <c r="R313" i="83"/>
  <c r="AG313" i="83" s="1"/>
  <c r="AS312" i="83"/>
  <c r="T49" i="127" s="1"/>
  <c r="AR312" i="83"/>
  <c r="S49" i="127" s="1"/>
  <c r="AQ312" i="83"/>
  <c r="R49" i="127" s="1"/>
  <c r="AP312" i="83"/>
  <c r="Q49" i="127" s="1"/>
  <c r="AO312" i="83"/>
  <c r="P49" i="127" s="1"/>
  <c r="AN312" i="83"/>
  <c r="O49" i="127" s="1"/>
  <c r="AM312" i="83"/>
  <c r="N49" i="127" s="1"/>
  <c r="AL312" i="83"/>
  <c r="M49" i="127" s="1"/>
  <c r="AK312" i="83"/>
  <c r="L49" i="127" s="1"/>
  <c r="AJ312" i="83"/>
  <c r="K49" i="127" s="1"/>
  <c r="AI312" i="83"/>
  <c r="J49" i="127" s="1"/>
  <c r="AH312" i="83"/>
  <c r="I49" i="127" s="1"/>
  <c r="R312" i="83"/>
  <c r="AG312" i="83" s="1"/>
  <c r="AD311" i="83"/>
  <c r="AC311" i="83"/>
  <c r="AC313" i="83" s="1"/>
  <c r="AB311" i="83"/>
  <c r="AB313" i="83" s="1"/>
  <c r="AA311" i="83"/>
  <c r="AA313" i="83" s="1"/>
  <c r="Z311" i="83"/>
  <c r="Y311" i="83"/>
  <c r="X311" i="83"/>
  <c r="W311" i="83"/>
  <c r="W313" i="83" s="1"/>
  <c r="V311" i="83"/>
  <c r="U311" i="83"/>
  <c r="T311" i="83"/>
  <c r="S311" i="83"/>
  <c r="S313" i="83" s="1"/>
  <c r="AH313" i="83" s="1"/>
  <c r="R311" i="83"/>
  <c r="AG311" i="83" s="1"/>
  <c r="R310" i="83"/>
  <c r="AG310" i="83" s="1"/>
  <c r="AS309" i="83"/>
  <c r="T49" i="69" s="1"/>
  <c r="AR309" i="83"/>
  <c r="S49" i="69" s="1"/>
  <c r="AQ309" i="83"/>
  <c r="R49" i="69" s="1"/>
  <c r="AP309" i="83"/>
  <c r="Q49" i="69" s="1"/>
  <c r="AO309" i="83"/>
  <c r="P49" i="69" s="1"/>
  <c r="AN309" i="83"/>
  <c r="O49" i="69" s="1"/>
  <c r="AM309" i="83"/>
  <c r="N49" i="69" s="1"/>
  <c r="AL309" i="83"/>
  <c r="M49" i="69" s="1"/>
  <c r="AK309" i="83"/>
  <c r="L49" i="69" s="1"/>
  <c r="AJ309" i="83"/>
  <c r="K49" i="69" s="1"/>
  <c r="AI309" i="83"/>
  <c r="J49" i="69" s="1"/>
  <c r="AH309" i="83"/>
  <c r="I49" i="69" s="1"/>
  <c r="R309" i="83"/>
  <c r="AG309" i="83" s="1"/>
  <c r="AD308" i="83"/>
  <c r="AD310" i="83" s="1"/>
  <c r="AC308" i="83"/>
  <c r="AB308" i="83"/>
  <c r="AA308" i="83"/>
  <c r="Z308" i="83"/>
  <c r="Z310" i="83" s="1"/>
  <c r="Y308" i="83"/>
  <c r="Y310" i="83" s="1"/>
  <c r="X308" i="83"/>
  <c r="X310" i="83" s="1"/>
  <c r="W308" i="83"/>
  <c r="W310" i="83" s="1"/>
  <c r="V308" i="83"/>
  <c r="V310" i="83" s="1"/>
  <c r="U308" i="83"/>
  <c r="U310" i="83" s="1"/>
  <c r="T308" i="83"/>
  <c r="T310" i="83" s="1"/>
  <c r="S308" i="83"/>
  <c r="R308" i="83"/>
  <c r="AG308" i="83" s="1"/>
  <c r="AF305" i="83"/>
  <c r="Q305" i="83"/>
  <c r="AG303" i="83"/>
  <c r="R302" i="83"/>
  <c r="AG302" i="83" s="1"/>
  <c r="AP302" i="83"/>
  <c r="Z303" i="83"/>
  <c r="AL302" i="83"/>
  <c r="AK302" i="83"/>
  <c r="AJ302" i="83"/>
  <c r="S302" i="83"/>
  <c r="I48" i="58" s="1"/>
  <c r="AS301" i="83"/>
  <c r="T47" i="36" s="1"/>
  <c r="AR301" i="83"/>
  <c r="S47" i="36" s="1"/>
  <c r="AQ301" i="83"/>
  <c r="R47" i="36" s="1"/>
  <c r="AP301" i="83"/>
  <c r="Q47" i="36" s="1"/>
  <c r="AO301" i="83"/>
  <c r="P47" i="36" s="1"/>
  <c r="AN301" i="83"/>
  <c r="O47" i="36" s="1"/>
  <c r="AM301" i="83"/>
  <c r="N47" i="36" s="1"/>
  <c r="AL301" i="83"/>
  <c r="M47" i="36" s="1"/>
  <c r="AK301" i="83"/>
  <c r="L47" i="36" s="1"/>
  <c r="AJ301" i="83"/>
  <c r="K47" i="36" s="1"/>
  <c r="AI301" i="83"/>
  <c r="J47" i="36" s="1"/>
  <c r="AH301" i="83"/>
  <c r="I47" i="36" s="1"/>
  <c r="R301" i="83"/>
  <c r="AG301" i="83" s="1"/>
  <c r="AG300" i="83"/>
  <c r="AB300" i="83"/>
  <c r="AP299" i="83"/>
  <c r="Y300" i="83"/>
  <c r="AM299" i="83"/>
  <c r="AL299" i="83"/>
  <c r="AK299" i="83"/>
  <c r="AJ299" i="83"/>
  <c r="AI299" i="83"/>
  <c r="S300" i="83"/>
  <c r="R299" i="83"/>
  <c r="AG299" i="83" s="1"/>
  <c r="AS298" i="83"/>
  <c r="T48" i="131" s="1"/>
  <c r="AR298" i="83"/>
  <c r="S48" i="131" s="1"/>
  <c r="AQ298" i="83"/>
  <c r="R48" i="131" s="1"/>
  <c r="AP298" i="83"/>
  <c r="Q48" i="131" s="1"/>
  <c r="AO298" i="83"/>
  <c r="P48" i="131" s="1"/>
  <c r="O48" i="131"/>
  <c r="AM298" i="83"/>
  <c r="N48" i="131" s="1"/>
  <c r="AL298" i="83"/>
  <c r="M48" i="131" s="1"/>
  <c r="AK298" i="83"/>
  <c r="L48" i="131" s="1"/>
  <c r="AJ298" i="83"/>
  <c r="K48" i="131" s="1"/>
  <c r="AI298" i="83"/>
  <c r="J48" i="131" s="1"/>
  <c r="AH298" i="83"/>
  <c r="I48" i="131" s="1"/>
  <c r="R298" i="83"/>
  <c r="AG298" i="83" s="1"/>
  <c r="AG297" i="83"/>
  <c r="AD297" i="83"/>
  <c r="AC297" i="83"/>
  <c r="AB297" i="83"/>
  <c r="Z297" i="83"/>
  <c r="Y297" i="83"/>
  <c r="AK296" i="83"/>
  <c r="S297" i="83"/>
  <c r="R296" i="83"/>
  <c r="AG296" i="83" s="1"/>
  <c r="AS295" i="83"/>
  <c r="T48" i="129" s="1"/>
  <c r="AR295" i="83"/>
  <c r="S48" i="129" s="1"/>
  <c r="AQ295" i="83"/>
  <c r="R48" i="129" s="1"/>
  <c r="AP295" i="83"/>
  <c r="Q48" i="129" s="1"/>
  <c r="AO295" i="83"/>
  <c r="P48" i="129" s="1"/>
  <c r="O48" i="129"/>
  <c r="AM295" i="83"/>
  <c r="N48" i="129" s="1"/>
  <c r="AL295" i="83"/>
  <c r="M48" i="129" s="1"/>
  <c r="AK295" i="83"/>
  <c r="L48" i="129" s="1"/>
  <c r="AJ295" i="83"/>
  <c r="K48" i="129" s="1"/>
  <c r="AI295" i="83"/>
  <c r="J48" i="129" s="1"/>
  <c r="AH295" i="83"/>
  <c r="I48" i="129" s="1"/>
  <c r="R295" i="83"/>
  <c r="AG295" i="83" s="1"/>
  <c r="AG294" i="83"/>
  <c r="Y294" i="83"/>
  <c r="AM293" i="83"/>
  <c r="AL293" i="83"/>
  <c r="AJ293" i="83"/>
  <c r="AI293" i="83"/>
  <c r="R293" i="83"/>
  <c r="AG293" i="83" s="1"/>
  <c r="AS292" i="83"/>
  <c r="T48" i="128" s="1"/>
  <c r="AR292" i="83"/>
  <c r="S48" i="128" s="1"/>
  <c r="AQ292" i="83"/>
  <c r="R48" i="128" s="1"/>
  <c r="AP292" i="83"/>
  <c r="Q48" i="128" s="1"/>
  <c r="AO292" i="83"/>
  <c r="P48" i="128" s="1"/>
  <c r="AN292" i="83"/>
  <c r="O48" i="128" s="1"/>
  <c r="AM292" i="83"/>
  <c r="N48" i="128" s="1"/>
  <c r="AL292" i="83"/>
  <c r="M48" i="128" s="1"/>
  <c r="AK292" i="83"/>
  <c r="L48" i="128" s="1"/>
  <c r="AJ292" i="83"/>
  <c r="K48" i="128" s="1"/>
  <c r="AI292" i="83"/>
  <c r="J48" i="128" s="1"/>
  <c r="AH292" i="83"/>
  <c r="I48" i="128" s="1"/>
  <c r="R292" i="83"/>
  <c r="AG292" i="83" s="1"/>
  <c r="AG291" i="83"/>
  <c r="AS290" i="83"/>
  <c r="AC291" i="83"/>
  <c r="AB291" i="83"/>
  <c r="Y291" i="83"/>
  <c r="X291" i="83"/>
  <c r="W291" i="83"/>
  <c r="T291" i="83"/>
  <c r="AH290" i="83"/>
  <c r="R290" i="83"/>
  <c r="AG290" i="83" s="1"/>
  <c r="AS289" i="83"/>
  <c r="T48" i="127" s="1"/>
  <c r="AR289" i="83"/>
  <c r="S48" i="127" s="1"/>
  <c r="AQ289" i="83"/>
  <c r="R48" i="127" s="1"/>
  <c r="AP289" i="83"/>
  <c r="Q48" i="127" s="1"/>
  <c r="AO289" i="83"/>
  <c r="P48" i="127" s="1"/>
  <c r="O48" i="127"/>
  <c r="AM289" i="83"/>
  <c r="N48" i="127" s="1"/>
  <c r="AL289" i="83"/>
  <c r="M48" i="127" s="1"/>
  <c r="AK289" i="83"/>
  <c r="L48" i="127" s="1"/>
  <c r="AJ289" i="83"/>
  <c r="K48" i="127" s="1"/>
  <c r="AI289" i="83"/>
  <c r="J48" i="127" s="1"/>
  <c r="AH289" i="83"/>
  <c r="I48" i="127" s="1"/>
  <c r="R289" i="83"/>
  <c r="AG289" i="83" s="1"/>
  <c r="AG288" i="83"/>
  <c r="AR287" i="83"/>
  <c r="AO287" i="83"/>
  <c r="AM287" i="83"/>
  <c r="AL287" i="83"/>
  <c r="V288" i="83"/>
  <c r="T288" i="83"/>
  <c r="AH287" i="83"/>
  <c r="R287" i="83"/>
  <c r="AG287" i="83" s="1"/>
  <c r="AS286" i="83"/>
  <c r="T48" i="69" s="1"/>
  <c r="AR286" i="83"/>
  <c r="S48" i="69" s="1"/>
  <c r="AQ286" i="83"/>
  <c r="R48" i="69" s="1"/>
  <c r="AP286" i="83"/>
  <c r="Q48" i="69" s="1"/>
  <c r="AO286" i="83"/>
  <c r="P48" i="69" s="1"/>
  <c r="O48" i="69"/>
  <c r="AM286" i="83"/>
  <c r="N48" i="69" s="1"/>
  <c r="AL286" i="83"/>
  <c r="M48" i="69" s="1"/>
  <c r="AK286" i="83"/>
  <c r="L48" i="69" s="1"/>
  <c r="AJ286" i="83"/>
  <c r="K48" i="69" s="1"/>
  <c r="AI286" i="83"/>
  <c r="J48" i="69" s="1"/>
  <c r="R286" i="83"/>
  <c r="AG286" i="83" s="1"/>
  <c r="Q286" i="83"/>
  <c r="AF283" i="83"/>
  <c r="Q283" i="83"/>
  <c r="R281" i="83"/>
  <c r="AG281" i="83" s="1"/>
  <c r="AD280" i="83"/>
  <c r="AC280" i="83"/>
  <c r="AB280" i="83"/>
  <c r="AA280" i="83"/>
  <c r="Z280" i="83"/>
  <c r="Y280" i="83"/>
  <c r="X280" i="83"/>
  <c r="W280" i="83"/>
  <c r="V280" i="83"/>
  <c r="L47" i="58" s="1"/>
  <c r="U280" i="83"/>
  <c r="K47" i="58" s="1"/>
  <c r="S280" i="83"/>
  <c r="I47" i="58" s="1"/>
  <c r="R280" i="83"/>
  <c r="AG280" i="83" s="1"/>
  <c r="R279" i="83"/>
  <c r="AG279" i="83" s="1"/>
  <c r="R278" i="83"/>
  <c r="AG278" i="83" s="1"/>
  <c r="AC278" i="83"/>
  <c r="AA278" i="83"/>
  <c r="Z278" i="83"/>
  <c r="Y278" i="83"/>
  <c r="AM277" i="83"/>
  <c r="AL277" i="83"/>
  <c r="AK277" i="83"/>
  <c r="AJ277" i="83"/>
  <c r="AI277" i="83"/>
  <c r="S278" i="83"/>
  <c r="R277" i="83"/>
  <c r="AG277" i="83" s="1"/>
  <c r="AS276" i="83"/>
  <c r="T47" i="131" s="1"/>
  <c r="AR276" i="83"/>
  <c r="S47" i="131" s="1"/>
  <c r="AQ276" i="83"/>
  <c r="R47" i="131" s="1"/>
  <c r="AP276" i="83"/>
  <c r="Q47" i="131" s="1"/>
  <c r="AO276" i="83"/>
  <c r="P47" i="131" s="1"/>
  <c r="AN276" i="83"/>
  <c r="O47" i="131" s="1"/>
  <c r="AM276" i="83"/>
  <c r="N47" i="131" s="1"/>
  <c r="AL276" i="83"/>
  <c r="M47" i="131" s="1"/>
  <c r="AK276" i="83"/>
  <c r="L47" i="131" s="1"/>
  <c r="AJ276" i="83"/>
  <c r="K47" i="131" s="1"/>
  <c r="AI276" i="83"/>
  <c r="J47" i="131" s="1"/>
  <c r="AH276" i="83"/>
  <c r="I47" i="131" s="1"/>
  <c r="R276" i="83"/>
  <c r="AG276" i="83" s="1"/>
  <c r="R275" i="83"/>
  <c r="AG275" i="83" s="1"/>
  <c r="AC275" i="83"/>
  <c r="Z275" i="83"/>
  <c r="AN274" i="83"/>
  <c r="W275" i="83"/>
  <c r="U275" i="83"/>
  <c r="AI274" i="83"/>
  <c r="S275" i="83"/>
  <c r="R274" i="83"/>
  <c r="AG274" i="83" s="1"/>
  <c r="AS273" i="83"/>
  <c r="T47" i="129" s="1"/>
  <c r="AR273" i="83"/>
  <c r="S47" i="129" s="1"/>
  <c r="AQ273" i="83"/>
  <c r="R47" i="129" s="1"/>
  <c r="AP273" i="83"/>
  <c r="Q47" i="129" s="1"/>
  <c r="AO273" i="83"/>
  <c r="P47" i="129" s="1"/>
  <c r="AN273" i="83"/>
  <c r="O47" i="129" s="1"/>
  <c r="AM273" i="83"/>
  <c r="N47" i="129" s="1"/>
  <c r="AL273" i="83"/>
  <c r="M47" i="129" s="1"/>
  <c r="AK273" i="83"/>
  <c r="L47" i="129" s="1"/>
  <c r="AJ273" i="83"/>
  <c r="K47" i="129" s="1"/>
  <c r="AI273" i="83"/>
  <c r="J47" i="129" s="1"/>
  <c r="AH273" i="83"/>
  <c r="I47" i="129" s="1"/>
  <c r="R273" i="83"/>
  <c r="AG273" i="83" s="1"/>
  <c r="R272" i="83"/>
  <c r="AG272" i="83" s="1"/>
  <c r="AS271" i="83"/>
  <c r="AC272" i="83"/>
  <c r="AA272" i="83"/>
  <c r="AO271" i="83"/>
  <c r="AN271" i="83"/>
  <c r="X272" i="83"/>
  <c r="AL271" i="83"/>
  <c r="V272" i="83"/>
  <c r="AJ271" i="83"/>
  <c r="T272" i="83"/>
  <c r="AH271" i="83"/>
  <c r="R271" i="83"/>
  <c r="AG271" i="83" s="1"/>
  <c r="AS270" i="83"/>
  <c r="T47" i="128" s="1"/>
  <c r="AR270" i="83"/>
  <c r="S47" i="128" s="1"/>
  <c r="AQ270" i="83"/>
  <c r="R47" i="128" s="1"/>
  <c r="AP270" i="83"/>
  <c r="Q47" i="128" s="1"/>
  <c r="AO270" i="83"/>
  <c r="P47" i="128" s="1"/>
  <c r="AN270" i="83"/>
  <c r="O47" i="128" s="1"/>
  <c r="AM270" i="83"/>
  <c r="N47" i="128" s="1"/>
  <c r="AL270" i="83"/>
  <c r="M47" i="128" s="1"/>
  <c r="AK270" i="83"/>
  <c r="L47" i="128" s="1"/>
  <c r="AJ270" i="83"/>
  <c r="K47" i="128" s="1"/>
  <c r="AI270" i="83"/>
  <c r="J47" i="128" s="1"/>
  <c r="AH270" i="83"/>
  <c r="I47" i="128" s="1"/>
  <c r="R270" i="83"/>
  <c r="AG270" i="83" s="1"/>
  <c r="R269" i="83"/>
  <c r="AG269" i="83" s="1"/>
  <c r="AB269" i="83"/>
  <c r="AO268" i="83"/>
  <c r="AN268" i="83"/>
  <c r="X269" i="83"/>
  <c r="W269" i="83"/>
  <c r="T269" i="83"/>
  <c r="S269" i="83"/>
  <c r="R268" i="83"/>
  <c r="AG268" i="83" s="1"/>
  <c r="AS267" i="83"/>
  <c r="T47" i="127" s="1"/>
  <c r="AR267" i="83"/>
  <c r="S47" i="127" s="1"/>
  <c r="AQ267" i="83"/>
  <c r="R47" i="127" s="1"/>
  <c r="AP267" i="83"/>
  <c r="Q47" i="127" s="1"/>
  <c r="AO267" i="83"/>
  <c r="P47" i="127" s="1"/>
  <c r="AN267" i="83"/>
  <c r="O47" i="127" s="1"/>
  <c r="AM267" i="83"/>
  <c r="N47" i="127" s="1"/>
  <c r="AL267" i="83"/>
  <c r="M47" i="127" s="1"/>
  <c r="AK267" i="83"/>
  <c r="L47" i="127" s="1"/>
  <c r="AJ267" i="83"/>
  <c r="K47" i="127" s="1"/>
  <c r="AI267" i="83"/>
  <c r="J47" i="127" s="1"/>
  <c r="AH267" i="83"/>
  <c r="I47" i="127" s="1"/>
  <c r="R267" i="83"/>
  <c r="AG267" i="83" s="1"/>
  <c r="R266" i="83"/>
  <c r="AG266" i="83" s="1"/>
  <c r="AC266" i="83"/>
  <c r="AA266" i="83"/>
  <c r="AN265" i="83"/>
  <c r="AK265" i="83"/>
  <c r="AH265" i="83"/>
  <c r="AH266" i="83" s="1"/>
  <c r="R265" i="83"/>
  <c r="AG265" i="83" s="1"/>
  <c r="AS264" i="83"/>
  <c r="T47" i="69" s="1"/>
  <c r="AR264" i="83"/>
  <c r="S47" i="69" s="1"/>
  <c r="AQ264" i="83"/>
  <c r="R47" i="69" s="1"/>
  <c r="AP264" i="83"/>
  <c r="Q47" i="69" s="1"/>
  <c r="AO264" i="83"/>
  <c r="P47" i="69" s="1"/>
  <c r="AN264" i="83"/>
  <c r="O47" i="69" s="1"/>
  <c r="AM264" i="83"/>
  <c r="N47" i="69" s="1"/>
  <c r="AL264" i="83"/>
  <c r="M47" i="69" s="1"/>
  <c r="AK264" i="83"/>
  <c r="L47" i="69" s="1"/>
  <c r="AJ264" i="83"/>
  <c r="K47" i="69" s="1"/>
  <c r="AI264" i="83"/>
  <c r="J47" i="69" s="1"/>
  <c r="R264" i="83"/>
  <c r="AG264" i="83" s="1"/>
  <c r="Q261" i="83"/>
  <c r="AF261" i="83" s="1"/>
  <c r="AF212" i="83"/>
  <c r="Q212" i="83"/>
  <c r="AF206" i="83"/>
  <c r="Q206" i="83"/>
  <c r="V205" i="83"/>
  <c r="U205" i="83"/>
  <c r="S205" i="83"/>
  <c r="AH205" i="83" s="1"/>
  <c r="AF200" i="83"/>
  <c r="Q200" i="83"/>
  <c r="AH198" i="83"/>
  <c r="I35" i="131" s="1"/>
  <c r="AH197" i="83"/>
  <c r="AH196" i="83"/>
  <c r="AH195" i="83"/>
  <c r="I35" i="127" s="1"/>
  <c r="Q194" i="83"/>
  <c r="AF194" i="83" s="1"/>
  <c r="AF191" i="83"/>
  <c r="Q191" i="83"/>
  <c r="AG258" i="83"/>
  <c r="R258" i="83"/>
  <c r="AG257" i="83"/>
  <c r="R257" i="83"/>
  <c r="AG256" i="83"/>
  <c r="R256" i="83"/>
  <c r="AG255" i="83"/>
  <c r="R255" i="83"/>
  <c r="AG254" i="83"/>
  <c r="R254" i="83"/>
  <c r="AG253" i="83"/>
  <c r="R253" i="83"/>
  <c r="AG252" i="83"/>
  <c r="R252" i="83"/>
  <c r="AG251" i="83"/>
  <c r="R251" i="83"/>
  <c r="AG250" i="83"/>
  <c r="R250" i="83"/>
  <c r="AG249" i="83"/>
  <c r="R249" i="83"/>
  <c r="AG248" i="83"/>
  <c r="R248" i="83"/>
  <c r="AG247" i="83"/>
  <c r="R247" i="83"/>
  <c r="AG246" i="83"/>
  <c r="R246" i="83"/>
  <c r="AG245" i="83"/>
  <c r="R245" i="83"/>
  <c r="AG244" i="83"/>
  <c r="R244" i="83"/>
  <c r="Q241" i="83"/>
  <c r="AF241" i="83" s="1"/>
  <c r="AG182" i="83"/>
  <c r="R182" i="83"/>
  <c r="Q182" i="83"/>
  <c r="AF182" i="83" s="1"/>
  <c r="AG179" i="83"/>
  <c r="R179" i="83"/>
  <c r="Q179" i="83"/>
  <c r="AF179" i="83" s="1"/>
  <c r="AG176" i="83"/>
  <c r="R176" i="83"/>
  <c r="Q176" i="83"/>
  <c r="AF176" i="83" s="1"/>
  <c r="AG173" i="83"/>
  <c r="R173" i="83"/>
  <c r="Q173" i="83"/>
  <c r="AF173" i="83" s="1"/>
  <c r="AG170" i="83"/>
  <c r="R170" i="83"/>
  <c r="Q170" i="83"/>
  <c r="AF170" i="83" s="1"/>
  <c r="AG167" i="83"/>
  <c r="R167" i="83"/>
  <c r="Q167" i="83"/>
  <c r="AF167" i="83" s="1"/>
  <c r="AF164" i="83"/>
  <c r="Q164" i="83"/>
  <c r="Q160" i="83"/>
  <c r="AF160" i="83" s="1"/>
  <c r="Q157" i="83"/>
  <c r="AF157" i="83" s="1"/>
  <c r="Q154" i="83"/>
  <c r="AF154" i="83" s="1"/>
  <c r="Q151" i="83"/>
  <c r="AF151" i="83" s="1"/>
  <c r="Q148" i="83"/>
  <c r="AF148" i="83" s="1"/>
  <c r="AH145" i="83"/>
  <c r="I32" i="69" s="1"/>
  <c r="Q145" i="83"/>
  <c r="AF145" i="83" s="1"/>
  <c r="AF142" i="83"/>
  <c r="Q142" i="83"/>
  <c r="AH123" i="83"/>
  <c r="I28" i="36" s="1"/>
  <c r="AH121" i="83"/>
  <c r="I29" i="131" s="1"/>
  <c r="AH119" i="83"/>
  <c r="I29" i="129" s="1"/>
  <c r="AH117" i="83"/>
  <c r="I29" i="128" s="1"/>
  <c r="AH115" i="83"/>
  <c r="I29" i="127" s="1"/>
  <c r="AH113" i="83"/>
  <c r="I29" i="69" s="1"/>
  <c r="AF110" i="83"/>
  <c r="Q110" i="83"/>
  <c r="AS107" i="83"/>
  <c r="T26" i="36" s="1"/>
  <c r="AH107" i="83"/>
  <c r="I26" i="36" s="1"/>
  <c r="Q107" i="83"/>
  <c r="AF107" i="83" s="1"/>
  <c r="AS106" i="83"/>
  <c r="T27" i="131" s="1"/>
  <c r="AH106" i="83"/>
  <c r="I27" i="131" s="1"/>
  <c r="Q106" i="83"/>
  <c r="AF106" i="83" s="1"/>
  <c r="AS105" i="83"/>
  <c r="T27" i="129" s="1"/>
  <c r="AH105" i="83"/>
  <c r="Q105" i="83"/>
  <c r="AF105" i="83" s="1"/>
  <c r="AS104" i="83"/>
  <c r="T27" i="128" s="1"/>
  <c r="AH104" i="83"/>
  <c r="Q104" i="83"/>
  <c r="AF104" i="83" s="1"/>
  <c r="AS103" i="83"/>
  <c r="T27" i="127" s="1"/>
  <c r="AH103" i="83"/>
  <c r="Q103" i="83"/>
  <c r="AF103" i="83" s="1"/>
  <c r="AS102" i="83"/>
  <c r="T27" i="69" s="1"/>
  <c r="AH102" i="83"/>
  <c r="Q102" i="83"/>
  <c r="AF102" i="83" s="1"/>
  <c r="AF99" i="83"/>
  <c r="Q99" i="83"/>
  <c r="R239" i="83"/>
  <c r="AG239" i="83" s="1"/>
  <c r="H21" i="58"/>
  <c r="H21" i="36" s="1"/>
  <c r="R238" i="83"/>
  <c r="AG238" i="83" s="1"/>
  <c r="R237" i="83"/>
  <c r="AG237" i="83" s="1"/>
  <c r="R236" i="83"/>
  <c r="AG236" i="83" s="1"/>
  <c r="R235" i="83"/>
  <c r="AG235" i="83" s="1"/>
  <c r="R234" i="83"/>
  <c r="AG234" i="83" s="1"/>
  <c r="AF98" i="83"/>
  <c r="V91" i="83"/>
  <c r="U91" i="83"/>
  <c r="T91" i="83"/>
  <c r="S91" i="83"/>
  <c r="V87" i="83"/>
  <c r="V89" i="83" s="1"/>
  <c r="U87" i="83"/>
  <c r="U89" i="83" s="1"/>
  <c r="T87" i="83"/>
  <c r="S87" i="83"/>
  <c r="V86" i="83"/>
  <c r="U86" i="83"/>
  <c r="T86" i="83"/>
  <c r="S84" i="83"/>
  <c r="V83" i="83"/>
  <c r="U83" i="83"/>
  <c r="T83" i="83"/>
  <c r="S81" i="83"/>
  <c r="V80" i="83"/>
  <c r="U80" i="83"/>
  <c r="S78" i="83"/>
  <c r="V77" i="83"/>
  <c r="U77" i="83"/>
  <c r="T77" i="83"/>
  <c r="S75" i="83"/>
  <c r="AJ72" i="83"/>
  <c r="Q72" i="83"/>
  <c r="AF72" i="83" s="1"/>
  <c r="V68" i="83"/>
  <c r="V90" i="83" s="1"/>
  <c r="U68" i="83"/>
  <c r="U70" i="83" s="1"/>
  <c r="T68" i="83"/>
  <c r="S68" i="83"/>
  <c r="V67" i="83"/>
  <c r="U67" i="83"/>
  <c r="T67" i="83"/>
  <c r="S67" i="83"/>
  <c r="V64" i="83"/>
  <c r="U64" i="83"/>
  <c r="T64" i="83"/>
  <c r="S64" i="83"/>
  <c r="V61" i="83"/>
  <c r="U61" i="83"/>
  <c r="T61" i="83"/>
  <c r="S61" i="83"/>
  <c r="V58" i="83"/>
  <c r="U58" i="83"/>
  <c r="T58" i="83"/>
  <c r="S58" i="83"/>
  <c r="V55" i="83"/>
  <c r="U55" i="83"/>
  <c r="T55" i="83"/>
  <c r="S55" i="83"/>
  <c r="AF50" i="83"/>
  <c r="Q50" i="83"/>
  <c r="AD108" i="82"/>
  <c r="AC108" i="82"/>
  <c r="AB108" i="82"/>
  <c r="AA108" i="82"/>
  <c r="Z108" i="82"/>
  <c r="Y108" i="82"/>
  <c r="X108" i="82"/>
  <c r="W108" i="82"/>
  <c r="V108" i="82"/>
  <c r="T108" i="82"/>
  <c r="S108" i="82"/>
  <c r="AD107" i="82"/>
  <c r="AC107" i="82"/>
  <c r="AB107" i="82"/>
  <c r="AA107" i="82"/>
  <c r="Z107" i="82"/>
  <c r="Y107" i="82"/>
  <c r="W107" i="82"/>
  <c r="V107" i="82"/>
  <c r="T107" i="82"/>
  <c r="S107" i="82"/>
  <c r="AD106" i="82"/>
  <c r="AC106" i="82"/>
  <c r="AB106" i="82"/>
  <c r="AA106" i="82"/>
  <c r="Y106" i="82"/>
  <c r="X106" i="82"/>
  <c r="W106" i="82"/>
  <c r="V106" i="82"/>
  <c r="T106" i="82"/>
  <c r="S106" i="82"/>
  <c r="AD105" i="82"/>
  <c r="AC105" i="82"/>
  <c r="AB105" i="82"/>
  <c r="AA105" i="82"/>
  <c r="Z105" i="82"/>
  <c r="Y105" i="82"/>
  <c r="W105" i="82"/>
  <c r="V105" i="82"/>
  <c r="T105" i="82"/>
  <c r="S105" i="82"/>
  <c r="AS104" i="82"/>
  <c r="AR104" i="82"/>
  <c r="AQ104" i="82"/>
  <c r="AH104" i="82"/>
  <c r="AI104" i="82" s="1"/>
  <c r="AJ104" i="82" s="1"/>
  <c r="AK104" i="82" s="1"/>
  <c r="AL104" i="82" s="1"/>
  <c r="AM104" i="82" s="1"/>
  <c r="AN104" i="82" s="1"/>
  <c r="AO104" i="82" s="1"/>
  <c r="AP104" i="82" s="1"/>
  <c r="AS103" i="82"/>
  <c r="AR103" i="82"/>
  <c r="AQ103" i="82"/>
  <c r="AH103" i="82"/>
  <c r="AI103" i="82" s="1"/>
  <c r="AJ103" i="82" s="1"/>
  <c r="AK103" i="82" s="1"/>
  <c r="AL103" i="82" s="1"/>
  <c r="AS102" i="82"/>
  <c r="AR102" i="82"/>
  <c r="AQ102" i="82"/>
  <c r="AH102" i="82"/>
  <c r="AI102" i="82" s="1"/>
  <c r="AD101" i="82"/>
  <c r="AC101" i="82"/>
  <c r="AB101" i="82"/>
  <c r="AA101" i="82"/>
  <c r="Y101" i="82"/>
  <c r="W101" i="82"/>
  <c r="V101" i="82"/>
  <c r="T101" i="82"/>
  <c r="S101" i="82"/>
  <c r="AS100" i="82"/>
  <c r="AR100" i="82"/>
  <c r="AQ100" i="82"/>
  <c r="AH100" i="82"/>
  <c r="AI100" i="82" s="1"/>
  <c r="AJ100" i="82" s="1"/>
  <c r="AK100" i="82" s="1"/>
  <c r="AL100" i="82" s="1"/>
  <c r="AM100" i="82" s="1"/>
  <c r="AN100" i="82" s="1"/>
  <c r="AO100" i="82" s="1"/>
  <c r="AP100" i="82" s="1"/>
  <c r="AS99" i="82"/>
  <c r="AR99" i="82"/>
  <c r="AQ99" i="82"/>
  <c r="AH99" i="82"/>
  <c r="AI99" i="82" s="1"/>
  <c r="AJ99" i="82" s="1"/>
  <c r="AK99" i="82" s="1"/>
  <c r="AL99" i="82" s="1"/>
  <c r="AM99" i="82" s="1"/>
  <c r="AN99" i="82" s="1"/>
  <c r="AO99" i="82" s="1"/>
  <c r="AP99" i="82" s="1"/>
  <c r="AS98" i="82"/>
  <c r="AR98" i="82"/>
  <c r="AR101" i="82" s="1"/>
  <c r="S14" i="129" s="1"/>
  <c r="AQ98" i="82"/>
  <c r="AH98" i="82"/>
  <c r="AI98" i="82" s="1"/>
  <c r="AD97" i="82"/>
  <c r="AC97" i="82"/>
  <c r="AB97" i="82"/>
  <c r="AA97" i="82"/>
  <c r="Z97" i="82"/>
  <c r="Y97" i="82"/>
  <c r="W97" i="82"/>
  <c r="V97" i="82"/>
  <c r="T97" i="82"/>
  <c r="S97" i="82"/>
  <c r="AS96" i="82"/>
  <c r="AR96" i="82"/>
  <c r="AQ96" i="82"/>
  <c r="AH96" i="82"/>
  <c r="AS95" i="82"/>
  <c r="AR95" i="82"/>
  <c r="AQ95" i="82"/>
  <c r="AH95" i="82"/>
  <c r="AI95" i="82" s="1"/>
  <c r="AJ95" i="82" s="1"/>
  <c r="AK95" i="82" s="1"/>
  <c r="AL95" i="82" s="1"/>
  <c r="AM95" i="82" s="1"/>
  <c r="AN95" i="82" s="1"/>
  <c r="AO95" i="82" s="1"/>
  <c r="AP95" i="82" s="1"/>
  <c r="AS94" i="82"/>
  <c r="AR94" i="82"/>
  <c r="AQ94" i="82"/>
  <c r="AH94" i="82"/>
  <c r="AI94" i="82" s="1"/>
  <c r="AD93" i="82"/>
  <c r="AC93" i="82"/>
  <c r="AB93" i="82"/>
  <c r="AA93" i="82"/>
  <c r="Z93" i="82"/>
  <c r="Y93" i="82"/>
  <c r="W93" i="82"/>
  <c r="V93" i="82"/>
  <c r="T93" i="82"/>
  <c r="S93" i="82"/>
  <c r="AH92" i="82"/>
  <c r="AI92" i="82" s="1"/>
  <c r="AH91" i="82"/>
  <c r="AI91" i="82" s="1"/>
  <c r="AJ91" i="82" s="1"/>
  <c r="AK91" i="82" s="1"/>
  <c r="AL91" i="82" s="1"/>
  <c r="AM91" i="82" s="1"/>
  <c r="AN91" i="82" s="1"/>
  <c r="AO91" i="82" s="1"/>
  <c r="AP91" i="82" s="1"/>
  <c r="AQ91" i="82" s="1"/>
  <c r="AR91" i="82" s="1"/>
  <c r="AS91" i="82" s="1"/>
  <c r="AH90" i="82"/>
  <c r="AD89" i="82"/>
  <c r="AC89" i="82"/>
  <c r="AB89" i="82"/>
  <c r="AA89" i="82"/>
  <c r="Z89" i="82"/>
  <c r="Y89" i="82"/>
  <c r="W89" i="82"/>
  <c r="V89" i="82"/>
  <c r="T89" i="82"/>
  <c r="S89" i="82"/>
  <c r="AH88" i="82"/>
  <c r="AI88" i="82" s="1"/>
  <c r="AJ88" i="82" s="1"/>
  <c r="AK88" i="82" s="1"/>
  <c r="AL88" i="82" s="1"/>
  <c r="AM88" i="82" s="1"/>
  <c r="AN88" i="82" s="1"/>
  <c r="AO88" i="82" s="1"/>
  <c r="AP88" i="82" s="1"/>
  <c r="AQ88" i="82" s="1"/>
  <c r="AR88" i="82" s="1"/>
  <c r="AS88" i="82" s="1"/>
  <c r="AH87" i="82"/>
  <c r="AI87" i="82" s="1"/>
  <c r="AH86" i="82"/>
  <c r="AI86" i="82" s="1"/>
  <c r="AF83" i="82"/>
  <c r="Q83" i="82"/>
  <c r="AS79" i="82"/>
  <c r="T12" i="36" s="1"/>
  <c r="AR79" i="82"/>
  <c r="S12" i="36" s="1"/>
  <c r="AS78" i="82"/>
  <c r="T12" i="131" s="1"/>
  <c r="AR78" i="82"/>
  <c r="S12" i="131" s="1"/>
  <c r="AH78" i="82"/>
  <c r="AS77" i="82"/>
  <c r="T12" i="129" s="1"/>
  <c r="AR77" i="82"/>
  <c r="S12" i="129" s="1"/>
  <c r="AH77" i="82"/>
  <c r="I12" i="129" s="1"/>
  <c r="AS76" i="82"/>
  <c r="T12" i="128" s="1"/>
  <c r="AR76" i="82"/>
  <c r="S12" i="128" s="1"/>
  <c r="AH76" i="82"/>
  <c r="I12" i="128" s="1"/>
  <c r="AS75" i="82"/>
  <c r="T12" i="127" s="1"/>
  <c r="AR75" i="82"/>
  <c r="S12" i="127" s="1"/>
  <c r="AH75" i="82"/>
  <c r="AS74" i="82"/>
  <c r="T12" i="69" s="1"/>
  <c r="AR74" i="82"/>
  <c r="S12" i="69" s="1"/>
  <c r="AH74" i="82"/>
  <c r="I12" i="69" s="1"/>
  <c r="AF71" i="82"/>
  <c r="Q71" i="82"/>
  <c r="AB68" i="82"/>
  <c r="AQ68" i="82" s="1"/>
  <c r="AD67" i="82"/>
  <c r="AC67" i="82"/>
  <c r="AB67" i="82"/>
  <c r="AA67" i="82"/>
  <c r="Z67" i="82"/>
  <c r="Y67" i="82"/>
  <c r="X67" i="82"/>
  <c r="W67" i="82"/>
  <c r="V67" i="82"/>
  <c r="U67" i="82"/>
  <c r="T67" i="82"/>
  <c r="S67" i="82"/>
  <c r="AH67" i="82" s="1"/>
  <c r="AD66" i="82"/>
  <c r="AB66" i="82"/>
  <c r="AQ65" i="82"/>
  <c r="AD65" i="82"/>
  <c r="AS65" i="82" s="1"/>
  <c r="AC65" i="82"/>
  <c r="AR65" i="82" s="1"/>
  <c r="AA65" i="82"/>
  <c r="AP65" i="82" s="1"/>
  <c r="Z65" i="82"/>
  <c r="AO65" i="82" s="1"/>
  <c r="Y65" i="82"/>
  <c r="AN65" i="82" s="1"/>
  <c r="X65" i="82"/>
  <c r="AM65" i="82" s="1"/>
  <c r="W65" i="82"/>
  <c r="W66" i="82" s="1"/>
  <c r="V65" i="82"/>
  <c r="V66" i="82" s="1"/>
  <c r="U65" i="82"/>
  <c r="U66" i="82" s="1"/>
  <c r="T65" i="82"/>
  <c r="S65" i="82"/>
  <c r="S66" i="82" s="1"/>
  <c r="AS64" i="82"/>
  <c r="AR64" i="82"/>
  <c r="AH64" i="82"/>
  <c r="AI64" i="82" s="1"/>
  <c r="AB63" i="82"/>
  <c r="AQ62" i="82"/>
  <c r="AD62" i="82"/>
  <c r="AS62" i="82" s="1"/>
  <c r="AC62" i="82"/>
  <c r="AR62" i="82" s="1"/>
  <c r="AA62" i="82"/>
  <c r="AA63" i="82" s="1"/>
  <c r="Z62" i="82"/>
  <c r="AO62" i="82" s="1"/>
  <c r="Y62" i="82"/>
  <c r="AN62" i="82" s="1"/>
  <c r="X62" i="82"/>
  <c r="AM62" i="82" s="1"/>
  <c r="W62" i="82"/>
  <c r="W63" i="82" s="1"/>
  <c r="V62" i="82"/>
  <c r="AK62" i="82" s="1"/>
  <c r="U62" i="82"/>
  <c r="U63" i="82" s="1"/>
  <c r="T63" i="82"/>
  <c r="S62" i="82"/>
  <c r="S63" i="82" s="1"/>
  <c r="AS61" i="82"/>
  <c r="AR61" i="82"/>
  <c r="AH61" i="82"/>
  <c r="AI61" i="82" s="1"/>
  <c r="AB60" i="82"/>
  <c r="Z60" i="82"/>
  <c r="AQ59" i="82"/>
  <c r="AD59" i="82"/>
  <c r="AD60" i="82" s="1"/>
  <c r="AC59" i="82"/>
  <c r="AR59" i="82" s="1"/>
  <c r="AA59" i="82"/>
  <c r="AP59" i="82" s="1"/>
  <c r="AO59" i="82"/>
  <c r="Y59" i="82"/>
  <c r="AN59" i="82" s="1"/>
  <c r="X59" i="82"/>
  <c r="AM59" i="82" s="1"/>
  <c r="W59" i="82"/>
  <c r="AL59" i="82" s="1"/>
  <c r="V59" i="82"/>
  <c r="AK59" i="82" s="1"/>
  <c r="U59" i="82"/>
  <c r="U60" i="82" s="1"/>
  <c r="T59" i="82"/>
  <c r="AI59" i="82" s="1"/>
  <c r="S59" i="82"/>
  <c r="S60" i="82" s="1"/>
  <c r="AS58" i="82"/>
  <c r="AR58" i="82"/>
  <c r="AH58" i="82"/>
  <c r="AC57" i="82"/>
  <c r="AB57" i="82"/>
  <c r="AQ56" i="82"/>
  <c r="AD56" i="82"/>
  <c r="AS56" i="82" s="1"/>
  <c r="AC56" i="82"/>
  <c r="AR56" i="82" s="1"/>
  <c r="AA56" i="82"/>
  <c r="AP56" i="82" s="1"/>
  <c r="Z56" i="82"/>
  <c r="AO56" i="82" s="1"/>
  <c r="Y56" i="82"/>
  <c r="AN56" i="82" s="1"/>
  <c r="X56" i="82"/>
  <c r="X57" i="82" s="1"/>
  <c r="W56" i="82"/>
  <c r="AL56" i="82" s="1"/>
  <c r="V56" i="82"/>
  <c r="U56" i="82"/>
  <c r="U57" i="82" s="1"/>
  <c r="T56" i="82"/>
  <c r="T57" i="82" s="1"/>
  <c r="S56" i="82"/>
  <c r="AS55" i="82"/>
  <c r="AR55" i="82"/>
  <c r="AR57" i="82" s="1"/>
  <c r="S11" i="127" s="1"/>
  <c r="AH55" i="82"/>
  <c r="AI55" i="82" s="1"/>
  <c r="AB54" i="82"/>
  <c r="AQ53" i="82"/>
  <c r="AD53" i="82"/>
  <c r="AS53" i="82" s="1"/>
  <c r="AC53" i="82"/>
  <c r="AR53" i="82" s="1"/>
  <c r="AA53" i="82"/>
  <c r="AP53" i="82" s="1"/>
  <c r="Z53" i="82"/>
  <c r="AO53" i="82" s="1"/>
  <c r="Y53" i="82"/>
  <c r="AN53" i="82" s="1"/>
  <c r="X53" i="82"/>
  <c r="AM53" i="82" s="1"/>
  <c r="W53" i="82"/>
  <c r="W54" i="82" s="1"/>
  <c r="V53" i="82"/>
  <c r="V54" i="82" s="1"/>
  <c r="U53" i="82"/>
  <c r="T53" i="82"/>
  <c r="AI53" i="82" s="1"/>
  <c r="S53" i="82"/>
  <c r="AS52" i="82"/>
  <c r="AR52" i="82"/>
  <c r="AH52" i="82"/>
  <c r="AF49" i="82"/>
  <c r="Q49" i="82"/>
  <c r="AD46" i="82"/>
  <c r="AC46" i="82"/>
  <c r="AB46" i="82"/>
  <c r="AA46" i="82"/>
  <c r="Z46" i="82"/>
  <c r="Y46" i="82"/>
  <c r="X46" i="82"/>
  <c r="W46" i="82"/>
  <c r="V46" i="82"/>
  <c r="U46" i="82"/>
  <c r="T46" i="82"/>
  <c r="S46" i="82"/>
  <c r="AD45" i="82"/>
  <c r="AC45" i="82"/>
  <c r="AB45" i="82"/>
  <c r="AA45" i="82"/>
  <c r="Z45" i="82"/>
  <c r="Y45" i="82"/>
  <c r="X45" i="82"/>
  <c r="W45" i="82"/>
  <c r="AC44" i="82"/>
  <c r="AB44" i="82"/>
  <c r="AA44" i="82"/>
  <c r="Z44" i="82"/>
  <c r="Y44" i="82"/>
  <c r="X44" i="82"/>
  <c r="W44" i="82"/>
  <c r="AS43" i="82"/>
  <c r="AR43" i="82"/>
  <c r="AQ43" i="82"/>
  <c r="AP43" i="82"/>
  <c r="AO43" i="82"/>
  <c r="AN43" i="82"/>
  <c r="AM43" i="82"/>
  <c r="AL43" i="82"/>
  <c r="AK43" i="82"/>
  <c r="AJ43" i="82"/>
  <c r="AI43" i="82"/>
  <c r="AH43" i="82"/>
  <c r="AS42" i="82"/>
  <c r="AS44" i="82" s="1"/>
  <c r="T10" i="131" s="1"/>
  <c r="AR42" i="82"/>
  <c r="AR44" i="82" s="1"/>
  <c r="S10" i="131" s="1"/>
  <c r="U44" i="82"/>
  <c r="T44" i="82"/>
  <c r="S44" i="82"/>
  <c r="AD41" i="82"/>
  <c r="AC41" i="82"/>
  <c r="AB41" i="82"/>
  <c r="AA41" i="82"/>
  <c r="Z41" i="82"/>
  <c r="Y41" i="82"/>
  <c r="X41" i="82"/>
  <c r="W41" i="82"/>
  <c r="AS40" i="82"/>
  <c r="AR40" i="82"/>
  <c r="AQ40" i="82"/>
  <c r="AP40" i="82"/>
  <c r="AO40" i="82"/>
  <c r="AN40" i="82"/>
  <c r="AM40" i="82"/>
  <c r="AL40" i="82"/>
  <c r="AK40" i="82"/>
  <c r="AJ40" i="82"/>
  <c r="AI40" i="82"/>
  <c r="AH40" i="82"/>
  <c r="AS39" i="82"/>
  <c r="AS41" i="82" s="1"/>
  <c r="T10" i="129" s="1"/>
  <c r="AR39" i="82"/>
  <c r="AR41" i="82" s="1"/>
  <c r="S10" i="129" s="1"/>
  <c r="V41" i="82"/>
  <c r="AD38" i="82"/>
  <c r="AC38" i="82"/>
  <c r="AB38" i="82"/>
  <c r="AA38" i="82"/>
  <c r="Z38" i="82"/>
  <c r="Y38" i="82"/>
  <c r="X38" i="82"/>
  <c r="W38" i="82"/>
  <c r="AS37" i="82"/>
  <c r="AR37" i="82"/>
  <c r="AQ37" i="82"/>
  <c r="AP37" i="82"/>
  <c r="AO37" i="82"/>
  <c r="AN37" i="82"/>
  <c r="AM37" i="82"/>
  <c r="AL37" i="82"/>
  <c r="AK37" i="82"/>
  <c r="AJ37" i="82"/>
  <c r="AI37" i="82"/>
  <c r="AH37" i="82"/>
  <c r="AS36" i="82"/>
  <c r="AR36" i="82"/>
  <c r="AR38" i="82" s="1"/>
  <c r="S10" i="128" s="1"/>
  <c r="V38" i="82"/>
  <c r="U38" i="82"/>
  <c r="T38" i="82"/>
  <c r="AD35" i="82"/>
  <c r="AC35" i="82"/>
  <c r="AB35" i="82"/>
  <c r="AA35" i="82"/>
  <c r="Z35" i="82"/>
  <c r="Y35" i="82"/>
  <c r="X35" i="82"/>
  <c r="W35" i="82"/>
  <c r="AS34" i="82"/>
  <c r="AR34" i="82"/>
  <c r="AQ34" i="82"/>
  <c r="AP34" i="82"/>
  <c r="AO34" i="82"/>
  <c r="AN34" i="82"/>
  <c r="AM34" i="82"/>
  <c r="AL34" i="82"/>
  <c r="AK34" i="82"/>
  <c r="AJ34" i="82"/>
  <c r="AI34" i="82"/>
  <c r="AH34" i="82"/>
  <c r="AS33" i="82"/>
  <c r="AS35" i="82" s="1"/>
  <c r="T10" i="127" s="1"/>
  <c r="AR33" i="82"/>
  <c r="AR35" i="82" s="1"/>
  <c r="S10" i="127" s="1"/>
  <c r="S35" i="82"/>
  <c r="AD32" i="82"/>
  <c r="AC32" i="82"/>
  <c r="AB32" i="82"/>
  <c r="AA32" i="82"/>
  <c r="Z32" i="82"/>
  <c r="Y32" i="82"/>
  <c r="X32" i="82"/>
  <c r="AS31" i="82"/>
  <c r="AR31" i="82"/>
  <c r="AQ31" i="82"/>
  <c r="AP31" i="82"/>
  <c r="AO31" i="82"/>
  <c r="AN31" i="82"/>
  <c r="AM31" i="82"/>
  <c r="AL31" i="82"/>
  <c r="AK31" i="82"/>
  <c r="AJ31" i="82"/>
  <c r="AI31" i="82"/>
  <c r="AH31" i="82"/>
  <c r="AS30" i="82"/>
  <c r="AS32" i="82" s="1"/>
  <c r="T10" i="69" s="1"/>
  <c r="AR30" i="82"/>
  <c r="AR32" i="82" s="1"/>
  <c r="S10" i="69" s="1"/>
  <c r="V32" i="82"/>
  <c r="T32" i="82"/>
  <c r="S32" i="82"/>
  <c r="AF27" i="82"/>
  <c r="Q27" i="82"/>
  <c r="AD24" i="82"/>
  <c r="AC24" i="82"/>
  <c r="AB24" i="82"/>
  <c r="AA24" i="82"/>
  <c r="Z24" i="82"/>
  <c r="Y24" i="82"/>
  <c r="X24" i="82"/>
  <c r="W24" i="82"/>
  <c r="V24" i="82"/>
  <c r="U24" i="82"/>
  <c r="T24" i="82"/>
  <c r="S24" i="82"/>
  <c r="AD23" i="82"/>
  <c r="AC23" i="82"/>
  <c r="AB23" i="82"/>
  <c r="AA23" i="82"/>
  <c r="Z23" i="82"/>
  <c r="Y23" i="82"/>
  <c r="X23" i="82"/>
  <c r="W23" i="82"/>
  <c r="V23" i="82"/>
  <c r="U23" i="82"/>
  <c r="T23" i="82"/>
  <c r="S23" i="82"/>
  <c r="H8" i="58"/>
  <c r="AD22" i="82"/>
  <c r="AC22" i="82"/>
  <c r="AB22" i="82"/>
  <c r="AA22" i="82"/>
  <c r="Z22" i="82"/>
  <c r="Y22" i="82"/>
  <c r="X22" i="82"/>
  <c r="W22" i="82"/>
  <c r="V22" i="82"/>
  <c r="U22" i="82"/>
  <c r="T22" i="82"/>
  <c r="S22" i="82"/>
  <c r="AS21" i="82"/>
  <c r="AS22" i="82" s="1"/>
  <c r="AR21" i="82"/>
  <c r="AR22" i="82" s="1"/>
  <c r="AH21" i="82"/>
  <c r="AS20" i="82"/>
  <c r="T8" i="131" s="1"/>
  <c r="AR20" i="82"/>
  <c r="S8" i="131" s="1"/>
  <c r="AH20" i="82"/>
  <c r="AI20" i="82" s="1"/>
  <c r="AJ20" i="82" s="1"/>
  <c r="AK20" i="82" s="1"/>
  <c r="AL20" i="82" s="1"/>
  <c r="AD19" i="82"/>
  <c r="AC19" i="82"/>
  <c r="AB19" i="82"/>
  <c r="AA19" i="82"/>
  <c r="Z19" i="82"/>
  <c r="Y19" i="82"/>
  <c r="X19" i="82"/>
  <c r="W19" i="82"/>
  <c r="V19" i="82"/>
  <c r="U19" i="82"/>
  <c r="T19" i="82"/>
  <c r="S19" i="82"/>
  <c r="AH18" i="82"/>
  <c r="AI18" i="82" s="1"/>
  <c r="AJ18" i="82" s="1"/>
  <c r="AK18" i="82" s="1"/>
  <c r="AH17" i="82"/>
  <c r="AD16" i="82"/>
  <c r="AC16" i="82"/>
  <c r="AB16" i="82"/>
  <c r="AA16" i="82"/>
  <c r="Z16" i="82"/>
  <c r="Y16" i="82"/>
  <c r="X16" i="82"/>
  <c r="W16" i="82"/>
  <c r="V16" i="82"/>
  <c r="U16" i="82"/>
  <c r="T16" i="82"/>
  <c r="S16" i="82"/>
  <c r="AH15" i="82"/>
  <c r="AI15" i="82" s="1"/>
  <c r="T8" i="128"/>
  <c r="S8" i="128"/>
  <c r="L8" i="128"/>
  <c r="AD13" i="82"/>
  <c r="AC13" i="82"/>
  <c r="AB13" i="82"/>
  <c r="AA13" i="82"/>
  <c r="Z13" i="82"/>
  <c r="Y13" i="82"/>
  <c r="X13" i="82"/>
  <c r="W13" i="82"/>
  <c r="V13" i="82"/>
  <c r="U13" i="82"/>
  <c r="T13" i="82"/>
  <c r="S13" i="82"/>
  <c r="AS12" i="82"/>
  <c r="AS13" i="82" s="1"/>
  <c r="AR12" i="82"/>
  <c r="AR13" i="82" s="1"/>
  <c r="AH12" i="82"/>
  <c r="AI12" i="82" s="1"/>
  <c r="AS11" i="82"/>
  <c r="T8" i="127" s="1"/>
  <c r="AR11" i="82"/>
  <c r="S8" i="127" s="1"/>
  <c r="AD10" i="82"/>
  <c r="AC10" i="82"/>
  <c r="AB10" i="82"/>
  <c r="AA10" i="82"/>
  <c r="Z10" i="82"/>
  <c r="Y10" i="82"/>
  <c r="X10" i="82"/>
  <c r="W10" i="82"/>
  <c r="V10" i="82"/>
  <c r="U10" i="82"/>
  <c r="T10" i="82"/>
  <c r="S10" i="82"/>
  <c r="AS9" i="82"/>
  <c r="AR9" i="82"/>
  <c r="AR10" i="82" s="1"/>
  <c r="AH9" i="82"/>
  <c r="AS8" i="82"/>
  <c r="T8" i="69" s="1"/>
  <c r="AR8" i="82"/>
  <c r="S8" i="69" s="1"/>
  <c r="AH8" i="82"/>
  <c r="AD41" i="119"/>
  <c r="X41" i="119"/>
  <c r="R41" i="119"/>
  <c r="L41" i="119"/>
  <c r="F41" i="119"/>
  <c r="B41" i="119"/>
  <c r="AD40" i="119"/>
  <c r="X40" i="119"/>
  <c r="R40" i="119"/>
  <c r="L40" i="119"/>
  <c r="F40" i="119"/>
  <c r="B40" i="119"/>
  <c r="AD39" i="119"/>
  <c r="X39" i="119"/>
  <c r="R39" i="119"/>
  <c r="L39" i="119"/>
  <c r="F39" i="119"/>
  <c r="B39" i="119"/>
  <c r="AD38" i="119"/>
  <c r="X38" i="119"/>
  <c r="R38" i="119"/>
  <c r="L38" i="119"/>
  <c r="F38" i="119"/>
  <c r="B38" i="119"/>
  <c r="B37" i="119"/>
  <c r="A37" i="119"/>
  <c r="D36" i="119"/>
  <c r="C36" i="119"/>
  <c r="B36" i="119"/>
  <c r="D35" i="119"/>
  <c r="C35" i="119"/>
  <c r="B35" i="119"/>
  <c r="B34" i="119"/>
  <c r="A34" i="119"/>
  <c r="D33" i="119"/>
  <c r="C33" i="119"/>
  <c r="B33" i="119"/>
  <c r="AF33" i="119" s="1"/>
  <c r="AD33" i="119" s="1"/>
  <c r="D32" i="119"/>
  <c r="C32" i="119"/>
  <c r="B32" i="119"/>
  <c r="D31" i="119"/>
  <c r="C31" i="119"/>
  <c r="B31" i="119"/>
  <c r="AF31" i="119" s="1"/>
  <c r="AD31" i="119" s="1"/>
  <c r="D30" i="119"/>
  <c r="C30" i="119"/>
  <c r="B30" i="119"/>
  <c r="AF30" i="119" s="1"/>
  <c r="AD30" i="119" s="1"/>
  <c r="D29" i="119"/>
  <c r="C29" i="119"/>
  <c r="B29" i="119"/>
  <c r="T29" i="119" s="1"/>
  <c r="R29" i="119" s="1"/>
  <c r="D28" i="119"/>
  <c r="C28" i="119"/>
  <c r="B28" i="119"/>
  <c r="B27" i="119"/>
  <c r="D26" i="119"/>
  <c r="C26" i="119"/>
  <c r="B26" i="119"/>
  <c r="AE26" i="119" s="1"/>
  <c r="B25" i="119"/>
  <c r="A25" i="119"/>
  <c r="D24" i="119"/>
  <c r="C24" i="119"/>
  <c r="B24" i="119"/>
  <c r="A24" i="119"/>
  <c r="D23" i="119"/>
  <c r="C23" i="119"/>
  <c r="B23" i="119"/>
  <c r="Y23" i="119" s="1"/>
  <c r="A23" i="119"/>
  <c r="D22" i="119"/>
  <c r="C22" i="119"/>
  <c r="B22" i="119"/>
  <c r="A22" i="119"/>
  <c r="D21" i="119"/>
  <c r="C21" i="119"/>
  <c r="B21" i="119"/>
  <c r="N21" i="119" s="1"/>
  <c r="L21" i="119" s="1"/>
  <c r="D20" i="119"/>
  <c r="C20" i="119"/>
  <c r="B20" i="119"/>
  <c r="B19" i="119"/>
  <c r="A19" i="119"/>
  <c r="D18" i="119"/>
  <c r="C18" i="119"/>
  <c r="B18" i="119"/>
  <c r="A18" i="119"/>
  <c r="D17" i="119"/>
  <c r="C17" i="119"/>
  <c r="B17" i="119"/>
  <c r="D16" i="119"/>
  <c r="C16" i="119"/>
  <c r="B16" i="119"/>
  <c r="B15" i="119"/>
  <c r="A15" i="119"/>
  <c r="D14" i="119"/>
  <c r="C14" i="119"/>
  <c r="B14" i="119"/>
  <c r="A14" i="119"/>
  <c r="D13" i="119"/>
  <c r="C13" i="119"/>
  <c r="B13" i="119"/>
  <c r="A13" i="119"/>
  <c r="D12" i="119"/>
  <c r="C12" i="119"/>
  <c r="B12" i="119"/>
  <c r="S12" i="119" s="1"/>
  <c r="A12" i="119"/>
  <c r="B11" i="119"/>
  <c r="A11" i="119"/>
  <c r="D10" i="119"/>
  <c r="C10" i="119"/>
  <c r="B10" i="119"/>
  <c r="A10" i="119"/>
  <c r="D9" i="119"/>
  <c r="C9" i="119"/>
  <c r="B9" i="119"/>
  <c r="A9" i="119"/>
  <c r="D8" i="119"/>
  <c r="C8" i="119"/>
  <c r="B8" i="119"/>
  <c r="A8" i="119"/>
  <c r="B7" i="119"/>
  <c r="A7" i="119"/>
  <c r="G43" i="71"/>
  <c r="D43" i="71"/>
  <c r="C43" i="71"/>
  <c r="D41" i="71"/>
  <c r="C41" i="71"/>
  <c r="F30" i="71"/>
  <c r="G30" i="71" s="1"/>
  <c r="D30" i="71"/>
  <c r="C30" i="71"/>
  <c r="F29" i="71"/>
  <c r="G29" i="71" s="1"/>
  <c r="D29" i="71"/>
  <c r="C29" i="71"/>
  <c r="D28" i="71"/>
  <c r="C28" i="71"/>
  <c r="F25" i="71"/>
  <c r="G25" i="71" s="1"/>
  <c r="F24" i="71"/>
  <c r="G24" i="71" s="1"/>
  <c r="C24" i="71"/>
  <c r="AO23" i="71"/>
  <c r="G14" i="71"/>
  <c r="D14" i="71"/>
  <c r="C14" i="71"/>
  <c r="C12" i="71"/>
  <c r="D8" i="71"/>
  <c r="C8" i="71"/>
  <c r="D7" i="71"/>
  <c r="C7" i="71"/>
  <c r="D6" i="71"/>
  <c r="C6" i="71"/>
  <c r="D4" i="71"/>
  <c r="C4" i="71"/>
  <c r="H30" i="68"/>
  <c r="G30" i="68"/>
  <c r="F30" i="68"/>
  <c r="E30" i="68"/>
  <c r="D30" i="68"/>
  <c r="H29" i="68"/>
  <c r="G29" i="68"/>
  <c r="F29" i="68"/>
  <c r="E29" i="68"/>
  <c r="D29" i="68"/>
  <c r="H27" i="68"/>
  <c r="G27" i="68"/>
  <c r="F27" i="68"/>
  <c r="E27" i="68"/>
  <c r="D27" i="68"/>
  <c r="H9" i="68"/>
  <c r="G9" i="68"/>
  <c r="F9" i="68"/>
  <c r="E9" i="68"/>
  <c r="D9" i="68"/>
  <c r="H8" i="68"/>
  <c r="G8" i="68"/>
  <c r="F8" i="68"/>
  <c r="E8" i="68"/>
  <c r="D8" i="68"/>
  <c r="D4" i="24"/>
  <c r="B2" i="24"/>
  <c r="H10" i="58" l="1"/>
  <c r="F10" i="35" s="1"/>
  <c r="X47" i="82"/>
  <c r="J41" i="133"/>
  <c r="X109" i="82"/>
  <c r="AF49" i="21"/>
  <c r="AG49" i="21" s="1"/>
  <c r="F26" i="68" s="1"/>
  <c r="AF50" i="21"/>
  <c r="AG50" i="21" s="1"/>
  <c r="AI17" i="82"/>
  <c r="AI19" i="82" s="1"/>
  <c r="I8" i="129"/>
  <c r="F56" i="134"/>
  <c r="AF39" i="21"/>
  <c r="U39" i="21"/>
  <c r="J49" i="21"/>
  <c r="K49" i="21" s="1"/>
  <c r="D26" i="68" s="1"/>
  <c r="AQ50" i="21"/>
  <c r="AR50" i="21" s="1"/>
  <c r="H21" i="35"/>
  <c r="I21" i="35" s="1"/>
  <c r="H44" i="35"/>
  <c r="H60" i="35"/>
  <c r="H25" i="35"/>
  <c r="H57" i="35"/>
  <c r="I57" i="35" s="1"/>
  <c r="J57" i="35" s="1"/>
  <c r="H55" i="35"/>
  <c r="I55" i="35" s="1"/>
  <c r="J55" i="35" s="1"/>
  <c r="H40" i="35"/>
  <c r="I40" i="35" s="1"/>
  <c r="J40" i="35" s="1"/>
  <c r="H34" i="35"/>
  <c r="I34" i="35" s="1"/>
  <c r="H59" i="35"/>
  <c r="I59" i="35" s="1"/>
  <c r="J39" i="21"/>
  <c r="K39" i="21" s="1"/>
  <c r="L39" i="21" s="1"/>
  <c r="J34" i="21"/>
  <c r="K34" i="21" s="1"/>
  <c r="J33" i="21"/>
  <c r="K33" i="21" s="1"/>
  <c r="AI8" i="82"/>
  <c r="I8" i="69"/>
  <c r="BB39" i="21"/>
  <c r="BB23" i="21"/>
  <c r="BC23" i="21" s="1"/>
  <c r="F56" i="135"/>
  <c r="AP10" i="21"/>
  <c r="AQ23" i="21"/>
  <c r="AR23" i="21" s="1"/>
  <c r="AQ39" i="21"/>
  <c r="AR39" i="21" s="1"/>
  <c r="AS39" i="21" s="1"/>
  <c r="AQ42" i="21"/>
  <c r="AQ25" i="21"/>
  <c r="AR25" i="21" s="1"/>
  <c r="J17" i="21"/>
  <c r="J18" i="21"/>
  <c r="U49" i="21"/>
  <c r="V49" i="21" s="1"/>
  <c r="E26" i="68" s="1"/>
  <c r="BB49" i="21"/>
  <c r="BC49" i="21" s="1"/>
  <c r="H26" i="68" s="1"/>
  <c r="J50" i="21"/>
  <c r="K50" i="21" s="1"/>
  <c r="BB50" i="21"/>
  <c r="BC50" i="21" s="1"/>
  <c r="AQ49" i="21"/>
  <c r="AR49" i="21" s="1"/>
  <c r="G26" i="68" s="1"/>
  <c r="U50" i="21"/>
  <c r="V50" i="21" s="1"/>
  <c r="AM103" i="82"/>
  <c r="AN103" i="82" s="1"/>
  <c r="AO103" i="82" s="1"/>
  <c r="AP103" i="82" s="1"/>
  <c r="AI102" i="83"/>
  <c r="I27" i="69"/>
  <c r="AI104" i="83"/>
  <c r="J27" i="128" s="1"/>
  <c r="I27" i="128"/>
  <c r="AI197" i="83"/>
  <c r="J35" i="129" s="1"/>
  <c r="I35" i="129"/>
  <c r="AI105" i="83"/>
  <c r="I27" i="129"/>
  <c r="AS91" i="83"/>
  <c r="AM91" i="83"/>
  <c r="AP91" i="83"/>
  <c r="AH91" i="83"/>
  <c r="AN91" i="83"/>
  <c r="AO91" i="83"/>
  <c r="AI91" i="83"/>
  <c r="AK91" i="83"/>
  <c r="AQ91" i="83"/>
  <c r="AJ91" i="83"/>
  <c r="AL91" i="83"/>
  <c r="AR91" i="83"/>
  <c r="AI196" i="83"/>
  <c r="J35" i="128" s="1"/>
  <c r="I35" i="128"/>
  <c r="AI103" i="83"/>
  <c r="I27" i="127"/>
  <c r="G48" i="131"/>
  <c r="G45" i="131"/>
  <c r="H59" i="36"/>
  <c r="F59" i="35"/>
  <c r="G48" i="69"/>
  <c r="G45" i="69"/>
  <c r="AI195" i="83"/>
  <c r="J35" i="127" s="1"/>
  <c r="AD281" i="83"/>
  <c r="T47" i="58"/>
  <c r="H47" i="58" s="1"/>
  <c r="W281" i="83"/>
  <c r="M47" i="58"/>
  <c r="X281" i="83"/>
  <c r="N47" i="58"/>
  <c r="Y281" i="83"/>
  <c r="O47" i="58"/>
  <c r="Z281" i="83"/>
  <c r="P47" i="58"/>
  <c r="G37" i="133" s="1"/>
  <c r="AA281" i="83"/>
  <c r="Q47" i="58"/>
  <c r="AI198" i="83"/>
  <c r="J35" i="131" s="1"/>
  <c r="AB281" i="83"/>
  <c r="R47" i="58"/>
  <c r="I37" i="36"/>
  <c r="H22" i="119" s="1"/>
  <c r="F22" i="119" s="1"/>
  <c r="AI205" i="83"/>
  <c r="AC281" i="83"/>
  <c r="S47" i="58"/>
  <c r="H57" i="36"/>
  <c r="F57" i="35"/>
  <c r="F47" i="35"/>
  <c r="H47" i="36"/>
  <c r="F48" i="35"/>
  <c r="H48" i="36"/>
  <c r="F43" i="35"/>
  <c r="H43" i="36"/>
  <c r="F54" i="35"/>
  <c r="H54" i="36"/>
  <c r="F31" i="35"/>
  <c r="H31" i="36"/>
  <c r="F19" i="133"/>
  <c r="H20" i="36"/>
  <c r="F26" i="35"/>
  <c r="H26" i="36"/>
  <c r="F38" i="35"/>
  <c r="H38" i="36"/>
  <c r="F29" i="121"/>
  <c r="H50" i="36"/>
  <c r="F32" i="35"/>
  <c r="H32" i="36"/>
  <c r="F39" i="35"/>
  <c r="H39" i="36"/>
  <c r="H16" i="36"/>
  <c r="F16" i="35"/>
  <c r="H11" i="36"/>
  <c r="F11" i="35"/>
  <c r="H15" i="36"/>
  <c r="F15" i="35"/>
  <c r="F7" i="131"/>
  <c r="F18" i="128"/>
  <c r="F56" i="128" s="1"/>
  <c r="F7" i="127"/>
  <c r="F56" i="73"/>
  <c r="G11" i="73"/>
  <c r="G11" i="69" s="1"/>
  <c r="G14" i="73"/>
  <c r="G14" i="69" s="1"/>
  <c r="G16" i="73"/>
  <c r="G16" i="69" s="1"/>
  <c r="G8" i="73"/>
  <c r="G8" i="69" s="1"/>
  <c r="G12" i="73"/>
  <c r="G12" i="69" s="1"/>
  <c r="G15" i="69"/>
  <c r="G17" i="73"/>
  <c r="G17" i="69" s="1"/>
  <c r="F7" i="69"/>
  <c r="J31" i="21"/>
  <c r="G32" i="133"/>
  <c r="N30" i="119"/>
  <c r="L30" i="119" s="1"/>
  <c r="S30" i="119"/>
  <c r="G23" i="119"/>
  <c r="M23" i="119"/>
  <c r="Z30" i="119"/>
  <c r="X30" i="119" s="1"/>
  <c r="S23" i="119"/>
  <c r="H28" i="35"/>
  <c r="T30" i="119"/>
  <c r="R30" i="119" s="1"/>
  <c r="H40" i="137"/>
  <c r="H40" i="131" s="1"/>
  <c r="H8" i="137"/>
  <c r="H8" i="131" s="1"/>
  <c r="AB325" i="83"/>
  <c r="AY40" i="21"/>
  <c r="BB33" i="21"/>
  <c r="BC33" i="21" s="1"/>
  <c r="H11" i="137"/>
  <c r="H11" i="131" s="1"/>
  <c r="H15" i="131"/>
  <c r="H12" i="136"/>
  <c r="H12" i="129" s="1"/>
  <c r="AJ311" i="83"/>
  <c r="U313" i="83"/>
  <c r="AJ313" i="83" s="1"/>
  <c r="H8" i="134"/>
  <c r="H8" i="127" s="1"/>
  <c r="AJ314" i="83"/>
  <c r="U316" i="83"/>
  <c r="AJ316" i="83" s="1"/>
  <c r="Y313" i="83"/>
  <c r="AN313" i="83" s="1"/>
  <c r="AK314" i="83"/>
  <c r="V316" i="83"/>
  <c r="AK316" i="83" s="1"/>
  <c r="AO311" i="83"/>
  <c r="Z313" i="83"/>
  <c r="AO313" i="83" s="1"/>
  <c r="AD313" i="83"/>
  <c r="AS313" i="83" s="1"/>
  <c r="BB41" i="21"/>
  <c r="V313" i="83"/>
  <c r="AK313" i="83" s="1"/>
  <c r="X313" i="83"/>
  <c r="AM313" i="83" s="1"/>
  <c r="H15" i="129"/>
  <c r="T313" i="83"/>
  <c r="AI313" i="83" s="1"/>
  <c r="AQ308" i="83"/>
  <c r="AQ310" i="83" s="1"/>
  <c r="AB310" i="83"/>
  <c r="AR308" i="83"/>
  <c r="AR310" i="83" s="1"/>
  <c r="AC310" i="83"/>
  <c r="AH308" i="83"/>
  <c r="AH310" i="83" s="1"/>
  <c r="S310" i="83"/>
  <c r="AP308" i="83"/>
  <c r="AP310" i="83" s="1"/>
  <c r="AA310" i="83"/>
  <c r="H14" i="136"/>
  <c r="H14" i="129" s="1"/>
  <c r="H52" i="35"/>
  <c r="AJ317" i="83"/>
  <c r="AJ319" i="83" s="1"/>
  <c r="U319" i="83"/>
  <c r="AK317" i="83"/>
  <c r="AK319" i="83" s="1"/>
  <c r="V319" i="83"/>
  <c r="AM317" i="83"/>
  <c r="AM319" i="83" s="1"/>
  <c r="X319" i="83"/>
  <c r="AQ317" i="83"/>
  <c r="AQ319" i="83" s="1"/>
  <c r="AB319" i="83"/>
  <c r="AR317" i="83"/>
  <c r="AR319" i="83" s="1"/>
  <c r="AC319" i="83"/>
  <c r="AP323" i="83"/>
  <c r="AP325" i="83" s="1"/>
  <c r="AA325" i="83"/>
  <c r="AS323" i="83"/>
  <c r="AS325" i="83" s="1"/>
  <c r="AD325" i="83"/>
  <c r="AR323" i="83"/>
  <c r="AR325" i="83" s="1"/>
  <c r="AC325" i="83"/>
  <c r="AI323" i="83"/>
  <c r="T325" i="83"/>
  <c r="AJ323" i="83"/>
  <c r="U325" i="83"/>
  <c r="AK323" i="83"/>
  <c r="V325" i="83"/>
  <c r="AL323" i="83"/>
  <c r="W325" i="83"/>
  <c r="AM323" i="83"/>
  <c r="X325" i="83"/>
  <c r="AN323" i="83"/>
  <c r="AN325" i="83" s="1"/>
  <c r="Y325" i="83"/>
  <c r="AO323" i="83"/>
  <c r="AO325" i="83" s="1"/>
  <c r="Z325" i="83"/>
  <c r="AH323" i="83"/>
  <c r="S325" i="83"/>
  <c r="H16" i="127"/>
  <c r="H12" i="137"/>
  <c r="H12" i="131" s="1"/>
  <c r="H11" i="135"/>
  <c r="H11" i="128" s="1"/>
  <c r="H16" i="135"/>
  <c r="H16" i="128" s="1"/>
  <c r="H11" i="134"/>
  <c r="H11" i="127" s="1"/>
  <c r="H14" i="137"/>
  <c r="H14" i="131" s="1"/>
  <c r="H17" i="136"/>
  <c r="H17" i="129" s="1"/>
  <c r="H8" i="135"/>
  <c r="H8" i="128" s="1"/>
  <c r="H8" i="136"/>
  <c r="H8" i="129" s="1"/>
  <c r="H12" i="135"/>
  <c r="H12" i="128" s="1"/>
  <c r="H15" i="128"/>
  <c r="AR66" i="82"/>
  <c r="S11" i="131" s="1"/>
  <c r="AS66" i="82"/>
  <c r="T11" i="131" s="1"/>
  <c r="AC66" i="82"/>
  <c r="AD63" i="82"/>
  <c r="AR63" i="82"/>
  <c r="S11" i="129" s="1"/>
  <c r="AS63" i="82"/>
  <c r="T11" i="129" s="1"/>
  <c r="AC63" i="82"/>
  <c r="AR60" i="82"/>
  <c r="S11" i="128" s="1"/>
  <c r="AC60" i="82"/>
  <c r="AD57" i="82"/>
  <c r="AS57" i="82"/>
  <c r="T11" i="127" s="1"/>
  <c r="AR54" i="82"/>
  <c r="S11" i="69" s="1"/>
  <c r="AS54" i="82"/>
  <c r="T11" i="69" s="1"/>
  <c r="Y54" i="82"/>
  <c r="AC54" i="82"/>
  <c r="AD54" i="82"/>
  <c r="AD25" i="82"/>
  <c r="AC25" i="82"/>
  <c r="G21" i="58"/>
  <c r="G21" i="36" s="1"/>
  <c r="AS38" i="82"/>
  <c r="T10" i="128" s="1"/>
  <c r="AD47" i="82"/>
  <c r="AS105" i="82"/>
  <c r="T14" i="131" s="1"/>
  <c r="AS101" i="82"/>
  <c r="T14" i="129" s="1"/>
  <c r="AS97" i="82"/>
  <c r="T14" i="128" s="1"/>
  <c r="H51" i="35"/>
  <c r="AC47" i="82"/>
  <c r="AR105" i="82"/>
  <c r="S14" i="131" s="1"/>
  <c r="AR97" i="82"/>
  <c r="S14" i="128" s="1"/>
  <c r="AC109" i="82"/>
  <c r="S41" i="21"/>
  <c r="T41" i="21"/>
  <c r="AQ105" i="82"/>
  <c r="R14" i="131" s="1"/>
  <c r="AQ101" i="82"/>
  <c r="R14" i="129" s="1"/>
  <c r="AQ97" i="82"/>
  <c r="R14" i="128" s="1"/>
  <c r="AB109" i="82"/>
  <c r="Y57" i="82"/>
  <c r="AA54" i="82"/>
  <c r="H14" i="135"/>
  <c r="H14" i="128" s="1"/>
  <c r="Z66" i="82"/>
  <c r="H17" i="21"/>
  <c r="AI62" i="82"/>
  <c r="AI63" i="82" s="1"/>
  <c r="J11" i="129" s="1"/>
  <c r="H14" i="134"/>
  <c r="H14" i="127" s="1"/>
  <c r="AJ56" i="82"/>
  <c r="T17" i="21"/>
  <c r="AB47" i="82"/>
  <c r="AB25" i="82"/>
  <c r="U25" i="82"/>
  <c r="Z54" i="82"/>
  <c r="AA57" i="82"/>
  <c r="T14" i="21"/>
  <c r="AH59" i="82"/>
  <c r="AH60" i="82" s="1"/>
  <c r="I11" i="128" s="1"/>
  <c r="AA66" i="82"/>
  <c r="AH33" i="82"/>
  <c r="AH35" i="82" s="1"/>
  <c r="I10" i="127" s="1"/>
  <c r="X54" i="82"/>
  <c r="X66" i="82"/>
  <c r="AI56" i="82"/>
  <c r="AI57" i="82" s="1"/>
  <c r="J11" i="127" s="1"/>
  <c r="Y66" i="82"/>
  <c r="V109" i="82"/>
  <c r="Z57" i="82"/>
  <c r="AJ59" i="82"/>
  <c r="H15" i="127"/>
  <c r="Y25" i="82"/>
  <c r="AL62" i="82"/>
  <c r="AL65" i="82"/>
  <c r="AJ46" i="82"/>
  <c r="AH42" i="82"/>
  <c r="AH44" i="82" s="1"/>
  <c r="I10" i="131" s="1"/>
  <c r="AA25" i="82"/>
  <c r="AA60" i="82"/>
  <c r="Y63" i="82"/>
  <c r="AI101" i="82"/>
  <c r="J14" i="129" s="1"/>
  <c r="AH62" i="82"/>
  <c r="AH63" i="82" s="1"/>
  <c r="I11" i="129" s="1"/>
  <c r="AJ62" i="82"/>
  <c r="AP18" i="21"/>
  <c r="AE17" i="21"/>
  <c r="Z63" i="82"/>
  <c r="AA47" i="82"/>
  <c r="I46" i="127"/>
  <c r="Z109" i="82"/>
  <c r="AL272" i="83"/>
  <c r="AI275" i="83"/>
  <c r="Z47" i="82"/>
  <c r="Y60" i="82"/>
  <c r="H17" i="135"/>
  <c r="H17" i="128" s="1"/>
  <c r="AH16" i="82"/>
  <c r="V63" i="82"/>
  <c r="T109" i="82"/>
  <c r="W60" i="82"/>
  <c r="AC68" i="82"/>
  <c r="AR68" i="82" s="1"/>
  <c r="Z25" i="82"/>
  <c r="AK53" i="82"/>
  <c r="AH101" i="82"/>
  <c r="I14" i="129" s="1"/>
  <c r="X63" i="82"/>
  <c r="AP16" i="21"/>
  <c r="BA14" i="21"/>
  <c r="H14" i="36"/>
  <c r="H22" i="136"/>
  <c r="H22" i="129" s="1"/>
  <c r="Y109" i="82"/>
  <c r="T16" i="21"/>
  <c r="G10" i="119"/>
  <c r="G11" i="133"/>
  <c r="BA13" i="21"/>
  <c r="H18" i="21"/>
  <c r="BA16" i="21"/>
  <c r="Y47" i="82"/>
  <c r="AI75" i="82"/>
  <c r="J12" i="127" s="1"/>
  <c r="I12" i="127"/>
  <c r="M8" i="131"/>
  <c r="AM20" i="82"/>
  <c r="AI78" i="82"/>
  <c r="J12" i="131" s="1"/>
  <c r="I12" i="131"/>
  <c r="F8" i="133"/>
  <c r="F8" i="35"/>
  <c r="H8" i="36"/>
  <c r="AL18" i="82"/>
  <c r="S68" i="82"/>
  <c r="S69" i="82" s="1"/>
  <c r="V60" i="82"/>
  <c r="AJ98" i="82"/>
  <c r="AD109" i="82"/>
  <c r="U34" i="21"/>
  <c r="V34" i="21" s="1"/>
  <c r="U33" i="21"/>
  <c r="V33" i="21" s="1"/>
  <c r="AQ33" i="21"/>
  <c r="AR33" i="21" s="1"/>
  <c r="L8" i="131"/>
  <c r="F56" i="136"/>
  <c r="K8" i="131"/>
  <c r="H17" i="134"/>
  <c r="H17" i="127" s="1"/>
  <c r="T13" i="21"/>
  <c r="I8" i="128"/>
  <c r="BB30" i="21"/>
  <c r="BC30" i="21" s="1"/>
  <c r="BC29" i="21" s="1"/>
  <c r="BD29" i="21" s="1"/>
  <c r="BB34" i="21"/>
  <c r="BC34" i="21" s="1"/>
  <c r="BA45" i="21"/>
  <c r="BC45" i="21" s="1"/>
  <c r="H8" i="69"/>
  <c r="F7" i="129"/>
  <c r="AH30" i="82"/>
  <c r="AI30" i="82" s="1"/>
  <c r="AI32" i="82" s="1"/>
  <c r="J10" i="69" s="1"/>
  <c r="AH106" i="82"/>
  <c r="S25" i="82"/>
  <c r="AH23" i="82"/>
  <c r="I8" i="36" s="1"/>
  <c r="AQ46" i="82"/>
  <c r="AM56" i="82"/>
  <c r="X60" i="82"/>
  <c r="AH65" i="82"/>
  <c r="AH66" i="82" s="1"/>
  <c r="I11" i="131" s="1"/>
  <c r="F18" i="69"/>
  <c r="F18" i="127"/>
  <c r="J8" i="128"/>
  <c r="G24" i="119"/>
  <c r="V25" i="82"/>
  <c r="W57" i="82"/>
  <c r="Z68" i="82"/>
  <c r="AO68" i="82" s="1"/>
  <c r="AH108" i="82"/>
  <c r="S109" i="82"/>
  <c r="AH93" i="82"/>
  <c r="I14" i="127" s="1"/>
  <c r="U46" i="21"/>
  <c r="R46" i="21" s="1"/>
  <c r="H12" i="69"/>
  <c r="K8" i="128"/>
  <c r="M24" i="119"/>
  <c r="U45" i="82"/>
  <c r="U47" i="82" s="1"/>
  <c r="AA109" i="82"/>
  <c r="AO46" i="82"/>
  <c r="AJ65" i="82"/>
  <c r="M30" i="119"/>
  <c r="T25" i="82"/>
  <c r="AN46" i="82"/>
  <c r="AP46" i="82"/>
  <c r="AS46" i="82"/>
  <c r="T54" i="82"/>
  <c r="AK65" i="82"/>
  <c r="J38" i="21"/>
  <c r="D58" i="127"/>
  <c r="AF30" i="21"/>
  <c r="AG30" i="21" s="1"/>
  <c r="AG29" i="21" s="1"/>
  <c r="AF31" i="21"/>
  <c r="AF34" i="21"/>
  <c r="AG34" i="21" s="1"/>
  <c r="AF33" i="21"/>
  <c r="AG33" i="21" s="1"/>
  <c r="F18" i="129"/>
  <c r="AE20" i="119"/>
  <c r="B22" i="71"/>
  <c r="D58" i="131"/>
  <c r="D58" i="129"/>
  <c r="F18" i="131"/>
  <c r="Y30" i="119"/>
  <c r="AI16" i="82"/>
  <c r="X25" i="82"/>
  <c r="V68" i="82"/>
  <c r="AK68" i="82" s="1"/>
  <c r="D58" i="69"/>
  <c r="D58" i="128"/>
  <c r="I8" i="131"/>
  <c r="AH46" i="82"/>
  <c r="AQ30" i="21"/>
  <c r="AR30" i="21" s="1"/>
  <c r="AR29" i="21" s="1"/>
  <c r="AQ34" i="21"/>
  <c r="AR34" i="21" s="1"/>
  <c r="J8" i="131"/>
  <c r="W25" i="82"/>
  <c r="H10" i="69"/>
  <c r="AR288" i="83"/>
  <c r="H40" i="136"/>
  <c r="H40" i="129" s="1"/>
  <c r="H43" i="136"/>
  <c r="H43" i="129" s="1"/>
  <c r="H21" i="137"/>
  <c r="H21" i="131" s="1"/>
  <c r="H20" i="137"/>
  <c r="H20" i="131" s="1"/>
  <c r="H27" i="137"/>
  <c r="H27" i="131" s="1"/>
  <c r="AP303" i="83"/>
  <c r="AF41" i="21"/>
  <c r="AJ294" i="83"/>
  <c r="AP300" i="83"/>
  <c r="H40" i="135"/>
  <c r="H40" i="128" s="1"/>
  <c r="H22" i="137"/>
  <c r="H22" i="131" s="1"/>
  <c r="W288" i="83"/>
  <c r="AM300" i="83"/>
  <c r="H45" i="137"/>
  <c r="I44" i="21"/>
  <c r="G39" i="35"/>
  <c r="AK297" i="83"/>
  <c r="AM311" i="83"/>
  <c r="AI294" i="83"/>
  <c r="H26" i="137"/>
  <c r="H26" i="131" s="1"/>
  <c r="X288" i="83"/>
  <c r="AH272" i="83"/>
  <c r="AH291" i="83"/>
  <c r="G23" i="35"/>
  <c r="BA38" i="21"/>
  <c r="H26" i="135"/>
  <c r="H26" i="128" s="1"/>
  <c r="AL300" i="83"/>
  <c r="AA303" i="83"/>
  <c r="AK308" i="83"/>
  <c r="AK310" i="83" s="1"/>
  <c r="AN269" i="83"/>
  <c r="BA46" i="21"/>
  <c r="H41" i="137"/>
  <c r="H41" i="131" s="1"/>
  <c r="AO277" i="83"/>
  <c r="AO278" i="83" s="1"/>
  <c r="AJ278" i="83"/>
  <c r="AP277" i="83"/>
  <c r="AP278" i="83" s="1"/>
  <c r="AH217" i="83"/>
  <c r="I39" i="36" s="1"/>
  <c r="Y269" i="83"/>
  <c r="AN275" i="83"/>
  <c r="AK278" i="83"/>
  <c r="AH288" i="83"/>
  <c r="AM278" i="83"/>
  <c r="H45" i="136"/>
  <c r="H45" i="129" s="1"/>
  <c r="Z269" i="83"/>
  <c r="AS317" i="83"/>
  <c r="AS319" i="83" s="1"/>
  <c r="H41" i="135"/>
  <c r="H41" i="128" s="1"/>
  <c r="H43" i="135"/>
  <c r="H43" i="128" s="1"/>
  <c r="H27" i="69"/>
  <c r="AL288" i="83"/>
  <c r="AJ303" i="83"/>
  <c r="H20" i="136"/>
  <c r="H20" i="129" s="1"/>
  <c r="AL290" i="83"/>
  <c r="AL291" i="83" s="1"/>
  <c r="AL314" i="83"/>
  <c r="AM353" i="83"/>
  <c r="AO288" i="83"/>
  <c r="H39" i="133" s="1"/>
  <c r="AJ300" i="83"/>
  <c r="AR296" i="83"/>
  <c r="AR297" i="83" s="1"/>
  <c r="H20" i="135"/>
  <c r="H20" i="128" s="1"/>
  <c r="AS296" i="83"/>
  <c r="AS297" i="83" s="1"/>
  <c r="AN277" i="83"/>
  <c r="AN280" i="83" s="1"/>
  <c r="AK300" i="83"/>
  <c r="G36" i="133"/>
  <c r="AO78" i="83"/>
  <c r="AO80" i="83" s="1"/>
  <c r="AP78" i="83"/>
  <c r="AP80" i="83" s="1"/>
  <c r="AQ78" i="83"/>
  <c r="AQ80" i="83" s="1"/>
  <c r="AR78" i="83"/>
  <c r="AR80" i="83" s="1"/>
  <c r="AS78" i="83"/>
  <c r="AS80" i="83" s="1"/>
  <c r="AI78" i="83"/>
  <c r="AI80" i="83" s="1"/>
  <c r="AJ78" i="83"/>
  <c r="AJ80" i="83" s="1"/>
  <c r="AK78" i="83"/>
  <c r="AK80" i="83" s="1"/>
  <c r="AL78" i="83"/>
  <c r="AL80" i="83" s="1"/>
  <c r="AM78" i="83"/>
  <c r="AM80" i="83" s="1"/>
  <c r="AN78" i="83"/>
  <c r="AN80" i="83" s="1"/>
  <c r="AH78" i="83"/>
  <c r="AH80" i="83" s="1"/>
  <c r="AK303" i="83"/>
  <c r="AJ68" i="83"/>
  <c r="AJ70" i="83" s="1"/>
  <c r="AK68" i="83"/>
  <c r="AL68" i="83"/>
  <c r="AM68" i="83"/>
  <c r="AN68" i="83"/>
  <c r="AO68" i="83"/>
  <c r="AH68" i="83"/>
  <c r="AH70" i="83" s="1"/>
  <c r="AP68" i="83"/>
  <c r="AQ68" i="83"/>
  <c r="AR68" i="83"/>
  <c r="AS68" i="83"/>
  <c r="AI68" i="83"/>
  <c r="AI70" i="83" s="1"/>
  <c r="V297" i="83"/>
  <c r="AP265" i="83"/>
  <c r="AP266" i="83" s="1"/>
  <c r="S291" i="83"/>
  <c r="G36" i="121"/>
  <c r="E36" i="121" s="1"/>
  <c r="AD291" i="83"/>
  <c r="AO81" i="83"/>
  <c r="AO83" i="83" s="1"/>
  <c r="P25" i="128" s="1"/>
  <c r="AP81" i="83"/>
  <c r="AP83" i="83" s="1"/>
  <c r="Q25" i="128" s="1"/>
  <c r="AH81" i="83"/>
  <c r="AH83" i="83" s="1"/>
  <c r="I25" i="128" s="1"/>
  <c r="AQ81" i="83"/>
  <c r="AQ83" i="83" s="1"/>
  <c r="R25" i="128" s="1"/>
  <c r="AR81" i="83"/>
  <c r="AR83" i="83" s="1"/>
  <c r="S25" i="128" s="1"/>
  <c r="AS81" i="83"/>
  <c r="AS83" i="83" s="1"/>
  <c r="T25" i="128" s="1"/>
  <c r="AI81" i="83"/>
  <c r="AI83" i="83" s="1"/>
  <c r="J25" i="128" s="1"/>
  <c r="AJ81" i="83"/>
  <c r="AJ83" i="83" s="1"/>
  <c r="K25" i="128" s="1"/>
  <c r="AK81" i="83"/>
  <c r="AK83" i="83" s="1"/>
  <c r="L25" i="128" s="1"/>
  <c r="AL81" i="83"/>
  <c r="AL83" i="83" s="1"/>
  <c r="M25" i="128" s="1"/>
  <c r="AM81" i="83"/>
  <c r="AM83" i="83" s="1"/>
  <c r="N25" i="128" s="1"/>
  <c r="AN81" i="83"/>
  <c r="AN83" i="83" s="1"/>
  <c r="O25" i="128" s="1"/>
  <c r="AK266" i="83"/>
  <c r="S266" i="83"/>
  <c r="AJ272" i="83"/>
  <c r="Y272" i="83"/>
  <c r="AI300" i="83"/>
  <c r="AQ299" i="83"/>
  <c r="AQ300" i="83" s="1"/>
  <c r="AI311" i="83"/>
  <c r="S316" i="83"/>
  <c r="AH316" i="83" s="1"/>
  <c r="AE41" i="21"/>
  <c r="AN308" i="83"/>
  <c r="AN310" i="83" s="1"/>
  <c r="AM87" i="83"/>
  <c r="AM89" i="83" s="1"/>
  <c r="N25" i="131" s="1"/>
  <c r="AN87" i="83"/>
  <c r="AN89" i="83" s="1"/>
  <c r="O25" i="131" s="1"/>
  <c r="AO87" i="83"/>
  <c r="AO89" i="83" s="1"/>
  <c r="P25" i="131" s="1"/>
  <c r="AP87" i="83"/>
  <c r="AP89" i="83" s="1"/>
  <c r="Q25" i="131" s="1"/>
  <c r="AQ87" i="83"/>
  <c r="AQ89" i="83" s="1"/>
  <c r="R25" i="131" s="1"/>
  <c r="AR87" i="83"/>
  <c r="AR89" i="83" s="1"/>
  <c r="S25" i="131" s="1"/>
  <c r="AS87" i="83"/>
  <c r="AS89" i="83" s="1"/>
  <c r="T25" i="131" s="1"/>
  <c r="AI87" i="83"/>
  <c r="AI89" i="83" s="1"/>
  <c r="J25" i="131" s="1"/>
  <c r="AH87" i="83"/>
  <c r="AH89" i="83" s="1"/>
  <c r="I25" i="131" s="1"/>
  <c r="AJ87" i="83"/>
  <c r="AJ89" i="83" s="1"/>
  <c r="K25" i="131" s="1"/>
  <c r="AK87" i="83"/>
  <c r="AK89" i="83" s="1"/>
  <c r="L25" i="131" s="1"/>
  <c r="AL87" i="83"/>
  <c r="AL89" i="83" s="1"/>
  <c r="M25" i="131" s="1"/>
  <c r="AK69" i="83"/>
  <c r="AL69" i="83"/>
  <c r="AM69" i="83"/>
  <c r="AN69" i="83"/>
  <c r="AO69" i="83"/>
  <c r="AP69" i="83"/>
  <c r="AQ69" i="83"/>
  <c r="AR69" i="83"/>
  <c r="AS69" i="83"/>
  <c r="T281" i="83"/>
  <c r="S90" i="83"/>
  <c r="AN311" i="83"/>
  <c r="AS75" i="83"/>
  <c r="AS77" i="83" s="1"/>
  <c r="AJ75" i="83"/>
  <c r="AJ77" i="83" s="1"/>
  <c r="AK75" i="83"/>
  <c r="AK77" i="83" s="1"/>
  <c r="AL75" i="83"/>
  <c r="AL77" i="83" s="1"/>
  <c r="AM75" i="83"/>
  <c r="AM77" i="83" s="1"/>
  <c r="AI75" i="83"/>
  <c r="AI77" i="83" s="1"/>
  <c r="AN75" i="83"/>
  <c r="AN77" i="83" s="1"/>
  <c r="AH75" i="83"/>
  <c r="AH77" i="83" s="1"/>
  <c r="AO75" i="83"/>
  <c r="AO77" i="83" s="1"/>
  <c r="AP75" i="83"/>
  <c r="AP77" i="83" s="1"/>
  <c r="AQ75" i="83"/>
  <c r="AQ77" i="83" s="1"/>
  <c r="AR75" i="83"/>
  <c r="AR77" i="83" s="1"/>
  <c r="S83" i="83"/>
  <c r="AC288" i="83"/>
  <c r="AL303" i="83"/>
  <c r="W303" i="83"/>
  <c r="Z272" i="83"/>
  <c r="AA300" i="83"/>
  <c r="AL320" i="83"/>
  <c r="AD48" i="21"/>
  <c r="AM268" i="83"/>
  <c r="AM269" i="83" s="1"/>
  <c r="BA41" i="21"/>
  <c r="AO84" i="83"/>
  <c r="AO86" i="83" s="1"/>
  <c r="P25" i="129" s="1"/>
  <c r="AP84" i="83"/>
  <c r="AP86" i="83" s="1"/>
  <c r="Q25" i="129" s="1"/>
  <c r="AQ84" i="83"/>
  <c r="AQ86" i="83" s="1"/>
  <c r="R25" i="129" s="1"/>
  <c r="AR84" i="83"/>
  <c r="AR86" i="83" s="1"/>
  <c r="S25" i="129" s="1"/>
  <c r="AS84" i="83"/>
  <c r="AS86" i="83" s="1"/>
  <c r="T25" i="129" s="1"/>
  <c r="AI84" i="83"/>
  <c r="AI86" i="83" s="1"/>
  <c r="J25" i="129" s="1"/>
  <c r="AH84" i="83"/>
  <c r="AH86" i="83" s="1"/>
  <c r="I25" i="129" s="1"/>
  <c r="AJ84" i="83"/>
  <c r="AJ86" i="83" s="1"/>
  <c r="K25" i="129" s="1"/>
  <c r="AK84" i="83"/>
  <c r="AK86" i="83" s="1"/>
  <c r="L25" i="129" s="1"/>
  <c r="AL84" i="83"/>
  <c r="AL86" i="83" s="1"/>
  <c r="M25" i="129" s="1"/>
  <c r="AM84" i="83"/>
  <c r="AM86" i="83" s="1"/>
  <c r="N25" i="129" s="1"/>
  <c r="AN84" i="83"/>
  <c r="AN86" i="83" s="1"/>
  <c r="O25" i="129" s="1"/>
  <c r="AQ268" i="83"/>
  <c r="AQ269" i="83" s="1"/>
  <c r="AO272" i="83"/>
  <c r="AL294" i="83"/>
  <c r="AO296" i="83"/>
  <c r="AO297" i="83" s="1"/>
  <c r="AI317" i="83"/>
  <c r="AI319" i="83" s="1"/>
  <c r="X68" i="82"/>
  <c r="AM68" i="82" s="1"/>
  <c r="W278" i="83"/>
  <c r="AJ296" i="83"/>
  <c r="AJ297" i="83" s="1"/>
  <c r="U297" i="83"/>
  <c r="AQ302" i="83"/>
  <c r="AQ303" i="83" s="1"/>
  <c r="AB303" i="83"/>
  <c r="AI265" i="83"/>
  <c r="AI266" i="83" s="1"/>
  <c r="T266" i="83"/>
  <c r="H26" i="136"/>
  <c r="H26" i="129" s="1"/>
  <c r="AO308" i="83"/>
  <c r="AO310" i="83" s="1"/>
  <c r="AO314" i="83"/>
  <c r="U322" i="83"/>
  <c r="AJ322" i="83" s="1"/>
  <c r="AJ320" i="83"/>
  <c r="AB322" i="83"/>
  <c r="AQ322" i="83" s="1"/>
  <c r="Z266" i="83"/>
  <c r="AO265" i="83"/>
  <c r="AO266" i="83" s="1"/>
  <c r="AD275" i="83"/>
  <c r="AS274" i="83"/>
  <c r="AS275" i="83" s="1"/>
  <c r="AH293" i="83"/>
  <c r="AH294" i="83" s="1"/>
  <c r="S294" i="83"/>
  <c r="U300" i="83"/>
  <c r="AC322" i="83"/>
  <c r="AR322" i="83" s="1"/>
  <c r="AR314" i="83"/>
  <c r="AD322" i="83"/>
  <c r="AS322" i="83" s="1"/>
  <c r="AA275" i="83"/>
  <c r="AP274" i="83"/>
  <c r="AP275" i="83" s="1"/>
  <c r="AQ293" i="83"/>
  <c r="AQ294" i="83" s="1"/>
  <c r="AB294" i="83"/>
  <c r="AN314" i="83"/>
  <c r="AS277" i="83"/>
  <c r="AS278" i="83" s="1"/>
  <c r="AD278" i="83"/>
  <c r="Z322" i="83"/>
  <c r="AO322" i="83" s="1"/>
  <c r="AO320" i="83"/>
  <c r="H27" i="21"/>
  <c r="H26" i="69"/>
  <c r="H44" i="129"/>
  <c r="S272" i="83"/>
  <c r="AS268" i="83"/>
  <c r="AS269" i="83" s="1"/>
  <c r="AD269" i="83"/>
  <c r="AD272" i="83"/>
  <c r="AB275" i="83"/>
  <c r="AQ274" i="83"/>
  <c r="AQ275" i="83" s="1"/>
  <c r="AI278" i="83"/>
  <c r="AN287" i="83"/>
  <c r="AN288" i="83" s="1"/>
  <c r="Y288" i="83"/>
  <c r="AI308" i="83"/>
  <c r="AI310" i="83" s="1"/>
  <c r="AJ308" i="83"/>
  <c r="AJ310" i="83" s="1"/>
  <c r="AM288" i="83"/>
  <c r="S70" i="83"/>
  <c r="S86" i="83"/>
  <c r="AN272" i="83"/>
  <c r="AL278" i="83"/>
  <c r="Z288" i="83"/>
  <c r="AS308" i="83"/>
  <c r="AS310" i="83" s="1"/>
  <c r="AK311" i="83"/>
  <c r="AK320" i="83"/>
  <c r="AE45" i="21"/>
  <c r="AG45" i="21" s="1"/>
  <c r="AL205" i="83"/>
  <c r="M37" i="36" s="1"/>
  <c r="AF22" i="119" s="1"/>
  <c r="AD22" i="119" s="1"/>
  <c r="AS291" i="83"/>
  <c r="T294" i="83"/>
  <c r="T42" i="21"/>
  <c r="V70" i="83"/>
  <c r="AR274" i="83"/>
  <c r="AR275" i="83" s="1"/>
  <c r="U294" i="83"/>
  <c r="AO269" i="83"/>
  <c r="X278" i="83"/>
  <c r="H27" i="135"/>
  <c r="H27" i="128" s="1"/>
  <c r="Y28" i="119"/>
  <c r="AN266" i="83"/>
  <c r="V266" i="83"/>
  <c r="AS272" i="83"/>
  <c r="AM294" i="83"/>
  <c r="H21" i="135"/>
  <c r="H21" i="128" s="1"/>
  <c r="AZ34" i="21"/>
  <c r="AO34" i="21"/>
  <c r="H22" i="135"/>
  <c r="H22" i="128" s="1"/>
  <c r="T27" i="21"/>
  <c r="G27" i="133"/>
  <c r="H36" i="69"/>
  <c r="H37" i="21"/>
  <c r="AD46" i="21"/>
  <c r="H48" i="21"/>
  <c r="AE22" i="21"/>
  <c r="AD34" i="21"/>
  <c r="I21" i="21"/>
  <c r="AE23" i="21"/>
  <c r="T24" i="21"/>
  <c r="AP22" i="21"/>
  <c r="BA44" i="21"/>
  <c r="AP12" i="21"/>
  <c r="AP21" i="21"/>
  <c r="I18" i="21"/>
  <c r="BB46" i="21"/>
  <c r="O9" i="21"/>
  <c r="AV9" i="21" s="1"/>
  <c r="AU19" i="21"/>
  <c r="AE21" i="21"/>
  <c r="BA27" i="21"/>
  <c r="BA48" i="21"/>
  <c r="AE10" i="21"/>
  <c r="Z9" i="21"/>
  <c r="I38" i="21"/>
  <c r="AP48" i="21"/>
  <c r="T18" i="21"/>
  <c r="T28" i="21"/>
  <c r="AE44" i="21"/>
  <c r="AE42" i="21"/>
  <c r="AE18" i="21"/>
  <c r="N19" i="21"/>
  <c r="T22" i="21"/>
  <c r="AP17" i="21"/>
  <c r="O19" i="21"/>
  <c r="T45" i="21"/>
  <c r="V45" i="21" s="1"/>
  <c r="BA10" i="21"/>
  <c r="BA21" i="21"/>
  <c r="AP45" i="21"/>
  <c r="AR45" i="21" s="1"/>
  <c r="AP46" i="21"/>
  <c r="Y19" i="21"/>
  <c r="T46" i="21"/>
  <c r="BA12" i="21"/>
  <c r="AK19" i="21"/>
  <c r="I41" i="21"/>
  <c r="BA22" i="21"/>
  <c r="BA42" i="21"/>
  <c r="W47" i="82"/>
  <c r="W68" i="82"/>
  <c r="AL68" i="82" s="1"/>
  <c r="AL53" i="82"/>
  <c r="H44" i="128"/>
  <c r="T70" i="83"/>
  <c r="T90" i="83"/>
  <c r="T92" i="83" s="1"/>
  <c r="AR313" i="83"/>
  <c r="AR311" i="83"/>
  <c r="W297" i="83"/>
  <c r="AL296" i="83"/>
  <c r="AL297" i="83" s="1"/>
  <c r="AH268" i="83"/>
  <c r="AH269" i="83" s="1"/>
  <c r="AJ290" i="83"/>
  <c r="AJ291" i="83" s="1"/>
  <c r="U291" i="83"/>
  <c r="AH277" i="83"/>
  <c r="AH278" i="83" s="1"/>
  <c r="V291" i="83"/>
  <c r="AK290" i="83"/>
  <c r="AK291" i="83" s="1"/>
  <c r="AJ324" i="83"/>
  <c r="K48" i="36" s="1"/>
  <c r="S77" i="83"/>
  <c r="AQ311" i="83"/>
  <c r="AQ313" i="83"/>
  <c r="F16" i="121"/>
  <c r="W266" i="83"/>
  <c r="AL265" i="83"/>
  <c r="AL266" i="83" s="1"/>
  <c r="X297" i="83"/>
  <c r="AM296" i="83"/>
  <c r="AM297" i="83" s="1"/>
  <c r="AP317" i="83"/>
  <c r="AP319" i="83" s="1"/>
  <c r="AK293" i="83"/>
  <c r="AK294" i="83" s="1"/>
  <c r="V294" i="83"/>
  <c r="AS279" i="83"/>
  <c r="T46" i="36" s="1"/>
  <c r="AR279" i="83"/>
  <c r="S46" i="36" s="1"/>
  <c r="AL279" i="83"/>
  <c r="M46" i="36" s="1"/>
  <c r="AH279" i="83"/>
  <c r="I46" i="36" s="1"/>
  <c r="X266" i="83"/>
  <c r="AM265" i="83"/>
  <c r="AM266" i="83" s="1"/>
  <c r="AI314" i="83"/>
  <c r="H21" i="69"/>
  <c r="H22" i="21"/>
  <c r="AA288" i="83"/>
  <c r="AP287" i="83"/>
  <c r="AP288" i="83" s="1"/>
  <c r="AM274" i="83"/>
  <c r="AM275" i="83" s="1"/>
  <c r="X275" i="83"/>
  <c r="F24" i="121"/>
  <c r="F41" i="35"/>
  <c r="Y275" i="83"/>
  <c r="U278" i="83"/>
  <c r="Z291" i="83"/>
  <c r="AO290" i="83"/>
  <c r="AO291" i="83" s="1"/>
  <c r="V300" i="83"/>
  <c r="F25" i="35"/>
  <c r="Y266" i="83"/>
  <c r="V278" i="83"/>
  <c r="AP293" i="83"/>
  <c r="AP294" i="83" s="1"/>
  <c r="AA294" i="83"/>
  <c r="W300" i="83"/>
  <c r="AL308" i="83"/>
  <c r="AL310" i="83" s="1"/>
  <c r="AM320" i="83"/>
  <c r="AZ45" i="21"/>
  <c r="AO302" i="83"/>
  <c r="AO303" i="83" s="1"/>
  <c r="AM314" i="83"/>
  <c r="AE14" i="119"/>
  <c r="AI107" i="83"/>
  <c r="AS265" i="83"/>
  <c r="AS266" i="83" s="1"/>
  <c r="AD266" i="83"/>
  <c r="X300" i="83"/>
  <c r="AM308" i="83"/>
  <c r="AM310" i="83" s="1"/>
  <c r="AL313" i="83"/>
  <c r="AL311" i="83"/>
  <c r="AQ323" i="83"/>
  <c r="AQ325" i="83" s="1"/>
  <c r="H38" i="35"/>
  <c r="V281" i="83"/>
  <c r="AQ314" i="83"/>
  <c r="H21" i="136"/>
  <c r="H21" i="129" s="1"/>
  <c r="AI106" i="83"/>
  <c r="J27" i="131" s="1"/>
  <c r="S288" i="83"/>
  <c r="AS311" i="83"/>
  <c r="AL317" i="83"/>
  <c r="AL319" i="83" s="1"/>
  <c r="AQ287" i="83"/>
  <c r="AQ288" i="83" s="1"/>
  <c r="AB288" i="83"/>
  <c r="AI320" i="83"/>
  <c r="T322" i="83"/>
  <c r="AI322" i="83" s="1"/>
  <c r="AJ265" i="83"/>
  <c r="AJ266" i="83" s="1"/>
  <c r="U266" i="83"/>
  <c r="AC269" i="83"/>
  <c r="AR268" i="83"/>
  <c r="AR269" i="83" s="1"/>
  <c r="AN296" i="83"/>
  <c r="AN297" i="83" s="1"/>
  <c r="U303" i="83"/>
  <c r="W294" i="83"/>
  <c r="F29" i="133"/>
  <c r="S89" i="83"/>
  <c r="AO274" i="83"/>
  <c r="AO275" i="83" s="1"/>
  <c r="V303" i="83"/>
  <c r="AP313" i="83"/>
  <c r="AP311" i="83"/>
  <c r="AI324" i="83"/>
  <c r="J48" i="36" s="1"/>
  <c r="G14" i="121"/>
  <c r="AJ274" i="83"/>
  <c r="AJ275" i="83" s="1"/>
  <c r="U281" i="83"/>
  <c r="AM290" i="83"/>
  <c r="AM291" i="83" s="1"/>
  <c r="AN290" i="83"/>
  <c r="AN291" i="83" s="1"/>
  <c r="T278" i="83"/>
  <c r="T300" i="83"/>
  <c r="G40" i="133"/>
  <c r="E40" i="133" s="1"/>
  <c r="H20" i="69"/>
  <c r="H21" i="21"/>
  <c r="F29" i="35"/>
  <c r="AZ38" i="21"/>
  <c r="G20" i="133"/>
  <c r="G54" i="35"/>
  <c r="F23" i="35"/>
  <c r="H41" i="136"/>
  <c r="H41" i="129" s="1"/>
  <c r="H41" i="21"/>
  <c r="H27" i="136"/>
  <c r="H27" i="129" s="1"/>
  <c r="H29" i="35"/>
  <c r="AS10" i="82"/>
  <c r="W109" i="82"/>
  <c r="F56" i="137"/>
  <c r="F10" i="133"/>
  <c r="H10" i="36"/>
  <c r="F10" i="121"/>
  <c r="F62" i="35"/>
  <c r="Y13" i="119"/>
  <c r="AE13" i="119"/>
  <c r="H27" i="121"/>
  <c r="I27" i="121" s="1"/>
  <c r="J27" i="121" s="1"/>
  <c r="G28" i="119"/>
  <c r="F70" i="58"/>
  <c r="Y33" i="119"/>
  <c r="Z33" i="119"/>
  <c r="X33" i="119" s="1"/>
  <c r="AE24" i="119"/>
  <c r="F17" i="36"/>
  <c r="F69" i="36" s="1"/>
  <c r="F14" i="121"/>
  <c r="S10" i="119"/>
  <c r="J24" i="121"/>
  <c r="G31" i="121"/>
  <c r="E31" i="121" s="1"/>
  <c r="J31" i="121" s="1"/>
  <c r="G15" i="133"/>
  <c r="F27" i="133"/>
  <c r="AE10" i="119"/>
  <c r="F8" i="121"/>
  <c r="F20" i="35"/>
  <c r="F11" i="133"/>
  <c r="M10" i="119"/>
  <c r="G18" i="121"/>
  <c r="E18" i="121" s="1"/>
  <c r="Z9" i="119"/>
  <c r="X9" i="119" s="1"/>
  <c r="G39" i="133"/>
  <c r="F43" i="133"/>
  <c r="F60" i="35"/>
  <c r="J17" i="133"/>
  <c r="G25" i="121"/>
  <c r="E25" i="121" s="1"/>
  <c r="G14" i="35"/>
  <c r="E34" i="121"/>
  <c r="I38" i="133"/>
  <c r="J38" i="133" s="1"/>
  <c r="E38" i="133"/>
  <c r="F33" i="121"/>
  <c r="F51" i="35"/>
  <c r="F40" i="133"/>
  <c r="F52" i="35"/>
  <c r="G26" i="119"/>
  <c r="G14" i="119"/>
  <c r="H26" i="119"/>
  <c r="F26" i="119" s="1"/>
  <c r="H33" i="133"/>
  <c r="I33" i="133" s="1"/>
  <c r="F31" i="133"/>
  <c r="G19" i="35"/>
  <c r="Y9" i="119"/>
  <c r="Y14" i="119"/>
  <c r="Y26" i="119"/>
  <c r="H33" i="119"/>
  <c r="F33" i="119" s="1"/>
  <c r="AE36" i="119"/>
  <c r="G11" i="35"/>
  <c r="F23" i="133"/>
  <c r="S18" i="119"/>
  <c r="G35" i="119"/>
  <c r="J9" i="133"/>
  <c r="H18" i="133"/>
  <c r="G29" i="35"/>
  <c r="I29" i="35" s="1"/>
  <c r="F44" i="35"/>
  <c r="G9" i="119"/>
  <c r="M14" i="119"/>
  <c r="M26" i="119"/>
  <c r="F21" i="35"/>
  <c r="H27" i="133"/>
  <c r="H9" i="119"/>
  <c r="F9" i="119" s="1"/>
  <c r="S14" i="119"/>
  <c r="Z29" i="119"/>
  <c r="X29" i="119" s="1"/>
  <c r="G25" i="35"/>
  <c r="G31" i="119"/>
  <c r="N33" i="119"/>
  <c r="L33" i="119" s="1"/>
  <c r="F18" i="121"/>
  <c r="H21" i="121"/>
  <c r="E21" i="121" s="1"/>
  <c r="J21" i="121" s="1"/>
  <c r="G38" i="35"/>
  <c r="G61" i="35"/>
  <c r="F21" i="133"/>
  <c r="J34" i="133"/>
  <c r="Z26" i="119"/>
  <c r="X26" i="119" s="1"/>
  <c r="G30" i="119"/>
  <c r="H31" i="119"/>
  <c r="F31" i="119" s="1"/>
  <c r="S33" i="119"/>
  <c r="Y36" i="119"/>
  <c r="G37" i="121"/>
  <c r="I37" i="121" s="1"/>
  <c r="F14" i="133"/>
  <c r="G16" i="35"/>
  <c r="T26" i="119"/>
  <c r="R26" i="119" s="1"/>
  <c r="G33" i="119"/>
  <c r="M33" i="119"/>
  <c r="G19" i="133"/>
  <c r="D71" i="36"/>
  <c r="H30" i="119"/>
  <c r="F30" i="119" s="1"/>
  <c r="Y31" i="119"/>
  <c r="T33" i="119"/>
  <c r="R33" i="119" s="1"/>
  <c r="G22" i="121"/>
  <c r="E22" i="121" s="1"/>
  <c r="E6" i="71"/>
  <c r="F6" i="71" s="1"/>
  <c r="G6" i="71" s="1"/>
  <c r="B26" i="71"/>
  <c r="G12" i="35"/>
  <c r="E7" i="71"/>
  <c r="F7" i="71" s="1"/>
  <c r="G7" i="71" s="1"/>
  <c r="E41" i="71"/>
  <c r="F41" i="71" s="1"/>
  <c r="G41" i="71" s="1"/>
  <c r="E43" i="71"/>
  <c r="E28" i="71"/>
  <c r="F28" i="71" s="1"/>
  <c r="G28" i="71" s="1"/>
  <c r="E8" i="71"/>
  <c r="F8" i="71" s="1"/>
  <c r="G8" i="71" s="1"/>
  <c r="G10" i="35"/>
  <c r="E14" i="71"/>
  <c r="G31" i="35"/>
  <c r="E4" i="71"/>
  <c r="F4" i="71" s="1"/>
  <c r="G4" i="71" s="1"/>
  <c r="BA28" i="21"/>
  <c r="H11" i="136"/>
  <c r="H11" i="129" s="1"/>
  <c r="AE13" i="21"/>
  <c r="H22" i="69"/>
  <c r="H23" i="21"/>
  <c r="H43" i="69"/>
  <c r="H44" i="21"/>
  <c r="H46" i="21"/>
  <c r="H48" i="69"/>
  <c r="H34" i="69"/>
  <c r="H16" i="21"/>
  <c r="H42" i="21"/>
  <c r="H11" i="69"/>
  <c r="H45" i="21"/>
  <c r="F25" i="121"/>
  <c r="F30" i="133"/>
  <c r="H12" i="36"/>
  <c r="F12" i="133"/>
  <c r="G8" i="121"/>
  <c r="G8" i="58"/>
  <c r="G8" i="36" s="1"/>
  <c r="F20" i="121"/>
  <c r="F36" i="121"/>
  <c r="F41" i="133"/>
  <c r="F55" i="35"/>
  <c r="F37" i="121"/>
  <c r="G16" i="121"/>
  <c r="F25" i="133"/>
  <c r="F18" i="133"/>
  <c r="F13" i="121"/>
  <c r="F19" i="35"/>
  <c r="F44" i="133"/>
  <c r="F61" i="35"/>
  <c r="G10" i="121"/>
  <c r="Y35" i="119"/>
  <c r="F28" i="35"/>
  <c r="F50" i="35"/>
  <c r="F38" i="133"/>
  <c r="F37" i="35"/>
  <c r="F20" i="133"/>
  <c r="F22" i="121"/>
  <c r="G62" i="35"/>
  <c r="BB27" i="21"/>
  <c r="BB38" i="21"/>
  <c r="AQ38" i="21"/>
  <c r="AR38" i="21" s="1"/>
  <c r="AS38" i="21" s="1"/>
  <c r="AQ46" i="21"/>
  <c r="AN46" i="21" s="1"/>
  <c r="AQ27" i="21"/>
  <c r="AN40" i="21"/>
  <c r="AF38" i="21"/>
  <c r="AF23" i="21"/>
  <c r="U23" i="21"/>
  <c r="U27" i="21"/>
  <c r="H12" i="121"/>
  <c r="H21" i="133"/>
  <c r="H29" i="133"/>
  <c r="H32" i="133"/>
  <c r="T12" i="119"/>
  <c r="R12" i="119" s="1"/>
  <c r="AF23" i="119"/>
  <c r="AD23" i="119" s="1"/>
  <c r="AF36" i="119"/>
  <c r="AD36" i="119" s="1"/>
  <c r="H36" i="133"/>
  <c r="H23" i="119"/>
  <c r="F23" i="119" s="1"/>
  <c r="H24" i="133"/>
  <c r="N23" i="119"/>
  <c r="L23" i="119" s="1"/>
  <c r="H54" i="35"/>
  <c r="T23" i="119"/>
  <c r="R23" i="119" s="1"/>
  <c r="H31" i="35"/>
  <c r="H43" i="133"/>
  <c r="H36" i="119"/>
  <c r="F36" i="119" s="1"/>
  <c r="H43" i="35"/>
  <c r="H26" i="133"/>
  <c r="Z23" i="119"/>
  <c r="X23" i="119" s="1"/>
  <c r="H33" i="121"/>
  <c r="H62" i="35"/>
  <c r="Z36" i="119"/>
  <c r="X36" i="119" s="1"/>
  <c r="H9" i="121"/>
  <c r="E9" i="121" s="1"/>
  <c r="J9" i="121" s="1"/>
  <c r="AE28" i="21"/>
  <c r="I45" i="21"/>
  <c r="K45" i="21" s="1"/>
  <c r="I22" i="21"/>
  <c r="AP44" i="21"/>
  <c r="I12" i="21"/>
  <c r="AE14" i="21"/>
  <c r="I48" i="21"/>
  <c r="I14" i="21"/>
  <c r="AP13" i="21"/>
  <c r="AE16" i="21"/>
  <c r="BA17" i="21"/>
  <c r="AP27" i="21"/>
  <c r="AE38" i="21"/>
  <c r="U38" i="21"/>
  <c r="T38" i="21"/>
  <c r="AF46" i="21"/>
  <c r="AC46" i="21" s="1"/>
  <c r="AE46" i="21"/>
  <c r="AE48" i="21"/>
  <c r="I16" i="21"/>
  <c r="I17" i="21"/>
  <c r="T23" i="21"/>
  <c r="I28" i="21"/>
  <c r="I42" i="21"/>
  <c r="J46" i="21"/>
  <c r="G46" i="21" s="1"/>
  <c r="I46" i="21"/>
  <c r="T48" i="21"/>
  <c r="I13" i="21"/>
  <c r="AF27" i="21"/>
  <c r="AE27" i="21"/>
  <c r="AQ41" i="21"/>
  <c r="T44" i="21"/>
  <c r="T21" i="21"/>
  <c r="J27" i="21"/>
  <c r="I27" i="21"/>
  <c r="I10" i="21"/>
  <c r="T10" i="21"/>
  <c r="T12" i="21"/>
  <c r="AP14" i="21"/>
  <c r="AV19" i="21"/>
  <c r="BA18" i="21"/>
  <c r="J23" i="21"/>
  <c r="I23" i="21"/>
  <c r="U41" i="21"/>
  <c r="G29" i="133"/>
  <c r="G10" i="133"/>
  <c r="G14" i="133"/>
  <c r="G31" i="133"/>
  <c r="G43" i="133"/>
  <c r="G12" i="133"/>
  <c r="G21" i="133"/>
  <c r="G24" i="133"/>
  <c r="G18" i="133"/>
  <c r="G35" i="133"/>
  <c r="G8" i="133"/>
  <c r="G25" i="133"/>
  <c r="E17" i="35"/>
  <c r="G48" i="35"/>
  <c r="G52" i="35"/>
  <c r="G60" i="35"/>
  <c r="B25" i="71"/>
  <c r="G41" i="35"/>
  <c r="G15" i="35"/>
  <c r="B27" i="71"/>
  <c r="G51" i="35"/>
  <c r="I51" i="35" s="1"/>
  <c r="G20" i="35"/>
  <c r="G28" i="35"/>
  <c r="G26" i="35"/>
  <c r="G37" i="35"/>
  <c r="G43" i="35"/>
  <c r="G50" i="35"/>
  <c r="G47" i="35"/>
  <c r="I23" i="121"/>
  <c r="E23" i="121"/>
  <c r="G20" i="121"/>
  <c r="H30" i="121"/>
  <c r="E30" i="121" s="1"/>
  <c r="J30" i="121" s="1"/>
  <c r="G33" i="121"/>
  <c r="G13" i="121"/>
  <c r="G12" i="121"/>
  <c r="G29" i="121"/>
  <c r="G32" i="121"/>
  <c r="I32" i="121" s="1"/>
  <c r="J32" i="121" s="1"/>
  <c r="AI271" i="83"/>
  <c r="AI272" i="83" s="1"/>
  <c r="AP296" i="83"/>
  <c r="AP297" i="83" s="1"/>
  <c r="AA297" i="83"/>
  <c r="AK324" i="83"/>
  <c r="L48" i="36" s="1"/>
  <c r="AI268" i="83"/>
  <c r="AL324" i="83"/>
  <c r="AK271" i="83"/>
  <c r="AK272" i="83" s="1"/>
  <c r="AC300" i="83"/>
  <c r="AR299" i="83"/>
  <c r="AR300" i="83" s="1"/>
  <c r="AS314" i="83"/>
  <c r="S199" i="83"/>
  <c r="AH199" i="83" s="1"/>
  <c r="I36" i="36" s="1"/>
  <c r="AM271" i="83"/>
  <c r="AM272" i="83" s="1"/>
  <c r="T303" i="83"/>
  <c r="AI302" i="83"/>
  <c r="AI303" i="83" s="1"/>
  <c r="U199" i="83"/>
  <c r="AA291" i="83"/>
  <c r="AP290" i="83"/>
  <c r="AP291" i="83" s="1"/>
  <c r="AC294" i="83"/>
  <c r="AR293" i="83"/>
  <c r="AR294" i="83" s="1"/>
  <c r="AN302" i="83"/>
  <c r="AN303" i="83" s="1"/>
  <c r="Y303" i="83"/>
  <c r="AP268" i="83"/>
  <c r="AP269" i="83" s="1"/>
  <c r="AA269" i="83"/>
  <c r="U90" i="83"/>
  <c r="U92" i="83" s="1"/>
  <c r="U272" i="83"/>
  <c r="U288" i="83"/>
  <c r="AJ287" i="83"/>
  <c r="AJ288" i="83" s="1"/>
  <c r="AI287" i="83"/>
  <c r="AI288" i="83" s="1"/>
  <c r="S80" i="83"/>
  <c r="AH194" i="83"/>
  <c r="I35" i="69" s="1"/>
  <c r="AB278" i="83"/>
  <c r="AQ277" i="83"/>
  <c r="AQ278" i="83" s="1"/>
  <c r="AQ296" i="83"/>
  <c r="AQ297" i="83" s="1"/>
  <c r="AN317" i="83"/>
  <c r="AN319" i="83" s="1"/>
  <c r="T80" i="83"/>
  <c r="AB266" i="83"/>
  <c r="AQ265" i="83"/>
  <c r="AQ266" i="83" s="1"/>
  <c r="W272" i="83"/>
  <c r="AS302" i="83"/>
  <c r="AS303" i="83" s="1"/>
  <c r="AD303" i="83"/>
  <c r="AO317" i="83"/>
  <c r="AO319" i="83" s="1"/>
  <c r="AM324" i="83"/>
  <c r="N48" i="36" s="1"/>
  <c r="V92" i="83"/>
  <c r="U269" i="83"/>
  <c r="AJ268" i="83"/>
  <c r="AJ269" i="83" s="1"/>
  <c r="AR302" i="83"/>
  <c r="AR303" i="83" s="1"/>
  <c r="AC303" i="83"/>
  <c r="V275" i="83"/>
  <c r="AK274" i="83"/>
  <c r="AK275" i="83" s="1"/>
  <c r="AD300" i="83"/>
  <c r="AS299" i="83"/>
  <c r="AS300" i="83" s="1"/>
  <c r="S303" i="83"/>
  <c r="AH302" i="83"/>
  <c r="AH303" i="83" s="1"/>
  <c r="T199" i="83"/>
  <c r="AD288" i="83"/>
  <c r="AS287" i="83"/>
  <c r="AS288" i="83" s="1"/>
  <c r="AH299" i="83"/>
  <c r="AH300" i="83" s="1"/>
  <c r="AM302" i="83"/>
  <c r="AM303" i="83" s="1"/>
  <c r="X303" i="83"/>
  <c r="AH322" i="83"/>
  <c r="AH320" i="83"/>
  <c r="T89" i="83"/>
  <c r="S281" i="83"/>
  <c r="AK279" i="83"/>
  <c r="L46" i="36" s="1"/>
  <c r="AJ279" i="83"/>
  <c r="K46" i="36" s="1"/>
  <c r="J46" i="36"/>
  <c r="AQ279" i="83"/>
  <c r="R46" i="36" s="1"/>
  <c r="AO279" i="83"/>
  <c r="P46" i="36" s="1"/>
  <c r="AN279" i="83"/>
  <c r="O46" i="36" s="1"/>
  <c r="AP279" i="83"/>
  <c r="Q46" i="36" s="1"/>
  <c r="AM279" i="83"/>
  <c r="N46" i="36" s="1"/>
  <c r="AS293" i="83"/>
  <c r="AS294" i="83" s="1"/>
  <c r="AD294" i="83"/>
  <c r="Y322" i="83"/>
  <c r="AN322" i="83" s="1"/>
  <c r="AN320" i="83"/>
  <c r="V269" i="83"/>
  <c r="AK268" i="83"/>
  <c r="AK269" i="83" s="1"/>
  <c r="AB272" i="83"/>
  <c r="AQ271" i="83"/>
  <c r="AQ272" i="83" s="1"/>
  <c r="AH274" i="83"/>
  <c r="AH275" i="83" s="1"/>
  <c r="T275" i="83"/>
  <c r="T297" i="83"/>
  <c r="AI296" i="83"/>
  <c r="AI297" i="83" s="1"/>
  <c r="AH296" i="83"/>
  <c r="AH297" i="83" s="1"/>
  <c r="AP320" i="83"/>
  <c r="AA322" i="83"/>
  <c r="AP322" i="83" s="1"/>
  <c r="AP271" i="83"/>
  <c r="AP272" i="83" s="1"/>
  <c r="AI290" i="83"/>
  <c r="AI291" i="83" s="1"/>
  <c r="AP314" i="83"/>
  <c r="X294" i="83"/>
  <c r="AR265" i="83"/>
  <c r="AR266" i="83" s="1"/>
  <c r="AL268" i="83"/>
  <c r="AL269" i="83" s="1"/>
  <c r="AR271" i="83"/>
  <c r="AR272" i="83" s="1"/>
  <c r="AL274" i="83"/>
  <c r="AL275" i="83" s="1"/>
  <c r="AR277" i="83"/>
  <c r="AR278" i="83" s="1"/>
  <c r="AK287" i="83"/>
  <c r="AK288" i="83" s="1"/>
  <c r="H47" i="35" s="1"/>
  <c r="AQ290" i="83"/>
  <c r="AQ291" i="83" s="1"/>
  <c r="Z300" i="83"/>
  <c r="AO299" i="83"/>
  <c r="AO300" i="83" s="1"/>
  <c r="AN299" i="83"/>
  <c r="AN300" i="83" s="1"/>
  <c r="AR290" i="83"/>
  <c r="AR291" i="83" s="1"/>
  <c r="Z294" i="83"/>
  <c r="AO293" i="83"/>
  <c r="AO294" i="83" s="1"/>
  <c r="AN293" i="83"/>
  <c r="AN294" i="83" s="1"/>
  <c r="AH324" i="83"/>
  <c r="I48" i="36" s="1"/>
  <c r="AH311" i="83"/>
  <c r="AH317" i="83"/>
  <c r="AH319" i="83" s="1"/>
  <c r="AB69" i="82"/>
  <c r="AI107" i="82"/>
  <c r="AJ107" i="82" s="1"/>
  <c r="AK107" i="82" s="1"/>
  <c r="AL107" i="82" s="1"/>
  <c r="AM107" i="82" s="1"/>
  <c r="AN107" i="82" s="1"/>
  <c r="AO107" i="82" s="1"/>
  <c r="AP107" i="82" s="1"/>
  <c r="AQ107" i="82" s="1"/>
  <c r="AR107" i="82" s="1"/>
  <c r="AS107" i="82" s="1"/>
  <c r="AI52" i="82"/>
  <c r="U54" i="82"/>
  <c r="AJ53" i="82"/>
  <c r="U68" i="82"/>
  <c r="AJ68" i="82" s="1"/>
  <c r="AP62" i="82"/>
  <c r="AA68" i="82"/>
  <c r="AP68" i="82" s="1"/>
  <c r="AI76" i="82"/>
  <c r="AJ87" i="82"/>
  <c r="AK87" i="82" s="1"/>
  <c r="AL87" i="82" s="1"/>
  <c r="AM87" i="82" s="1"/>
  <c r="AN87" i="82" s="1"/>
  <c r="AO87" i="82" s="1"/>
  <c r="AP87" i="82" s="1"/>
  <c r="AQ87" i="82" s="1"/>
  <c r="AR87" i="82" s="1"/>
  <c r="AS87" i="82" s="1"/>
  <c r="AJ102" i="82"/>
  <c r="AI105" i="82"/>
  <c r="J14" i="131" s="1"/>
  <c r="AH39" i="82"/>
  <c r="AH41" i="82" s="1"/>
  <c r="I10" i="129" s="1"/>
  <c r="S41" i="82"/>
  <c r="S38" i="82"/>
  <c r="AH36" i="82"/>
  <c r="S45" i="82"/>
  <c r="S47" i="82" s="1"/>
  <c r="AI89" i="82"/>
  <c r="J14" i="69" s="1"/>
  <c r="AJ86" i="82"/>
  <c r="AH56" i="82"/>
  <c r="AH57" i="82" s="1"/>
  <c r="I11" i="127" s="1"/>
  <c r="S57" i="82"/>
  <c r="AI65" i="82"/>
  <c r="AI66" i="82" s="1"/>
  <c r="J11" i="131" s="1"/>
  <c r="T66" i="82"/>
  <c r="AJ92" i="82"/>
  <c r="AK92" i="82" s="1"/>
  <c r="AL92" i="82" s="1"/>
  <c r="AM92" i="82" s="1"/>
  <c r="AN92" i="82" s="1"/>
  <c r="AO92" i="82" s="1"/>
  <c r="AP92" i="82" s="1"/>
  <c r="AQ92" i="82" s="1"/>
  <c r="AR92" i="82" s="1"/>
  <c r="AS92" i="82" s="1"/>
  <c r="AJ94" i="82"/>
  <c r="AI13" i="82"/>
  <c r="AJ12" i="82"/>
  <c r="AR46" i="82"/>
  <c r="AJ61" i="82"/>
  <c r="AJ64" i="82"/>
  <c r="AI46" i="82"/>
  <c r="AH53" i="82"/>
  <c r="AH54" i="82" s="1"/>
  <c r="I11" i="69" s="1"/>
  <c r="S54" i="82"/>
  <c r="AS59" i="82"/>
  <c r="AS60" i="82" s="1"/>
  <c r="T11" i="128" s="1"/>
  <c r="AD68" i="82"/>
  <c r="AS68" i="82" s="1"/>
  <c r="T68" i="82"/>
  <c r="U41" i="82"/>
  <c r="AJ55" i="82"/>
  <c r="AI90" i="82"/>
  <c r="AI106" i="82" s="1"/>
  <c r="AH97" i="82"/>
  <c r="I14" i="128" s="1"/>
  <c r="T45" i="82"/>
  <c r="T47" i="82" s="1"/>
  <c r="V57" i="82"/>
  <c r="AK56" i="82"/>
  <c r="AI58" i="82"/>
  <c r="AI67" i="82"/>
  <c r="AI96" i="82"/>
  <c r="AJ96" i="82" s="1"/>
  <c r="AK96" i="82" s="1"/>
  <c r="AL96" i="82" s="1"/>
  <c r="AM96" i="82" s="1"/>
  <c r="AN96" i="82" s="1"/>
  <c r="AO96" i="82" s="1"/>
  <c r="AP96" i="82" s="1"/>
  <c r="AJ15" i="82"/>
  <c r="AI21" i="82"/>
  <c r="AH22" i="82"/>
  <c r="AH105" i="82"/>
  <c r="I14" i="131" s="1"/>
  <c r="V35" i="82"/>
  <c r="U32" i="82"/>
  <c r="T35" i="82"/>
  <c r="AR45" i="82"/>
  <c r="AI77" i="82"/>
  <c r="J12" i="129" s="1"/>
  <c r="AH24" i="82"/>
  <c r="AK46" i="82"/>
  <c r="U35" i="82"/>
  <c r="AS45" i="82"/>
  <c r="T41" i="82"/>
  <c r="AH19" i="82"/>
  <c r="AL46" i="82"/>
  <c r="T60" i="82"/>
  <c r="AH79" i="82"/>
  <c r="I12" i="36" s="1"/>
  <c r="AM46" i="82"/>
  <c r="AI74" i="82"/>
  <c r="AH10" i="82"/>
  <c r="AH13" i="82"/>
  <c r="AH89" i="82"/>
  <c r="I14" i="69" s="1"/>
  <c r="AH107" i="82"/>
  <c r="AI9" i="82"/>
  <c r="V44" i="82"/>
  <c r="Y68" i="82"/>
  <c r="AN68" i="82" s="1"/>
  <c r="V47" i="82"/>
  <c r="M18" i="119"/>
  <c r="AF18" i="119"/>
  <c r="AD18" i="119" s="1"/>
  <c r="AE18" i="119"/>
  <c r="Y18" i="119"/>
  <c r="G18" i="119"/>
  <c r="N12" i="119"/>
  <c r="L12" i="119" s="1"/>
  <c r="AF12" i="119"/>
  <c r="AD12" i="119" s="1"/>
  <c r="AE12" i="119"/>
  <c r="M12" i="119"/>
  <c r="Z12" i="119"/>
  <c r="X12" i="119" s="1"/>
  <c r="Y12" i="119"/>
  <c r="H12" i="119"/>
  <c r="F12" i="119" s="1"/>
  <c r="G12" i="119"/>
  <c r="S17" i="119"/>
  <c r="AE17" i="119"/>
  <c r="M17" i="119"/>
  <c r="Y17" i="119"/>
  <c r="G17" i="119"/>
  <c r="S21" i="119"/>
  <c r="S20" i="119"/>
  <c r="T21" i="119"/>
  <c r="R21" i="119" s="1"/>
  <c r="S22" i="119"/>
  <c r="M29" i="119"/>
  <c r="M32" i="119"/>
  <c r="M9" i="119"/>
  <c r="Y10" i="119"/>
  <c r="S13" i="119"/>
  <c r="AE28" i="119"/>
  <c r="N29" i="119"/>
  <c r="L29" i="119" s="1"/>
  <c r="AE29" i="119"/>
  <c r="N31" i="119"/>
  <c r="L31" i="119" s="1"/>
  <c r="AE31" i="119"/>
  <c r="AG31" i="119" s="1"/>
  <c r="AH31" i="119" s="1"/>
  <c r="AE32" i="119"/>
  <c r="N9" i="119"/>
  <c r="L9" i="119" s="1"/>
  <c r="Y24" i="119"/>
  <c r="S24" i="119"/>
  <c r="N26" i="119"/>
  <c r="L26" i="119" s="1"/>
  <c r="AF29" i="119"/>
  <c r="AD29" i="119" s="1"/>
  <c r="M35" i="119"/>
  <c r="AE9" i="119"/>
  <c r="G20" i="119"/>
  <c r="G21" i="119"/>
  <c r="Y22" i="119"/>
  <c r="AE35" i="119"/>
  <c r="M36" i="119"/>
  <c r="AF9" i="119"/>
  <c r="AD9" i="119" s="1"/>
  <c r="G13" i="119"/>
  <c r="Y20" i="119"/>
  <c r="H21" i="119"/>
  <c r="F21" i="119" s="1"/>
  <c r="Y21" i="119"/>
  <c r="G22" i="119"/>
  <c r="S26" i="119"/>
  <c r="AF26" i="119"/>
  <c r="AD26" i="119" s="1"/>
  <c r="N36" i="119"/>
  <c r="L36" i="119" s="1"/>
  <c r="M28" i="119"/>
  <c r="M31" i="119"/>
  <c r="Z31" i="119"/>
  <c r="X31" i="119" s="1"/>
  <c r="S31" i="119"/>
  <c r="S32" i="119"/>
  <c r="S9" i="119"/>
  <c r="T31" i="119"/>
  <c r="R31" i="119" s="1"/>
  <c r="H29" i="119"/>
  <c r="F29" i="119" s="1"/>
  <c r="G29" i="119"/>
  <c r="G32" i="119"/>
  <c r="T9" i="119"/>
  <c r="R9" i="119" s="1"/>
  <c r="AE21" i="119"/>
  <c r="M22" i="119"/>
  <c r="S35" i="119"/>
  <c r="T36" i="119"/>
  <c r="R36" i="119" s="1"/>
  <c r="S36" i="119"/>
  <c r="Z21" i="119"/>
  <c r="X21" i="119" s="1"/>
  <c r="S28" i="119"/>
  <c r="S29" i="119"/>
  <c r="U29" i="119" s="1"/>
  <c r="V29" i="119" s="1"/>
  <c r="M13" i="119"/>
  <c r="M20" i="119"/>
  <c r="M21" i="119"/>
  <c r="O21" i="119" s="1"/>
  <c r="P21" i="119" s="1"/>
  <c r="AF21" i="119"/>
  <c r="AD21" i="119" s="1"/>
  <c r="AE22" i="119"/>
  <c r="Y29" i="119"/>
  <c r="Y32" i="119"/>
  <c r="AE23" i="119"/>
  <c r="AE30" i="119"/>
  <c r="AG30" i="119" s="1"/>
  <c r="AH30" i="119" s="1"/>
  <c r="AE33" i="119"/>
  <c r="AG33" i="119" s="1"/>
  <c r="AH33" i="119" s="1"/>
  <c r="I52" i="35" l="1"/>
  <c r="I60" i="35"/>
  <c r="G47" i="58"/>
  <c r="G46" i="36" s="1"/>
  <c r="I38" i="35"/>
  <c r="J38" i="35" s="1"/>
  <c r="I33" i="35"/>
  <c r="J33" i="35" s="1"/>
  <c r="K17" i="21"/>
  <c r="F56" i="131"/>
  <c r="K18" i="21"/>
  <c r="F56" i="127"/>
  <c r="AJ8" i="82"/>
  <c r="J8" i="69"/>
  <c r="AI23" i="82"/>
  <c r="J8" i="36" s="1"/>
  <c r="I25" i="35"/>
  <c r="AJ17" i="82"/>
  <c r="J8" i="129"/>
  <c r="K23" i="21"/>
  <c r="BC41" i="21"/>
  <c r="K38" i="21"/>
  <c r="L38" i="21" s="1"/>
  <c r="AQ26" i="21"/>
  <c r="AR26" i="21" s="1"/>
  <c r="G46" i="35"/>
  <c r="C19" i="71" s="1"/>
  <c r="AF26" i="21"/>
  <c r="AG26" i="21" s="1"/>
  <c r="BB26" i="21"/>
  <c r="BC26" i="21" s="1"/>
  <c r="AJ104" i="83"/>
  <c r="K27" i="128" s="1"/>
  <c r="I62" i="35"/>
  <c r="AG23" i="21"/>
  <c r="I54" i="35"/>
  <c r="J54" i="35" s="1"/>
  <c r="H46" i="35"/>
  <c r="AI199" i="83"/>
  <c r="I25" i="127"/>
  <c r="I25" i="69"/>
  <c r="L25" i="127"/>
  <c r="L25" i="69"/>
  <c r="J25" i="127"/>
  <c r="J25" i="69"/>
  <c r="K25" i="127"/>
  <c r="K25" i="69"/>
  <c r="AJ103" i="83"/>
  <c r="J27" i="127"/>
  <c r="AJ105" i="83"/>
  <c r="J27" i="129"/>
  <c r="AJ102" i="83"/>
  <c r="J27" i="69"/>
  <c r="BC38" i="21"/>
  <c r="BD38" i="21" s="1"/>
  <c r="BC27" i="21"/>
  <c r="AO70" i="83"/>
  <c r="S92" i="83"/>
  <c r="AI90" i="83"/>
  <c r="AI92" i="83" s="1"/>
  <c r="J24" i="36" s="1"/>
  <c r="N17" i="119" s="1"/>
  <c r="L17" i="119" s="1"/>
  <c r="AK90" i="83"/>
  <c r="AK92" i="83" s="1"/>
  <c r="L24" i="36" s="1"/>
  <c r="AH90" i="83"/>
  <c r="AH92" i="83" s="1"/>
  <c r="I24" i="36" s="1"/>
  <c r="H17" i="119" s="1"/>
  <c r="F17" i="119" s="1"/>
  <c r="AJ90" i="83"/>
  <c r="AJ92" i="83" s="1"/>
  <c r="K24" i="36" s="1"/>
  <c r="T17" i="119" s="1"/>
  <c r="R17" i="119" s="1"/>
  <c r="AP90" i="83"/>
  <c r="AP92" i="83" s="1"/>
  <c r="Q24" i="36" s="1"/>
  <c r="AL90" i="83"/>
  <c r="AL92" i="83" s="1"/>
  <c r="M24" i="36" s="1"/>
  <c r="AF17" i="119" s="1"/>
  <c r="AD17" i="119" s="1"/>
  <c r="AQ90" i="83"/>
  <c r="AQ92" i="83" s="1"/>
  <c r="R24" i="36" s="1"/>
  <c r="AM90" i="83"/>
  <c r="AM92" i="83" s="1"/>
  <c r="AR90" i="83"/>
  <c r="AR92" i="83" s="1"/>
  <c r="S24" i="36" s="1"/>
  <c r="AN90" i="83"/>
  <c r="AN92" i="83" s="1"/>
  <c r="O24" i="36" s="1"/>
  <c r="AO90" i="83"/>
  <c r="AO92" i="83" s="1"/>
  <c r="AS90" i="83"/>
  <c r="AS92" i="83" s="1"/>
  <c r="T24" i="36" s="1"/>
  <c r="H48" i="131"/>
  <c r="H45" i="131"/>
  <c r="AK70" i="83"/>
  <c r="L23" i="36" s="1"/>
  <c r="AR70" i="83"/>
  <c r="S23" i="36" s="1"/>
  <c r="AM70" i="83"/>
  <c r="AL70" i="83"/>
  <c r="M23" i="36" s="1"/>
  <c r="AS70" i="83"/>
  <c r="T23" i="36" s="1"/>
  <c r="AQ70" i="83"/>
  <c r="R23" i="36" s="1"/>
  <c r="AN70" i="83"/>
  <c r="O23" i="36" s="1"/>
  <c r="AP70" i="83"/>
  <c r="Q23" i="36" s="1"/>
  <c r="M25" i="127"/>
  <c r="M25" i="69"/>
  <c r="S25" i="127"/>
  <c r="S25" i="69"/>
  <c r="R25" i="127"/>
  <c r="R25" i="69"/>
  <c r="Q25" i="127"/>
  <c r="Q25" i="69"/>
  <c r="P25" i="127"/>
  <c r="P25" i="69"/>
  <c r="O25" i="127"/>
  <c r="O25" i="69"/>
  <c r="T25" i="127"/>
  <c r="T25" i="69"/>
  <c r="N25" i="127"/>
  <c r="N25" i="69"/>
  <c r="V23" i="21"/>
  <c r="BC32" i="21"/>
  <c r="BD32" i="21" s="1"/>
  <c r="AY46" i="21"/>
  <c r="BC46" i="21"/>
  <c r="AR32" i="21"/>
  <c r="AS32" i="21" s="1"/>
  <c r="AG38" i="21"/>
  <c r="AH38" i="21" s="1"/>
  <c r="I28" i="35"/>
  <c r="I27" i="35" s="1"/>
  <c r="AR27" i="21"/>
  <c r="AR46" i="21"/>
  <c r="AS46" i="21" s="1"/>
  <c r="V27" i="21"/>
  <c r="AG41" i="21"/>
  <c r="V38" i="21"/>
  <c r="W38" i="21" s="1"/>
  <c r="AG32" i="21"/>
  <c r="AH32" i="21" s="1"/>
  <c r="V46" i="21"/>
  <c r="W46" i="21" s="1"/>
  <c r="AH29" i="21"/>
  <c r="AG27" i="21"/>
  <c r="AG46" i="21"/>
  <c r="AH46" i="21" s="1"/>
  <c r="V32" i="21"/>
  <c r="W32" i="21" s="1"/>
  <c r="V41" i="21"/>
  <c r="K27" i="21"/>
  <c r="I31" i="35"/>
  <c r="H46" i="36"/>
  <c r="F46" i="35"/>
  <c r="F33" i="133"/>
  <c r="I47" i="35"/>
  <c r="BB42" i="21"/>
  <c r="BC42" i="21" s="1"/>
  <c r="AJ107" i="83"/>
  <c r="K26" i="36" s="1"/>
  <c r="J26" i="36"/>
  <c r="H61" i="35"/>
  <c r="I61" i="35" s="1"/>
  <c r="N56" i="36"/>
  <c r="H56" i="35" s="1"/>
  <c r="AL325" i="83"/>
  <c r="M48" i="36"/>
  <c r="H48" i="35" s="1"/>
  <c r="I48" i="35" s="1"/>
  <c r="U42" i="21"/>
  <c r="V42" i="21" s="1"/>
  <c r="AR40" i="21"/>
  <c r="AS40" i="21" s="1"/>
  <c r="J23" i="121"/>
  <c r="I32" i="133"/>
  <c r="I28" i="133" s="1"/>
  <c r="J28" i="133" s="1"/>
  <c r="L28" i="133" s="1"/>
  <c r="F56" i="69"/>
  <c r="U30" i="119"/>
  <c r="V30" i="119" s="1"/>
  <c r="AA30" i="119"/>
  <c r="AB30" i="119" s="1"/>
  <c r="O30" i="119"/>
  <c r="P30" i="119" s="1"/>
  <c r="AM325" i="83"/>
  <c r="AH325" i="83"/>
  <c r="AK325" i="83"/>
  <c r="AJ30" i="82"/>
  <c r="AJ32" i="82" s="1"/>
  <c r="K10" i="69" s="1"/>
  <c r="AI325" i="83"/>
  <c r="J12" i="69"/>
  <c r="AJ74" i="82"/>
  <c r="K12" i="69" s="1"/>
  <c r="AJ325" i="83"/>
  <c r="AF42" i="21"/>
  <c r="AG42" i="21" s="1"/>
  <c r="AI33" i="82"/>
  <c r="AI35" i="82" s="1"/>
  <c r="J10" i="127" s="1"/>
  <c r="AH109" i="82"/>
  <c r="I14" i="36" s="1"/>
  <c r="AS47" i="82"/>
  <c r="T10" i="36" s="1"/>
  <c r="AH68" i="82"/>
  <c r="AH69" i="82" s="1"/>
  <c r="I11" i="36" s="1"/>
  <c r="AC69" i="82"/>
  <c r="AD69" i="82"/>
  <c r="AR47" i="82"/>
  <c r="S10" i="36" s="1"/>
  <c r="AI39" i="82"/>
  <c r="AI41" i="82" s="1"/>
  <c r="J10" i="129" s="1"/>
  <c r="AI79" i="82"/>
  <c r="AJ79" i="82" s="1"/>
  <c r="AK79" i="82" s="1"/>
  <c r="AL79" i="82" s="1"/>
  <c r="AI42" i="82"/>
  <c r="AI44" i="82" s="1"/>
  <c r="J10" i="131" s="1"/>
  <c r="AJ77" i="82"/>
  <c r="K12" i="129" s="1"/>
  <c r="X69" i="82"/>
  <c r="AA69" i="82"/>
  <c r="J46" i="127"/>
  <c r="Z69" i="82"/>
  <c r="I43" i="35"/>
  <c r="I42" i="35" s="1"/>
  <c r="AJ75" i="82"/>
  <c r="AK75" i="82" s="1"/>
  <c r="N8" i="131"/>
  <c r="AN20" i="82"/>
  <c r="AH32" i="82"/>
  <c r="I10" i="69" s="1"/>
  <c r="AF25" i="21"/>
  <c r="AG25" i="21" s="1"/>
  <c r="AQ21" i="21"/>
  <c r="AR21" i="21" s="1"/>
  <c r="Y69" i="82"/>
  <c r="AH25" i="82"/>
  <c r="AM18" i="82"/>
  <c r="AN18" i="82" s="1"/>
  <c r="AJ76" i="82"/>
  <c r="J12" i="128"/>
  <c r="F56" i="129"/>
  <c r="V69" i="82"/>
  <c r="K32" i="21"/>
  <c r="L32" i="21" s="1"/>
  <c r="AJ78" i="82"/>
  <c r="AK78" i="82" s="1"/>
  <c r="M8" i="128"/>
  <c r="AJ101" i="82"/>
  <c r="K14" i="129" s="1"/>
  <c r="AK98" i="82"/>
  <c r="J42" i="21"/>
  <c r="K42" i="21" s="1"/>
  <c r="AM205" i="83"/>
  <c r="N37" i="36" s="1"/>
  <c r="J21" i="21"/>
  <c r="K21" i="21" s="1"/>
  <c r="AN278" i="83"/>
  <c r="BB21" i="21"/>
  <c r="BC21" i="21" s="1"/>
  <c r="J39" i="36"/>
  <c r="AJ195" i="83"/>
  <c r="AO280" i="83"/>
  <c r="AO281" i="83" s="1"/>
  <c r="AN281" i="83"/>
  <c r="I40" i="133"/>
  <c r="J40" i="133" s="1"/>
  <c r="O21" i="129"/>
  <c r="P21" i="129"/>
  <c r="Q21" i="129"/>
  <c r="R21" i="129"/>
  <c r="S21" i="129"/>
  <c r="T21" i="129"/>
  <c r="J21" i="129"/>
  <c r="K21" i="129"/>
  <c r="L21" i="129"/>
  <c r="M21" i="129"/>
  <c r="N21" i="129"/>
  <c r="J25" i="21"/>
  <c r="K25" i="21" s="1"/>
  <c r="U25" i="21"/>
  <c r="V25" i="21" s="1"/>
  <c r="BB25" i="21"/>
  <c r="BC25" i="21" s="1"/>
  <c r="AI280" i="83"/>
  <c r="AI281" i="83" s="1"/>
  <c r="I25" i="121"/>
  <c r="J25" i="121" s="1"/>
  <c r="J23" i="36"/>
  <c r="K23" i="36"/>
  <c r="I23" i="36"/>
  <c r="I36" i="121"/>
  <c r="J36" i="121" s="1"/>
  <c r="K46" i="21"/>
  <c r="L46" i="21" s="1"/>
  <c r="AJ198" i="83"/>
  <c r="K35" i="131" s="1"/>
  <c r="AS280" i="83"/>
  <c r="AS281" i="83" s="1"/>
  <c r="AI269" i="83"/>
  <c r="I27" i="133"/>
  <c r="AQ31" i="21"/>
  <c r="AS29" i="21" s="1"/>
  <c r="BB31" i="21"/>
  <c r="U31" i="21"/>
  <c r="W69" i="82"/>
  <c r="AJ106" i="83"/>
  <c r="K27" i="131" s="1"/>
  <c r="AH280" i="83"/>
  <c r="AH281" i="83" s="1"/>
  <c r="AP280" i="83"/>
  <c r="AP281" i="83" s="1"/>
  <c r="AI194" i="83"/>
  <c r="J35" i="69" s="1"/>
  <c r="J37" i="36"/>
  <c r="N22" i="119" s="1"/>
  <c r="L22" i="119" s="1"/>
  <c r="AK280" i="83"/>
  <c r="AK281" i="83" s="1"/>
  <c r="AJ280" i="83"/>
  <c r="AJ281" i="83" s="1"/>
  <c r="AJ196" i="83"/>
  <c r="K35" i="128" s="1"/>
  <c r="AJ197" i="83"/>
  <c r="K35" i="129" s="1"/>
  <c r="AM280" i="83"/>
  <c r="AM281" i="83" s="1"/>
  <c r="I33" i="119"/>
  <c r="J33" i="119" s="1"/>
  <c r="AA26" i="119"/>
  <c r="AB26" i="119" s="1"/>
  <c r="AA33" i="119"/>
  <c r="AB33" i="119" s="1"/>
  <c r="I30" i="119"/>
  <c r="J30" i="119" s="1"/>
  <c r="U33" i="119"/>
  <c r="V33" i="119" s="1"/>
  <c r="I18" i="121"/>
  <c r="J18" i="121" s="1"/>
  <c r="I31" i="119"/>
  <c r="J31" i="119" s="1"/>
  <c r="E27" i="133"/>
  <c r="E33" i="133"/>
  <c r="I26" i="119"/>
  <c r="J26" i="119" s="1"/>
  <c r="E27" i="121"/>
  <c r="AA9" i="119"/>
  <c r="AB9" i="119" s="1"/>
  <c r="E39" i="133"/>
  <c r="J39" i="133" s="1"/>
  <c r="U26" i="119"/>
  <c r="V26" i="119" s="1"/>
  <c r="I22" i="121"/>
  <c r="J22" i="121" s="1"/>
  <c r="O33" i="119"/>
  <c r="P33" i="119" s="1"/>
  <c r="E37" i="121"/>
  <c r="J37" i="121" s="1"/>
  <c r="E32" i="121"/>
  <c r="I24" i="133"/>
  <c r="AA36" i="119"/>
  <c r="AB36" i="119" s="1"/>
  <c r="AA29" i="119"/>
  <c r="AB29" i="119" s="1"/>
  <c r="I9" i="119"/>
  <c r="J9" i="119" s="1"/>
  <c r="I29" i="119"/>
  <c r="J29" i="119" s="1"/>
  <c r="AG9" i="119"/>
  <c r="AH9" i="119" s="1"/>
  <c r="AA12" i="119"/>
  <c r="AB12" i="119" s="1"/>
  <c r="I22" i="119"/>
  <c r="J22" i="119" s="1"/>
  <c r="O12" i="119"/>
  <c r="P12" i="119" s="1"/>
  <c r="AG36" i="119"/>
  <c r="AH36" i="119" s="1"/>
  <c r="AG12" i="119"/>
  <c r="AH12" i="119" s="1"/>
  <c r="U36" i="119"/>
  <c r="V36" i="119" s="1"/>
  <c r="AA23" i="119"/>
  <c r="AB23" i="119" s="1"/>
  <c r="O23" i="119"/>
  <c r="P23" i="119" s="1"/>
  <c r="I23" i="119"/>
  <c r="J23" i="119" s="1"/>
  <c r="I43" i="133"/>
  <c r="J43" i="133" s="1"/>
  <c r="U12" i="119"/>
  <c r="V12" i="119" s="1"/>
  <c r="E33" i="121"/>
  <c r="J33" i="121" s="1"/>
  <c r="U23" i="119"/>
  <c r="V23" i="119" s="1"/>
  <c r="AG23" i="119"/>
  <c r="AH23" i="119" s="1"/>
  <c r="AG22" i="119"/>
  <c r="AH22" i="119" s="1"/>
  <c r="I12" i="121"/>
  <c r="E12" i="121"/>
  <c r="AR280" i="83"/>
  <c r="AR281" i="83" s="1"/>
  <c r="U31" i="119"/>
  <c r="V31" i="119" s="1"/>
  <c r="AL280" i="83"/>
  <c r="AL281" i="83" s="1"/>
  <c r="J37" i="21"/>
  <c r="AQ280" i="83"/>
  <c r="AQ281" i="83" s="1"/>
  <c r="O31" i="119"/>
  <c r="P31" i="119" s="1"/>
  <c r="AJ57" i="82"/>
  <c r="K11" i="127" s="1"/>
  <c r="AK55" i="82"/>
  <c r="AI97" i="82"/>
  <c r="J14" i="128" s="1"/>
  <c r="AI68" i="82"/>
  <c r="AI69" i="82" s="1"/>
  <c r="J11" i="36" s="1"/>
  <c r="T69" i="82"/>
  <c r="O9" i="119"/>
  <c r="P9" i="119" s="1"/>
  <c r="AI54" i="82"/>
  <c r="J11" i="69" s="1"/>
  <c r="AJ52" i="82"/>
  <c r="AH38" i="82"/>
  <c r="I10" i="128" s="1"/>
  <c r="AH45" i="82"/>
  <c r="AH47" i="82" s="1"/>
  <c r="I10" i="36" s="1"/>
  <c r="AK15" i="82"/>
  <c r="AJ16" i="82"/>
  <c r="U21" i="119"/>
  <c r="V21" i="119" s="1"/>
  <c r="AK94" i="82"/>
  <c r="AJ97" i="82"/>
  <c r="K14" i="128" s="1"/>
  <c r="AJ67" i="82"/>
  <c r="AI108" i="82"/>
  <c r="AJ108" i="82" s="1"/>
  <c r="AK108" i="82" s="1"/>
  <c r="AL108" i="82" s="1"/>
  <c r="AM108" i="82" s="1"/>
  <c r="AN108" i="82" s="1"/>
  <c r="AO108" i="82" s="1"/>
  <c r="AP108" i="82" s="1"/>
  <c r="AQ108" i="82" s="1"/>
  <c r="AR108" i="82" s="1"/>
  <c r="AS108" i="82" s="1"/>
  <c r="AJ58" i="82"/>
  <c r="AI60" i="82"/>
  <c r="J11" i="128" s="1"/>
  <c r="AK86" i="82"/>
  <c r="AJ89" i="82"/>
  <c r="K14" i="69" s="1"/>
  <c r="AK12" i="82"/>
  <c r="AJ13" i="82"/>
  <c r="AI22" i="82"/>
  <c r="AJ21" i="82"/>
  <c r="AJ63" i="82"/>
  <c r="K11" i="129" s="1"/>
  <c r="AK61" i="82"/>
  <c r="AI36" i="82"/>
  <c r="AI24" i="82"/>
  <c r="AI10" i="82"/>
  <c r="AJ9" i="82"/>
  <c r="AJ106" i="82"/>
  <c r="O29" i="119"/>
  <c r="P29" i="119" s="1"/>
  <c r="U69" i="82"/>
  <c r="AK102" i="82"/>
  <c r="AJ105" i="82"/>
  <c r="K14" i="131" s="1"/>
  <c r="I12" i="119"/>
  <c r="J12" i="119" s="1"/>
  <c r="AJ90" i="82"/>
  <c r="AI93" i="82"/>
  <c r="J14" i="127" s="1"/>
  <c r="AJ66" i="82"/>
  <c r="K11" i="131" s="1"/>
  <c r="AK64" i="82"/>
  <c r="O36" i="119"/>
  <c r="P36" i="119" s="1"/>
  <c r="AG29" i="119"/>
  <c r="AH29" i="119" s="1"/>
  <c r="AG26" i="119"/>
  <c r="AH26" i="119" s="1"/>
  <c r="O26" i="119"/>
  <c r="P26" i="119" s="1"/>
  <c r="AA31" i="119"/>
  <c r="AB31" i="119" s="1"/>
  <c r="U9" i="119"/>
  <c r="V9" i="119" s="1"/>
  <c r="AA21" i="119"/>
  <c r="AB21" i="119" s="1"/>
  <c r="I21" i="119"/>
  <c r="J21" i="119" s="1"/>
  <c r="AG18" i="119"/>
  <c r="AH18" i="119" s="1"/>
  <c r="AG21" i="119"/>
  <c r="AH21" i="119" s="1"/>
  <c r="AI25" i="82" l="1"/>
  <c r="I46" i="35"/>
  <c r="I45" i="35" s="1"/>
  <c r="J45" i="35" s="1"/>
  <c r="K8" i="129"/>
  <c r="AK17" i="82"/>
  <c r="AJ19" i="82"/>
  <c r="K8" i="69"/>
  <c r="AK8" i="82"/>
  <c r="AJ23" i="82"/>
  <c r="K8" i="36" s="1"/>
  <c r="AK104" i="83"/>
  <c r="L27" i="128" s="1"/>
  <c r="J26" i="21"/>
  <c r="K26" i="21" s="1"/>
  <c r="AQ22" i="21"/>
  <c r="AR22" i="21" s="1"/>
  <c r="AR20" i="21" s="1"/>
  <c r="AS20" i="21" s="1"/>
  <c r="U26" i="21"/>
  <c r="V26" i="21" s="1"/>
  <c r="I56" i="35"/>
  <c r="J56" i="35" s="1"/>
  <c r="J53" i="35" s="1"/>
  <c r="D24" i="71"/>
  <c r="D19" i="71"/>
  <c r="E19" i="71" s="1"/>
  <c r="F19" i="71" s="1"/>
  <c r="G19" i="71" s="1"/>
  <c r="AK105" i="83"/>
  <c r="K27" i="129"/>
  <c r="AK103" i="83"/>
  <c r="K27" i="127"/>
  <c r="AK195" i="83"/>
  <c r="L35" i="127" s="1"/>
  <c r="K35" i="127"/>
  <c r="AK102" i="83"/>
  <c r="K27" i="69"/>
  <c r="BD46" i="21"/>
  <c r="BC40" i="21"/>
  <c r="BD40" i="21" s="1"/>
  <c r="AG40" i="21"/>
  <c r="AH40" i="21" s="1"/>
  <c r="V40" i="21"/>
  <c r="W40" i="21" s="1"/>
  <c r="G24" i="21"/>
  <c r="J42" i="35"/>
  <c r="I58" i="35"/>
  <c r="J58" i="35" s="1"/>
  <c r="AK107" i="83"/>
  <c r="L26" i="36" s="1"/>
  <c r="O22" i="119"/>
  <c r="P22" i="119" s="1"/>
  <c r="O17" i="119"/>
  <c r="P17" i="119" s="1"/>
  <c r="I17" i="119"/>
  <c r="J17" i="119" s="1"/>
  <c r="U17" i="119"/>
  <c r="V17" i="119" s="1"/>
  <c r="AG17" i="119"/>
  <c r="AH17" i="119" s="1"/>
  <c r="Z17" i="119"/>
  <c r="X17" i="119" s="1"/>
  <c r="H20" i="133"/>
  <c r="P24" i="36"/>
  <c r="H23" i="133" s="1"/>
  <c r="I23" i="133" s="1"/>
  <c r="H19" i="133"/>
  <c r="P23" i="36"/>
  <c r="H14" i="121"/>
  <c r="E14" i="121" s="1"/>
  <c r="J14" i="121" s="1"/>
  <c r="N24" i="36"/>
  <c r="H17" i="121" s="1"/>
  <c r="E17" i="121" s="1"/>
  <c r="J17" i="121" s="1"/>
  <c r="H13" i="121"/>
  <c r="I13" i="121" s="1"/>
  <c r="N23" i="36"/>
  <c r="AK30" i="82"/>
  <c r="AL30" i="82" s="1"/>
  <c r="AL32" i="82" s="1"/>
  <c r="M10" i="69" s="1"/>
  <c r="AJ33" i="82"/>
  <c r="AJ35" i="82" s="1"/>
  <c r="K10" i="127" s="1"/>
  <c r="U21" i="21"/>
  <c r="V21" i="21" s="1"/>
  <c r="AJ39" i="82"/>
  <c r="AJ41" i="82" s="1"/>
  <c r="K10" i="129" s="1"/>
  <c r="AJ42" i="82"/>
  <c r="AJ44" i="82" s="1"/>
  <c r="K10" i="131" s="1"/>
  <c r="AF21" i="21"/>
  <c r="AG21" i="21" s="1"/>
  <c r="AI45" i="82"/>
  <c r="AI47" i="82" s="1"/>
  <c r="J10" i="36" s="1"/>
  <c r="J12" i="36"/>
  <c r="AO205" i="83"/>
  <c r="AN205" i="83"/>
  <c r="O37" i="36" s="1"/>
  <c r="AK74" i="82"/>
  <c r="L12" i="69" s="1"/>
  <c r="AK77" i="82"/>
  <c r="L12" i="129" s="1"/>
  <c r="K46" i="127"/>
  <c r="O8" i="131"/>
  <c r="AO20" i="82"/>
  <c r="AO18" i="82"/>
  <c r="AP18" i="82" s="1"/>
  <c r="AQ18" i="82" s="1"/>
  <c r="AR18" i="82" s="1"/>
  <c r="K12" i="36"/>
  <c r="K12" i="127"/>
  <c r="N8" i="128"/>
  <c r="H29" i="121"/>
  <c r="E29" i="121" s="1"/>
  <c r="J29" i="121" s="1"/>
  <c r="AF28" i="119"/>
  <c r="AK63" i="82"/>
  <c r="L11" i="129" s="1"/>
  <c r="AL61" i="82"/>
  <c r="AK57" i="82"/>
  <c r="L11" i="127" s="1"/>
  <c r="AL55" i="82"/>
  <c r="AK76" i="82"/>
  <c r="K12" i="128"/>
  <c r="AK97" i="82"/>
  <c r="L14" i="128" s="1"/>
  <c r="AL94" i="82"/>
  <c r="AK105" i="82"/>
  <c r="L14" i="131" s="1"/>
  <c r="AL102" i="82"/>
  <c r="AK66" i="82"/>
  <c r="L11" i="131" s="1"/>
  <c r="AL64" i="82"/>
  <c r="AK13" i="82"/>
  <c r="AL12" i="82"/>
  <c r="K12" i="131"/>
  <c r="AK89" i="82"/>
  <c r="L14" i="69" s="1"/>
  <c r="AL86" i="82"/>
  <c r="AK16" i="82"/>
  <c r="AL15" i="82"/>
  <c r="AK101" i="82"/>
  <c r="L14" i="129" s="1"/>
  <c r="AL98" i="82"/>
  <c r="L12" i="131"/>
  <c r="AL78" i="82"/>
  <c r="L12" i="36"/>
  <c r="L12" i="127"/>
  <c r="AL75" i="82"/>
  <c r="AM79" i="82"/>
  <c r="M12" i="36"/>
  <c r="AJ217" i="83"/>
  <c r="K39" i="36" s="1"/>
  <c r="AK198" i="83"/>
  <c r="L35" i="131" s="1"/>
  <c r="AF22" i="21"/>
  <c r="AG22" i="21" s="1"/>
  <c r="J22" i="21"/>
  <c r="K22" i="21" s="1"/>
  <c r="K20" i="21" s="1"/>
  <c r="H32" i="35"/>
  <c r="I32" i="35" s="1"/>
  <c r="BB22" i="21"/>
  <c r="BC22" i="21" s="1"/>
  <c r="BC20" i="21" s="1"/>
  <c r="BD20" i="21" s="1"/>
  <c r="AF13" i="119"/>
  <c r="J36" i="36"/>
  <c r="AJ194" i="83"/>
  <c r="K35" i="69" s="1"/>
  <c r="AF14" i="119"/>
  <c r="J27" i="133"/>
  <c r="AJ205" i="83"/>
  <c r="K37" i="36" s="1"/>
  <c r="T22" i="119" s="1"/>
  <c r="AK197" i="83"/>
  <c r="L35" i="129" s="1"/>
  <c r="H19" i="35"/>
  <c r="BB37" i="21"/>
  <c r="BC37" i="21" s="1"/>
  <c r="BD37" i="21" s="1"/>
  <c r="AK106" i="83"/>
  <c r="L27" i="131" s="1"/>
  <c r="AK196" i="83"/>
  <c r="L35" i="128" s="1"/>
  <c r="E16" i="133"/>
  <c r="J33" i="133"/>
  <c r="J12" i="121"/>
  <c r="H20" i="35"/>
  <c r="AJ109" i="82"/>
  <c r="K14" i="36" s="1"/>
  <c r="AK106" i="82"/>
  <c r="AI109" i="82"/>
  <c r="J14" i="36" s="1"/>
  <c r="AK21" i="82"/>
  <c r="AJ22" i="82"/>
  <c r="AK9" i="82"/>
  <c r="AL9" i="82" s="1"/>
  <c r="AJ24" i="82"/>
  <c r="AJ10" i="82"/>
  <c r="AJ54" i="82"/>
  <c r="K11" i="69" s="1"/>
  <c r="AK52" i="82"/>
  <c r="AK90" i="82"/>
  <c r="AJ93" i="82"/>
  <c r="K14" i="127" s="1"/>
  <c r="AJ69" i="82"/>
  <c r="K11" i="36" s="1"/>
  <c r="AK67" i="82"/>
  <c r="AI38" i="82"/>
  <c r="J10" i="128" s="1"/>
  <c r="AJ36" i="82"/>
  <c r="AK58" i="82"/>
  <c r="AJ60" i="82"/>
  <c r="K11" i="128" s="1"/>
  <c r="I20" i="35" l="1"/>
  <c r="I19" i="35"/>
  <c r="AM30" i="82"/>
  <c r="AN30" i="82" s="1"/>
  <c r="AO30" i="82" s="1"/>
  <c r="AO32" i="82" s="1"/>
  <c r="P10" i="69" s="1"/>
  <c r="H23" i="35"/>
  <c r="AK32" i="82"/>
  <c r="L10" i="69" s="1"/>
  <c r="AK33" i="82"/>
  <c r="AK35" i="82" s="1"/>
  <c r="L10" i="127" s="1"/>
  <c r="AL74" i="82"/>
  <c r="M12" i="69" s="1"/>
  <c r="AK19" i="82"/>
  <c r="L8" i="129"/>
  <c r="AL17" i="82"/>
  <c r="L8" i="69"/>
  <c r="AK23" i="82"/>
  <c r="AL8" i="82"/>
  <c r="AL10" i="82" s="1"/>
  <c r="AJ25" i="82"/>
  <c r="AL104" i="83"/>
  <c r="M27" i="128" s="1"/>
  <c r="AL195" i="83"/>
  <c r="M35" i="127" s="1"/>
  <c r="AL107" i="83"/>
  <c r="M26" i="36" s="1"/>
  <c r="AF20" i="119" s="1"/>
  <c r="AD20" i="119" s="1"/>
  <c r="H24" i="35"/>
  <c r="D12" i="71" s="1"/>
  <c r="E12" i="71" s="1"/>
  <c r="F12" i="71" s="1"/>
  <c r="G12" i="71" s="1"/>
  <c r="I53" i="35"/>
  <c r="AL103" i="83"/>
  <c r="L27" i="127"/>
  <c r="L27" i="69"/>
  <c r="AL102" i="83"/>
  <c r="L27" i="129"/>
  <c r="AL105" i="83"/>
  <c r="AG20" i="21"/>
  <c r="AH20" i="21" s="1"/>
  <c r="H35" i="133"/>
  <c r="P37" i="36"/>
  <c r="H31" i="133" s="1"/>
  <c r="R22" i="119"/>
  <c r="U22" i="119"/>
  <c r="AA17" i="119"/>
  <c r="AB17" i="119" s="1"/>
  <c r="E13" i="121"/>
  <c r="J13" i="121" s="1"/>
  <c r="AK42" i="82"/>
  <c r="AK44" i="82" s="1"/>
  <c r="L10" i="131" s="1"/>
  <c r="AK39" i="82"/>
  <c r="AL39" i="82" s="1"/>
  <c r="AY47" i="21"/>
  <c r="U22" i="21"/>
  <c r="V22" i="21" s="1"/>
  <c r="V20" i="21" s="1"/>
  <c r="W20" i="21" s="1"/>
  <c r="AJ45" i="82"/>
  <c r="AJ47" i="82" s="1"/>
  <c r="K10" i="36" s="1"/>
  <c r="G12" i="68"/>
  <c r="AS18" i="82"/>
  <c r="AP103" i="83"/>
  <c r="Q27" i="127" s="1"/>
  <c r="AP30" i="82"/>
  <c r="AQ30" i="82" s="1"/>
  <c r="AL77" i="82"/>
  <c r="M12" i="129" s="1"/>
  <c r="P8" i="131"/>
  <c r="AP20" i="82"/>
  <c r="L46" i="127"/>
  <c r="O8" i="128"/>
  <c r="N12" i="36"/>
  <c r="AN79" i="82"/>
  <c r="AL101" i="82"/>
  <c r="M14" i="129" s="1"/>
  <c r="AM98" i="82"/>
  <c r="AK69" i="82"/>
  <c r="L11" i="36" s="1"/>
  <c r="AL67" i="82"/>
  <c r="AM15" i="82"/>
  <c r="AL16" i="82"/>
  <c r="AK109" i="82"/>
  <c r="L14" i="36" s="1"/>
  <c r="AL106" i="82"/>
  <c r="AL57" i="82"/>
  <c r="M11" i="127" s="1"/>
  <c r="AM55" i="82"/>
  <c r="AL89" i="82"/>
  <c r="M14" i="69" s="1"/>
  <c r="AM86" i="82"/>
  <c r="L12" i="128"/>
  <c r="AL76" i="82"/>
  <c r="AK93" i="82"/>
  <c r="L14" i="127" s="1"/>
  <c r="AL90" i="82"/>
  <c r="AK60" i="82"/>
  <c r="L11" i="128" s="1"/>
  <c r="AL58" i="82"/>
  <c r="AM9" i="82"/>
  <c r="AN9" i="82" s="1"/>
  <c r="AK22" i="82"/>
  <c r="AL21" i="82"/>
  <c r="AL24" i="82" s="1"/>
  <c r="AL66" i="82"/>
  <c r="M11" i="131" s="1"/>
  <c r="AM64" i="82"/>
  <c r="AL63" i="82"/>
  <c r="M11" i="129" s="1"/>
  <c r="AM61" i="82"/>
  <c r="AL13" i="82"/>
  <c r="AM12" i="82"/>
  <c r="AL97" i="82"/>
  <c r="M14" i="128" s="1"/>
  <c r="AM94" i="82"/>
  <c r="AK54" i="82"/>
  <c r="L11" i="69" s="1"/>
  <c r="AL52" i="82"/>
  <c r="AM102" i="82"/>
  <c r="AL105" i="82"/>
  <c r="M14" i="131" s="1"/>
  <c r="M12" i="131"/>
  <c r="AM78" i="82"/>
  <c r="M12" i="127"/>
  <c r="AM75" i="82"/>
  <c r="AL198" i="83"/>
  <c r="AM198" i="83" s="1"/>
  <c r="AJ199" i="83"/>
  <c r="K36" i="36" s="1"/>
  <c r="AK217" i="83"/>
  <c r="L39" i="36" s="1"/>
  <c r="AK194" i="83"/>
  <c r="AD28" i="119"/>
  <c r="AG28" i="119"/>
  <c r="AL196" i="83"/>
  <c r="M35" i="128" s="1"/>
  <c r="AD14" i="119"/>
  <c r="AG14" i="119"/>
  <c r="AD13" i="119"/>
  <c r="AG13" i="119"/>
  <c r="AL197" i="83"/>
  <c r="M35" i="129" s="1"/>
  <c r="J30" i="21"/>
  <c r="AK205" i="83"/>
  <c r="L37" i="36" s="1"/>
  <c r="J45" i="21"/>
  <c r="AL106" i="83"/>
  <c r="M27" i="131" s="1"/>
  <c r="AK24" i="82"/>
  <c r="AK10" i="82"/>
  <c r="AK36" i="82"/>
  <c r="AL36" i="82" s="1"/>
  <c r="AJ38" i="82"/>
  <c r="K10" i="128" s="1"/>
  <c r="I18" i="35" l="1"/>
  <c r="I23" i="35"/>
  <c r="AL33" i="82"/>
  <c r="AL35" i="82" s="1"/>
  <c r="M10" i="127" s="1"/>
  <c r="AM32" i="82"/>
  <c r="N10" i="69" s="1"/>
  <c r="AN32" i="82"/>
  <c r="O10" i="69" s="1"/>
  <c r="AK25" i="82"/>
  <c r="AK41" i="82"/>
  <c r="L10" i="129" s="1"/>
  <c r="AL42" i="82"/>
  <c r="AM74" i="82"/>
  <c r="N12" i="69" s="1"/>
  <c r="AM107" i="83"/>
  <c r="N26" i="36" s="1"/>
  <c r="H20" i="121" s="1"/>
  <c r="E20" i="121" s="1"/>
  <c r="J20" i="121" s="1"/>
  <c r="AM195" i="83"/>
  <c r="N35" i="127" s="1"/>
  <c r="M8" i="69"/>
  <c r="AM8" i="82"/>
  <c r="AM10" i="82" s="1"/>
  <c r="AM104" i="83"/>
  <c r="N27" i="128" s="1"/>
  <c r="AL23" i="82"/>
  <c r="L8" i="36"/>
  <c r="M8" i="129"/>
  <c r="AL19" i="82"/>
  <c r="AM17" i="82"/>
  <c r="AG20" i="119"/>
  <c r="AH20" i="119" s="1"/>
  <c r="I24" i="35"/>
  <c r="M27" i="127"/>
  <c r="AM103" i="83"/>
  <c r="M27" i="129"/>
  <c r="AM105" i="83"/>
  <c r="M27" i="69"/>
  <c r="AM102" i="83"/>
  <c r="AL194" i="83"/>
  <c r="AL199" i="83" s="1"/>
  <c r="M36" i="36" s="1"/>
  <c r="L35" i="69"/>
  <c r="N35" i="131"/>
  <c r="M35" i="131"/>
  <c r="V22" i="119"/>
  <c r="Z22" i="119"/>
  <c r="H37" i="35"/>
  <c r="I37" i="35" s="1"/>
  <c r="J37" i="35" s="1"/>
  <c r="K30" i="21"/>
  <c r="AF17" i="21"/>
  <c r="AG17" i="21" s="1"/>
  <c r="AF45" i="21"/>
  <c r="BB45" i="21"/>
  <c r="AP102" i="83"/>
  <c r="Q27" i="69" s="1"/>
  <c r="AP105" i="83"/>
  <c r="Q27" i="129" s="1"/>
  <c r="AP194" i="83"/>
  <c r="Q35" i="69" s="1"/>
  <c r="AQ45" i="21"/>
  <c r="AQ103" i="83"/>
  <c r="R27" i="127" s="1"/>
  <c r="AP205" i="83"/>
  <c r="Q37" i="36" s="1"/>
  <c r="AQ32" i="82"/>
  <c r="R10" i="69" s="1"/>
  <c r="Q8" i="131"/>
  <c r="AQ20" i="82"/>
  <c r="R8" i="131" s="1"/>
  <c r="P8" i="128"/>
  <c r="AM77" i="82"/>
  <c r="N12" i="129" s="1"/>
  <c r="AP32" i="82"/>
  <c r="Q10" i="69" s="1"/>
  <c r="O12" i="36"/>
  <c r="AO79" i="82"/>
  <c r="M46" i="127"/>
  <c r="AM66" i="82"/>
  <c r="N11" i="131" s="1"/>
  <c r="AN64" i="82"/>
  <c r="AM97" i="82"/>
  <c r="N14" i="128" s="1"/>
  <c r="AN94" i="82"/>
  <c r="AM89" i="82"/>
  <c r="N14" i="69" s="1"/>
  <c r="AN86" i="82"/>
  <c r="AM63" i="82"/>
  <c r="N11" i="129" s="1"/>
  <c r="AN61" i="82"/>
  <c r="N12" i="131"/>
  <c r="AN78" i="82"/>
  <c r="AO9" i="82"/>
  <c r="AP9" i="82" s="1"/>
  <c r="AQ9" i="82" s="1"/>
  <c r="AM101" i="82"/>
  <c r="N14" i="129" s="1"/>
  <c r="AN98" i="82"/>
  <c r="AO98" i="82" s="1"/>
  <c r="AO101" i="82" s="1"/>
  <c r="AM13" i="82"/>
  <c r="AN12" i="82"/>
  <c r="AM105" i="82"/>
  <c r="N14" i="131" s="1"/>
  <c r="AN102" i="82"/>
  <c r="N12" i="127"/>
  <c r="AN75" i="82"/>
  <c r="AM16" i="82"/>
  <c r="AN15" i="82"/>
  <c r="AM57" i="82"/>
  <c r="N11" i="127" s="1"/>
  <c r="AN55" i="82"/>
  <c r="AN198" i="83"/>
  <c r="O35" i="131" s="1"/>
  <c r="H16" i="121"/>
  <c r="E16" i="121" s="1"/>
  <c r="J16" i="121" s="1"/>
  <c r="AM76" i="82"/>
  <c r="M12" i="128"/>
  <c r="AM90" i="82"/>
  <c r="AL93" i="82"/>
  <c r="M14" i="127" s="1"/>
  <c r="AM67" i="82"/>
  <c r="AL69" i="82"/>
  <c r="M11" i="36" s="1"/>
  <c r="AL41" i="82"/>
  <c r="M10" i="129" s="1"/>
  <c r="AM39" i="82"/>
  <c r="AM106" i="82"/>
  <c r="AL109" i="82"/>
  <c r="M14" i="36" s="1"/>
  <c r="AM21" i="82"/>
  <c r="AL22" i="82"/>
  <c r="AL38" i="82"/>
  <c r="M10" i="128" s="1"/>
  <c r="AM36" i="82"/>
  <c r="AL54" i="82"/>
  <c r="M11" i="69" s="1"/>
  <c r="AM52" i="82"/>
  <c r="AL60" i="82"/>
  <c r="M11" i="128" s="1"/>
  <c r="AM58" i="82"/>
  <c r="AM197" i="83"/>
  <c r="N35" i="129" s="1"/>
  <c r="AL217" i="83"/>
  <c r="M39" i="36" s="1"/>
  <c r="AK199" i="83"/>
  <c r="L36" i="36" s="1"/>
  <c r="AM106" i="83"/>
  <c r="N27" i="131" s="1"/>
  <c r="AM196" i="83"/>
  <c r="N35" i="128" s="1"/>
  <c r="AH13" i="119"/>
  <c r="AH14" i="119"/>
  <c r="AH28" i="119"/>
  <c r="J27" i="35"/>
  <c r="U30" i="21"/>
  <c r="AK38" i="82"/>
  <c r="L10" i="128" s="1"/>
  <c r="AK45" i="82"/>
  <c r="AK47" i="82" s="1"/>
  <c r="L10" i="36" s="1"/>
  <c r="AM33" i="82" l="1"/>
  <c r="AN33" i="82" s="1"/>
  <c r="AO33" i="82" s="1"/>
  <c r="AO35" i="82" s="1"/>
  <c r="P10" i="127" s="1"/>
  <c r="AL45" i="82"/>
  <c r="AL47" i="82" s="1"/>
  <c r="M10" i="36" s="1"/>
  <c r="AM42" i="82"/>
  <c r="AM44" i="82" s="1"/>
  <c r="N10" i="131" s="1"/>
  <c r="AL44" i="82"/>
  <c r="M10" i="131" s="1"/>
  <c r="J12" i="21"/>
  <c r="K12" i="21" s="1"/>
  <c r="L12" i="21" s="1"/>
  <c r="AN107" i="83"/>
  <c r="O26" i="36" s="1"/>
  <c r="AN104" i="83"/>
  <c r="O27" i="128" s="1"/>
  <c r="J11" i="121"/>
  <c r="AN74" i="82"/>
  <c r="AO74" i="82" s="1"/>
  <c r="AN195" i="83"/>
  <c r="O35" i="127" s="1"/>
  <c r="AM23" i="82"/>
  <c r="M8" i="36"/>
  <c r="AL25" i="82"/>
  <c r="AM19" i="82"/>
  <c r="AN17" i="82"/>
  <c r="N8" i="129"/>
  <c r="N8" i="69"/>
  <c r="AN8" i="82"/>
  <c r="M35" i="69"/>
  <c r="AM194" i="83"/>
  <c r="N35" i="69" s="1"/>
  <c r="N27" i="69"/>
  <c r="AN102" i="83"/>
  <c r="N27" i="127"/>
  <c r="AN103" i="83"/>
  <c r="N27" i="129"/>
  <c r="AN105" i="83"/>
  <c r="V30" i="21"/>
  <c r="V29" i="21" s="1"/>
  <c r="W29" i="21" s="1"/>
  <c r="K29" i="21"/>
  <c r="L29" i="21" s="1"/>
  <c r="AP17" i="82"/>
  <c r="X22" i="119"/>
  <c r="AA22" i="119"/>
  <c r="AS17" i="82"/>
  <c r="T8" i="129" s="1"/>
  <c r="AR19" i="82"/>
  <c r="U45" i="21"/>
  <c r="AR205" i="83"/>
  <c r="AO198" i="83"/>
  <c r="P35" i="131" s="1"/>
  <c r="BB36" i="21" s="1"/>
  <c r="BC36" i="21" s="1"/>
  <c r="AQ205" i="83"/>
  <c r="R37" i="36" s="1"/>
  <c r="AQ105" i="83"/>
  <c r="R27" i="129" s="1"/>
  <c r="AQ102" i="83"/>
  <c r="R27" i="69" s="1"/>
  <c r="AQ194" i="83"/>
  <c r="R35" i="69" s="1"/>
  <c r="AR103" i="83"/>
  <c r="BB10" i="21"/>
  <c r="BC10" i="21" s="1"/>
  <c r="U10" i="21"/>
  <c r="Q8" i="128"/>
  <c r="R8" i="128"/>
  <c r="AQ19" i="82"/>
  <c r="P12" i="36"/>
  <c r="H12" i="133" s="1"/>
  <c r="AP79" i="82"/>
  <c r="AP19" i="82"/>
  <c r="AP33" i="82"/>
  <c r="AQ33" i="82" s="1"/>
  <c r="AN97" i="82"/>
  <c r="O14" i="128" s="1"/>
  <c r="AO94" i="82"/>
  <c r="AP8" i="82"/>
  <c r="Q8" i="69" s="1"/>
  <c r="AN63" i="82"/>
  <c r="O11" i="129" s="1"/>
  <c r="AO61" i="82"/>
  <c r="AN101" i="82"/>
  <c r="O14" i="129" s="1"/>
  <c r="AN77" i="82"/>
  <c r="O12" i="129" s="1"/>
  <c r="AN105" i="82"/>
  <c r="O14" i="131" s="1"/>
  <c r="AO102" i="82"/>
  <c r="AN66" i="82"/>
  <c r="O11" i="131" s="1"/>
  <c r="AO64" i="82"/>
  <c r="AN57" i="82"/>
  <c r="O11" i="127" s="1"/>
  <c r="AO55" i="82"/>
  <c r="O12" i="131"/>
  <c r="AO78" i="82"/>
  <c r="O12" i="127"/>
  <c r="AO75" i="82"/>
  <c r="AN89" i="82"/>
  <c r="O14" i="69" s="1"/>
  <c r="AO86" i="82"/>
  <c r="N46" i="127"/>
  <c r="AM22" i="82"/>
  <c r="AN21" i="82"/>
  <c r="AM93" i="82"/>
  <c r="N14" i="127" s="1"/>
  <c r="AN90" i="82"/>
  <c r="AM109" i="82"/>
  <c r="N14" i="36" s="1"/>
  <c r="AN106" i="82"/>
  <c r="N12" i="128"/>
  <c r="AN76" i="82"/>
  <c r="AM24" i="82"/>
  <c r="AM54" i="82"/>
  <c r="N11" i="69" s="1"/>
  <c r="AN52" i="82"/>
  <c r="AM41" i="82"/>
  <c r="N10" i="129" s="1"/>
  <c r="AN39" i="82"/>
  <c r="AN16" i="82"/>
  <c r="AO15" i="82"/>
  <c r="AN13" i="82"/>
  <c r="AO12" i="82"/>
  <c r="AM38" i="82"/>
  <c r="N10" i="128" s="1"/>
  <c r="AN36" i="82"/>
  <c r="AM60" i="82"/>
  <c r="N11" i="128" s="1"/>
  <c r="AN58" i="82"/>
  <c r="AM69" i="82"/>
  <c r="N11" i="36" s="1"/>
  <c r="AN67" i="82"/>
  <c r="AN196" i="83"/>
  <c r="O35" i="128" s="1"/>
  <c r="AN197" i="83"/>
  <c r="O35" i="129" s="1"/>
  <c r="E11" i="121"/>
  <c r="AN106" i="83"/>
  <c r="O27" i="131" s="1"/>
  <c r="AM217" i="83"/>
  <c r="N39" i="36" s="1"/>
  <c r="AM35" i="82" l="1"/>
  <c r="N10" i="127" s="1"/>
  <c r="AN35" i="82"/>
  <c r="O10" i="127" s="1"/>
  <c r="O12" i="69"/>
  <c r="AM45" i="82"/>
  <c r="AM47" i="82" s="1"/>
  <c r="N10" i="36" s="1"/>
  <c r="H10" i="121" s="1"/>
  <c r="E10" i="121" s="1"/>
  <c r="AN42" i="82"/>
  <c r="AN44" i="82" s="1"/>
  <c r="O10" i="131" s="1"/>
  <c r="AO107" i="83"/>
  <c r="P26" i="36" s="1"/>
  <c r="H25" i="133" s="1"/>
  <c r="I25" i="133" s="1"/>
  <c r="I22" i="133" s="1"/>
  <c r="J22" i="133" s="1"/>
  <c r="L22" i="133" s="1"/>
  <c r="AM25" i="82"/>
  <c r="AM199" i="83"/>
  <c r="N36" i="36" s="1"/>
  <c r="AN194" i="83"/>
  <c r="AO194" i="83" s="1"/>
  <c r="P35" i="69" s="1"/>
  <c r="AO104" i="83"/>
  <c r="P27" i="128" s="1"/>
  <c r="AF28" i="21" s="1"/>
  <c r="AG28" i="21" s="1"/>
  <c r="AG24" i="21" s="1"/>
  <c r="AO195" i="83"/>
  <c r="P35" i="127" s="1"/>
  <c r="U36" i="21" s="1"/>
  <c r="V36" i="21" s="1"/>
  <c r="W36" i="21" s="1"/>
  <c r="O27" i="127"/>
  <c r="AO103" i="83"/>
  <c r="P27" i="127" s="1"/>
  <c r="O8" i="69"/>
  <c r="AO8" i="82"/>
  <c r="AN10" i="82"/>
  <c r="O8" i="129"/>
  <c r="AO17" i="82"/>
  <c r="AN19" i="82"/>
  <c r="O27" i="69"/>
  <c r="AO102" i="83"/>
  <c r="P27" i="69" s="1"/>
  <c r="O27" i="129"/>
  <c r="AO105" i="83"/>
  <c r="P27" i="129" s="1"/>
  <c r="N8" i="36"/>
  <c r="AN23" i="82"/>
  <c r="H12" i="35"/>
  <c r="BC35" i="21"/>
  <c r="BD36" i="21"/>
  <c r="BD35" i="21" s="1"/>
  <c r="U24" i="21"/>
  <c r="R24" i="21" s="1"/>
  <c r="S27" i="127"/>
  <c r="AQ17" i="82"/>
  <c r="Q8" i="129"/>
  <c r="R10" i="21"/>
  <c r="V10" i="21"/>
  <c r="AB22" i="119"/>
  <c r="S37" i="36"/>
  <c r="AS19" i="82"/>
  <c r="AR194" i="83"/>
  <c r="AP104" i="83"/>
  <c r="Q27" i="128" s="1"/>
  <c r="AR102" i="83"/>
  <c r="AR105" i="83"/>
  <c r="AO197" i="83"/>
  <c r="P35" i="129" s="1"/>
  <c r="AQ36" i="21" s="1"/>
  <c r="AR36" i="21" s="1"/>
  <c r="AS36" i="21" s="1"/>
  <c r="AO196" i="83"/>
  <c r="P35" i="128" s="1"/>
  <c r="AF36" i="21" s="1"/>
  <c r="AG36" i="21" s="1"/>
  <c r="AH36" i="21" s="1"/>
  <c r="AO106" i="83"/>
  <c r="P27" i="131" s="1"/>
  <c r="BB28" i="21" s="1"/>
  <c r="BC28" i="21" s="1"/>
  <c r="BC24" i="21" s="1"/>
  <c r="AP195" i="83"/>
  <c r="Q35" i="127" s="1"/>
  <c r="AP198" i="83"/>
  <c r="Q35" i="131" s="1"/>
  <c r="AP107" i="83"/>
  <c r="Q26" i="36" s="1"/>
  <c r="AY10" i="21"/>
  <c r="BD10" i="21" s="1"/>
  <c r="AF10" i="21"/>
  <c r="AG10" i="21" s="1"/>
  <c r="Q12" i="36"/>
  <c r="AQ79" i="82"/>
  <c r="R12" i="36" s="1"/>
  <c r="AQ8" i="82"/>
  <c r="R8" i="69" s="1"/>
  <c r="AQ35" i="82"/>
  <c r="R10" i="127" s="1"/>
  <c r="P12" i="131"/>
  <c r="AP78" i="82"/>
  <c r="AO63" i="82"/>
  <c r="P11" i="129" s="1"/>
  <c r="AP61" i="82"/>
  <c r="AO66" i="82"/>
  <c r="P11" i="131" s="1"/>
  <c r="AP64" i="82"/>
  <c r="AO13" i="82"/>
  <c r="AP12" i="82"/>
  <c r="AQ12" i="82" s="1"/>
  <c r="AN109" i="82"/>
  <c r="O14" i="36" s="1"/>
  <c r="AO106" i="82"/>
  <c r="AP102" i="82"/>
  <c r="AP105" i="82" s="1"/>
  <c r="Q14" i="131" s="1"/>
  <c r="AO105" i="82"/>
  <c r="AN60" i="82"/>
  <c r="O11" i="128" s="1"/>
  <c r="AO58" i="82"/>
  <c r="AN69" i="82"/>
  <c r="O11" i="36" s="1"/>
  <c r="AO67" i="82"/>
  <c r="AO89" i="82"/>
  <c r="P14" i="69" s="1"/>
  <c r="J16" i="21" s="1"/>
  <c r="K16" i="21" s="1"/>
  <c r="K15" i="21" s="1"/>
  <c r="AP86" i="82"/>
  <c r="AO77" i="82"/>
  <c r="P12" i="129" s="1"/>
  <c r="P12" i="127"/>
  <c r="AP75" i="82"/>
  <c r="AN38" i="82"/>
  <c r="O10" i="128" s="1"/>
  <c r="AO36" i="82"/>
  <c r="AP10" i="82"/>
  <c r="AP35" i="82"/>
  <c r="Q10" i="127" s="1"/>
  <c r="U12" i="21" s="1"/>
  <c r="V12" i="21" s="1"/>
  <c r="W12" i="21" s="1"/>
  <c r="AO16" i="82"/>
  <c r="AP15" i="82"/>
  <c r="AN93" i="82"/>
  <c r="O14" i="127" s="1"/>
  <c r="AO90" i="82"/>
  <c r="O12" i="128"/>
  <c r="AO76" i="82"/>
  <c r="AO97" i="82"/>
  <c r="P14" i="128" s="1"/>
  <c r="AP94" i="82"/>
  <c r="AP97" i="82" s="1"/>
  <c r="Q14" i="128" s="1"/>
  <c r="AO57" i="82"/>
  <c r="P11" i="127" s="1"/>
  <c r="AP55" i="82"/>
  <c r="AP98" i="82"/>
  <c r="AP101" i="82" s="1"/>
  <c r="Q14" i="129" s="1"/>
  <c r="P12" i="69"/>
  <c r="J14" i="21" s="1"/>
  <c r="AP74" i="82"/>
  <c r="AN54" i="82"/>
  <c r="O11" i="69" s="1"/>
  <c r="AO52" i="82"/>
  <c r="AN41" i="82"/>
  <c r="O10" i="129" s="1"/>
  <c r="AO39" i="82"/>
  <c r="AP39" i="82" s="1"/>
  <c r="O46" i="127"/>
  <c r="G47" i="21"/>
  <c r="G19" i="21" s="1"/>
  <c r="AN217" i="83"/>
  <c r="O39" i="36" s="1"/>
  <c r="AN22" i="82"/>
  <c r="AO21" i="82"/>
  <c r="AN45" i="82"/>
  <c r="AN47" i="82" s="1"/>
  <c r="O10" i="36" s="1"/>
  <c r="AN24" i="82"/>
  <c r="H8" i="121" l="1"/>
  <c r="E8" i="121" s="1"/>
  <c r="J8" i="121" s="1"/>
  <c r="AO42" i="82"/>
  <c r="AO44" i="82" s="1"/>
  <c r="P10" i="131" s="1"/>
  <c r="H26" i="35"/>
  <c r="I26" i="35" s="1"/>
  <c r="I22" i="35" s="1"/>
  <c r="J22" i="35" s="1"/>
  <c r="J16" i="133"/>
  <c r="AN199" i="83"/>
  <c r="O36" i="36" s="1"/>
  <c r="O35" i="69"/>
  <c r="J36" i="21" s="1"/>
  <c r="K36" i="21" s="1"/>
  <c r="L36" i="21" s="1"/>
  <c r="U28" i="21"/>
  <c r="V28" i="21" s="1"/>
  <c r="V24" i="21" s="1"/>
  <c r="W24" i="21" s="1"/>
  <c r="I12" i="35"/>
  <c r="J28" i="21"/>
  <c r="K28" i="21" s="1"/>
  <c r="K24" i="21" s="1"/>
  <c r="L24" i="21" s="1"/>
  <c r="AN25" i="82"/>
  <c r="AQ28" i="21"/>
  <c r="AR28" i="21" s="1"/>
  <c r="AR24" i="21" s="1"/>
  <c r="AO19" i="82"/>
  <c r="P8" i="129"/>
  <c r="AQ10" i="21" s="1"/>
  <c r="AR10" i="21" s="1"/>
  <c r="O8" i="36"/>
  <c r="AO23" i="82"/>
  <c r="P8" i="69"/>
  <c r="J10" i="21" s="1"/>
  <c r="K10" i="21" s="1"/>
  <c r="AO10" i="82"/>
  <c r="BB18" i="21"/>
  <c r="BC18" i="21" s="1"/>
  <c r="P14" i="131"/>
  <c r="BB16" i="21" s="1"/>
  <c r="BC16" i="21" s="1"/>
  <c r="AQ18" i="21"/>
  <c r="AR18" i="21" s="1"/>
  <c r="P14" i="129"/>
  <c r="AN24" i="21"/>
  <c r="S27" i="129"/>
  <c r="L20" i="21"/>
  <c r="S27" i="69"/>
  <c r="AS194" i="83"/>
  <c r="T35" i="69" s="1"/>
  <c r="S35" i="69"/>
  <c r="AR17" i="82"/>
  <c r="S8" i="129" s="1"/>
  <c r="R8" i="129"/>
  <c r="W10" i="21"/>
  <c r="AO199" i="83"/>
  <c r="P36" i="36" s="1"/>
  <c r="H30" i="133" s="1"/>
  <c r="AP89" i="82"/>
  <c r="Q14" i="69" s="1"/>
  <c r="AQ86" i="82"/>
  <c r="AQ17" i="21"/>
  <c r="AR17" i="21" s="1"/>
  <c r="AP106" i="83"/>
  <c r="Q27" i="131" s="1"/>
  <c r="AP196" i="83"/>
  <c r="Q35" i="128" s="1"/>
  <c r="AP197" i="83"/>
  <c r="Q35" i="129" s="1"/>
  <c r="AQ104" i="83"/>
  <c r="R27" i="128" s="1"/>
  <c r="J44" i="21"/>
  <c r="AQ107" i="83"/>
  <c r="R26" i="36" s="1"/>
  <c r="AQ195" i="83"/>
  <c r="R35" i="127" s="1"/>
  <c r="AQ198" i="83"/>
  <c r="R35" i="131" s="1"/>
  <c r="AC10" i="21"/>
  <c r="AH10" i="21" s="1"/>
  <c r="AF18" i="21"/>
  <c r="AG18" i="21" s="1"/>
  <c r="AQ10" i="82"/>
  <c r="AP57" i="82"/>
  <c r="Q11" i="127" s="1"/>
  <c r="U13" i="21" s="1"/>
  <c r="V13" i="21" s="1"/>
  <c r="W13" i="21" s="1"/>
  <c r="AQ55" i="82"/>
  <c r="AQ57" i="82" s="1"/>
  <c r="R11" i="127" s="1"/>
  <c r="AP63" i="82"/>
  <c r="AQ61" i="82"/>
  <c r="AQ63" i="82" s="1"/>
  <c r="R11" i="129" s="1"/>
  <c r="AP41" i="82"/>
  <c r="Q10" i="129" s="1"/>
  <c r="AQ39" i="82"/>
  <c r="AQ41" i="82" s="1"/>
  <c r="R10" i="129" s="1"/>
  <c r="Q12" i="127"/>
  <c r="U14" i="21" s="1"/>
  <c r="V14" i="21" s="1"/>
  <c r="W14" i="21" s="1"/>
  <c r="AQ75" i="82"/>
  <c r="R12" i="127" s="1"/>
  <c r="Q12" i="131"/>
  <c r="BB14" i="21" s="1"/>
  <c r="BC14" i="21" s="1"/>
  <c r="BD14" i="21" s="1"/>
  <c r="AQ78" i="82"/>
  <c r="R12" i="131" s="1"/>
  <c r="AQ13" i="82"/>
  <c r="U17" i="21"/>
  <c r="V17" i="21" s="1"/>
  <c r="Q12" i="69"/>
  <c r="K14" i="21" s="1"/>
  <c r="L14" i="21" s="1"/>
  <c r="AQ74" i="82"/>
  <c r="R12" i="69" s="1"/>
  <c r="AP16" i="82"/>
  <c r="AQ15" i="82"/>
  <c r="AP66" i="82"/>
  <c r="Q11" i="131" s="1"/>
  <c r="BB13" i="21" s="1"/>
  <c r="BC13" i="21" s="1"/>
  <c r="BD13" i="21" s="1"/>
  <c r="AQ64" i="82"/>
  <c r="AQ66" i="82" s="1"/>
  <c r="R11" i="131" s="1"/>
  <c r="AP42" i="82"/>
  <c r="AP77" i="82"/>
  <c r="Q12" i="129" s="1"/>
  <c r="AP67" i="82"/>
  <c r="AO69" i="82"/>
  <c r="P11" i="36" s="1"/>
  <c r="H11" i="133" s="1"/>
  <c r="AO22" i="82"/>
  <c r="AP21" i="82"/>
  <c r="AO60" i="82"/>
  <c r="P11" i="128" s="1"/>
  <c r="AP58" i="82"/>
  <c r="AO38" i="82"/>
  <c r="P10" i="128" s="1"/>
  <c r="AP36" i="82"/>
  <c r="AQ36" i="82" s="1"/>
  <c r="AO54" i="82"/>
  <c r="P11" i="69" s="1"/>
  <c r="J13" i="21" s="1"/>
  <c r="AP52" i="82"/>
  <c r="AO109" i="82"/>
  <c r="AP106" i="82"/>
  <c r="AO24" i="82"/>
  <c r="P12" i="128"/>
  <c r="AP76" i="82"/>
  <c r="AP90" i="82"/>
  <c r="AO93" i="82"/>
  <c r="P14" i="127" s="1"/>
  <c r="AP13" i="82"/>
  <c r="AO41" i="82"/>
  <c r="P10" i="129" s="1"/>
  <c r="AN47" i="21"/>
  <c r="P46" i="127"/>
  <c r="AO217" i="83"/>
  <c r="P39" i="36" s="1"/>
  <c r="J10" i="121"/>
  <c r="E7" i="121" l="1"/>
  <c r="E43" i="121" s="1"/>
  <c r="J7" i="121"/>
  <c r="J43" i="121" s="1"/>
  <c r="H39" i="35"/>
  <c r="AO45" i="82"/>
  <c r="AO47" i="82" s="1"/>
  <c r="P10" i="36" s="1"/>
  <c r="H10" i="133" s="1"/>
  <c r="AS24" i="21"/>
  <c r="AN10" i="21"/>
  <c r="AS10" i="21" s="1"/>
  <c r="AP23" i="82"/>
  <c r="P8" i="36"/>
  <c r="AO25" i="82"/>
  <c r="W11" i="21"/>
  <c r="AY18" i="21"/>
  <c r="AY9" i="21" s="1"/>
  <c r="AQ13" i="21"/>
  <c r="AR13" i="21" s="1"/>
  <c r="AS13" i="21" s="1"/>
  <c r="Q11" i="129"/>
  <c r="V11" i="21"/>
  <c r="H14" i="133"/>
  <c r="I14" i="133" s="1"/>
  <c r="I13" i="133" s="1"/>
  <c r="J13" i="133" s="1"/>
  <c r="P14" i="36"/>
  <c r="K44" i="21"/>
  <c r="AP199" i="83"/>
  <c r="Q36" i="36" s="1"/>
  <c r="H36" i="35" s="1"/>
  <c r="I36" i="35" s="1"/>
  <c r="J36" i="35" s="1"/>
  <c r="T46" i="127"/>
  <c r="AP93" i="82"/>
  <c r="AQ90" i="82"/>
  <c r="AP109" i="82"/>
  <c r="AQ106" i="82"/>
  <c r="AR86" i="82"/>
  <c r="AQ89" i="82"/>
  <c r="R14" i="69" s="1"/>
  <c r="AQ16" i="21"/>
  <c r="AR16" i="21" s="1"/>
  <c r="AR15" i="21" s="1"/>
  <c r="AS15" i="21" s="1"/>
  <c r="AQ16" i="82"/>
  <c r="AR15" i="82"/>
  <c r="S46" i="127"/>
  <c r="I30" i="35"/>
  <c r="J41" i="21"/>
  <c r="R46" i="127"/>
  <c r="AQ197" i="83"/>
  <c r="R35" i="129" s="1"/>
  <c r="AR195" i="83"/>
  <c r="AR198" i="83"/>
  <c r="S35" i="131" s="1"/>
  <c r="AQ196" i="83"/>
  <c r="R35" i="128" s="1"/>
  <c r="AR107" i="83"/>
  <c r="AQ106" i="83"/>
  <c r="R27" i="131" s="1"/>
  <c r="AR104" i="83"/>
  <c r="AC9" i="21"/>
  <c r="G10" i="21"/>
  <c r="AP22" i="82"/>
  <c r="AQ21" i="82"/>
  <c r="Q12" i="128"/>
  <c r="AF14" i="21" s="1"/>
  <c r="AG14" i="21" s="1"/>
  <c r="AH14" i="21" s="1"/>
  <c r="AQ76" i="82"/>
  <c r="R12" i="128" s="1"/>
  <c r="AP44" i="82"/>
  <c r="Q10" i="131" s="1"/>
  <c r="BB12" i="21" s="1"/>
  <c r="BC12" i="21" s="1"/>
  <c r="AQ42" i="82"/>
  <c r="AQ44" i="82" s="1"/>
  <c r="R10" i="131" s="1"/>
  <c r="AP69" i="82"/>
  <c r="Q11" i="36" s="1"/>
  <c r="AQ67" i="82"/>
  <c r="AQ12" i="21"/>
  <c r="AR12" i="21" s="1"/>
  <c r="AS12" i="21" s="1"/>
  <c r="AP54" i="82"/>
  <c r="Q11" i="69" s="1"/>
  <c r="AQ52" i="82"/>
  <c r="AQ54" i="82" s="1"/>
  <c r="R11" i="69" s="1"/>
  <c r="K13" i="21"/>
  <c r="AP24" i="82"/>
  <c r="AQ38" i="82"/>
  <c r="R10" i="128" s="1"/>
  <c r="AP60" i="82"/>
  <c r="Q11" i="128" s="1"/>
  <c r="AF13" i="21" s="1"/>
  <c r="AG13" i="21" s="1"/>
  <c r="AH13" i="21" s="1"/>
  <c r="AQ58" i="82"/>
  <c r="AQ60" i="82" s="1"/>
  <c r="R11" i="128" s="1"/>
  <c r="AQ77" i="82"/>
  <c r="R12" i="129" s="1"/>
  <c r="AQ14" i="21"/>
  <c r="AR14" i="21" s="1"/>
  <c r="AS14" i="21" s="1"/>
  <c r="AP38" i="82"/>
  <c r="Q10" i="128" s="1"/>
  <c r="AF12" i="21" s="1"/>
  <c r="AG12" i="21" s="1"/>
  <c r="AH12" i="21" s="1"/>
  <c r="AP45" i="82"/>
  <c r="AP47" i="82" s="1"/>
  <c r="Q10" i="36" s="1"/>
  <c r="Q46" i="127"/>
  <c r="AP217" i="83"/>
  <c r="Q39" i="36" s="1"/>
  <c r="I39" i="35" l="1"/>
  <c r="J39" i="35" s="1"/>
  <c r="J44" i="121"/>
  <c r="AP25" i="82"/>
  <c r="H10" i="35"/>
  <c r="AN9" i="21"/>
  <c r="H8" i="35"/>
  <c r="H8" i="133"/>
  <c r="AQ23" i="82"/>
  <c r="Q8" i="36"/>
  <c r="BC11" i="21"/>
  <c r="BD12" i="21"/>
  <c r="BD11" i="21" s="1"/>
  <c r="AS11" i="21"/>
  <c r="AS9" i="21" s="1"/>
  <c r="AH11" i="21"/>
  <c r="L13" i="21"/>
  <c r="L11" i="21" s="1"/>
  <c r="K11" i="21"/>
  <c r="U18" i="21"/>
  <c r="V18" i="21" s="1"/>
  <c r="Q14" i="127"/>
  <c r="AC24" i="21"/>
  <c r="AH24" i="21" s="1"/>
  <c r="S27" i="128"/>
  <c r="AS195" i="83"/>
  <c r="T35" i="127" s="1"/>
  <c r="S35" i="127"/>
  <c r="AR11" i="21"/>
  <c r="AG11" i="21"/>
  <c r="R9" i="21"/>
  <c r="K43" i="21"/>
  <c r="L43" i="21" s="1"/>
  <c r="J18" i="35"/>
  <c r="S26" i="36"/>
  <c r="H16" i="35"/>
  <c r="I16" i="35" s="1"/>
  <c r="Q14" i="36"/>
  <c r="R47" i="21"/>
  <c r="AQ199" i="83"/>
  <c r="R36" i="36" s="1"/>
  <c r="J30" i="35"/>
  <c r="K41" i="21"/>
  <c r="K40" i="21" s="1"/>
  <c r="L40" i="21" s="1"/>
  <c r="BB44" i="21"/>
  <c r="BC44" i="21" s="1"/>
  <c r="BC43" i="21" s="1"/>
  <c r="BD43" i="21" s="1"/>
  <c r="AS198" i="83"/>
  <c r="T35" i="131" s="1"/>
  <c r="AR90" i="82"/>
  <c r="AQ93" i="82"/>
  <c r="R14" i="127" s="1"/>
  <c r="AQ109" i="82"/>
  <c r="R14" i="36" s="1"/>
  <c r="AR106" i="82"/>
  <c r="AS86" i="82"/>
  <c r="AS89" i="82" s="1"/>
  <c r="T14" i="69" s="1"/>
  <c r="AR89" i="82"/>
  <c r="S14" i="69" s="1"/>
  <c r="AF16" i="21"/>
  <c r="AG16" i="21" s="1"/>
  <c r="AG15" i="21" s="1"/>
  <c r="AH15" i="21" s="1"/>
  <c r="AQ69" i="82"/>
  <c r="R11" i="36" s="1"/>
  <c r="AR67" i="82"/>
  <c r="AR16" i="82"/>
  <c r="AS15" i="82"/>
  <c r="AR24" i="82"/>
  <c r="AR25" i="82" s="1"/>
  <c r="AR106" i="83"/>
  <c r="U44" i="21"/>
  <c r="V44" i="21" s="1"/>
  <c r="V43" i="21" s="1"/>
  <c r="W43" i="21" s="1"/>
  <c r="AR197" i="83"/>
  <c r="S35" i="129" s="1"/>
  <c r="AR196" i="83"/>
  <c r="S35" i="128" s="1"/>
  <c r="AQ217" i="83"/>
  <c r="R39" i="36" s="1"/>
  <c r="L10" i="21"/>
  <c r="G9" i="21"/>
  <c r="G57" i="21" s="1"/>
  <c r="AQ45" i="82"/>
  <c r="AQ47" i="82" s="1"/>
  <c r="R10" i="36" s="1"/>
  <c r="AQ22" i="82"/>
  <c r="AQ24" i="82"/>
  <c r="AQ25" i="82" s="1"/>
  <c r="AQ37" i="21"/>
  <c r="AR37" i="21" s="1"/>
  <c r="I10" i="35" l="1"/>
  <c r="R8" i="36"/>
  <c r="AR23" i="82"/>
  <c r="I8" i="133"/>
  <c r="E8" i="133"/>
  <c r="E7" i="133" s="1"/>
  <c r="E50" i="133" s="1"/>
  <c r="AS37" i="21"/>
  <c r="AS35" i="21" s="1"/>
  <c r="AR35" i="21"/>
  <c r="AH9" i="21"/>
  <c r="AY24" i="21"/>
  <c r="BD24" i="21" s="1"/>
  <c r="S27" i="131"/>
  <c r="AF44" i="21"/>
  <c r="AG44" i="21" s="1"/>
  <c r="AG43" i="21" s="1"/>
  <c r="AH43" i="21" s="1"/>
  <c r="AS196" i="83"/>
  <c r="T35" i="128" s="1"/>
  <c r="AQ44" i="21"/>
  <c r="AR44" i="21" s="1"/>
  <c r="AR43" i="21" s="1"/>
  <c r="AS43" i="21" s="1"/>
  <c r="AS197" i="83"/>
  <c r="T35" i="129" s="1"/>
  <c r="AS90" i="82"/>
  <c r="AS93" i="82" s="1"/>
  <c r="T14" i="127" s="1"/>
  <c r="AR93" i="82"/>
  <c r="S14" i="127" s="1"/>
  <c r="AR109" i="82"/>
  <c r="S14" i="36" s="1"/>
  <c r="AS106" i="82"/>
  <c r="AS109" i="82" s="1"/>
  <c r="T14" i="36" s="1"/>
  <c r="U16" i="21"/>
  <c r="AS67" i="82"/>
  <c r="AS69" i="82" s="1"/>
  <c r="T11" i="36" s="1"/>
  <c r="H11" i="35" s="1"/>
  <c r="AR69" i="82"/>
  <c r="S11" i="36" s="1"/>
  <c r="AS16" i="82"/>
  <c r="AS24" i="82"/>
  <c r="AS25" i="82" s="1"/>
  <c r="K37" i="21"/>
  <c r="AR217" i="83"/>
  <c r="AR199" i="83"/>
  <c r="AF37" i="21"/>
  <c r="AG37" i="21" s="1"/>
  <c r="U37" i="21"/>
  <c r="V37" i="21" s="1"/>
  <c r="I11" i="35" l="1"/>
  <c r="I9" i="35" s="1"/>
  <c r="J9" i="35" s="1"/>
  <c r="AS23" i="82"/>
  <c r="T8" i="36" s="1"/>
  <c r="S8" i="36"/>
  <c r="J8" i="133"/>
  <c r="J7" i="133" s="1"/>
  <c r="J50" i="133" s="1"/>
  <c r="J51" i="133" s="1"/>
  <c r="V35" i="21"/>
  <c r="W37" i="21"/>
  <c r="W35" i="21" s="1"/>
  <c r="AG35" i="21"/>
  <c r="AH37" i="21"/>
  <c r="AH35" i="21" s="1"/>
  <c r="K35" i="21"/>
  <c r="L37" i="21"/>
  <c r="L35" i="21" s="1"/>
  <c r="V16" i="21"/>
  <c r="V15" i="21" s="1"/>
  <c r="W15" i="21" s="1"/>
  <c r="W9" i="21" s="1"/>
  <c r="H41" i="35"/>
  <c r="I41" i="35" s="1"/>
  <c r="S36" i="36"/>
  <c r="S39" i="36"/>
  <c r="AC47" i="21"/>
  <c r="AS217" i="83"/>
  <c r="T39" i="36" s="1"/>
  <c r="AS199" i="83"/>
  <c r="T36" i="36" s="1"/>
  <c r="BB17" i="21"/>
  <c r="BC17" i="21" s="1"/>
  <c r="BC15" i="21" s="1"/>
  <c r="BD15" i="21" s="1"/>
  <c r="BD9" i="21" s="1"/>
  <c r="H15" i="35"/>
  <c r="I15" i="35" s="1"/>
  <c r="E8" i="35"/>
  <c r="E7" i="35" s="1"/>
  <c r="E69" i="35" s="1"/>
  <c r="I8" i="35"/>
  <c r="L15" i="21"/>
  <c r="L9" i="21" s="1"/>
  <c r="H14" i="35"/>
  <c r="I14" i="35" l="1"/>
  <c r="I13" i="35" s="1"/>
  <c r="J13" i="35" s="1"/>
  <c r="J41" i="35"/>
  <c r="J35" i="35" s="1"/>
  <c r="I35" i="35"/>
  <c r="J8" i="35"/>
  <c r="AF35" i="119"/>
  <c r="Z35" i="119"/>
  <c r="T35" i="119"/>
  <c r="N35" i="119"/>
  <c r="H35" i="119"/>
  <c r="AF32" i="119"/>
  <c r="Z32" i="119"/>
  <c r="T32" i="119"/>
  <c r="N32" i="119"/>
  <c r="H32" i="119"/>
  <c r="AF24" i="119"/>
  <c r="H24" i="119"/>
  <c r="Z20" i="119"/>
  <c r="T20" i="119"/>
  <c r="N20" i="119"/>
  <c r="H20" i="119"/>
  <c r="Z18" i="119"/>
  <c r="T18" i="119"/>
  <c r="N18" i="119"/>
  <c r="H18" i="119"/>
  <c r="AF16" i="119"/>
  <c r="AD16" i="119" s="1"/>
  <c r="AD11" i="119" s="1"/>
  <c r="AE16" i="119"/>
  <c r="Y16" i="119"/>
  <c r="S16" i="119"/>
  <c r="M16" i="119"/>
  <c r="G16" i="119"/>
  <c r="AE8" i="119"/>
  <c r="Y8" i="119"/>
  <c r="S8" i="119"/>
  <c r="M8" i="119"/>
  <c r="G8" i="119"/>
  <c r="J7" i="35" l="1"/>
  <c r="AG16" i="119"/>
  <c r="AH16" i="119" s="1"/>
  <c r="AH11" i="119" s="1"/>
  <c r="X18" i="119"/>
  <c r="AA18" i="119"/>
  <c r="X20" i="119"/>
  <c r="AA20" i="119"/>
  <c r="F20" i="119"/>
  <c r="I20" i="119"/>
  <c r="F32" i="119"/>
  <c r="I32" i="119"/>
  <c r="F35" i="119"/>
  <c r="I35" i="119"/>
  <c r="R32" i="119"/>
  <c r="U32" i="119"/>
  <c r="R35" i="119"/>
  <c r="U35" i="119"/>
  <c r="F18" i="119"/>
  <c r="I18" i="119"/>
  <c r="F24" i="119"/>
  <c r="I24" i="119"/>
  <c r="X32" i="119"/>
  <c r="AA32" i="119"/>
  <c r="X35" i="119"/>
  <c r="AA35" i="119"/>
  <c r="L18" i="119"/>
  <c r="O18" i="119"/>
  <c r="L20" i="119"/>
  <c r="O20" i="119"/>
  <c r="AD24" i="119"/>
  <c r="AG24" i="119"/>
  <c r="AD32" i="119"/>
  <c r="AG32" i="119"/>
  <c r="AD35" i="119"/>
  <c r="AG35" i="119"/>
  <c r="R18" i="119"/>
  <c r="U18" i="119"/>
  <c r="R20" i="119"/>
  <c r="U20" i="119"/>
  <c r="L32" i="119"/>
  <c r="O32" i="119"/>
  <c r="L35" i="119"/>
  <c r="O35" i="119"/>
  <c r="H8" i="119"/>
  <c r="F8" i="119" s="1"/>
  <c r="AF10" i="119"/>
  <c r="H16" i="119"/>
  <c r="F16" i="119" s="1"/>
  <c r="G36" i="119"/>
  <c r="I36" i="119" s="1"/>
  <c r="J36" i="119" s="1"/>
  <c r="C11" i="71"/>
  <c r="C9" i="71"/>
  <c r="C13" i="71"/>
  <c r="E13" i="71" s="1"/>
  <c r="F13" i="71" s="1"/>
  <c r="G13" i="71" s="1"/>
  <c r="C15" i="71"/>
  <c r="C27" i="71"/>
  <c r="C22" i="71"/>
  <c r="D21" i="71"/>
  <c r="D26" i="71"/>
  <c r="C26" i="71"/>
  <c r="D22" i="71"/>
  <c r="C25" i="71"/>
  <c r="C18" i="71"/>
  <c r="C21" i="71"/>
  <c r="C5" i="71"/>
  <c r="C20" i="71"/>
  <c r="D27" i="71"/>
  <c r="D25" i="71"/>
  <c r="C17" i="71"/>
  <c r="J32" i="119" l="1"/>
  <c r="P32" i="119"/>
  <c r="V32" i="119"/>
  <c r="AB32" i="119"/>
  <c r="AH32" i="119"/>
  <c r="J20" i="119"/>
  <c r="J35" i="119"/>
  <c r="AH35" i="119"/>
  <c r="P35" i="119"/>
  <c r="AH24" i="119"/>
  <c r="J18" i="119"/>
  <c r="AB20" i="119"/>
  <c r="P20" i="119"/>
  <c r="V35" i="119"/>
  <c r="AB18" i="119"/>
  <c r="V20" i="119"/>
  <c r="P18" i="119"/>
  <c r="J24" i="119"/>
  <c r="I16" i="119"/>
  <c r="J16" i="119" s="1"/>
  <c r="V18" i="119"/>
  <c r="AB35" i="119"/>
  <c r="D23" i="71"/>
  <c r="D42" i="71"/>
  <c r="D15" i="71"/>
  <c r="E15" i="71" s="1"/>
  <c r="F15" i="71" s="1"/>
  <c r="G15" i="71" s="1"/>
  <c r="E26" i="71"/>
  <c r="F26" i="71" s="1"/>
  <c r="G26" i="71" s="1"/>
  <c r="C40" i="71"/>
  <c r="C16" i="71"/>
  <c r="D40" i="71"/>
  <c r="D16" i="71"/>
  <c r="C23" i="71"/>
  <c r="C42" i="71"/>
  <c r="E22" i="71"/>
  <c r="F22" i="71" s="1"/>
  <c r="G22" i="71" s="1"/>
  <c r="C39" i="71"/>
  <c r="C10" i="71"/>
  <c r="AD10" i="119"/>
  <c r="AG10" i="119"/>
  <c r="D39" i="71"/>
  <c r="D10" i="71"/>
  <c r="E27" i="71"/>
  <c r="F27" i="71" s="1"/>
  <c r="G27" i="71" s="1"/>
  <c r="E21" i="71"/>
  <c r="F21" i="71" s="1"/>
  <c r="G21" i="71" s="1"/>
  <c r="I8" i="119"/>
  <c r="J8" i="119" s="1"/>
  <c r="N8" i="119"/>
  <c r="H10" i="119"/>
  <c r="D13" i="68"/>
  <c r="N24" i="119"/>
  <c r="F15" i="68"/>
  <c r="E15" i="68"/>
  <c r="H21" i="68"/>
  <c r="H14" i="68"/>
  <c r="G21" i="68"/>
  <c r="G13" i="68"/>
  <c r="F12" i="68"/>
  <c r="E25" i="68"/>
  <c r="E18" i="68"/>
  <c r="E21" i="68"/>
  <c r="D12" i="68"/>
  <c r="G25" i="68"/>
  <c r="D21" i="68"/>
  <c r="N16" i="119"/>
  <c r="F14" i="68"/>
  <c r="H13" i="119"/>
  <c r="H18" i="68"/>
  <c r="H12" i="68"/>
  <c r="D25" i="68"/>
  <c r="H25" i="68"/>
  <c r="G18" i="68"/>
  <c r="F21" i="68"/>
  <c r="G14" i="68"/>
  <c r="F18" i="68"/>
  <c r="E14" i="68"/>
  <c r="D14" i="68"/>
  <c r="D18" i="68"/>
  <c r="F25" i="68"/>
  <c r="AH10" i="119" l="1"/>
  <c r="E10" i="71"/>
  <c r="F10" i="71" s="1"/>
  <c r="G10" i="71" s="1"/>
  <c r="E39" i="71"/>
  <c r="F39" i="71" s="1"/>
  <c r="G39" i="71" s="1"/>
  <c r="L16" i="119"/>
  <c r="O16" i="119"/>
  <c r="L24" i="119"/>
  <c r="O24" i="119"/>
  <c r="F13" i="119"/>
  <c r="I13" i="119"/>
  <c r="Z13" i="119"/>
  <c r="E16" i="71"/>
  <c r="F16" i="71" s="1"/>
  <c r="G16" i="71" s="1"/>
  <c r="E40" i="71"/>
  <c r="F40" i="71" s="1"/>
  <c r="G40" i="71" s="1"/>
  <c r="D19" i="68"/>
  <c r="G19" i="68"/>
  <c r="F10" i="119"/>
  <c r="F7" i="119" s="1"/>
  <c r="I10" i="119"/>
  <c r="F19" i="68"/>
  <c r="H19" i="68"/>
  <c r="E42" i="71"/>
  <c r="F42" i="71" s="1"/>
  <c r="G42" i="71" s="1"/>
  <c r="E19" i="68"/>
  <c r="L8" i="119"/>
  <c r="O8" i="119"/>
  <c r="D9" i="71"/>
  <c r="E9" i="71" s="1"/>
  <c r="F9" i="71" s="1"/>
  <c r="G9" i="71" s="1"/>
  <c r="E23" i="71"/>
  <c r="F23" i="71" s="1"/>
  <c r="G23" i="71" s="1"/>
  <c r="N10" i="119"/>
  <c r="E13" i="68"/>
  <c r="F13" i="68"/>
  <c r="G23" i="68"/>
  <c r="E12" i="68"/>
  <c r="T13" i="119"/>
  <c r="N13" i="119"/>
  <c r="T16" i="119"/>
  <c r="Z16" i="119"/>
  <c r="H14" i="119"/>
  <c r="D15" i="68"/>
  <c r="F23" i="68"/>
  <c r="F7" i="68"/>
  <c r="P8" i="119" l="1"/>
  <c r="P24" i="119"/>
  <c r="P16" i="119"/>
  <c r="J13" i="119"/>
  <c r="L13" i="119"/>
  <c r="O13" i="119"/>
  <c r="J10" i="119"/>
  <c r="J7" i="119" s="1"/>
  <c r="R13" i="119"/>
  <c r="U13" i="119"/>
  <c r="X16" i="119"/>
  <c r="AA16" i="119"/>
  <c r="X13" i="119"/>
  <c r="AA13" i="119"/>
  <c r="F14" i="119"/>
  <c r="F11" i="119" s="1"/>
  <c r="F42" i="119" s="1"/>
  <c r="I14" i="119"/>
  <c r="R16" i="119"/>
  <c r="U16" i="119"/>
  <c r="H16" i="68"/>
  <c r="E23" i="68"/>
  <c r="G7" i="68"/>
  <c r="F16" i="68"/>
  <c r="D16" i="68"/>
  <c r="L10" i="119"/>
  <c r="L7" i="119" s="1"/>
  <c r="O10" i="119"/>
  <c r="D23" i="68"/>
  <c r="G16" i="68"/>
  <c r="E16" i="68"/>
  <c r="H23" i="68"/>
  <c r="H7" i="68"/>
  <c r="E7" i="68"/>
  <c r="T8" i="119"/>
  <c r="D11" i="71"/>
  <c r="E11" i="71" s="1"/>
  <c r="F11" i="71" s="1"/>
  <c r="G11" i="71" s="1"/>
  <c r="Z24" i="119"/>
  <c r="N14" i="119"/>
  <c r="T24" i="119"/>
  <c r="H13" i="68"/>
  <c r="H15" i="68"/>
  <c r="P10" i="119" l="1"/>
  <c r="P7" i="119" s="1"/>
  <c r="V13" i="119"/>
  <c r="J14" i="119"/>
  <c r="J11" i="119" s="1"/>
  <c r="J42" i="119" s="1"/>
  <c r="J43" i="119" s="1"/>
  <c r="C8" i="115" s="1"/>
  <c r="AB16" i="119"/>
  <c r="AB13" i="119"/>
  <c r="P13" i="119"/>
  <c r="V16" i="119"/>
  <c r="R24" i="119"/>
  <c r="U24" i="119"/>
  <c r="L14" i="119"/>
  <c r="L11" i="119" s="1"/>
  <c r="L42" i="119" s="1"/>
  <c r="O14" i="119"/>
  <c r="X24" i="119"/>
  <c r="AA24" i="119"/>
  <c r="Z14" i="119"/>
  <c r="D17" i="71"/>
  <c r="E17" i="71" s="1"/>
  <c r="F17" i="71" s="1"/>
  <c r="G17" i="71" s="1"/>
  <c r="Z8" i="119"/>
  <c r="R8" i="119"/>
  <c r="U8" i="119"/>
  <c r="G6" i="68"/>
  <c r="F6" i="68"/>
  <c r="G15" i="68"/>
  <c r="H6" i="68"/>
  <c r="AF8" i="119"/>
  <c r="T10" i="119"/>
  <c r="D7" i="68"/>
  <c r="Z10" i="119"/>
  <c r="D18" i="71"/>
  <c r="E18" i="71" s="1"/>
  <c r="F18" i="71" s="1"/>
  <c r="G18" i="71" s="1"/>
  <c r="T14" i="119"/>
  <c r="V24" i="119" l="1"/>
  <c r="P14" i="119"/>
  <c r="P11" i="119" s="1"/>
  <c r="P42" i="119" s="1"/>
  <c r="P43" i="119" s="1"/>
  <c r="D8" i="115" s="1"/>
  <c r="V8" i="119"/>
  <c r="R14" i="119"/>
  <c r="U14" i="119"/>
  <c r="X14" i="119"/>
  <c r="X11" i="119" s="1"/>
  <c r="AA14" i="119"/>
  <c r="AB24" i="119"/>
  <c r="X10" i="119"/>
  <c r="AA10" i="119"/>
  <c r="E6" i="68"/>
  <c r="X8" i="119"/>
  <c r="AA8" i="119"/>
  <c r="R10" i="119"/>
  <c r="R7" i="119" s="1"/>
  <c r="U10" i="119"/>
  <c r="AD8" i="119"/>
  <c r="AD7" i="119" s="1"/>
  <c r="AD42" i="119" s="1"/>
  <c r="AG8" i="119"/>
  <c r="D5" i="71"/>
  <c r="E5" i="71" s="1"/>
  <c r="F5" i="71" s="1"/>
  <c r="G5" i="71" s="1"/>
  <c r="D6" i="68"/>
  <c r="AB14" i="119" l="1"/>
  <c r="AB11" i="119" s="1"/>
  <c r="AB10" i="119"/>
  <c r="V10" i="119"/>
  <c r="V7" i="119" s="1"/>
  <c r="AB8" i="119"/>
  <c r="V14" i="119"/>
  <c r="V11" i="119" s="1"/>
  <c r="R11" i="119"/>
  <c r="R42" i="119" s="1"/>
  <c r="X7" i="119"/>
  <c r="X42" i="119" s="1"/>
  <c r="AH8" i="119"/>
  <c r="AH7" i="119" s="1"/>
  <c r="AH42" i="119" s="1"/>
  <c r="AH43" i="119" s="1"/>
  <c r="AB7" i="119" l="1"/>
  <c r="AB42" i="119" s="1"/>
  <c r="AB43" i="119" s="1"/>
  <c r="F8" i="115" s="1"/>
  <c r="V42" i="119"/>
  <c r="V43" i="119" s="1"/>
  <c r="E8" i="115" s="1"/>
  <c r="N28" i="119"/>
  <c r="T28" i="119"/>
  <c r="U28" i="119" s="1"/>
  <c r="Z28" i="119"/>
  <c r="X28" i="119" s="1"/>
  <c r="H28" i="119" l="1"/>
  <c r="F28" i="119" s="1"/>
  <c r="H50" i="35"/>
  <c r="I50" i="35" s="1"/>
  <c r="L28" i="119"/>
  <c r="O28" i="119"/>
  <c r="R28" i="119"/>
  <c r="V28" i="119" s="1"/>
  <c r="AA28" i="119"/>
  <c r="AB28" i="119" s="1"/>
  <c r="BB48" i="21" l="1"/>
  <c r="BC48" i="21" s="1"/>
  <c r="BC47" i="21" s="1"/>
  <c r="BD47" i="21" s="1"/>
  <c r="BD19" i="21" s="1"/>
  <c r="I28" i="119"/>
  <c r="J28" i="119" s="1"/>
  <c r="D20" i="71"/>
  <c r="E20" i="71" s="1"/>
  <c r="F20" i="71" s="1"/>
  <c r="G20" i="71" s="1"/>
  <c r="P28" i="119"/>
  <c r="I49" i="35" l="1"/>
  <c r="J49" i="35" s="1"/>
  <c r="J17" i="35" s="1"/>
  <c r="H22" i="68"/>
  <c r="AY19" i="21"/>
  <c r="AY57" i="21" s="1"/>
  <c r="J69" i="35" l="1"/>
  <c r="J70" i="35" s="1"/>
  <c r="D10" i="24" s="1"/>
  <c r="BD57" i="21"/>
  <c r="BD58" i="21" s="1"/>
  <c r="H36" i="68" s="1"/>
  <c r="AQ48" i="21"/>
  <c r="AR48" i="21" l="1"/>
  <c r="AR47" i="21" s="1"/>
  <c r="AS47" i="21" s="1"/>
  <c r="AS19" i="21" s="1"/>
  <c r="I9" i="24"/>
  <c r="AN19" i="21"/>
  <c r="AN57" i="21" s="1"/>
  <c r="AF48" i="21"/>
  <c r="AG48" i="21" s="1"/>
  <c r="AG47" i="21" s="1"/>
  <c r="AH47" i="21" s="1"/>
  <c r="AH19" i="21" s="1"/>
  <c r="G22" i="68" l="1"/>
  <c r="AS57" i="21"/>
  <c r="AS58" i="21" s="1"/>
  <c r="I8" i="24" s="1"/>
  <c r="AC19" i="21"/>
  <c r="AC57" i="21" s="1"/>
  <c r="G36" i="68" l="1"/>
  <c r="AH57" i="21"/>
  <c r="AH58" i="21" s="1"/>
  <c r="F22" i="68"/>
  <c r="U48" i="21" l="1"/>
  <c r="V48" i="21" s="1"/>
  <c r="V47" i="21" s="1"/>
  <c r="W47" i="21" s="1"/>
  <c r="W19" i="21" s="1"/>
  <c r="F36" i="68"/>
  <c r="I7" i="24"/>
  <c r="E22" i="68" l="1"/>
  <c r="R19" i="21"/>
  <c r="R57" i="21" s="1"/>
  <c r="W57" i="21" l="1"/>
  <c r="W58" i="21" s="1"/>
  <c r="J48" i="21"/>
  <c r="K48" i="21" s="1"/>
  <c r="I6" i="24" l="1"/>
  <c r="K47" i="21"/>
  <c r="L47" i="21" s="1"/>
  <c r="L19" i="21" s="1"/>
  <c r="L57" i="21" l="1"/>
  <c r="L58" i="21" s="1"/>
  <c r="D22" i="68"/>
  <c r="I5" i="24" l="1"/>
  <c r="D36" i="68"/>
  <c r="G5" i="24" l="1"/>
  <c r="G9" i="24"/>
  <c r="G8" i="24"/>
  <c r="G7" i="24"/>
  <c r="G6" i="24"/>
  <c r="C7" i="24" l="1"/>
  <c r="C9" i="24"/>
  <c r="C8" i="24"/>
  <c r="D8" i="24"/>
  <c r="D9" i="24"/>
  <c r="C6" i="24"/>
  <c r="D5" i="24"/>
  <c r="C5" i="24"/>
  <c r="D7" i="24"/>
  <c r="D6" i="24"/>
  <c r="E36" i="6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Ivan Falahul</author>
  </authors>
  <commentList>
    <comment ref="A3" authorId="0" shapeId="0" xr:uid="{7827DFB2-4A51-4119-9892-0C17430912E8}">
      <text>
        <r>
          <rPr>
            <b/>
            <sz val="9"/>
            <color indexed="81"/>
            <rFont val="Tahoma"/>
            <family val="2"/>
          </rPr>
          <t>Ivan Falahul:</t>
        </r>
        <r>
          <rPr>
            <sz val="9"/>
            <color indexed="81"/>
            <rFont val="Tahoma"/>
            <family val="2"/>
          </rPr>
          <t xml:space="preserve">
Filter untuk indikator langsung</t>
        </r>
      </text>
    </comment>
    <comment ref="A52" authorId="0" shapeId="0" xr:uid="{B60F46FA-836E-45C5-B330-26998FA1B60F}">
      <text>
        <r>
          <rPr>
            <b/>
            <sz val="9"/>
            <color indexed="81"/>
            <rFont val="Tahoma"/>
            <family val="2"/>
          </rPr>
          <t>Ivan Falahul:</t>
        </r>
        <r>
          <rPr>
            <sz val="9"/>
            <color indexed="81"/>
            <rFont val="Tahoma"/>
            <family val="2"/>
          </rPr>
          <t xml:space="preserve">
Filter untuk indikator langsung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<sst xmlns="http://schemas.openxmlformats.org/spreadsheetml/2006/main" count="4459" uniqueCount="474">
  <si>
    <t>RANK</t>
  </si>
  <si>
    <t xml:space="preserve">UNIT </t>
  </si>
  <si>
    <t>ULP TOLITOLI</t>
  </si>
  <si>
    <t>ULP LEOK</t>
  </si>
  <si>
    <t>ULP BANGKIR</t>
  </si>
  <si>
    <t>ULP MOUTONG</t>
  </si>
  <si>
    <t>ULP KOTARAYA</t>
  </si>
  <si>
    <t>UP3 TOLITOLI</t>
  </si>
  <si>
    <t>NO</t>
  </si>
  <si>
    <t>KPI</t>
  </si>
  <si>
    <t>ULP
TOLITOLI</t>
  </si>
  <si>
    <t>ULP
LEOK</t>
  </si>
  <si>
    <t>ULP
BANGKIR</t>
  </si>
  <si>
    <t>ULP
MOUTONG</t>
  </si>
  <si>
    <t>ULP
KOTARAYA</t>
  </si>
  <si>
    <t>Key Performance Indicators</t>
  </si>
  <si>
    <t>Penjualan dan Pendapatan Tenaga Listrik</t>
  </si>
  <si>
    <t>a. Penjualan Tenaga listrik</t>
  </si>
  <si>
    <t xml:space="preserve">b. Pendapatan Penjualan Tenaga Listrik </t>
  </si>
  <si>
    <t xml:space="preserve">Pengendalian Piutang Rata-Rata Tunggakan </t>
  </si>
  <si>
    <t>Susut Jaringan (Tanpa E-Min)</t>
  </si>
  <si>
    <t>Performance Indikator</t>
  </si>
  <si>
    <t>Peningkatan Pelayanan</t>
  </si>
  <si>
    <t>a. Response Time Atas Keluhan</t>
  </si>
  <si>
    <t>b. Recovery Time Atas Keluhan</t>
  </si>
  <si>
    <t>c. Response Time Atas Gangguan</t>
  </si>
  <si>
    <t>d. Recovery Time Atas Gangguan</t>
  </si>
  <si>
    <t>Jumlah Pengguna Aktif Aplikasi "PLN Mobile"</t>
  </si>
  <si>
    <t>Peningkatan Keandalan Jaringan</t>
  </si>
  <si>
    <t>a. SAIDI sesuai kewenangannya</t>
  </si>
  <si>
    <t>b. SAIFI sesuai kewenangannya</t>
  </si>
  <si>
    <t>Percepatan Penyambungan Pelanggan</t>
  </si>
  <si>
    <t>- PB/PD Paskem TR Tanpa Perluasan Jaringan</t>
  </si>
  <si>
    <t>Organization Capital Readiness (OCR)</t>
  </si>
  <si>
    <t>Maturity Level Kepatuhan</t>
  </si>
  <si>
    <t>Pengelolaan Revenue Assurence</t>
  </si>
  <si>
    <t>a. Update Data Pelanggan</t>
  </si>
  <si>
    <t>b. Migrasi VKRN 41 dan VKRN 42</t>
  </si>
  <si>
    <t>Migrasi LPB</t>
  </si>
  <si>
    <t>Eksekusi Program Peningkatan Keandalan dan Efisiensi Distribusi (NNC)</t>
  </si>
  <si>
    <t>a. Eksekusi Program Keandalan Distribusi</t>
  </si>
  <si>
    <t>b. Eksekusi P2TL</t>
  </si>
  <si>
    <t>Kepatuhan</t>
  </si>
  <si>
    <t>a. Keselamatan Ketenagalistrikan</t>
  </si>
  <si>
    <t>b. Pengelolaan Lingkungan Hidup</t>
  </si>
  <si>
    <t>c. Ketepatan Penyampaian Laporan  dan Akurasi Data Kinerja</t>
  </si>
  <si>
    <t>d.Pemenuhan TMP</t>
  </si>
  <si>
    <t>TOTAL PENILAIAN</t>
  </si>
  <si>
    <t>Target</t>
  </si>
  <si>
    <t>Real</t>
  </si>
  <si>
    <t>Pertumbuhan Penjualan Tenaga Listrik</t>
  </si>
  <si>
    <t>Delta Daya Tersambung</t>
  </si>
  <si>
    <t>kWh Jual Multiguna Non Backfeeding</t>
  </si>
  <si>
    <t>Pertumbuhan Penjualan Layanan Khusus</t>
  </si>
  <si>
    <t>Penambahan Pelanggan Premium</t>
  </si>
  <si>
    <t>SAIDI sesuai kewenangannya</t>
  </si>
  <si>
    <t>SAIFI sesuai kewenangannya</t>
  </si>
  <si>
    <t>Energy Not Served</t>
  </si>
  <si>
    <t>Implementasi PLN Mobile</t>
  </si>
  <si>
    <t>Jumlah Komplain Pelanggan</t>
  </si>
  <si>
    <t>Aging Complaint</t>
  </si>
  <si>
    <t xml:space="preserve">Rata-Rata Rasio Tunggakan </t>
  </si>
  <si>
    <t>Jumlah ULP NIHIL</t>
  </si>
  <si>
    <t>Migrasi LPB pelanggan menunggak berulang</t>
  </si>
  <si>
    <t>BPP - Opex Non Fuel</t>
  </si>
  <si>
    <t>CF Pembangkit Non BBM</t>
  </si>
  <si>
    <t>SFC PLTD PLN</t>
  </si>
  <si>
    <t>SAIDI</t>
  </si>
  <si>
    <t>Rasio Tunggakan</t>
  </si>
  <si>
    <t>Multiguna</t>
  </si>
  <si>
    <t>RE 99 %</t>
  </si>
  <si>
    <t>Komplain Pelanggan</t>
  </si>
  <si>
    <t>Unit</t>
  </si>
  <si>
    <t>Nilai Kinerja Organisasi (NKO)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</si>
  <si>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</si>
  <si>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</si>
  <si>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</si>
  <si>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</si>
  <si>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</si>
  <si>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</si>
  <si>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</si>
  <si>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</si>
  <si>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</si>
  <si>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</si>
  <si>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</si>
  <si>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</si>
  <si>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ULP Tolitoli Khusus</t>
  </si>
  <si>
    <t>ULP Leok</t>
  </si>
  <si>
    <t>ULP Bangkir</t>
  </si>
  <si>
    <t>ULP Kotaraya</t>
  </si>
  <si>
    <t>UP3 Tolitoli</t>
  </si>
  <si>
    <t>KONTRAK MANAJEMEN 2022</t>
  </si>
  <si>
    <t>PT PLN (PERSERO) UIW SULUTTENGGO</t>
  </si>
  <si>
    <t>SATUAN</t>
  </si>
  <si>
    <t>JAN</t>
  </si>
  <si>
    <t>FEB</t>
  </si>
  <si>
    <t>MAR</t>
  </si>
  <si>
    <t>APRIL</t>
  </si>
  <si>
    <t>MEI</t>
  </si>
  <si>
    <t>BOBOT</t>
  </si>
  <si>
    <t>TARGET</t>
  </si>
  <si>
    <t>REAL</t>
  </si>
  <si>
    <t>PENCAPAIAN</t>
  </si>
  <si>
    <t>NILAI</t>
  </si>
  <si>
    <t>TOTAL BOBOT</t>
  </si>
  <si>
    <t>TOTAL BOBOT PROPORSIONAL</t>
  </si>
  <si>
    <t>UNIT</t>
  </si>
  <si>
    <t>NKO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</si>
  <si>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</si>
  <si>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</si>
  <si>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</si>
  <si>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</si>
  <si>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</si>
  <si>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</si>
  <si>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</si>
  <si>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</si>
  <si>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</si>
  <si>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</si>
  <si>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</si>
  <si>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</si>
  <si>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ULP Tolitoli Kota</t>
  </si>
  <si>
    <t>ULP Moutong</t>
  </si>
  <si>
    <t>KONTRAK MANAJEMEN 2024</t>
  </si>
  <si>
    <t>PT PLN (PERSERO) UNIT INDUK DISTRIBUSI SULUTTENGGO</t>
  </si>
  <si>
    <t>UNIT PELAKSANA PELAYANAN PELANGGAN TOLITOLI</t>
  </si>
  <si>
    <t>PENJUALAN DAN PENDAPATAN TENAGA LISTRIK</t>
  </si>
  <si>
    <t>REALISASI BULANAN</t>
  </si>
  <si>
    <t>REALISASI KOMULATIF</t>
  </si>
  <si>
    <t>ULP Tolitoli</t>
  </si>
  <si>
    <t>Penjualan TL (GWh)</t>
  </si>
  <si>
    <t>Pendapatan TL (Rp)</t>
  </si>
  <si>
    <t>Harga Jual (Rp/kWh)</t>
  </si>
  <si>
    <t>Menit</t>
  </si>
  <si>
    <t>Pelanggan</t>
  </si>
  <si>
    <t>SAIDI (Menit/Plg)</t>
  </si>
  <si>
    <t>SAIFI</t>
  </si>
  <si>
    <t>Kali</t>
  </si>
  <si>
    <t>SAIFI (Kali/Plg)</t>
  </si>
  <si>
    <t>SAIFI (Menit/Plg)</t>
  </si>
  <si>
    <t>ENS DISTRIBUSI</t>
  </si>
  <si>
    <t>MWh</t>
  </si>
  <si>
    <t>SUSUT JARINGAN TANPA E-MIN (%)</t>
  </si>
  <si>
    <t>kWh Siap Salur (kWh)</t>
  </si>
  <si>
    <t>PSSD (kWh)</t>
  </si>
  <si>
    <t>Jual Tanpa E-min (kWh)</t>
  </si>
  <si>
    <t>Susut Jaringan (%)</t>
  </si>
  <si>
    <t>PENYELESAIAN TEMUAN P2TL</t>
  </si>
  <si>
    <t>TARGET (kWh)</t>
  </si>
  <si>
    <t>%Bulanan</t>
  </si>
  <si>
    <t>%</t>
  </si>
  <si>
    <t>%Komulatif</t>
  </si>
  <si>
    <t xml:space="preserve">PENYELESAIAN GANTI METER </t>
  </si>
  <si>
    <t>Total WO Keluhan</t>
  </si>
  <si>
    <t>JUNI</t>
  </si>
  <si>
    <t>PILIH BULAN LAPORAN</t>
  </si>
  <si>
    <t>TARGET 2022</t>
  </si>
  <si>
    <t>S.D. JANUARI</t>
  </si>
  <si>
    <t>OK</t>
  </si>
  <si>
    <t>S.D. FEBRUARI</t>
  </si>
  <si>
    <t>S.D. MARET</t>
  </si>
  <si>
    <t>S.D. APRIL</t>
  </si>
  <si>
    <t>S.D. MEI</t>
  </si>
  <si>
    <t>S.D. JUNI</t>
  </si>
  <si>
    <t>JULI</t>
  </si>
  <si>
    <t>S.D. JULI</t>
  </si>
  <si>
    <t>AUG</t>
  </si>
  <si>
    <t>S.D. AGUSTUS</t>
  </si>
  <si>
    <t>SEP</t>
  </si>
  <si>
    <t>S.D. SEPTEMBER</t>
  </si>
  <si>
    <t>OKT</t>
  </si>
  <si>
    <t>S.D. OKTOBER</t>
  </si>
  <si>
    <t>NOV</t>
  </si>
  <si>
    <t>S.D. NOVEMBER</t>
  </si>
  <si>
    <t>N/A</t>
  </si>
  <si>
    <t>DES</t>
  </si>
  <si>
    <t>S.D. DESEMBER</t>
  </si>
  <si>
    <t>TOLITOLI, 08 JUNI 2022</t>
  </si>
  <si>
    <t xml:space="preserve">GANGGUAN TM </t>
  </si>
  <si>
    <t>Gangguan TM &gt; 5 Menit</t>
  </si>
  <si>
    <t>Gangguan TM ≤ 5 Menit</t>
  </si>
  <si>
    <t>KERUSAKAN PERALATAN DISTRIBUSI</t>
  </si>
  <si>
    <t>REALIASI KOMULATIF</t>
  </si>
  <si>
    <t xml:space="preserve">Kerusakan PHB  - TM </t>
  </si>
  <si>
    <t>Kerusakan Trafo Distribusi</t>
  </si>
  <si>
    <t>Jumlah</t>
  </si>
  <si>
    <t>PENURUNAN FEEDBACK RATING NEGATIF PADA PLN MOBILE - GANGGUAN</t>
  </si>
  <si>
    <t>Total WO Gangguan</t>
  </si>
  <si>
    <t>Rating Negatif Gangguan</t>
  </si>
  <si>
    <t>Feedback Rating Negatif</t>
  </si>
  <si>
    <t>PENURUNAN PENGADUAN GANGGUAN BERULANG PADA PLN MOBILE</t>
  </si>
  <si>
    <t>Laporan Berulang</t>
  </si>
  <si>
    <t>RATING PLN MOBILE</t>
  </si>
  <si>
    <t>Semua Unit</t>
  </si>
  <si>
    <t>Rating</t>
  </si>
  <si>
    <t>JUMLAH KALI TRANSAKSI KEUANGAN PLN MOBILE - TOTAL</t>
  </si>
  <si>
    <t>Jumlah Kali Transaksi</t>
  </si>
  <si>
    <t>RCT DAN RPT GANGGUAN (MENIT)</t>
  </si>
  <si>
    <t>Respond Time (RPT)</t>
  </si>
  <si>
    <t>Recovery Time (RCT)</t>
  </si>
  <si>
    <t>SUCCESS RATE AUTO DISPATCH GANGGUAN INDIVIDUAL (DILUAR CLEAR TAMPER)</t>
  </si>
  <si>
    <t>Success Rate Auto Dispatch Gangguan Individual (Diluar Clear Tamper)</t>
  </si>
  <si>
    <t>RECOVERY TIME GANGGUAN MELUAS TM</t>
  </si>
  <si>
    <t>Recovery JTM</t>
  </si>
  <si>
    <t>PENORMALAN SIAGA 1 GANGUAN TM</t>
  </si>
  <si>
    <t>Penormalan Siaga 1 Ganguan TM</t>
  </si>
  <si>
    <t>PENGEMBANGAN APLIKASI KORPORAT</t>
  </si>
  <si>
    <t>Pengembangan EAM Distribusi</t>
  </si>
  <si>
    <t>PERCEPATAN PENYAMBUNGAN PELANGGAN</t>
  </si>
  <si>
    <t>Penambahan Daya Tersambung</t>
  </si>
  <si>
    <t>Penambahan Jumlah Pelanggan</t>
  </si>
  <si>
    <t>Jumlah Penambahan Pelanggan Produk Tematik</t>
  </si>
  <si>
    <t>Implementasi Kesesuaian Sektor Bisnis sesuai KBLI 2020</t>
  </si>
  <si>
    <t>Penambahan Jumlah Pelanggan Rumah Tangga Lisdes</t>
  </si>
  <si>
    <t>Peningkatan kWh Penjualan dari Pelanggan Rumah Tangga Lisdes</t>
  </si>
  <si>
    <t>JUMLAH PENGGUNA SWACAM</t>
  </si>
  <si>
    <t>Pengguna Swacam</t>
  </si>
  <si>
    <t>SISA STAND BONGKAR MIGRASI</t>
  </si>
  <si>
    <t>Jumlah Kompensasi UJL menjadi kWH di AP2T</t>
  </si>
  <si>
    <t>Total Kompensasi UJL Periode Berjalan</t>
  </si>
  <si>
    <t>Presentase</t>
  </si>
  <si>
    <t>PERSENTASE RATA- RATA SALDO PAL (RP)
NON KOGOL 1 TANGGAL 20 DIBANDINGKAN RATARATA REKENING BARU (RPPTL) NON KOGOL 1
BULAN BERJALAN</t>
  </si>
  <si>
    <t>Rata-Rata Saldo PAL Non Kogol 1 tanggal 20 (Juta)</t>
  </si>
  <si>
    <t>Target Saldo Rata-Rata PAL Tanggal 20 (Juta)</t>
  </si>
  <si>
    <t>PENGENDALIAN PIUTANG RATA-RATA TUNGGAKAN (RP JT)</t>
  </si>
  <si>
    <t>Saldo Total</t>
  </si>
  <si>
    <t>Target Saldo</t>
  </si>
  <si>
    <t>Realisasi</t>
  </si>
  <si>
    <t>PELUNASAN PRR</t>
  </si>
  <si>
    <t>PENGENDALIAN PENGGUNAAN ANGGARAN INVESTASI SESUAI RKAP</t>
  </si>
  <si>
    <t>Pengendalian Penggunaan Anggaran Investasi sesuai RKAP</t>
  </si>
  <si>
    <t>95-100</t>
  </si>
  <si>
    <t>Penyerapan (%)</t>
  </si>
  <si>
    <t>Usulan Penghapusan ATTB</t>
  </si>
  <si>
    <t>Usulan Penghapusan PRR</t>
  </si>
  <si>
    <t>HCR &amp; OCR</t>
  </si>
  <si>
    <t>HCR (%)</t>
  </si>
  <si>
    <t>OCR (%)</t>
  </si>
  <si>
    <t>PRODUKTIVITAS PEGAWAI</t>
  </si>
  <si>
    <t>HCR ,OCR &amp;  PRODUKTIVITA S PEGAWAI (%)</t>
  </si>
  <si>
    <t>PRODUKTIVITAS UNIT</t>
  </si>
  <si>
    <t>PENGELOLAAN KOMUNIKASI DAN TJLS</t>
  </si>
  <si>
    <t>TJSL (%)</t>
  </si>
  <si>
    <t>Komunikasi (%)</t>
  </si>
  <si>
    <t>TJSL &amp; Komunikasi (%)</t>
  </si>
  <si>
    <t>PENINGKATAN LAYANAN DAN BUDAYA K3</t>
  </si>
  <si>
    <t>Level</t>
  </si>
  <si>
    <t>PERBAIKAN PROSES BISNIS DAN KEBERLANJUTAN</t>
  </si>
  <si>
    <t xml:space="preserve"> Implementasi PLN Bisnis Ekselen</t>
  </si>
  <si>
    <t>Maturity Level Gudang</t>
  </si>
  <si>
    <t>Maturity Level Sustainbility</t>
  </si>
  <si>
    <t>Implementasi Roadmap Perbaikan Penerapan Manajemen Risiko dan Pencapaian</t>
  </si>
  <si>
    <t>KONTRAK MANAJEMEN 2025</t>
  </si>
  <si>
    <t>PT PLN (PERSERO) UID SULUTTENGGO</t>
  </si>
  <si>
    <t>TARGET 2025</t>
  </si>
  <si>
    <t>REALISASI</t>
  </si>
  <si>
    <t>`</t>
  </si>
  <si>
    <t>TOLITOLI,  8 OKTOBER 2025</t>
  </si>
  <si>
    <t>TARGET 2023</t>
  </si>
  <si>
    <t>TOLITOLI, 08 JUNI 2023</t>
  </si>
  <si>
    <t xml:space="preserve"> </t>
  </si>
  <si>
    <t>REALISASI KINERJA UNIT TAHUN 2025</t>
  </si>
  <si>
    <t>PT PLN (PERSERO) ULP TOLITOLI</t>
  </si>
  <si>
    <t>PT PLN (PERSERO) ULP LEOK</t>
  </si>
  <si>
    <t>PT PLN (PERSERO) ULP BANGKIR</t>
  </si>
  <si>
    <t>PT PLN (PERSERO) ULP MOUTONG</t>
  </si>
  <si>
    <t>PT PLN (PERSERO) ULP KOTARAYA</t>
  </si>
  <si>
    <t>PILIH</t>
  </si>
  <si>
    <t>KPI UNIT 2023</t>
  </si>
  <si>
    <t>TARGET
2025</t>
  </si>
  <si>
    <t>I</t>
  </si>
  <si>
    <t>TOTAL PROPORSIONAL</t>
  </si>
  <si>
    <t>KONTRAK MANAJEMEN TAHUN 2025</t>
  </si>
  <si>
    <t>FORMULA</t>
  </si>
  <si>
    <t>TARGET KOMULATIF BULANAN TAHUN 2024</t>
  </si>
  <si>
    <t>SM1</t>
  </si>
  <si>
    <t>SM2</t>
  </si>
  <si>
    <t>Key Performance Indikator</t>
  </si>
  <si>
    <t>ñ</t>
  </si>
  <si>
    <t>kWh penjualan tenaga listrik</t>
  </si>
  <si>
    <t>ò</t>
  </si>
  <si>
    <t>(∑ (Lama padam x ∑ Pelanggan Padam)) / ∑ Pelanggan Dalam Satu Periode</t>
  </si>
  <si>
    <t>(∑ (Kali padam x ∑ Pelanggan Padam)) / ∑ Pelanggan Dalam Satu Periode</t>
  </si>
  <si>
    <t>(∑ (Kali gangguan penyulang/ panjang total penyulang beroperasi)) x 100%</t>
  </si>
  <si>
    <t>((Siap Salur Distribusi - kWh kirim ke Unit lain - PSSD - kWh penjualan tanpa E-min) / (Produksi Total Netto) x100%</t>
  </si>
  <si>
    <t>II</t>
  </si>
  <si>
    <t>Perfomance Indicators</t>
  </si>
  <si>
    <t>Keandalan Jaringan Distribusi</t>
  </si>
  <si>
    <t>Penurunan Persentase Feedback Rating Negatif Gangguan pada PLN Mobile dari tahun sebelumnya</t>
  </si>
  <si>
    <t>a. Gangguan TM &gt; 5 Menit</t>
  </si>
  <si>
    <t xml:space="preserve">Penurunan Persentase Feedback Rating Negatif Keluhan pada PLN Mobile dari tahun sebelumnya </t>
  </si>
  <si>
    <t>b. Gangguan TM ≤ 5 Menit</t>
  </si>
  <si>
    <t>Penurunan Persentase Gangguan Berulang diluar marking pada PLN Mobile dari tahun sebelumnya</t>
  </si>
  <si>
    <t>c. Kerusakan Peralatan Distribusi (PHB TM dan Trafo) Sesuai Kewenangan</t>
  </si>
  <si>
    <t>Jumlah IDPEL terdaftar pada PLN Mobile kumulatif</t>
  </si>
  <si>
    <t>Peningkatan Layanan</t>
  </si>
  <si>
    <t>a. Feedback Rating Negatif pada PLN Mobile - Gangguan</t>
  </si>
  <si>
    <t>b. Pengaduan Gangguan Berulang pada PLN Mobile</t>
  </si>
  <si>
    <t xml:space="preserve">Rata-Rata Bulanan dari Rata-Rata Durasi Response Time atas Gangguan pada periode berjalan </t>
  </si>
  <si>
    <t>c. Rating PLN Mobile</t>
  </si>
  <si>
    <t>Rata-Rata Bulanan dari Rata-Rata Durasi Recovery Time atas Gangguan pada periode berjalan</t>
  </si>
  <si>
    <t>d. Jumlah Kali Transaksi Keuangan melalui PLN Mobile</t>
  </si>
  <si>
    <t>Kali Transaksi</t>
  </si>
  <si>
    <t xml:space="preserve">Rata-Rata Bulanan dari Rata-Rata Durasi Response Time atas Keluhan pada periode berjalan </t>
  </si>
  <si>
    <t>Dispatch Respon Time</t>
  </si>
  <si>
    <t>a. Response Time atas Gangguan (diluar Clear Tamper)</t>
  </si>
  <si>
    <t>b. Success Rate Auto Dispatch Gangguan Individual (diluar Clear Tamper)</t>
  </si>
  <si>
    <t>Sistem Recovery :</t>
  </si>
  <si>
    <t>Rata-Rata Bulanan dari Rata-Rata Durasi Recovery Time atas Keluhan pada periode berjalan</t>
  </si>
  <si>
    <t>a. Recovery Time Gangguan Meluas TM</t>
  </si>
  <si>
    <t>b. Penormalan Siaga 1 Gangguan TM</t>
  </si>
  <si>
    <t>Digitalisasi Aplikasi Korporat</t>
  </si>
  <si>
    <t>a. Pengembangan EAM Distribusi</t>
  </si>
  <si>
    <t>a. Penambahan Daya Tersambung</t>
  </si>
  <si>
    <t>MVA</t>
  </si>
  <si>
    <t>b. Penambahan Jumlah Pelanggan</t>
  </si>
  <si>
    <t>c. Jumlah Penambahan Pelanggan Produk Tematik</t>
  </si>
  <si>
    <t>d. Implementasi Kesesuaian Sektor Bisnis sesuai KBLI 2020</t>
  </si>
  <si>
    <t>e. Penambahan Jumlah Pelanggan Rumah Tangga Lisdes</t>
  </si>
  <si>
    <t>f. Peningkatan kWh Penjualan dari Pelanggan Rumah Tangga Lisdes</t>
  </si>
  <si>
    <t>KWh</t>
  </si>
  <si>
    <t>Penambahan Jumlah SPKLU Terealisasi</t>
  </si>
  <si>
    <t>Pengelolaan Pembacaan Meter</t>
  </si>
  <si>
    <t>a. Jumlah Pengguna Swa Cam</t>
  </si>
  <si>
    <t>Rata-rata Hari Percepatan Penyambungan untuk PB, PD dan PASKEM yang tanpa perluasan</t>
  </si>
  <si>
    <t>b. Tindak Lanjut LBKB (Laporan Bulanan Kelainan Baca Meter)</t>
  </si>
  <si>
    <t>Percepatan Cash In</t>
  </si>
  <si>
    <t>a. Pencapaian Rata-Rata Saldo Tanggal 20 diluar Konsumen Instansi (Kementerian &amp; Lembaga)</t>
  </si>
  <si>
    <t>Rp. Juta</t>
  </si>
  <si>
    <t>Rata-rata Hari Percepatan Penyambungan untuk PB, PD dan PASKEM yang dengan perluasan Jaringan TR tanpa penambahan trafo</t>
  </si>
  <si>
    <t>b. Pencapaian Saldo Rata-Rata Akhir Bulan diluar Konsumen Instansi (Kementerian &amp; Lembaga)</t>
  </si>
  <si>
    <t>Jumlah Pelanggan Rumah Tangga pada periode berjalan (Kelompok R dan S1)</t>
  </si>
  <si>
    <t>c. Pencapaian Pelunasan PRR</t>
  </si>
  <si>
    <t>Pencapaian Milestone Program Digitalisasi Proses Bisnis
kedalam Aplikasi Korporat ((Centralized Payment, Monitoring Online Susut, Implementasi Smart Meter AMI, Integrated Digital System Warehouse untuk Material dan ATTB)</t>
  </si>
  <si>
    <t>Pengendalian  Anggaran</t>
  </si>
  <si>
    <t>a. Pengendalian Penggunaan Anggaran Investasi sesuai RKAP</t>
  </si>
  <si>
    <t>b. Usulan Penghapusan ATTB</t>
  </si>
  <si>
    <t>Rp. Milyar</t>
  </si>
  <si>
    <t>c. Usulan Penghapusan PRR</t>
  </si>
  <si>
    <t>Manajemen SDM, Komunikasi, dan TJSL</t>
  </si>
  <si>
    <t>a. HCR, OCR, dan Produktivitas Pegawai</t>
  </si>
  <si>
    <t>(Rata- Rata Saldo PAL (Rp) non kogol 1 Tanggal 20 / Rata - Rata Rekening Baru (RPPTL) non kogol 1 bulan berjalan) x 100%</t>
  </si>
  <si>
    <t>b. Produktivitas Unit</t>
  </si>
  <si>
    <t xml:space="preserve">Rata-Rata Saldo Bulanan Rekening Berjalan dan Rekening Tunggakan (PAL dan TS TUL 404) diluar Kogol 1 </t>
  </si>
  <si>
    <t>c. Pengelolaan Komunikasi dan TJSL</t>
  </si>
  <si>
    <t>Saldo Piutang Pelanggan Prabayar sudah jatuh tempo sampai dengan periode berjalan</t>
  </si>
  <si>
    <t>d. Peningkatan Layanan dan Budaya K3</t>
  </si>
  <si>
    <t>Perbaikan Proses Bisnis dan Keberlanjutan</t>
  </si>
  <si>
    <t>Kesesuaian Realisasi Anggaran Kas Investasi dengan AKI yang diterbitkan SKAI</t>
  </si>
  <si>
    <t>a. Implementasi PLN Bisnis Ekselen</t>
  </si>
  <si>
    <t>∑ Pemakaian Material / ∑ Rata-Rata Saldo Material</t>
  </si>
  <si>
    <t>b. Maturity Level Gudang</t>
  </si>
  <si>
    <t>Skor</t>
  </si>
  <si>
    <t>Pencapaian Maturity Level PLN Bisnis Ekselen</t>
  </si>
  <si>
    <t>c. Maturity Level Sustainbility</t>
  </si>
  <si>
    <t>Hasil Pemenuhan Risk Maturity Index (RMI)</t>
  </si>
  <si>
    <t>d. Implementasi Roadmap Perbaikan Penerapan Manajemen Risiko dan Pencapaian Perlakuan Risiko</t>
  </si>
  <si>
    <t>Kepatuhan :</t>
  </si>
  <si>
    <t>a. Pengelolaan K3, Keamanan dan Lingkungan Hidup</t>
  </si>
  <si>
    <t>Max-8</t>
  </si>
  <si>
    <t>b. Maturity Level Implementasi Sistem Manajemen Anti Penyuapan (SMAP)</t>
  </si>
  <si>
    <t>Max-4</t>
  </si>
  <si>
    <t>c. Ketepatan penyampaian pelaporan dan
Akurasi Data Kinerja</t>
  </si>
  <si>
    <t>Pemenuhan Nilai Hasil Assessment Manajemen SDM (HCR OCR) pada suatu periode sesuai Pedoman Kinerja HCR OCR 2023</t>
  </si>
  <si>
    <t>Max-10</t>
  </si>
  <si>
    <t>d. Tindak Lanjut Temuan Auditor</t>
  </si>
  <si>
    <t>Pemenuhan Nilai Pengelolaan Komunikasi dan TJSL pada suatu periode sesuai Pedoman Pengelolaan Komunikasi dan TJSL 2023</t>
  </si>
  <si>
    <t>Max-5</t>
  </si>
  <si>
    <t>e. Pencapaian Beyond RKAP</t>
  </si>
  <si>
    <t>Max-2
Max+2</t>
  </si>
  <si>
    <t xml:space="preserve">Jumlah KPI </t>
  </si>
  <si>
    <t>Keterangan :</t>
  </si>
  <si>
    <t>KPI Polaritas Positif, yaitu semakin besar realisasi, maka pencapaian semakin baik</t>
  </si>
  <si>
    <t>KPI Polaritas Negatif, yaitu semakin kecil realisasi, maka pencapaian semakin baik</t>
  </si>
  <si>
    <t>UNIT LAYANAN PELANGGAN TOLITOLI</t>
  </si>
  <si>
    <t>TARGET
SM 1</t>
  </si>
  <si>
    <t>TARGET
SM 2</t>
  </si>
  <si>
    <t xml:space="preserve"> REALISASI BULANAN TAHUN 2023</t>
  </si>
  <si>
    <t>UNIT LAYANAN PELANGGAN LEOK</t>
  </si>
  <si>
    <t>UNIT LAYANAN PELANGGAN BANGKIR</t>
  </si>
  <si>
    <t xml:space="preserve"> REALISASI BULANAN TAHUN 2024</t>
  </si>
  <si>
    <t>UNIT LAYANAN PELANGGAN MOUTONG</t>
  </si>
  <si>
    <t>UNIT LAYANAN PELANGGAN KOTARAYA</t>
  </si>
  <si>
    <t>TARGET KOMULATIF BULANAN TAHUN 2025</t>
  </si>
  <si>
    <t>Penjualan Tenaga Listrik</t>
  </si>
  <si>
    <t>GWh</t>
  </si>
  <si>
    <t>Keandalan Sistem</t>
  </si>
  <si>
    <t>a. SAIDI Sesuai Kewenangannya</t>
  </si>
  <si>
    <t>Menit/Plg</t>
  </si>
  <si>
    <t>b. SAIFI Sesuai Kewenangannya</t>
  </si>
  <si>
    <t>Kali/Plg</t>
  </si>
  <si>
    <t>c. ENS</t>
  </si>
  <si>
    <t>Efisiensi Jaringan Distribusi</t>
  </si>
  <si>
    <t>a. Susut Distribusi Tanpa E-min (sesuai kewenangan)</t>
  </si>
  <si>
    <t>b. Penyelesaian Temuan P2TL</t>
  </si>
  <si>
    <t>c. Penyelesaian Ganti Meter</t>
  </si>
  <si>
    <t>b. Value Creation AMI</t>
  </si>
  <si>
    <t>Jumlah perolehan kWh dari kegiatan P2TL</t>
  </si>
  <si>
    <t>Rata-rata Hari Percepatan Penyambungan untuk PB, PD dan PASKEM yang dengan perluasan Jaringan TR dengan penambahan Trafo dan Perluasan JTM maksimum 3 gawang</t>
  </si>
  <si>
    <t>ó</t>
  </si>
  <si>
    <t>Jumlah Nilai Pengurang Pengelolaan K3, Keamanan, dan Lingkungan Hidup</t>
  </si>
  <si>
    <t>Jumlah Nilai Pengurang Maturity Level Kepatuhan</t>
  </si>
  <si>
    <t>Jumlah Nilai Pengurang dari Unsur Kepatuhan pada Kelengkapan Penyampaian Pelaporan melalui Aplikasi Korporat &amp; Akurasi Data terkait Kinerja</t>
  </si>
  <si>
    <t>Jumlah Nilai Pengurang Tindak Lanjut Temuan Auditor</t>
  </si>
  <si>
    <t>Total penjualan tenaga listrik</t>
  </si>
  <si>
    <t>a. SAIDI (sesuai kewenangan)</t>
  </si>
  <si>
    <t>menit/plg</t>
  </si>
  <si>
    <t>b. SAIFI (sesuai kewenangan)</t>
  </si>
  <si>
    <t>kali/plg</t>
  </si>
  <si>
    <t>c. ENS (sesuai kewenangan)</t>
  </si>
  <si>
    <t>∑ Energi yang tidak dapat disalurkan akibat Padam Tidak Terencana dan Terencana</t>
  </si>
  <si>
    <t>((Siap Salur Distribusi sesuai kewenangan titik transaksi - kWh kirim ke Unit lain - PSSD - kWh penjualan tanpa E-min) / (Produksi Total Netto)) x100%</t>
  </si>
  <si>
    <t>b. Perolehan Temuan P2TL</t>
  </si>
  <si>
    <t>Jumlah perolehan kWh temuan P2TL bulan berjalan tercatat dalam EPM dibagi jumlah target kWh P2TL bulan berjalan</t>
  </si>
  <si>
    <t>Jumlah Realisasi KWh P2TL tercatat di AP2T / Jumlah Target KWh P2TL</t>
  </si>
  <si>
    <t>Jumlah penggantian kWh Meter pada periode berjalan</t>
  </si>
  <si>
    <t>∑ kali Gangguan Jaringan Tegangan Menengah dan Gardu Distribusi yang berdampak padam pelanggan di semua zona durasi &gt; 5 menit (permanen)</t>
  </si>
  <si>
    <t>∑ kali Gangguan Jaringan Tegangan Menengah  dan Gardu Distribusi yang berdampak padam pelanggan di semua zona durasi ≤ 5 menit (temporer)</t>
  </si>
  <si>
    <t>∑ Total Kerusakan Peralatan PHB TM + ∑ Total Kerusakan Trafo Distribusi</t>
  </si>
  <si>
    <t>∑ {(Feedback Rating Negatif Gangguan pada PLN Mobile / Total Work Order Gangguan PLN Mobile periode bulan berjalan) x 100%} / ∑bulan</t>
  </si>
  <si>
    <t>∑ {(Gangguan Berulang non marking &amp; manual marking pada PLN Mobile / Total Work Order Gangguan periode bulan berjalan) x 100%} / ∑bulan</t>
  </si>
  <si>
    <t>Realisasi Rating PLN Mobile pada Google Playstore Periode Akhir Bulan Berjalan</t>
  </si>
  <si>
    <t>Total Kali Transaksi Keuangan di PLN Mobile (Seluruh Pelanggan PLN)</t>
  </si>
  <si>
    <t>∑ {total durasi response time atas gangguan kode G (diluar clear temper) / Total WO  gangguan kode G di APKT (diluar clear temper) pada periode berjalan} / ∑bulan</t>
  </si>
  <si>
    <t>{∑ Kali Auto Dispatch sukses / (∑ Total WO - ∑ WO Marking)}</t>
  </si>
  <si>
    <t>{(2 x μ∑RCT_GI) + (1 x μ∑RCT_JTM) + (1 x μ∑RCT_GD)} / Total Bobot</t>
  </si>
  <si>
    <t>{(2 x μ∑Siaga1_SUTM) + (2 x μ∑Siaga1_SKTM) + (1 x μ∑Siaga1_PHBTM) + (1 x μ∑Siaga1_Trafo)) / Total Koefisien</t>
  </si>
  <si>
    <t>Jumlah Penambahan Daya Tersambung pada periode berjalan</t>
  </si>
  <si>
    <t>Jumlah Penambahan Pelanggan pada periode berjalan</t>
  </si>
  <si>
    <t>Total Penambahan Pelanggan dari implementasi produk Tematik,termasuk semua Program Diskon Pasang Baru dan Tambah Daya</t>
  </si>
  <si>
    <t>Implementasi Kesesuaian Sektor Bisnis sesuai KBLI 2020 dengan target data pelanggan B4, I3, dan I4</t>
  </si>
  <si>
    <t>Percepatan Penyambungan Pelanggan Lisdes</t>
  </si>
  <si>
    <t>a. Penambahan Jumlah Pelanggan Rumah Tangga Lisdes</t>
  </si>
  <si>
    <t>Jumlah Penambahan Pelanggan Rumah Tangga Lisdes pada periode berjalan</t>
  </si>
  <si>
    <t>b. Peningkatan kWh Penjualan dari Pelanggan Rumah Tangga Lisdes</t>
  </si>
  <si>
    <t>kWh</t>
  </si>
  <si>
    <t>Jumlah kWh Jual dari Pelanggan Rumah Tangga Lisdes pada periode berjalan</t>
  </si>
  <si>
    <t>Rata-rata Bulanan Jumlah Pelanggan yang Mengirim Swa Cam sampai dengan Bulan Berjalan</t>
  </si>
  <si>
    <t>Tidak ada LBKB Gangguan Baca dan Gangguan Meter Pelanggan Pascabayar diatas 3 bulan berturut-turut</t>
  </si>
  <si>
    <t>Sisa Stand Bongkar Migrasi</t>
  </si>
  <si>
    <t>Jumlah Kompensasi UJL yang tereksekusi menjadi kWh pada AP2T / Total kompensasi UJL pada periode berjalan</t>
  </si>
  <si>
    <t>a. Persentase Rata-Rata Saldo Tanggal 20 Non Kogol 1 dan Non Kogol 2</t>
  </si>
  <si>
    <t>Realisasi Saldo Rata-Rata Tanggal 20 Non Kogol 1 dan Non Kogol 2</t>
  </si>
  <si>
    <t>b. Pencapaian Saldo Rata-Rata Akhir Bulan Non Kogol 1 dan Non Kogol 2</t>
  </si>
  <si>
    <t>Realisasi Saldo PAL dan TS Rata-Rata Akhir Bulan Non Kogol 1 dan Non Kogol 2</t>
  </si>
  <si>
    <t>Pelunasan PRR dan Angsuran PRR sesuai Laporan TUL IV-06</t>
  </si>
  <si>
    <t>Nilai Pengurang Maturity Level Implementasi Sistem Manajemen Anti Penyuapan (SMAP)</t>
  </si>
  <si>
    <t>Nilai Pengurang atau Penambah terhadap Pencapaian Beyond RKAP</t>
  </si>
  <si>
    <t>Menit/plg</t>
  </si>
  <si>
    <t>Kali/plg</t>
  </si>
  <si>
    <t xml:space="preserve">. </t>
  </si>
  <si>
    <t>c. Penyelesaian Temuan P2TL</t>
  </si>
  <si>
    <t>d. Penyelesaian Ganti Meter</t>
  </si>
  <si>
    <t>UP3</t>
  </si>
  <si>
    <t>INDICATOR LAYOUT</t>
  </si>
  <si>
    <t>Temp Ind</t>
  </si>
  <si>
    <t>mencari titik</t>
  </si>
  <si>
    <t>hapus titik</t>
  </si>
  <si>
    <t>INDIKATOR</t>
  </si>
  <si>
    <t>:</t>
  </si>
  <si>
    <t>GREEN</t>
  </si>
  <si>
    <t>YELLOW</t>
  </si>
  <si>
    <t>RED</t>
  </si>
  <si>
    <t>-</t>
  </si>
  <si>
    <t>PI</t>
  </si>
  <si>
    <t>GAP LAYOUT</t>
  </si>
  <si>
    <t>GAP KIN</t>
  </si>
  <si>
    <t>GAP POIN</t>
  </si>
  <si>
    <t>NILAI KINERJA</t>
  </si>
  <si>
    <t>Month</t>
  </si>
  <si>
    <t>INDICATOR</t>
  </si>
  <si>
    <t>PENCAPAIAN NKO 2025</t>
  </si>
  <si>
    <t>GAP KINERJA</t>
  </si>
  <si>
    <t>KHUSUS BAGIAN INI RUMUS HARUS DI INPUT SESUAI SETIAP INDIKATOR</t>
  </si>
  <si>
    <t>KC TOLIS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</si>
</sst>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6">
    <numFmt numFmtId="5" formatCode="&quot;Rp&quot;#,##0;\-&quot;Rp&quot;#,##0"/>
    <numFmt numFmtId="6" formatCode="&quot;Rp&quot;#,##0;[Red]\-&quot;Rp&quot;#,##0"/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67" formatCode="&quot;$&quot;#,##0.00_);[Red]\(&quot;$&quot;#,##0.00\)"/>
    <numFmt numFmtId="168" formatCode="_(* #,##0_);_(* \(#,##0\);_(* &quot;-&quot;_);_(@_)"/>
    <numFmt numFmtId="169" formatCode="_(&quot;$&quot;* #,##0.00_);_(&quot;$&quot;* \(#,##0.00\);_(&quot;$&quot;* &quot;-&quot;??_);_(@_)"/>
    <numFmt numFmtId="170" formatCode="_(* #,##0.00_);_(* \(#,##0.00\);_(* &quot;-&quot;??_);_(@_)"/>
    <numFmt numFmtId="171" formatCode="_-&quot;£&quot;* #,##0.00_-;\-&quot;£&quot;* #,##0.00_-;_-&quot;£&quot;* &quot;-&quot;??_-;_-@_-"/>
    <numFmt numFmtId="172" formatCode="&quot;Rp&quot;#,##0_);\(&quot;Rp&quot;#,##0\)"/>
    <numFmt numFmtId="173" formatCode="_(&quot;Rp&quot;* #,##0_);_(&quot;Rp&quot;* \(#,##0\);_(&quot;Rp&quot;* &quot;-&quot;_);_(@_)"/>
    <numFmt numFmtId="174" formatCode="_(&quot;Rp&quot;* #,##0.00_);_(&quot;Rp&quot;* \(#,##0.00\);_(&quot;Rp&quot;* &quot;-&quot;??_);_(@_)"/>
    <numFmt numFmtId="175" formatCode="mmm\.yy"/>
    <numFmt numFmtId="176" formatCode="[$-421]dd\ mmmm\ yyyy;@"/>
    <numFmt numFmtId="177" formatCode="[$-409]d\-mmm\-yy;@"/>
    <numFmt numFmtId="178" formatCode="#,##0.0"/>
    <numFmt numFmtId="179" formatCode="_(* #,##0_);_(* \(#,##0\);_(* &quot;-&quot;??_);_(@_)"/>
    <numFmt numFmtId="180" formatCode="#,##0;\-#,##0;&quot;-&quot;"/>
    <numFmt numFmtId="181" formatCode="mmmm\-yy"/>
    <numFmt numFmtId="182" formatCode="d\.m\.yy\ h:mm"/>
    <numFmt numFmtId="183" formatCode="0&quot;  &quot;"/>
    <numFmt numFmtId="184" formatCode="\(0%\)"/>
    <numFmt numFmtId="185" formatCode="0.0_);\(0.0\)"/>
    <numFmt numFmtId="186" formatCode="\$#,##0\ ;\(\$#,##0\)"/>
    <numFmt numFmtId="187" formatCode="#."/>
    <numFmt numFmtId="188" formatCode="#,##0.0_);\(#,##0.0\)"/>
    <numFmt numFmtId="189" formatCode="General_)"/>
    <numFmt numFmtId="190" formatCode="_(* #,##0.000_);_(* \(#,##0.000\);_(* &quot;-&quot;??_);_(@_)"/>
    <numFmt numFmtId="191" formatCode="0.00_)"/>
    <numFmt numFmtId="192" formatCode="0_)"/>
    <numFmt numFmtId="193" formatCode="#,##0.0000_);\(#,##0.0000\)"/>
    <numFmt numFmtId="194" formatCode="_(* #,##0.000_);_(* \(#,##0.000\);_(* &quot;-&quot;_);_(@_)"/>
    <numFmt numFmtId="195" formatCode="0.0000"/>
    <numFmt numFmtId="196" formatCode="0.0"/>
    <numFmt numFmtId="197" formatCode="mm/dd/yy"/>
    <numFmt numFmtId="198" formatCode="0.00&quot;  &quot;"/>
    <numFmt numFmtId="199" formatCode="_-&quot;Rp&quot;\ * #,##0_-;\-&quot;Rp&quot;\ * #,##0_-;_-&quot;Rp&quot;\ * &quot;-&quot;_-;_-@_-"/>
    <numFmt numFmtId="200" formatCode="&quot;｣ &quot;#,##0.00_);[Red]\(&quot;｣ &quot;#,##0.00\)"/>
    <numFmt numFmtId="201" formatCode="&quot;\&quot;#,##0;[Red]&quot;\&quot;&quot;\&quot;\-#,##0"/>
    <numFmt numFmtId="202" formatCode="&quot;\&quot;#,##0.00;[Red]&quot;\&quot;&quot;\&quot;&quot;\&quot;&quot;\&quot;&quot;\&quot;&quot;\&quot;\-#,##0.00"/>
    <numFmt numFmtId="203" formatCode="&quot;\&quot;#,##0.00;[Red]&quot;\&quot;\-#,##0.00"/>
    <numFmt numFmtId="204" formatCode="&quot;\&quot;#,##0;[Red]&quot;\&quot;\-#,##0"/>
    <numFmt numFmtId="205" formatCode="0.00000%"/>
    <numFmt numFmtId="206" formatCode="_-&quot;$&quot;* #,##0.00_-;\-&quot;$&quot;* #,##0.00_-;_-&quot;$&quot;* &quot;-&quot;??_-;_-@_-"/>
    <numFmt numFmtId="207" formatCode="dd"/>
    <numFmt numFmtId="208" formatCode="_-* #,##0.00\ &quot;F&quot;_-;\-* #,##0.00\ &quot;F&quot;_-;_-* &quot;-&quot;??\ &quot;F&quot;_-;_-@_-"/>
    <numFmt numFmtId="209" formatCode="0.000%"/>
    <numFmt numFmtId="210" formatCode="\ mmmm\ \'yy"/>
    <numFmt numFmtId="211" formatCode="#,##0.0_);[Red]\(#,##0.0\)"/>
    <numFmt numFmtId="212" formatCode="0_);\(0\)"/>
    <numFmt numFmtId="213" formatCode="0.00_);\(0.00\)"/>
    <numFmt numFmtId="214" formatCode="&quot;Rp&quot;\.#,##0_);\(&quot;Rp&quot;\.#,##0\)"/>
    <numFmt numFmtId="215" formatCode="0;[Red]0"/>
    <numFmt numFmtId="216" formatCode="[$€-2]\ #,##0.00_);[Red]\([$€-2]\ #,##0.00\)"/>
    <numFmt numFmtId="217" formatCode="#,##0.000"/>
    <numFmt numFmtId="218" formatCode="0.000000000"/>
    <numFmt numFmtId="219" formatCode="0.000"/>
    <numFmt numFmtId="220" formatCode="_ &quot;\&quot;* #,##0.00_ ;_ &quot;\&quot;* &quot;\&quot;&quot;\&quot;&quot;\&quot;&quot;\&quot;&quot;\&quot;&quot;\&quot;\-#,##0.00_ ;_ &quot;\&quot;* &quot;-&quot;??_ ;_ @_ "/>
    <numFmt numFmtId="221" formatCode="_-&quot;£ &quot;* #,##0_-;\-&quot;£ &quot;* #,##0_-;_-&quot;£ &quot;* &quot;-&quot;_-;_-@_-"/>
    <numFmt numFmtId="222" formatCode="_(* #,##0_);_(* \(#,##0\);_(* \-_);_(@_)"/>
    <numFmt numFmtId="223" formatCode="_-* #,##0.00\ _D_M_-;\-* #,##0.00\ _D_M_-;_-* &quot;-&quot;\ _D_M_-;_-@_-"/>
    <numFmt numFmtId="224" formatCode="_(* #,##0.00_);_(* \(#,##0.00\);_(* \-??_);_(@_)"/>
    <numFmt numFmtId="225" formatCode=";;"/>
    <numFmt numFmtId="226" formatCode="m/d/yy;@"/>
    <numFmt numFmtId="227" formatCode="0.000_);\(0.000\)"/>
    <numFmt numFmtId="228" formatCode="&quot;Rp.&quot;\ #,##0.00_);\(&quot;Rp.&quot;\ #,##0.00\)"/>
    <numFmt numFmtId="229" formatCode="0.0%"/>
    <numFmt numFmtId="230" formatCode="_ * #,##0_ ;_ * \-#,##0_ ;_ * &quot;-&quot;_ ;_ @_ "/>
    <numFmt numFmtId="231" formatCode="0.00_ "/>
    <numFmt numFmtId="232" formatCode="0.00000000"/>
    <numFmt numFmtId="233" formatCode="_(* #,##0.0_);_(* \(#,##0.0\);_(* &quot;-&quot;_);_(@_)"/>
    <numFmt numFmtId="234" formatCode="_(* #,##0.00_);_(* \(#,##0.00\);_(* &quot;-&quot;_);_(@_)"/>
    <numFmt numFmtId="235" formatCode="&quot;$&quot;#,##0\ ;\(&quot;$&quot;#,##0\)"/>
    <numFmt numFmtId="236" formatCode="mmm\,yy"/>
    <numFmt numFmtId="237" formatCode="#,##0.00;[Red]#,##0.00"/>
    <numFmt numFmtId="238" formatCode="d\,m\,yy\ h:mm"/>
    <numFmt numFmtId="239" formatCode="_(&quot;$&quot;* #,##0.00000_);_(&quot;$&quot;* \(#,##0.00000\);_(&quot;$&quot;* &quot;-&quot;?????_);_(@_)"/>
    <numFmt numFmtId="240" formatCode="_-[$$-1009]* #,##0_-;\-[$$-1009]* #,##0_-;_-[$$-1009]* &quot;-&quot;_-;_-@_-"/>
    <numFmt numFmtId="241" formatCode="_-* #,##0.0_-;\-* #,##0.0_-;_-* &quot;-&quot;_-;_-@_-"/>
    <numFmt numFmtId="242" formatCode="mmm"/>
    <numFmt numFmtId="243" formatCode="mmmm"/>
    <numFmt numFmtId="244" formatCode="_(* #,##0.0_);_(* \(#,##0.0\);_(* &quot;-&quot;??_);_(@_)"/>
  </numFmts>
  <fonts count="18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b/>
      <sz val="11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1"/>
      <color theme="1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12"/>
      <color theme="0"/>
      <name val="Calibri"/>
      <family val="2"/>
      <scheme val="minor"/>
    </font>
    <font>
      <b/>
      <i/>
      <sz val="11"/>
      <name val="Calibri"/>
      <family val="2"/>
      <charset val="1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name val="Times New Roman"/>
      <family val="1"/>
    </font>
    <font>
      <sz val="12"/>
      <name val="¹UAAA¼"/>
      <family val="3"/>
      <charset val="255"/>
    </font>
    <font>
      <sz val="10"/>
      <color indexed="8"/>
      <name val="Arial"/>
      <family val="2"/>
    </font>
    <font>
      <sz val="10"/>
      <name val="Times"/>
      <family val="1"/>
    </font>
    <font>
      <b/>
      <sz val="11"/>
      <color indexed="52"/>
      <name val="Calibri"/>
      <family val="2"/>
    </font>
    <font>
      <sz val="7"/>
      <name val="Times New Roman"/>
      <family val="1"/>
    </font>
    <font>
      <b/>
      <sz val="11"/>
      <color indexed="9"/>
      <name val="Calibri"/>
      <family val="2"/>
    </font>
    <font>
      <sz val="12"/>
      <name val="Helv"/>
    </font>
    <font>
      <sz val="11"/>
      <color indexed="8"/>
      <name val="Calibri"/>
      <family val="2"/>
      <charset val="1"/>
    </font>
    <font>
      <sz val="11"/>
      <name val="Comic Sans MS"/>
      <family val="4"/>
    </font>
    <font>
      <sz val="10"/>
      <name val="Book Antiqua"/>
      <family val="1"/>
    </font>
    <font>
      <sz val="8"/>
      <name val="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Times New Roman"/>
      <family val="1"/>
    </font>
    <font>
      <sz val="1"/>
      <color indexed="16"/>
      <name val="Courier"/>
      <family val="3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16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2"/>
      <color indexed="9"/>
      <name val="Helv"/>
    </font>
    <font>
      <sz val="10"/>
      <name val="Geneva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2"/>
      <name val="Arial MT"/>
    </font>
    <font>
      <sz val="12"/>
      <name val="SWISS"/>
    </font>
    <font>
      <sz val="12"/>
      <name val="Arial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name val="Trebuchet MS"/>
      <family val="2"/>
    </font>
    <font>
      <sz val="10"/>
      <name val="MS Sans Serif"/>
      <family val="2"/>
    </font>
    <font>
      <b/>
      <sz val="10"/>
      <name val="Courier New"/>
      <family val="3"/>
    </font>
    <font>
      <sz val="10"/>
      <name val="Tms Rmn"/>
    </font>
    <font>
      <sz val="8"/>
      <name val="Helv"/>
    </font>
    <font>
      <b/>
      <i/>
      <sz val="8"/>
      <name val="Arial"/>
      <family val="2"/>
    </font>
    <font>
      <sz val="12"/>
      <name val="Univers (WN)"/>
      <family val="2"/>
    </font>
    <font>
      <sz val="10"/>
      <name val="Times New Roman"/>
      <family val="1"/>
    </font>
    <font>
      <b/>
      <sz val="12"/>
      <name val="MS Sans Serif"/>
      <family val="2"/>
    </font>
    <font>
      <sz val="12"/>
      <name val="MS Sans Serif"/>
      <family val="2"/>
    </font>
    <font>
      <b/>
      <sz val="9"/>
      <name val="Arial"/>
      <family val="2"/>
    </font>
    <font>
      <b/>
      <sz val="8"/>
      <color indexed="8"/>
      <name val="Helv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0"/>
      <name val="Helv"/>
      <family val="2"/>
    </font>
    <font>
      <sz val="11"/>
      <color indexed="10"/>
      <name val="Calibri"/>
      <family val="2"/>
    </font>
    <font>
      <sz val="12"/>
      <name val="Helv"/>
      <family val="2"/>
    </font>
    <font>
      <sz val="14"/>
      <name val="뼻뮝"/>
      <family val="3"/>
      <charset val="255"/>
    </font>
    <font>
      <sz val="12"/>
      <name val="뼻뮝"/>
      <family val="1"/>
      <charset val="255"/>
    </font>
    <font>
      <sz val="12"/>
      <name val="바탕체"/>
      <family val="1"/>
      <charset val="255"/>
    </font>
    <font>
      <sz val="10"/>
      <name val="굴림체"/>
      <family val="3"/>
      <charset val="255"/>
    </font>
    <font>
      <sz val="11"/>
      <name val="ＭＳ Ｐゴシック"/>
      <family val="3"/>
      <charset val="128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charset val="1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charset val="1"/>
      <scheme val="minor"/>
    </font>
    <font>
      <sz val="10"/>
      <name val="Geneva"/>
    </font>
    <font>
      <sz val="12"/>
      <name val="¹ÙÅÁÃ¼"/>
      <charset val="129"/>
    </font>
    <font>
      <sz val="10"/>
      <name val="Helv"/>
    </font>
    <font>
      <sz val="11"/>
      <color indexed="20"/>
      <name val="Calibri"/>
      <family val="2"/>
    </font>
    <font>
      <b/>
      <sz val="10"/>
      <name val="Helv"/>
    </font>
    <font>
      <sz val="11"/>
      <name val="ＭＳ Ｐゴシック"/>
      <charset val="128"/>
    </font>
    <font>
      <sz val="12"/>
      <name val="¹ÙÅÁÃ¼"/>
    </font>
    <font>
      <u/>
      <sz val="10"/>
      <color theme="10"/>
      <name val="MS Sans Serif"/>
      <family val="2"/>
    </font>
    <font>
      <u/>
      <sz val="11"/>
      <color indexed="12"/>
      <name val="Arial"/>
      <family val="2"/>
    </font>
    <font>
      <u/>
      <sz val="6.6"/>
      <color theme="10"/>
      <name val="Calibri"/>
      <family val="2"/>
    </font>
    <font>
      <u/>
      <sz val="11"/>
      <color theme="10"/>
      <name val="Calibri"/>
      <family val="2"/>
      <charset val="1"/>
    </font>
    <font>
      <sz val="11"/>
      <color theme="1"/>
      <name val="Calibri"/>
      <family val="2"/>
      <charset val="128"/>
      <scheme val="minor"/>
    </font>
    <font>
      <sz val="7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i/>
      <sz val="11"/>
      <name val="Calibri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2"/>
      <color indexed="8"/>
      <name val="Arial Narrow"/>
      <family val="2"/>
    </font>
    <font>
      <b/>
      <sz val="14"/>
      <color theme="1"/>
      <name val="Wingdings 2"/>
      <family val="1"/>
      <charset val="2"/>
    </font>
    <font>
      <b/>
      <sz val="14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name val="Comic Sans MS"/>
      <family val="4"/>
    </font>
    <font>
      <sz val="11"/>
      <color rgb="FF000000"/>
      <name val="Calibri"/>
      <family val="2"/>
    </font>
    <font>
      <sz val="9"/>
      <name val="Arial"/>
      <family val="2"/>
    </font>
    <font>
      <sz val="10"/>
      <color indexed="0"/>
      <name val="Arial"/>
      <family val="2"/>
    </font>
    <font>
      <sz val="10"/>
      <name val="Arial"/>
      <family val="2"/>
      <charset val="178"/>
    </font>
    <font>
      <sz val="11"/>
      <name val="Calibri"/>
      <family val="2"/>
    </font>
    <font>
      <b/>
      <sz val="11"/>
      <color indexed="63"/>
      <name val="Calibri"/>
      <family val="2"/>
      <charset val="1"/>
    </font>
    <font>
      <b/>
      <sz val="11"/>
      <color indexed="8"/>
      <name val="Calibri"/>
      <family val="2"/>
      <charset val="1"/>
    </font>
    <font>
      <b/>
      <sz val="11"/>
      <color theme="1"/>
      <name val="Calibri"/>
      <family val="2"/>
      <charset val="1"/>
      <scheme val="minor"/>
    </font>
    <font>
      <b/>
      <sz val="11"/>
      <color rgb="FFC00000"/>
      <name val="Calibri"/>
      <family val="2"/>
      <scheme val="minor"/>
    </font>
    <font>
      <b/>
      <sz val="1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2"/>
      <name val="Helv"/>
      <charset val="1"/>
    </font>
    <font>
      <sz val="10"/>
      <name val="Arial"/>
      <family val="2"/>
    </font>
    <font>
      <b/>
      <i/>
      <sz val="12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FFFF00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sz val="12"/>
      <name val="Helvetica"/>
      <charset val="134"/>
    </font>
    <font>
      <sz val="10"/>
      <name val="Courier"/>
      <charset val="134"/>
    </font>
    <font>
      <b/>
      <sz val="12"/>
      <name val="MS Sans Serif"/>
      <charset val="134"/>
    </font>
    <font>
      <sz val="10"/>
      <name val="Times"/>
      <charset val="134"/>
    </font>
    <font>
      <sz val="10"/>
      <name val="Helv"/>
      <charset val="134"/>
    </font>
    <font>
      <sz val="12"/>
      <color indexed="9"/>
      <name val="Helvetica"/>
      <charset val="134"/>
    </font>
    <font>
      <sz val="7"/>
      <name val="Small Fonts"/>
      <charset val="134"/>
    </font>
    <font>
      <sz val="12"/>
      <name val="Arial MT"/>
      <charset val="134"/>
    </font>
    <font>
      <sz val="12"/>
      <name val="SWISS"/>
      <charset val="134"/>
    </font>
    <font>
      <sz val="12"/>
      <name val="MS Sans Serif"/>
      <charset val="134"/>
    </font>
    <font>
      <sz val="10"/>
      <name val="MS Sans Serif"/>
      <charset val="134"/>
    </font>
    <font>
      <sz val="10"/>
      <color indexed="16"/>
      <name val="MS Serif"/>
      <charset val="134"/>
    </font>
    <font>
      <sz val="10"/>
      <name val="MS Serif"/>
      <charset val="134"/>
    </font>
    <font>
      <b/>
      <sz val="14"/>
      <name val="Arial"/>
      <family val="2"/>
    </font>
    <font>
      <b/>
      <sz val="8"/>
      <color indexed="8"/>
      <name val="Helvetica"/>
      <charset val="134"/>
    </font>
    <font>
      <sz val="8"/>
      <name val="Helvetica"/>
      <charset val="134"/>
    </font>
    <font>
      <sz val="12"/>
      <name val="Univers (WN)"/>
      <charset val="134"/>
    </font>
    <font>
      <b/>
      <sz val="1"/>
      <color indexed="16"/>
      <name val="Courier"/>
      <charset val="134"/>
    </font>
    <font>
      <sz val="1"/>
      <color indexed="16"/>
      <name val="Courier"/>
      <charset val="134"/>
    </font>
    <font>
      <sz val="24"/>
      <color indexed="13"/>
      <name val="Arial"/>
      <family val="2"/>
    </font>
    <font>
      <u/>
      <sz val="12"/>
      <color indexed="12"/>
      <name val="Arial"/>
      <family val="2"/>
    </font>
    <font>
      <b/>
      <sz val="18"/>
      <color indexed="56"/>
      <name val="Cambria"/>
      <family val="1"/>
    </font>
    <font>
      <sz val="11"/>
      <color indexed="8"/>
      <name val="Arial Narrow"/>
      <family val="2"/>
    </font>
    <font>
      <sz val="11"/>
      <color theme="1"/>
      <name val="Wingdings"/>
      <charset val="2"/>
    </font>
    <font>
      <b/>
      <sz val="12"/>
      <color theme="1"/>
      <name val="Wingdings"/>
      <charset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b/>
      <sz val="11"/>
      <color theme="1"/>
      <name val="Wingdings"/>
      <charset val="2"/>
    </font>
    <font>
      <sz val="11"/>
      <name val="Wingdings"/>
      <charset val="2"/>
    </font>
    <font>
      <b/>
      <sz val="11"/>
      <name val="Wingdings"/>
      <charset val="2"/>
    </font>
    <font>
      <b/>
      <sz val="11"/>
      <color theme="0"/>
      <name val="Wingdings"/>
      <charset val="2"/>
    </font>
    <font>
      <b/>
      <sz val="12"/>
      <name val="Wingdings"/>
      <charset val="2"/>
    </font>
    <font>
      <sz val="12"/>
      <name val="Wingdings"/>
      <charset val="2"/>
    </font>
    <font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4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5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9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7CE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gray125">
        <fgColor indexed="8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theme="9" tint="0.399822992645039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12"/>
      </patternFill>
    </fill>
    <fill>
      <patternFill patternType="solid">
        <fgColor indexed="13"/>
        <bgColor indexed="1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</fills>
  <borders count="9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191">
    <xf numFmtId="0" fontId="0" fillId="0" borderId="0"/>
    <xf numFmtId="168" fontId="4" fillId="0" borderId="0" applyFont="0" applyFill="0" applyBorder="0" applyAlignment="0" applyProtection="0"/>
    <xf numFmtId="175" fontId="5" fillId="0" borderId="0"/>
    <xf numFmtId="176" fontId="5" fillId="0" borderId="0"/>
    <xf numFmtId="175" fontId="5" fillId="0" borderId="0"/>
    <xf numFmtId="0" fontId="5" fillId="0" borderId="0"/>
    <xf numFmtId="177" fontId="5" fillId="0" borderId="0"/>
    <xf numFmtId="0" fontId="5" fillId="0" borderId="0"/>
    <xf numFmtId="0" fontId="10" fillId="0" borderId="0"/>
    <xf numFmtId="177" fontId="5" fillId="0" borderId="0"/>
    <xf numFmtId="176" fontId="5" fillId="0" borderId="0"/>
    <xf numFmtId="178" fontId="5" fillId="0" borderId="0"/>
    <xf numFmtId="0" fontId="5" fillId="0" borderId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4" fillId="7" borderId="0" applyNumberFormat="0" applyBorder="0" applyAlignment="0" applyProtection="0"/>
    <xf numFmtId="177" fontId="4" fillId="7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4" fillId="10" borderId="0" applyNumberFormat="0" applyBorder="0" applyAlignment="0" applyProtection="0"/>
    <xf numFmtId="177" fontId="4" fillId="10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1" fillId="24" borderId="0" applyNumberFormat="0" applyBorder="0" applyAlignment="0" applyProtection="0"/>
    <xf numFmtId="0" fontId="15" fillId="8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15" fillId="11" borderId="0" applyNumberFormat="0" applyBorder="0" applyAlignment="0" applyProtection="0"/>
    <xf numFmtId="0" fontId="21" fillId="27" borderId="0" applyNumberFormat="0" applyBorder="0" applyAlignment="0" applyProtection="0"/>
    <xf numFmtId="0" fontId="15" fillId="6" borderId="0" applyNumberFormat="0" applyBorder="0" applyAlignment="0" applyProtection="0"/>
    <xf numFmtId="0" fontId="21" fillId="28" borderId="0" applyNumberFormat="0" applyBorder="0" applyAlignment="0" applyProtection="0"/>
    <xf numFmtId="0" fontId="15" fillId="9" borderId="0" applyNumberFormat="0" applyBorder="0" applyAlignment="0" applyProtection="0"/>
    <xf numFmtId="0" fontId="21" fillId="26" borderId="0" applyNumberFormat="0" applyBorder="0" applyAlignment="0" applyProtection="0"/>
    <xf numFmtId="0" fontId="21" fillId="29" borderId="0" applyNumberFormat="0" applyBorder="0" applyAlignment="0" applyProtection="0"/>
    <xf numFmtId="177" fontId="22" fillId="0" borderId="0">
      <alignment horizontal="center" wrapText="1"/>
      <protection locked="0"/>
    </xf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12" fillId="5" borderId="0" applyNumberFormat="0" applyBorder="0" applyAlignment="0" applyProtection="0"/>
    <xf numFmtId="177" fontId="23" fillId="0" borderId="0"/>
    <xf numFmtId="177" fontId="23" fillId="0" borderId="0"/>
    <xf numFmtId="180" fontId="24" fillId="0" borderId="0" applyFill="0" applyBorder="0" applyAlignment="0"/>
    <xf numFmtId="181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175" fontId="25" fillId="0" borderId="0" applyFill="0" applyBorder="0" applyAlignment="0"/>
    <xf numFmtId="182" fontId="25" fillId="0" borderId="0" applyFill="0" applyBorder="0" applyAlignment="0"/>
    <xf numFmtId="183" fontId="25" fillId="0" borderId="0" applyFill="0" applyBorder="0" applyAlignment="0"/>
    <xf numFmtId="5" fontId="10" fillId="0" borderId="0" applyFill="0" applyBorder="0" applyAlignment="0"/>
    <xf numFmtId="5" fontId="10" fillId="0" borderId="0" applyFill="0" applyBorder="0" applyAlignment="0"/>
    <xf numFmtId="41" fontId="10" fillId="0" borderId="0" applyFill="0" applyBorder="0" applyAlignment="0"/>
    <xf numFmtId="41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0" fontId="26" fillId="30" borderId="14" applyNumberFormat="0" applyAlignment="0" applyProtection="0"/>
    <xf numFmtId="184" fontId="27" fillId="1" borderId="0" applyFill="0" applyBorder="0"/>
    <xf numFmtId="0" fontId="28" fillId="31" borderId="15" applyNumberFormat="0" applyAlignment="0" applyProtection="0"/>
    <xf numFmtId="0" fontId="29" fillId="0" borderId="0"/>
    <xf numFmtId="0" fontId="29" fillId="0" borderId="0"/>
    <xf numFmtId="0" fontId="29" fillId="0" borderId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33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32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3" fontId="10" fillId="0" borderId="0" applyFont="0" applyFill="0" applyBorder="0" applyAlignment="0" applyProtection="0"/>
    <xf numFmtId="0" fontId="34" fillId="0" borderId="0" applyNumberFormat="0" applyAlignment="0">
      <alignment horizontal="left"/>
    </xf>
    <xf numFmtId="177" fontId="35" fillId="0" borderId="0" applyNumberFormat="0" applyAlignment="0"/>
    <xf numFmtId="0" fontId="29" fillId="0" borderId="0"/>
    <xf numFmtId="0" fontId="29" fillId="0" borderId="0"/>
    <xf numFmtId="185" fontId="36" fillId="0" borderId="1"/>
    <xf numFmtId="185" fontId="36" fillId="0" borderId="1"/>
    <xf numFmtId="185" fontId="36" fillId="0" borderId="1"/>
    <xf numFmtId="185" fontId="36" fillId="0" borderId="1"/>
    <xf numFmtId="185" fontId="36" fillId="0" borderId="1"/>
    <xf numFmtId="185" fontId="36" fillId="0" borderId="1"/>
    <xf numFmtId="185" fontId="36" fillId="0" borderId="1"/>
    <xf numFmtId="185" fontId="36" fillId="0" borderId="1"/>
    <xf numFmtId="185" fontId="36" fillId="0" borderId="1"/>
    <xf numFmtId="185" fontId="36" fillId="0" borderId="1"/>
    <xf numFmtId="185" fontId="36" fillId="0" borderId="1"/>
    <xf numFmtId="185" fontId="36" fillId="0" borderId="1"/>
    <xf numFmtId="185" fontId="36" fillId="0" borderId="1"/>
    <xf numFmtId="185" fontId="36" fillId="0" borderId="1"/>
    <xf numFmtId="185" fontId="36" fillId="0" borderId="1"/>
    <xf numFmtId="185" fontId="36" fillId="0" borderId="1"/>
    <xf numFmtId="185" fontId="36" fillId="0" borderId="1"/>
    <xf numFmtId="185" fontId="36" fillId="0" borderId="1"/>
    <xf numFmtId="185" fontId="36" fillId="0" borderId="1"/>
    <xf numFmtId="185" fontId="36" fillId="0" borderId="1"/>
    <xf numFmtId="185" fontId="36" fillId="0" borderId="1"/>
    <xf numFmtId="185" fontId="36" fillId="0" borderId="1"/>
    <xf numFmtId="6" fontId="10" fillId="0" borderId="0" applyFont="0" applyFill="0" applyBorder="0" applyAlignment="0" applyProtection="0"/>
    <xf numFmtId="6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86" fontId="10" fillId="0" borderId="0" applyFont="0" applyFill="0" applyBorder="0" applyAlignment="0" applyProtection="0"/>
    <xf numFmtId="186" fontId="10" fillId="0" borderId="0" applyFont="0" applyFill="0" applyBorder="0" applyAlignment="0" applyProtection="0"/>
    <xf numFmtId="187" fontId="37" fillId="0" borderId="0">
      <protection locked="0"/>
    </xf>
    <xf numFmtId="14" fontId="24" fillId="0" borderId="0" applyFill="0" applyBorder="0" applyAlignment="0"/>
    <xf numFmtId="0" fontId="10" fillId="0" borderId="0" applyFont="0" applyFill="0" applyBorder="0" applyAlignment="0" applyProtection="0"/>
    <xf numFmtId="5" fontId="10" fillId="0" borderId="0" applyFill="0" applyBorder="0" applyAlignment="0"/>
    <xf numFmtId="5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5" fontId="10" fillId="0" borderId="0" applyFill="0" applyBorder="0" applyAlignment="0"/>
    <xf numFmtId="5" fontId="10" fillId="0" borderId="0" applyFill="0" applyBorder="0" applyAlignment="0"/>
    <xf numFmtId="41" fontId="10" fillId="0" borderId="0" applyFill="0" applyBorder="0" applyAlignment="0"/>
    <xf numFmtId="41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0" fontId="38" fillId="0" borderId="0" applyNumberFormat="0" applyAlignment="0">
      <alignment horizontal="left"/>
    </xf>
    <xf numFmtId="0" fontId="29" fillId="0" borderId="0" applyFont="0" applyFill="0" applyBorder="0" applyAlignment="0" applyProtection="0"/>
    <xf numFmtId="0" fontId="39" fillId="0" borderId="0" applyNumberFormat="0" applyFill="0" applyBorder="0" applyAlignment="0" applyProtection="0"/>
    <xf numFmtId="187" fontId="37" fillId="0" borderId="0">
      <protection locked="0"/>
    </xf>
    <xf numFmtId="0" fontId="40" fillId="16" borderId="0" applyNumberFormat="0" applyBorder="0" applyAlignment="0" applyProtection="0"/>
    <xf numFmtId="38" fontId="33" fillId="32" borderId="0" applyNumberFormat="0" applyBorder="0" applyAlignment="0" applyProtection="0"/>
    <xf numFmtId="38" fontId="33" fillId="32" borderId="0" applyNumberFormat="0" applyBorder="0" applyAlignment="0" applyProtection="0"/>
    <xf numFmtId="0" fontId="41" fillId="33" borderId="16"/>
    <xf numFmtId="0" fontId="42" fillId="0" borderId="17" applyNumberFormat="0" applyAlignment="0" applyProtection="0">
      <alignment horizontal="left" vertical="center"/>
    </xf>
    <xf numFmtId="0" fontId="42" fillId="0" borderId="18">
      <alignment horizontal="left" vertical="center"/>
    </xf>
    <xf numFmtId="0" fontId="42" fillId="0" borderId="18">
      <alignment horizontal="left" vertical="center"/>
    </xf>
    <xf numFmtId="0" fontId="42" fillId="0" borderId="18">
      <alignment horizontal="left" vertical="center"/>
    </xf>
    <xf numFmtId="0" fontId="42" fillId="0" borderId="18">
      <alignment horizontal="left" vertical="center"/>
    </xf>
    <xf numFmtId="0" fontId="42" fillId="0" borderId="18">
      <alignment horizontal="left" vertical="center"/>
    </xf>
    <xf numFmtId="0" fontId="42" fillId="0" borderId="18">
      <alignment horizontal="left" vertical="center"/>
    </xf>
    <xf numFmtId="0" fontId="42" fillId="0" borderId="18">
      <alignment horizontal="left" vertical="center"/>
    </xf>
    <xf numFmtId="0" fontId="42" fillId="0" borderId="18">
      <alignment horizontal="left" vertical="center"/>
    </xf>
    <xf numFmtId="0" fontId="42" fillId="0" borderId="18">
      <alignment horizontal="left" vertical="center"/>
    </xf>
    <xf numFmtId="0" fontId="42" fillId="0" borderId="18">
      <alignment horizontal="left" vertical="center"/>
    </xf>
    <xf numFmtId="0" fontId="43" fillId="0" borderId="19" applyNumberFormat="0" applyFill="0" applyAlignment="0" applyProtection="0"/>
    <xf numFmtId="0" fontId="44" fillId="0" borderId="20" applyNumberFormat="0" applyFill="0" applyAlignment="0" applyProtection="0"/>
    <xf numFmtId="0" fontId="45" fillId="0" borderId="21" applyNumberFormat="0" applyFill="0" applyAlignment="0" applyProtection="0"/>
    <xf numFmtId="0" fontId="45" fillId="0" borderId="0" applyNumberFormat="0" applyFill="0" applyBorder="0" applyAlignment="0" applyProtection="0"/>
    <xf numFmtId="187" fontId="46" fillId="0" borderId="0">
      <protection locked="0"/>
    </xf>
    <xf numFmtId="187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0" fontId="49" fillId="19" borderId="23" applyNumberFormat="0" applyAlignment="0" applyProtection="0"/>
    <xf numFmtId="0" fontId="49" fillId="19" borderId="23" applyNumberFormat="0" applyAlignment="0" applyProtection="0"/>
    <xf numFmtId="0" fontId="49" fillId="19" borderId="23" applyNumberFormat="0" applyAlignment="0" applyProtection="0"/>
    <xf numFmtId="0" fontId="49" fillId="19" borderId="23" applyNumberFormat="0" applyAlignment="0" applyProtection="0"/>
    <xf numFmtId="188" fontId="29" fillId="35" borderId="0"/>
    <xf numFmtId="188" fontId="29" fillId="35" borderId="0"/>
    <xf numFmtId="5" fontId="10" fillId="0" borderId="0" applyFill="0" applyBorder="0" applyAlignment="0"/>
    <xf numFmtId="5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5" fontId="10" fillId="0" borderId="0" applyFill="0" applyBorder="0" applyAlignment="0"/>
    <xf numFmtId="5" fontId="10" fillId="0" borderId="0" applyFill="0" applyBorder="0" applyAlignment="0"/>
    <xf numFmtId="41" fontId="10" fillId="0" borderId="0" applyFill="0" applyBorder="0" applyAlignment="0"/>
    <xf numFmtId="41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0" fontId="50" fillId="0" borderId="24" applyNumberFormat="0" applyFill="0" applyAlignment="0" applyProtection="0"/>
    <xf numFmtId="188" fontId="51" fillId="36" borderId="0"/>
    <xf numFmtId="188" fontId="51" fillId="36" borderId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9" fontId="52" fillId="0" borderId="0" applyFont="0" applyFill="0" applyBorder="0" applyAlignment="0" applyProtection="0"/>
    <xf numFmtId="190" fontId="10" fillId="0" borderId="0" applyFont="0" applyFill="0" applyBorder="0" applyAlignment="0" applyProtection="0"/>
    <xf numFmtId="191" fontId="52" fillId="0" borderId="0" applyFont="0" applyFill="0" applyBorder="0" applyAlignment="0" applyProtection="0"/>
    <xf numFmtId="192" fontId="52" fillId="0" borderId="0" applyFont="0" applyFill="0" applyBorder="0" applyAlignment="0" applyProtection="0"/>
    <xf numFmtId="0" fontId="53" fillId="37" borderId="0" applyNumberFormat="0" applyBorder="0" applyAlignment="0" applyProtection="0"/>
    <xf numFmtId="37" fontId="54" fillId="0" borderId="0"/>
    <xf numFmtId="191" fontId="55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176" fontId="10" fillId="0" borderId="0"/>
    <xf numFmtId="0" fontId="10" fillId="0" borderId="0"/>
    <xf numFmtId="0" fontId="10" fillId="0" borderId="0"/>
    <xf numFmtId="177" fontId="1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7" fontId="4" fillId="0" borderId="0"/>
    <xf numFmtId="0" fontId="10" fillId="0" borderId="0"/>
    <xf numFmtId="177" fontId="10" fillId="0" borderId="0"/>
    <xf numFmtId="0" fontId="10" fillId="0" borderId="0"/>
    <xf numFmtId="177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177" fontId="10" fillId="0" borderId="0"/>
    <xf numFmtId="0" fontId="10" fillId="0" borderId="0"/>
    <xf numFmtId="6" fontId="5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6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3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8" fontId="10" fillId="0" borderId="0"/>
    <xf numFmtId="178" fontId="10" fillId="0" borderId="0"/>
    <xf numFmtId="0" fontId="56" fillId="0" borderId="0"/>
    <xf numFmtId="178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176" fontId="5" fillId="0" borderId="0"/>
    <xf numFmtId="0" fontId="10" fillId="0" borderId="0"/>
    <xf numFmtId="0" fontId="10" fillId="0" borderId="0"/>
    <xf numFmtId="0" fontId="10" fillId="0" borderId="0"/>
    <xf numFmtId="176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0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178" fontId="10" fillId="0" borderId="0"/>
    <xf numFmtId="0" fontId="10" fillId="0" borderId="0"/>
    <xf numFmtId="0" fontId="10" fillId="0" borderId="0"/>
    <xf numFmtId="0" fontId="56" fillId="0" borderId="0"/>
    <xf numFmtId="0" fontId="10" fillId="0" borderId="0"/>
    <xf numFmtId="176" fontId="5" fillId="0" borderId="0"/>
    <xf numFmtId="0" fontId="5" fillId="0" borderId="0"/>
    <xf numFmtId="0" fontId="5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6" fontId="5" fillId="0" borderId="0"/>
    <xf numFmtId="178" fontId="10" fillId="0" borderId="0"/>
    <xf numFmtId="193" fontId="10" fillId="0" borderId="0"/>
    <xf numFmtId="178" fontId="10" fillId="0" borderId="0"/>
    <xf numFmtId="176" fontId="5" fillId="0" borderId="0"/>
    <xf numFmtId="178" fontId="10" fillId="0" borderId="0"/>
    <xf numFmtId="178" fontId="10" fillId="0" borderId="0"/>
    <xf numFmtId="178" fontId="10" fillId="0" borderId="0"/>
    <xf numFmtId="176" fontId="5" fillId="0" borderId="0"/>
    <xf numFmtId="178" fontId="10" fillId="0" borderId="0"/>
    <xf numFmtId="178" fontId="10" fillId="0" borderId="0"/>
    <xf numFmtId="178" fontId="10" fillId="0" borderId="0"/>
    <xf numFmtId="176" fontId="5" fillId="0" borderId="0"/>
    <xf numFmtId="178" fontId="10" fillId="0" borderId="0"/>
    <xf numFmtId="178" fontId="10" fillId="0" borderId="0"/>
    <xf numFmtId="178" fontId="10" fillId="0" borderId="0"/>
    <xf numFmtId="194" fontId="10" fillId="0" borderId="0"/>
    <xf numFmtId="178" fontId="10" fillId="0" borderId="0"/>
    <xf numFmtId="178" fontId="10" fillId="0" borderId="0"/>
    <xf numFmtId="178" fontId="10" fillId="0" borderId="0"/>
    <xf numFmtId="176" fontId="5" fillId="0" borderId="0"/>
    <xf numFmtId="178" fontId="10" fillId="0" borderId="0"/>
    <xf numFmtId="178" fontId="10" fillId="0" borderId="0"/>
    <xf numFmtId="178" fontId="10" fillId="0" borderId="0"/>
    <xf numFmtId="0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176" fontId="10" fillId="0" borderId="0"/>
    <xf numFmtId="0" fontId="57" fillId="0" borderId="0"/>
    <xf numFmtId="0" fontId="10" fillId="0" borderId="0"/>
    <xf numFmtId="0" fontId="57" fillId="0" borderId="0"/>
    <xf numFmtId="0" fontId="10" fillId="0" borderId="0"/>
    <xf numFmtId="0" fontId="57" fillId="0" borderId="0"/>
    <xf numFmtId="0" fontId="10" fillId="0" borderId="0"/>
    <xf numFmtId="0" fontId="10" fillId="0" borderId="0"/>
    <xf numFmtId="0" fontId="10" fillId="0" borderId="0"/>
    <xf numFmtId="179" fontId="10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7" fillId="0" borderId="0"/>
    <xf numFmtId="0" fontId="5" fillId="0" borderId="0"/>
    <xf numFmtId="0" fontId="5" fillId="0" borderId="0"/>
    <xf numFmtId="0" fontId="4" fillId="0" borderId="0"/>
    <xf numFmtId="0" fontId="1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5" fillId="0" borderId="0"/>
    <xf numFmtId="0" fontId="5" fillId="0" borderId="0"/>
    <xf numFmtId="182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10" fillId="0" borderId="0"/>
    <xf numFmtId="176" fontId="5" fillId="0" borderId="0"/>
    <xf numFmtId="37" fontId="58" fillId="0" borderId="0"/>
    <xf numFmtId="37" fontId="58" fillId="0" borderId="0"/>
    <xf numFmtId="0" fontId="10" fillId="0" borderId="0"/>
    <xf numFmtId="37" fontId="58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5" fillId="0" borderId="0"/>
    <xf numFmtId="176" fontId="5" fillId="0" borderId="0"/>
    <xf numFmtId="177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82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10" fillId="0" borderId="0"/>
    <xf numFmtId="177" fontId="5" fillId="0" borderId="0"/>
    <xf numFmtId="176" fontId="5" fillId="0" borderId="0"/>
    <xf numFmtId="0" fontId="10" fillId="0" borderId="0"/>
    <xf numFmtId="176" fontId="5" fillId="0" borderId="0"/>
    <xf numFmtId="0" fontId="10" fillId="0" borderId="0"/>
    <xf numFmtId="0" fontId="10" fillId="0" borderId="0"/>
    <xf numFmtId="0" fontId="10" fillId="0" borderId="0"/>
    <xf numFmtId="177" fontId="3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5" fillId="0" borderId="0"/>
    <xf numFmtId="0" fontId="4" fillId="0" borderId="0"/>
    <xf numFmtId="187" fontId="5" fillId="0" borderId="0"/>
    <xf numFmtId="173" fontId="5" fillId="0" borderId="0"/>
    <xf numFmtId="0" fontId="20" fillId="0" borderId="0"/>
    <xf numFmtId="0" fontId="10" fillId="0" borderId="0"/>
    <xf numFmtId="0" fontId="20" fillId="0" borderId="0"/>
    <xf numFmtId="0" fontId="10" fillId="0" borderId="0"/>
    <xf numFmtId="0" fontId="10" fillId="0" borderId="0"/>
    <xf numFmtId="195" fontId="29" fillId="0" borderId="0"/>
    <xf numFmtId="177" fontId="10" fillId="0" borderId="0"/>
    <xf numFmtId="0" fontId="10" fillId="0" borderId="0"/>
    <xf numFmtId="0" fontId="10" fillId="0" borderId="0"/>
    <xf numFmtId="177" fontId="10" fillId="0" borderId="0"/>
    <xf numFmtId="0" fontId="10" fillId="0" borderId="0"/>
    <xf numFmtId="189" fontId="29" fillId="0" borderId="0"/>
    <xf numFmtId="177" fontId="10" fillId="0" borderId="0"/>
    <xf numFmtId="0" fontId="5" fillId="0" borderId="0"/>
    <xf numFmtId="0" fontId="10" fillId="0" borderId="0"/>
    <xf numFmtId="0" fontId="5" fillId="0" borderId="0"/>
    <xf numFmtId="0" fontId="10" fillId="0" borderId="0"/>
    <xf numFmtId="0" fontId="59" fillId="0" borderId="0" applyNumberFormat="0" applyFont="0" applyFill="0" applyAlignment="0" applyProtection="0"/>
    <xf numFmtId="177" fontId="10" fillId="0" borderId="0"/>
    <xf numFmtId="177" fontId="10" fillId="0" borderId="0"/>
    <xf numFmtId="0" fontId="10" fillId="38" borderId="25" applyNumberFormat="0" applyFont="0" applyAlignment="0" applyProtection="0"/>
    <xf numFmtId="0" fontId="10" fillId="38" borderId="25" applyNumberFormat="0" applyFont="0" applyAlignment="0" applyProtection="0"/>
    <xf numFmtId="0" fontId="20" fillId="38" borderId="25" applyNumberFormat="0" applyFont="0" applyAlignment="0" applyProtection="0"/>
    <xf numFmtId="0" fontId="20" fillId="38" borderId="25" applyNumberFormat="0" applyFont="0" applyAlignment="0" applyProtection="0"/>
    <xf numFmtId="0" fontId="20" fillId="38" borderId="25" applyNumberFormat="0" applyFont="0" applyAlignment="0" applyProtection="0"/>
    <xf numFmtId="0" fontId="20" fillId="38" borderId="25" applyNumberFormat="0" applyFont="0" applyAlignment="0" applyProtection="0"/>
    <xf numFmtId="0" fontId="20" fillId="38" borderId="25" applyNumberFormat="0" applyFont="0" applyAlignment="0" applyProtection="0"/>
    <xf numFmtId="0" fontId="10" fillId="38" borderId="25" applyNumberFormat="0" applyFont="0" applyAlignment="0" applyProtection="0"/>
    <xf numFmtId="0" fontId="10" fillId="38" borderId="25" applyNumberFormat="0" applyFont="0" applyAlignment="0" applyProtection="0"/>
    <xf numFmtId="0" fontId="10" fillId="38" borderId="25" applyNumberFormat="0" applyFont="0" applyAlignment="0" applyProtection="0"/>
    <xf numFmtId="0" fontId="10" fillId="38" borderId="25" applyNumberFormat="0" applyFont="0" applyAlignment="0" applyProtection="0"/>
    <xf numFmtId="0" fontId="10" fillId="38" borderId="25" applyNumberFormat="0" applyFont="0" applyAlignment="0" applyProtection="0"/>
    <xf numFmtId="170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60" fillId="30" borderId="26" applyNumberFormat="0" applyAlignment="0" applyProtection="0"/>
    <xf numFmtId="14" fontId="22" fillId="0" borderId="0">
      <alignment horizontal="center" wrapText="1"/>
      <protection locked="0"/>
    </xf>
    <xf numFmtId="183" fontId="25" fillId="0" borderId="0" applyFont="0" applyFill="0" applyBorder="0" applyAlignment="0" applyProtection="0"/>
    <xf numFmtId="6" fontId="25" fillId="0" borderId="0" applyFont="0" applyFill="0" applyBorder="0" applyAlignment="0" applyProtection="0"/>
    <xf numFmtId="10" fontId="10" fillId="0" borderId="0" applyFont="0" applyFill="0" applyBorder="0" applyAlignment="0" applyProtection="0"/>
    <xf numFmtId="10" fontId="1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2" fillId="0" borderId="27" applyNumberFormat="0" applyBorder="0"/>
    <xf numFmtId="196" fontId="63" fillId="0" borderId="0"/>
    <xf numFmtId="5" fontId="10" fillId="0" borderId="0" applyFill="0" applyBorder="0" applyAlignment="0"/>
    <xf numFmtId="5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5" fontId="10" fillId="0" borderId="0" applyFill="0" applyBorder="0" applyAlignment="0"/>
    <xf numFmtId="5" fontId="10" fillId="0" borderId="0" applyFill="0" applyBorder="0" applyAlignment="0"/>
    <xf numFmtId="41" fontId="10" fillId="0" borderId="0" applyFill="0" applyBorder="0" applyAlignment="0"/>
    <xf numFmtId="41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172" fontId="64" fillId="0" borderId="0"/>
    <xf numFmtId="172" fontId="64" fillId="0" borderId="0"/>
    <xf numFmtId="177" fontId="62" fillId="0" borderId="0" applyNumberFormat="0" applyFont="0" applyFill="0" applyBorder="0" applyAlignment="0" applyProtection="0">
      <alignment horizontal="left"/>
    </xf>
    <xf numFmtId="197" fontId="65" fillId="0" borderId="0" applyNumberFormat="0" applyFill="0" applyBorder="0" applyAlignment="0" applyProtection="0">
      <alignment horizontal="left"/>
    </xf>
    <xf numFmtId="178" fontId="10" fillId="0" borderId="0" applyNumberFormat="0" applyFill="0" applyBorder="0" applyAlignment="0" applyProtection="0">
      <alignment horizontal="left"/>
    </xf>
    <xf numFmtId="3" fontId="63" fillId="0" borderId="0"/>
    <xf numFmtId="0" fontId="66" fillId="0" borderId="28"/>
    <xf numFmtId="0" fontId="66" fillId="0" borderId="28"/>
    <xf numFmtId="0" fontId="66" fillId="0" borderId="28"/>
    <xf numFmtId="0" fontId="66" fillId="0" borderId="28"/>
    <xf numFmtId="0" fontId="66" fillId="0" borderId="28"/>
    <xf numFmtId="0" fontId="66" fillId="0" borderId="28"/>
    <xf numFmtId="0" fontId="66" fillId="0" borderId="28"/>
    <xf numFmtId="0" fontId="66" fillId="0" borderId="28"/>
    <xf numFmtId="0" fontId="66" fillId="0" borderId="28"/>
    <xf numFmtId="0" fontId="66" fillId="0" borderId="28"/>
    <xf numFmtId="0" fontId="67" fillId="0" borderId="0"/>
    <xf numFmtId="1" fontId="68" fillId="0" borderId="0" applyBorder="0">
      <alignment horizontal="left" vertical="top" wrapText="1"/>
    </xf>
    <xf numFmtId="0" fontId="69" fillId="0" borderId="1">
      <alignment horizontal="center"/>
    </xf>
    <xf numFmtId="0" fontId="24" fillId="0" borderId="0">
      <alignment vertical="top"/>
    </xf>
    <xf numFmtId="0" fontId="69" fillId="0" borderId="1">
      <alignment horizontal="center"/>
    </xf>
    <xf numFmtId="0" fontId="69" fillId="0" borderId="1">
      <alignment horizontal="center"/>
    </xf>
    <xf numFmtId="0" fontId="69" fillId="0" borderId="1">
      <alignment horizontal="center"/>
    </xf>
    <xf numFmtId="0" fontId="69" fillId="0" borderId="1">
      <alignment horizontal="center"/>
    </xf>
    <xf numFmtId="0" fontId="69" fillId="0" borderId="1">
      <alignment horizontal="center"/>
    </xf>
    <xf numFmtId="0" fontId="69" fillId="0" borderId="1">
      <alignment horizontal="center"/>
    </xf>
    <xf numFmtId="0" fontId="69" fillId="0" borderId="1">
      <alignment horizontal="center"/>
    </xf>
    <xf numFmtId="0" fontId="69" fillId="0" borderId="1">
      <alignment horizontal="center"/>
    </xf>
    <xf numFmtId="0" fontId="69" fillId="0" borderId="1">
      <alignment horizontal="center"/>
    </xf>
    <xf numFmtId="0" fontId="69" fillId="0" borderId="1">
      <alignment horizontal="center"/>
    </xf>
    <xf numFmtId="0" fontId="69" fillId="0" borderId="1">
      <alignment horizontal="center"/>
    </xf>
    <xf numFmtId="0" fontId="69" fillId="0" borderId="1">
      <alignment horizontal="center"/>
    </xf>
    <xf numFmtId="0" fontId="69" fillId="0" borderId="1">
      <alignment horizontal="center"/>
    </xf>
    <xf numFmtId="0" fontId="69" fillId="0" borderId="1">
      <alignment horizontal="center"/>
    </xf>
    <xf numFmtId="0" fontId="69" fillId="0" borderId="1">
      <alignment horizontal="center"/>
    </xf>
    <xf numFmtId="0" fontId="69" fillId="0" borderId="1">
      <alignment horizontal="center"/>
    </xf>
    <xf numFmtId="0" fontId="69" fillId="0" borderId="1">
      <alignment horizontal="center"/>
    </xf>
    <xf numFmtId="0" fontId="69" fillId="0" borderId="1">
      <alignment horizontal="center"/>
    </xf>
    <xf numFmtId="0" fontId="69" fillId="0" borderId="1">
      <alignment horizontal="center"/>
    </xf>
    <xf numFmtId="0" fontId="69" fillId="0" borderId="1">
      <alignment horizontal="center"/>
    </xf>
    <xf numFmtId="0" fontId="69" fillId="0" borderId="1">
      <alignment horizontal="center"/>
    </xf>
    <xf numFmtId="0" fontId="69" fillId="0" borderId="0">
      <alignment horizontal="center" vertical="center"/>
    </xf>
    <xf numFmtId="0" fontId="70" fillId="39" borderId="0" applyNumberFormat="0" applyFill="0">
      <alignment horizontal="left" vertical="center"/>
    </xf>
    <xf numFmtId="0" fontId="71" fillId="0" borderId="29"/>
    <xf numFmtId="40" fontId="72" fillId="0" borderId="0" applyBorder="0">
      <alignment horizontal="right"/>
    </xf>
    <xf numFmtId="40" fontId="72" fillId="0" borderId="0" applyBorder="0">
      <alignment horizontal="right"/>
    </xf>
    <xf numFmtId="49" fontId="10" fillId="32" borderId="0" applyFont="0" applyBorder="0">
      <alignment horizontal="left"/>
    </xf>
    <xf numFmtId="49" fontId="10" fillId="32" borderId="0" applyFont="0" applyBorder="0">
      <alignment horizontal="left"/>
    </xf>
    <xf numFmtId="49" fontId="24" fillId="0" borderId="0" applyFill="0" applyBorder="0" applyAlignment="0"/>
    <xf numFmtId="198" fontId="25" fillId="0" borderId="0" applyFill="0" applyBorder="0" applyAlignment="0"/>
    <xf numFmtId="43" fontId="10" fillId="0" borderId="0" applyFill="0" applyBorder="0" applyAlignment="0"/>
    <xf numFmtId="43" fontId="10" fillId="0" borderId="0" applyFill="0" applyBorder="0" applyAlignment="0"/>
    <xf numFmtId="41" fontId="10" fillId="0" borderId="0" applyFont="0" applyFill="0" applyBorder="0" applyAlignment="0" applyProtection="0"/>
    <xf numFmtId="0" fontId="73" fillId="0" borderId="0" applyNumberFormat="0" applyFill="0" applyBorder="0" applyAlignment="0" applyProtection="0"/>
    <xf numFmtId="187" fontId="37" fillId="0" borderId="30">
      <protection locked="0"/>
    </xf>
    <xf numFmtId="187" fontId="37" fillId="0" borderId="30">
      <protection locked="0"/>
    </xf>
    <xf numFmtId="187" fontId="37" fillId="0" borderId="30">
      <protection locked="0"/>
    </xf>
    <xf numFmtId="187" fontId="37" fillId="0" borderId="30">
      <protection locked="0"/>
    </xf>
    <xf numFmtId="187" fontId="37" fillId="0" borderId="30">
      <protection locked="0"/>
    </xf>
    <xf numFmtId="187" fontId="37" fillId="0" borderId="30">
      <protection locked="0"/>
    </xf>
    <xf numFmtId="187" fontId="37" fillId="0" borderId="30">
      <protection locked="0"/>
    </xf>
    <xf numFmtId="0" fontId="74" fillId="0" borderId="31" applyNumberFormat="0" applyFill="0" applyAlignment="0" applyProtection="0"/>
    <xf numFmtId="4" fontId="75" fillId="0" borderId="0" applyFont="0" applyFill="0" applyBorder="0" applyAlignment="0" applyProtection="0"/>
    <xf numFmtId="199" fontId="10" fillId="0" borderId="0" applyFont="0" applyFill="0" applyBorder="0" applyAlignment="0" applyProtection="0"/>
    <xf numFmtId="200" fontId="75" fillId="0" borderId="0" applyFon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2"/>
    <xf numFmtId="40" fontId="78" fillId="0" borderId="0" applyFont="0" applyFill="0" applyBorder="0" applyAlignment="0" applyProtection="0"/>
    <xf numFmtId="38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8" fillId="0" borderId="0" applyFont="0" applyFill="0" applyBorder="0" applyAlignment="0" applyProtection="0"/>
    <xf numFmtId="10" fontId="10" fillId="0" borderId="0" applyFont="0" applyFill="0" applyBorder="0" applyAlignment="0" applyProtection="0"/>
    <xf numFmtId="0" fontId="79" fillId="0" borderId="0"/>
    <xf numFmtId="170" fontId="10" fillId="0" borderId="0" applyFont="0" applyFill="0" applyBorder="0" applyAlignment="0" applyProtection="0"/>
    <xf numFmtId="201" fontId="10" fillId="0" borderId="0" applyFont="0" applyFill="0" applyBorder="0" applyAlignment="0" applyProtection="0"/>
    <xf numFmtId="202" fontId="10" fillId="0" borderId="0" applyFont="0" applyFill="0" applyBorder="0" applyAlignment="0" applyProtection="0"/>
    <xf numFmtId="203" fontId="80" fillId="0" borderId="0" applyFont="0" applyFill="0" applyBorder="0" applyAlignment="0" applyProtection="0"/>
    <xf numFmtId="204" fontId="80" fillId="0" borderId="0" applyFont="0" applyFill="0" applyBorder="0" applyAlignment="0" applyProtection="0"/>
    <xf numFmtId="0" fontId="81" fillId="0" borderId="0"/>
    <xf numFmtId="0" fontId="82" fillId="0" borderId="0"/>
    <xf numFmtId="178" fontId="5" fillId="0" borderId="0"/>
    <xf numFmtId="178" fontId="5" fillId="0" borderId="0"/>
    <xf numFmtId="178" fontId="5" fillId="0" borderId="0"/>
    <xf numFmtId="180" fontId="3" fillId="0" borderId="0"/>
    <xf numFmtId="180" fontId="3" fillId="0" borderId="0"/>
    <xf numFmtId="0" fontId="3" fillId="0" borderId="0"/>
    <xf numFmtId="176" fontId="3" fillId="0" borderId="0"/>
    <xf numFmtId="180" fontId="3" fillId="0" borderId="0"/>
    <xf numFmtId="6" fontId="3" fillId="0" borderId="0"/>
    <xf numFmtId="0" fontId="3" fillId="0" borderId="0"/>
    <xf numFmtId="176" fontId="3" fillId="0" borderId="0"/>
    <xf numFmtId="6" fontId="3" fillId="0" borderId="0"/>
    <xf numFmtId="0" fontId="3" fillId="0" borderId="0"/>
    <xf numFmtId="0" fontId="3" fillId="0" borderId="0"/>
    <xf numFmtId="180" fontId="2" fillId="0" borderId="0"/>
    <xf numFmtId="180" fontId="2" fillId="0" borderId="0"/>
    <xf numFmtId="176" fontId="2" fillId="0" borderId="0"/>
    <xf numFmtId="175" fontId="1" fillId="0" borderId="0"/>
    <xf numFmtId="176" fontId="1" fillId="0" borderId="0"/>
    <xf numFmtId="180" fontId="1" fillId="0" borderId="0"/>
    <xf numFmtId="180" fontId="1" fillId="0" borderId="0"/>
    <xf numFmtId="0" fontId="1" fillId="0" borderId="0"/>
    <xf numFmtId="180" fontId="1" fillId="0" borderId="0"/>
    <xf numFmtId="176" fontId="1" fillId="0" borderId="0"/>
    <xf numFmtId="186" fontId="1" fillId="0" borderId="0"/>
    <xf numFmtId="175" fontId="1" fillId="0" borderId="0"/>
    <xf numFmtId="176" fontId="1" fillId="0" borderId="0"/>
    <xf numFmtId="180" fontId="1" fillId="0" borderId="0"/>
    <xf numFmtId="180" fontId="1" fillId="0" borderId="0"/>
    <xf numFmtId="180" fontId="1" fillId="0" borderId="0"/>
    <xf numFmtId="176" fontId="1" fillId="0" borderId="0"/>
    <xf numFmtId="186" fontId="1" fillId="0" borderId="0"/>
    <xf numFmtId="0" fontId="30" fillId="0" borderId="0"/>
    <xf numFmtId="0" fontId="1" fillId="0" borderId="0"/>
    <xf numFmtId="179" fontId="1" fillId="0" borderId="0"/>
    <xf numFmtId="0" fontId="1" fillId="0" borderId="0"/>
    <xf numFmtId="181" fontId="1" fillId="0" borderId="0"/>
    <xf numFmtId="175" fontId="1" fillId="0" borderId="0"/>
    <xf numFmtId="176" fontId="1" fillId="0" borderId="0"/>
    <xf numFmtId="180" fontId="1" fillId="0" borderId="0"/>
    <xf numFmtId="180" fontId="1" fillId="0" borderId="0"/>
    <xf numFmtId="180" fontId="1" fillId="0" borderId="0"/>
    <xf numFmtId="176" fontId="1" fillId="0" borderId="0"/>
    <xf numFmtId="186" fontId="1" fillId="0" borderId="0"/>
    <xf numFmtId="175" fontId="1" fillId="0" borderId="0"/>
    <xf numFmtId="176" fontId="1" fillId="0" borderId="0"/>
    <xf numFmtId="180" fontId="1" fillId="0" borderId="0"/>
    <xf numFmtId="180" fontId="1" fillId="0" borderId="0"/>
    <xf numFmtId="180" fontId="1" fillId="0" borderId="0"/>
    <xf numFmtId="176" fontId="1" fillId="0" borderId="0"/>
    <xf numFmtId="186" fontId="1" fillId="0" borderId="0"/>
    <xf numFmtId="175" fontId="1" fillId="0" borderId="0"/>
    <xf numFmtId="176" fontId="1" fillId="0" borderId="0"/>
    <xf numFmtId="180" fontId="1" fillId="0" borderId="0"/>
    <xf numFmtId="180" fontId="1" fillId="0" borderId="0"/>
    <xf numFmtId="180" fontId="1" fillId="0" borderId="0"/>
    <xf numFmtId="176" fontId="1" fillId="0" borderId="0"/>
    <xf numFmtId="186" fontId="1" fillId="0" borderId="0"/>
    <xf numFmtId="175" fontId="1" fillId="0" borderId="0"/>
    <xf numFmtId="176" fontId="1" fillId="0" borderId="0"/>
    <xf numFmtId="180" fontId="1" fillId="0" borderId="0"/>
    <xf numFmtId="180" fontId="1" fillId="0" borderId="0"/>
    <xf numFmtId="180" fontId="1" fillId="0" borderId="0"/>
    <xf numFmtId="176" fontId="1" fillId="0" borderId="0"/>
    <xf numFmtId="186" fontId="1" fillId="0" borderId="0"/>
    <xf numFmtId="176" fontId="1" fillId="0" borderId="0"/>
    <xf numFmtId="175" fontId="1" fillId="0" borderId="0"/>
    <xf numFmtId="180" fontId="1" fillId="0" borderId="0"/>
    <xf numFmtId="180" fontId="1" fillId="0" borderId="0"/>
    <xf numFmtId="181" fontId="1" fillId="0" borderId="0"/>
    <xf numFmtId="181" fontId="1" fillId="0" borderId="0"/>
    <xf numFmtId="181" fontId="1" fillId="0" borderId="0"/>
    <xf numFmtId="181" fontId="1" fillId="0" borderId="0"/>
    <xf numFmtId="181" fontId="1" fillId="0" borderId="0"/>
    <xf numFmtId="181" fontId="1" fillId="0" borderId="0"/>
    <xf numFmtId="181" fontId="1" fillId="0" borderId="0"/>
    <xf numFmtId="181" fontId="1" fillId="0" borderId="0"/>
    <xf numFmtId="167" fontId="89" fillId="0" borderId="0" applyFont="0" applyFill="0" applyBorder="0" applyAlignment="0" applyProtection="0"/>
    <xf numFmtId="205" fontId="10" fillId="0" borderId="0" applyFont="0" applyFill="0" applyBorder="0" applyAlignment="0" applyProtection="0"/>
    <xf numFmtId="206" fontId="10" fillId="0" borderId="0" applyFont="0" applyFill="0" applyBorder="0" applyAlignment="0" applyProtection="0"/>
    <xf numFmtId="176" fontId="90" fillId="0" borderId="0" applyFont="0" applyFill="0" applyBorder="0" applyAlignment="0" applyProtection="0"/>
    <xf numFmtId="207" fontId="10" fillId="0" borderId="0" applyFont="0" applyFill="0" applyBorder="0" applyAlignment="0" applyProtection="0"/>
    <xf numFmtId="169" fontId="33" fillId="0" borderId="0" applyFont="0" applyFill="0" applyBorder="0" applyAlignment="0" applyProtection="0"/>
    <xf numFmtId="208" fontId="10" fillId="0" borderId="0" applyFont="0" applyFill="0" applyBorder="0" applyAlignment="0" applyProtection="0"/>
    <xf numFmtId="171" fontId="10" fillId="0" borderId="0" applyFont="0" applyFill="0" applyBorder="0" applyAlignment="0" applyProtection="0"/>
    <xf numFmtId="209" fontId="10" fillId="0" borderId="0" applyFont="0" applyFill="0" applyBorder="0" applyAlignment="0" applyProtection="0"/>
    <xf numFmtId="210" fontId="10" fillId="0" borderId="0" applyFont="0" applyFill="0" applyBorder="0" applyAlignment="0" applyProtection="0"/>
    <xf numFmtId="211" fontId="10" fillId="0" borderId="0" applyFont="0" applyFill="0" applyBorder="0" applyAlignment="0" applyProtection="0"/>
    <xf numFmtId="176" fontId="91" fillId="0" borderId="0"/>
    <xf numFmtId="176" fontId="91" fillId="0" borderId="0"/>
    <xf numFmtId="176" fontId="91" fillId="0" borderId="0"/>
    <xf numFmtId="176" fontId="91" fillId="0" borderId="0"/>
    <xf numFmtId="176" fontId="91" fillId="0" borderId="0"/>
    <xf numFmtId="176" fontId="91" fillId="0" borderId="0"/>
    <xf numFmtId="176" fontId="91" fillId="0" borderId="0"/>
    <xf numFmtId="176" fontId="91" fillId="0" borderId="0"/>
    <xf numFmtId="0" fontId="90" fillId="0" borderId="0" applyFont="0" applyFill="0" applyBorder="0" applyAlignment="0" applyProtection="0"/>
    <xf numFmtId="177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177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177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177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176" fontId="4" fillId="7" borderId="0" applyNumberFormat="0" applyBorder="0" applyAlignment="0" applyProtection="0"/>
    <xf numFmtId="177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177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177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177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177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177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177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177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177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177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177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177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177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177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177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177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177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177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177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177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177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7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7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7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6" fontId="4" fillId="10" borderId="0" applyNumberFormat="0" applyBorder="0" applyAlignment="0" applyProtection="0"/>
    <xf numFmtId="177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7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7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7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7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7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7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7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177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177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177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177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177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177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177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177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177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177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177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177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177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177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177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177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177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177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177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177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177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177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177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177" fontId="21" fillId="24" borderId="0" applyNumberFormat="0" applyBorder="0" applyAlignment="0" applyProtection="0"/>
    <xf numFmtId="177" fontId="21" fillId="21" borderId="0" applyNumberFormat="0" applyBorder="0" applyAlignment="0" applyProtection="0"/>
    <xf numFmtId="177" fontId="21" fillId="22" borderId="0" applyNumberFormat="0" applyBorder="0" applyAlignment="0" applyProtection="0"/>
    <xf numFmtId="177" fontId="21" fillId="25" borderId="0" applyNumberFormat="0" applyBorder="0" applyAlignment="0" applyProtection="0"/>
    <xf numFmtId="177" fontId="21" fillId="26" borderId="0" applyNumberFormat="0" applyBorder="0" applyAlignment="0" applyProtection="0"/>
    <xf numFmtId="177" fontId="21" fillId="41" borderId="0" applyNumberFormat="0" applyBorder="0" applyAlignment="0" applyProtection="0"/>
    <xf numFmtId="177" fontId="21" fillId="27" borderId="0" applyNumberFormat="0" applyBorder="0" applyAlignment="0" applyProtection="0"/>
    <xf numFmtId="177" fontId="21" fillId="42" borderId="0" applyNumberFormat="0" applyBorder="0" applyAlignment="0" applyProtection="0"/>
    <xf numFmtId="177" fontId="21" fillId="28" borderId="0" applyNumberFormat="0" applyBorder="0" applyAlignment="0" applyProtection="0"/>
    <xf numFmtId="177" fontId="21" fillId="25" borderId="0" applyNumberFormat="0" applyBorder="0" applyAlignment="0" applyProtection="0"/>
    <xf numFmtId="177" fontId="21" fillId="26" borderId="0" applyNumberFormat="0" applyBorder="0" applyAlignment="0" applyProtection="0"/>
    <xf numFmtId="177" fontId="21" fillId="29" borderId="0" applyNumberFormat="0" applyBorder="0" applyAlignment="0" applyProtection="0"/>
    <xf numFmtId="212" fontId="10" fillId="0" borderId="0" applyFont="0" applyFill="0" applyBorder="0" applyAlignment="0" applyProtection="0"/>
    <xf numFmtId="185" fontId="10" fillId="0" borderId="0" applyFont="0" applyFill="0" applyBorder="0" applyAlignment="0" applyProtection="0"/>
    <xf numFmtId="177" fontId="22" fillId="0" borderId="0">
      <alignment horizontal="center" wrapText="1"/>
      <protection locked="0"/>
    </xf>
    <xf numFmtId="213" fontId="10" fillId="0" borderId="0" applyFont="0" applyFill="0" applyBorder="0" applyAlignment="0" applyProtection="0"/>
    <xf numFmtId="214" fontId="10" fillId="0" borderId="0" applyFont="0" applyFill="0" applyBorder="0" applyAlignment="0" applyProtection="0"/>
    <xf numFmtId="177" fontId="92" fillId="15" borderId="0" applyNumberFormat="0" applyBorder="0" applyAlignment="0" applyProtection="0"/>
    <xf numFmtId="176" fontId="90" fillId="0" borderId="0"/>
    <xf numFmtId="177" fontId="26" fillId="30" borderId="35" applyNumberFormat="0" applyAlignment="0" applyProtection="0"/>
    <xf numFmtId="0" fontId="26" fillId="30" borderId="35" applyNumberFormat="0" applyAlignment="0" applyProtection="0"/>
    <xf numFmtId="176" fontId="26" fillId="30" borderId="35" applyNumberFormat="0" applyAlignment="0" applyProtection="0"/>
    <xf numFmtId="177" fontId="28" fillId="31" borderId="15" applyNumberFormat="0" applyAlignment="0" applyProtection="0"/>
    <xf numFmtId="0" fontId="28" fillId="31" borderId="15" applyNumberFormat="0" applyAlignment="0" applyProtection="0"/>
    <xf numFmtId="177" fontId="29" fillId="0" borderId="0"/>
    <xf numFmtId="177" fontId="29" fillId="0" borderId="0"/>
    <xf numFmtId="177" fontId="29" fillId="0" borderId="0"/>
    <xf numFmtId="0" fontId="91" fillId="0" borderId="0"/>
    <xf numFmtId="0" fontId="91" fillId="0" borderId="0"/>
    <xf numFmtId="0" fontId="91" fillId="0" borderId="0"/>
    <xf numFmtId="0" fontId="93" fillId="0" borderId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20" fillId="0" borderId="0" applyFont="0" applyFill="0" applyBorder="0" applyAlignment="0" applyProtection="0"/>
    <xf numFmtId="0" fontId="94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77" fontId="34" fillId="0" borderId="0" applyNumberFormat="0" applyAlignment="0">
      <alignment horizontal="left"/>
    </xf>
    <xf numFmtId="177" fontId="35" fillId="0" borderId="0" applyNumberFormat="0" applyAlignment="0"/>
    <xf numFmtId="177" fontId="29" fillId="0" borderId="0"/>
    <xf numFmtId="177" fontId="29" fillId="0" borderId="0"/>
    <xf numFmtId="185" fontId="36" fillId="0" borderId="22"/>
    <xf numFmtId="185" fontId="36" fillId="0" borderId="22"/>
    <xf numFmtId="176" fontId="20" fillId="0" borderId="0" applyFont="0" applyFill="0" applyBorder="0" applyAlignment="0" applyProtection="0"/>
    <xf numFmtId="176" fontId="20" fillId="0" borderId="0" applyFont="0" applyFill="0" applyBorder="0" applyAlignment="0" applyProtection="0"/>
    <xf numFmtId="176" fontId="95" fillId="0" borderId="0" applyFont="0" applyFill="0" applyBorder="0" applyAlignment="0" applyProtection="0"/>
    <xf numFmtId="0" fontId="24" fillId="0" borderId="0" applyFill="0" applyBorder="0" applyAlignment="0"/>
    <xf numFmtId="177" fontId="38" fillId="0" borderId="0" applyNumberFormat="0" applyAlignment="0">
      <alignment horizontal="left"/>
    </xf>
    <xf numFmtId="177" fontId="29" fillId="0" borderId="0" applyFont="0" applyFill="0" applyBorder="0" applyAlignment="0" applyProtection="0"/>
    <xf numFmtId="176" fontId="30" fillId="0" borderId="0"/>
    <xf numFmtId="177" fontId="39" fillId="0" borderId="0" applyNumberFormat="0" applyFill="0" applyBorder="0" applyAlignment="0" applyProtection="0"/>
    <xf numFmtId="177" fontId="40" fillId="16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177" fontId="41" fillId="33" borderId="16"/>
    <xf numFmtId="177" fontId="42" fillId="0" borderId="17" applyNumberFormat="0" applyAlignment="0" applyProtection="0">
      <alignment horizontal="left" vertical="center"/>
    </xf>
    <xf numFmtId="177" fontId="42" fillId="0" borderId="18">
      <alignment horizontal="left" vertical="center"/>
    </xf>
    <xf numFmtId="177" fontId="42" fillId="0" borderId="18">
      <alignment horizontal="left" vertical="center"/>
    </xf>
    <xf numFmtId="177" fontId="43" fillId="0" borderId="19" applyNumberFormat="0" applyFill="0" applyAlignment="0" applyProtection="0"/>
    <xf numFmtId="177" fontId="44" fillId="0" borderId="20" applyNumberFormat="0" applyFill="0" applyAlignment="0" applyProtection="0"/>
    <xf numFmtId="177" fontId="45" fillId="0" borderId="21" applyNumberFormat="0" applyFill="0" applyAlignment="0" applyProtection="0"/>
    <xf numFmtId="177" fontId="45" fillId="0" borderId="0" applyNumberFormat="0" applyFill="0" applyBorder="0" applyAlignment="0" applyProtection="0"/>
    <xf numFmtId="177" fontId="96" fillId="0" borderId="0" applyNumberFormat="0" applyFill="0" applyBorder="0" applyAlignment="0" applyProtection="0">
      <alignment vertical="top"/>
      <protection locked="0"/>
    </xf>
    <xf numFmtId="176" fontId="48" fillId="0" borderId="0" applyNumberFormat="0" applyFill="0" applyBorder="0" applyAlignment="0" applyProtection="0">
      <alignment vertical="top"/>
      <protection locked="0"/>
    </xf>
    <xf numFmtId="176" fontId="96" fillId="0" borderId="0" applyNumberFormat="0" applyFill="0" applyBorder="0" applyAlignment="0" applyProtection="0">
      <alignment vertical="top"/>
      <protection locked="0"/>
    </xf>
    <xf numFmtId="176" fontId="97" fillId="0" borderId="0" applyNumberFormat="0" applyFill="0" applyBorder="0" applyAlignment="0" applyProtection="0">
      <alignment vertical="top"/>
      <protection locked="0"/>
    </xf>
    <xf numFmtId="177" fontId="98" fillId="0" borderId="0" applyNumberFormat="0" applyFill="0" applyBorder="0" applyAlignment="0" applyProtection="0">
      <alignment vertical="top"/>
      <protection locked="0"/>
    </xf>
    <xf numFmtId="176" fontId="99" fillId="0" borderId="0" applyNumberFormat="0" applyFill="0" applyBorder="0" applyAlignment="0" applyProtection="0">
      <alignment vertical="top"/>
      <protection locked="0"/>
    </xf>
    <xf numFmtId="177" fontId="99" fillId="0" borderId="0" applyNumberFormat="0" applyFill="0" applyBorder="0" applyAlignment="0" applyProtection="0">
      <alignment vertical="top"/>
      <protection locked="0"/>
    </xf>
    <xf numFmtId="177" fontId="47" fillId="0" borderId="0" applyNumberFormat="0" applyFill="0" applyBorder="0" applyAlignment="0" applyProtection="0">
      <alignment vertical="top"/>
      <protection locked="0"/>
    </xf>
    <xf numFmtId="10" fontId="33" fillId="34" borderId="22" applyNumberFormat="0" applyBorder="0" applyAlignment="0" applyProtection="0"/>
    <xf numFmtId="10" fontId="33" fillId="34" borderId="22" applyNumberFormat="0" applyBorder="0" applyAlignment="0" applyProtection="0"/>
    <xf numFmtId="0" fontId="33" fillId="34" borderId="22" applyNumberFormat="0" applyBorder="0" applyAlignment="0" applyProtection="0"/>
    <xf numFmtId="177" fontId="49" fillId="19" borderId="35" applyNumberFormat="0" applyAlignment="0" applyProtection="0"/>
    <xf numFmtId="0" fontId="49" fillId="19" borderId="35" applyNumberFormat="0" applyAlignment="0" applyProtection="0"/>
    <xf numFmtId="176" fontId="49" fillId="19" borderId="35" applyNumberFormat="0" applyAlignment="0" applyProtection="0"/>
    <xf numFmtId="177" fontId="49" fillId="19" borderId="35" applyNumberFormat="0" applyAlignment="0" applyProtection="0"/>
    <xf numFmtId="0" fontId="49" fillId="19" borderId="35" applyNumberFormat="0" applyAlignment="0" applyProtection="0"/>
    <xf numFmtId="176" fontId="49" fillId="19" borderId="35" applyNumberFormat="0" applyAlignment="0" applyProtection="0"/>
    <xf numFmtId="177" fontId="49" fillId="19" borderId="35" applyNumberFormat="0" applyAlignment="0" applyProtection="0"/>
    <xf numFmtId="0" fontId="49" fillId="19" borderId="35" applyNumberFormat="0" applyAlignment="0" applyProtection="0"/>
    <xf numFmtId="176" fontId="49" fillId="19" borderId="35" applyNumberFormat="0" applyAlignment="0" applyProtection="0"/>
    <xf numFmtId="177" fontId="49" fillId="19" borderId="35" applyNumberFormat="0" applyAlignment="0" applyProtection="0"/>
    <xf numFmtId="0" fontId="49" fillId="19" borderId="35" applyNumberFormat="0" applyAlignment="0" applyProtection="0"/>
    <xf numFmtId="176" fontId="49" fillId="19" borderId="35" applyNumberFormat="0" applyAlignment="0" applyProtection="0"/>
    <xf numFmtId="177" fontId="50" fillId="0" borderId="24" applyNumberFormat="0" applyFill="0" applyAlignment="0" applyProtection="0"/>
    <xf numFmtId="177" fontId="53" fillId="37" borderId="0" applyNumberFormat="0" applyBorder="0" applyAlignment="0" applyProtection="0"/>
    <xf numFmtId="0" fontId="54" fillId="0" borderId="0"/>
    <xf numFmtId="177" fontId="20" fillId="0" borderId="0"/>
    <xf numFmtId="0" fontId="20" fillId="0" borderId="0"/>
    <xf numFmtId="0" fontId="20" fillId="0" borderId="0"/>
    <xf numFmtId="0" fontId="4" fillId="0" borderId="0"/>
    <xf numFmtId="167" fontId="10" fillId="0" borderId="0"/>
    <xf numFmtId="0" fontId="10" fillId="0" borderId="0"/>
    <xf numFmtId="177" fontId="10" fillId="0" borderId="0"/>
    <xf numFmtId="176" fontId="10" fillId="0" borderId="0"/>
    <xf numFmtId="176" fontId="10" fillId="0" borderId="0"/>
    <xf numFmtId="176" fontId="10" fillId="0" borderId="0"/>
    <xf numFmtId="176" fontId="4" fillId="0" borderId="0"/>
    <xf numFmtId="177" fontId="20" fillId="0" borderId="0"/>
    <xf numFmtId="176" fontId="20" fillId="0" borderId="0"/>
    <xf numFmtId="176" fontId="20" fillId="0" borderId="0"/>
    <xf numFmtId="176" fontId="20" fillId="0" borderId="0"/>
    <xf numFmtId="176" fontId="20" fillId="0" borderId="0"/>
    <xf numFmtId="177" fontId="20" fillId="0" borderId="0"/>
    <xf numFmtId="0" fontId="20" fillId="0" borderId="0"/>
    <xf numFmtId="0" fontId="20" fillId="0" borderId="0"/>
    <xf numFmtId="176" fontId="20" fillId="0" borderId="0"/>
    <xf numFmtId="176" fontId="20" fillId="0" borderId="0"/>
    <xf numFmtId="0" fontId="20" fillId="0" borderId="0"/>
    <xf numFmtId="176" fontId="10" fillId="0" borderId="0"/>
    <xf numFmtId="215" fontId="1" fillId="0" borderId="0"/>
    <xf numFmtId="176" fontId="10" fillId="0" borderId="0"/>
    <xf numFmtId="0" fontId="4" fillId="0" borderId="0"/>
    <xf numFmtId="177" fontId="4" fillId="0" borderId="0"/>
    <xf numFmtId="177" fontId="4" fillId="0" borderId="0"/>
    <xf numFmtId="176" fontId="10" fillId="0" borderId="0"/>
    <xf numFmtId="177" fontId="4" fillId="0" borderId="0"/>
    <xf numFmtId="164" fontId="30" fillId="0" borderId="0"/>
    <xf numFmtId="176" fontId="10" fillId="0" borderId="0"/>
    <xf numFmtId="177" fontId="1" fillId="0" borderId="0"/>
    <xf numFmtId="176" fontId="1" fillId="0" borderId="0"/>
    <xf numFmtId="176" fontId="1" fillId="0" borderId="0"/>
    <xf numFmtId="176" fontId="10" fillId="0" borderId="0"/>
    <xf numFmtId="176" fontId="10" fillId="0" borderId="0"/>
    <xf numFmtId="176" fontId="10" fillId="0" borderId="0"/>
    <xf numFmtId="177" fontId="4" fillId="0" borderId="0"/>
    <xf numFmtId="176" fontId="1" fillId="0" borderId="0"/>
    <xf numFmtId="164" fontId="30" fillId="0" borderId="0"/>
    <xf numFmtId="167" fontId="30" fillId="0" borderId="0"/>
    <xf numFmtId="177" fontId="1" fillId="0" borderId="0"/>
    <xf numFmtId="176" fontId="1" fillId="0" borderId="0"/>
    <xf numFmtId="176" fontId="1" fillId="0" borderId="0"/>
    <xf numFmtId="177" fontId="1" fillId="0" borderId="0"/>
    <xf numFmtId="176" fontId="1" fillId="0" borderId="0"/>
    <xf numFmtId="177" fontId="59" fillId="0" borderId="0" applyNumberFormat="0" applyFont="0" applyFill="0" applyAlignment="0" applyProtection="0"/>
    <xf numFmtId="177" fontId="59" fillId="0" borderId="0" applyNumberFormat="0" applyFont="0" applyFill="0" applyAlignment="0" applyProtection="0"/>
    <xf numFmtId="177" fontId="59" fillId="0" borderId="0" applyNumberFormat="0" applyFont="0" applyFill="0" applyAlignment="0" applyProtection="0"/>
    <xf numFmtId="177" fontId="59" fillId="0" borderId="0" applyNumberFormat="0" applyFont="0" applyFill="0" applyAlignment="0" applyProtection="0"/>
    <xf numFmtId="177" fontId="59" fillId="0" borderId="0" applyNumberFormat="0" applyFont="0" applyFill="0" applyAlignment="0" applyProtection="0"/>
    <xf numFmtId="177" fontId="59" fillId="0" borderId="0" applyNumberFormat="0" applyFont="0" applyFill="0" applyAlignment="0" applyProtection="0"/>
    <xf numFmtId="177" fontId="59" fillId="0" borderId="0" applyNumberFormat="0" applyFont="0" applyFill="0" applyAlignment="0" applyProtection="0"/>
    <xf numFmtId="177" fontId="1" fillId="0" borderId="0"/>
    <xf numFmtId="176" fontId="1" fillId="0" borderId="0"/>
    <xf numFmtId="177" fontId="59" fillId="0" borderId="0" applyNumberFormat="0" applyFont="0" applyFill="0" applyAlignment="0" applyProtection="0"/>
    <xf numFmtId="177" fontId="10" fillId="0" borderId="0"/>
    <xf numFmtId="177" fontId="10" fillId="0" borderId="0"/>
    <xf numFmtId="177" fontId="10" fillId="0" borderId="0"/>
    <xf numFmtId="177" fontId="10" fillId="0" borderId="0"/>
    <xf numFmtId="177" fontId="10" fillId="0" borderId="0"/>
    <xf numFmtId="177" fontId="10" fillId="0" borderId="0"/>
    <xf numFmtId="177" fontId="10" fillId="0" borderId="0"/>
    <xf numFmtId="177" fontId="10" fillId="0" borderId="0"/>
    <xf numFmtId="177" fontId="10" fillId="0" borderId="0"/>
    <xf numFmtId="177" fontId="10" fillId="0" borderId="0"/>
    <xf numFmtId="177" fontId="10" fillId="0" borderId="0"/>
    <xf numFmtId="176" fontId="10" fillId="0" borderId="0"/>
    <xf numFmtId="177" fontId="1" fillId="0" borderId="0"/>
    <xf numFmtId="176" fontId="1" fillId="0" borderId="0"/>
    <xf numFmtId="177" fontId="10" fillId="0" borderId="0"/>
    <xf numFmtId="177" fontId="10" fillId="0" borderId="0"/>
    <xf numFmtId="177" fontId="10" fillId="0" borderId="0"/>
    <xf numFmtId="177" fontId="10" fillId="0" borderId="0"/>
    <xf numFmtId="177" fontId="10" fillId="0" borderId="0"/>
    <xf numFmtId="177" fontId="10" fillId="0" borderId="0"/>
    <xf numFmtId="177" fontId="10" fillId="0" borderId="0"/>
    <xf numFmtId="176" fontId="1" fillId="0" borderId="0"/>
    <xf numFmtId="177" fontId="1" fillId="0" borderId="0"/>
    <xf numFmtId="176" fontId="1" fillId="0" borderId="0"/>
    <xf numFmtId="177" fontId="1" fillId="0" borderId="0"/>
    <xf numFmtId="176" fontId="1" fillId="0" borderId="0"/>
    <xf numFmtId="177" fontId="1" fillId="0" borderId="0"/>
    <xf numFmtId="176" fontId="1" fillId="0" borderId="0"/>
    <xf numFmtId="177" fontId="1" fillId="0" borderId="0"/>
    <xf numFmtId="176" fontId="1" fillId="0" borderId="0"/>
    <xf numFmtId="177" fontId="1" fillId="0" borderId="0"/>
    <xf numFmtId="177" fontId="1" fillId="0" borderId="0"/>
    <xf numFmtId="177" fontId="59" fillId="0" borderId="0" applyNumberFormat="0" applyFont="0" applyFill="0" applyAlignment="0" applyProtection="0"/>
    <xf numFmtId="177" fontId="59" fillId="0" borderId="0" applyNumberFormat="0" applyFont="0" applyFill="0" applyAlignment="0" applyProtection="0"/>
    <xf numFmtId="177" fontId="1" fillId="0" borderId="0"/>
    <xf numFmtId="176" fontId="1" fillId="0" borderId="0"/>
    <xf numFmtId="177" fontId="59" fillId="0" borderId="0" applyNumberFormat="0" applyFont="0" applyFill="0" applyAlignment="0" applyProtection="0"/>
    <xf numFmtId="177" fontId="59" fillId="0" borderId="0" applyNumberFormat="0" applyFont="0" applyFill="0" applyAlignment="0" applyProtection="0"/>
    <xf numFmtId="177" fontId="59" fillId="0" borderId="0" applyNumberFormat="0" applyFont="0" applyFill="0" applyAlignment="0" applyProtection="0"/>
    <xf numFmtId="177" fontId="59" fillId="0" borderId="0" applyNumberFormat="0" applyFont="0" applyFill="0" applyAlignment="0" applyProtection="0"/>
    <xf numFmtId="177" fontId="59" fillId="0" borderId="0" applyNumberFormat="0" applyFont="0" applyFill="0" applyAlignment="0" applyProtection="0"/>
    <xf numFmtId="176" fontId="4" fillId="0" borderId="0"/>
    <xf numFmtId="176" fontId="1" fillId="0" borderId="0"/>
    <xf numFmtId="176" fontId="1" fillId="0" borderId="0"/>
    <xf numFmtId="177" fontId="1" fillId="0" borderId="0"/>
    <xf numFmtId="164" fontId="1" fillId="0" borderId="0"/>
    <xf numFmtId="177" fontId="1" fillId="0" borderId="0"/>
    <xf numFmtId="177" fontId="1" fillId="0" borderId="0"/>
    <xf numFmtId="177" fontId="1" fillId="0" borderId="0"/>
    <xf numFmtId="176" fontId="4" fillId="0" borderId="0"/>
    <xf numFmtId="176" fontId="10" fillId="0" borderId="0"/>
    <xf numFmtId="176" fontId="10" fillId="0" borderId="0"/>
    <xf numFmtId="176" fontId="10" fillId="0" borderId="0"/>
    <xf numFmtId="176" fontId="4" fillId="0" borderId="0"/>
    <xf numFmtId="176" fontId="4" fillId="0" borderId="0"/>
    <xf numFmtId="177" fontId="1" fillId="0" borderId="0"/>
    <xf numFmtId="176" fontId="1" fillId="0" borderId="0"/>
    <xf numFmtId="176" fontId="10" fillId="0" borderId="0"/>
    <xf numFmtId="176" fontId="10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0" fillId="0" borderId="0"/>
    <xf numFmtId="176" fontId="1" fillId="0" borderId="0"/>
    <xf numFmtId="176" fontId="1" fillId="0" borderId="0"/>
    <xf numFmtId="177" fontId="1" fillId="0" borderId="0"/>
    <xf numFmtId="177" fontId="1" fillId="0" borderId="0"/>
    <xf numFmtId="177" fontId="1" fillId="0" borderId="0"/>
    <xf numFmtId="176" fontId="10" fillId="0" borderId="0"/>
    <xf numFmtId="176" fontId="10" fillId="0" borderId="0"/>
    <xf numFmtId="177" fontId="10" fillId="0" borderId="0"/>
    <xf numFmtId="177" fontId="10" fillId="0" borderId="0"/>
    <xf numFmtId="177" fontId="1" fillId="0" borderId="0"/>
    <xf numFmtId="176" fontId="1" fillId="0" borderId="0"/>
    <xf numFmtId="177" fontId="10" fillId="0" borderId="0"/>
    <xf numFmtId="0" fontId="10" fillId="0" borderId="0"/>
    <xf numFmtId="177" fontId="10" fillId="0" borderId="0"/>
    <xf numFmtId="176" fontId="100" fillId="0" borderId="0"/>
    <xf numFmtId="177" fontId="1" fillId="0" borderId="0"/>
    <xf numFmtId="177" fontId="10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1" fillId="0" borderId="0"/>
    <xf numFmtId="164" fontId="30" fillId="0" borderId="0"/>
    <xf numFmtId="0" fontId="10" fillId="0" borderId="0"/>
    <xf numFmtId="177" fontId="1" fillId="0" borderId="0"/>
    <xf numFmtId="177" fontId="1" fillId="0" borderId="0"/>
    <xf numFmtId="177" fontId="10" fillId="0" borderId="0"/>
    <xf numFmtId="177" fontId="10" fillId="0" borderId="0"/>
    <xf numFmtId="177" fontId="10" fillId="0" borderId="0"/>
    <xf numFmtId="176" fontId="1" fillId="0" borderId="0"/>
    <xf numFmtId="177" fontId="1" fillId="0" borderId="0"/>
    <xf numFmtId="176" fontId="1" fillId="0" borderId="0"/>
    <xf numFmtId="177" fontId="1" fillId="0" borderId="0"/>
    <xf numFmtId="177" fontId="1" fillId="0" borderId="0"/>
    <xf numFmtId="176" fontId="1" fillId="0" borderId="0"/>
    <xf numFmtId="216" fontId="1" fillId="0" borderId="0"/>
    <xf numFmtId="176" fontId="1" fillId="0" borderId="0"/>
    <xf numFmtId="177" fontId="1" fillId="0" borderId="0"/>
    <xf numFmtId="177" fontId="1" fillId="0" borderId="0"/>
    <xf numFmtId="176" fontId="1" fillId="0" borderId="0"/>
    <xf numFmtId="176" fontId="1" fillId="0" borderId="0"/>
    <xf numFmtId="177" fontId="1" fillId="0" borderId="0"/>
    <xf numFmtId="177" fontId="1" fillId="0" borderId="0"/>
    <xf numFmtId="164" fontId="30" fillId="0" borderId="0"/>
    <xf numFmtId="164" fontId="30" fillId="0" borderId="0"/>
    <xf numFmtId="180" fontId="1" fillId="0" borderId="0"/>
    <xf numFmtId="177" fontId="10" fillId="0" borderId="0"/>
    <xf numFmtId="0" fontId="10" fillId="0" borderId="0"/>
    <xf numFmtId="177" fontId="1" fillId="0" borderId="0"/>
    <xf numFmtId="177" fontId="1" fillId="0" borderId="0"/>
    <xf numFmtId="177" fontId="10" fillId="0" borderId="0"/>
    <xf numFmtId="176" fontId="1" fillId="0" borderId="0"/>
    <xf numFmtId="177" fontId="10" fillId="0" borderId="0"/>
    <xf numFmtId="177" fontId="10" fillId="0" borderId="0"/>
    <xf numFmtId="176" fontId="1" fillId="0" borderId="0"/>
    <xf numFmtId="176" fontId="1" fillId="0" borderId="0"/>
    <xf numFmtId="177" fontId="1" fillId="0" borderId="0"/>
    <xf numFmtId="177" fontId="1" fillId="0" borderId="0"/>
    <xf numFmtId="176" fontId="1" fillId="0" borderId="0"/>
    <xf numFmtId="177" fontId="1" fillId="0" borderId="0"/>
    <xf numFmtId="177" fontId="1" fillId="0" borderId="0"/>
    <xf numFmtId="176" fontId="4" fillId="0" borderId="0"/>
    <xf numFmtId="176" fontId="10" fillId="0" borderId="0"/>
    <xf numFmtId="176" fontId="10" fillId="0" borderId="0"/>
    <xf numFmtId="177" fontId="10" fillId="0" borderId="0"/>
    <xf numFmtId="177" fontId="10" fillId="0" borderId="0"/>
    <xf numFmtId="215" fontId="1" fillId="0" borderId="0"/>
    <xf numFmtId="176" fontId="30" fillId="0" borderId="0"/>
    <xf numFmtId="176" fontId="10" fillId="0" borderId="0"/>
    <xf numFmtId="177" fontId="1" fillId="0" borderId="0"/>
    <xf numFmtId="176" fontId="10" fillId="0" borderId="0"/>
    <xf numFmtId="176" fontId="4" fillId="0" borderId="0"/>
    <xf numFmtId="177" fontId="4" fillId="0" borderId="0"/>
    <xf numFmtId="176" fontId="10" fillId="0" borderId="0"/>
    <xf numFmtId="177" fontId="4" fillId="0" borderId="0"/>
    <xf numFmtId="164" fontId="30" fillId="0" borderId="0"/>
    <xf numFmtId="177" fontId="59" fillId="0" borderId="0" applyNumberFormat="0" applyFont="0" applyFill="0" applyAlignment="0" applyProtection="0"/>
    <xf numFmtId="176" fontId="10" fillId="0" borderId="0"/>
    <xf numFmtId="215" fontId="1" fillId="0" borderId="0"/>
    <xf numFmtId="177" fontId="10" fillId="38" borderId="36" applyNumberFormat="0" applyFont="0" applyAlignment="0" applyProtection="0"/>
    <xf numFmtId="0" fontId="10" fillId="38" borderId="36" applyNumberFormat="0" applyFont="0" applyAlignment="0" applyProtection="0"/>
    <xf numFmtId="177" fontId="10" fillId="38" borderId="36" applyNumberFormat="0" applyFont="0" applyAlignment="0" applyProtection="0"/>
    <xf numFmtId="0" fontId="10" fillId="38" borderId="36" applyNumberFormat="0" applyFont="0" applyAlignment="0" applyProtection="0"/>
    <xf numFmtId="177" fontId="20" fillId="38" borderId="36" applyNumberFormat="0" applyFont="0" applyAlignment="0" applyProtection="0"/>
    <xf numFmtId="177" fontId="20" fillId="38" borderId="36" applyNumberFormat="0" applyFont="0" applyAlignment="0" applyProtection="0"/>
    <xf numFmtId="0" fontId="20" fillId="38" borderId="36" applyNumberFormat="0" applyFont="0" applyAlignment="0" applyProtection="0"/>
    <xf numFmtId="0" fontId="20" fillId="38" borderId="36" applyNumberFormat="0" applyFont="0" applyAlignment="0" applyProtection="0"/>
    <xf numFmtId="0" fontId="20" fillId="38" borderId="36" applyNumberFormat="0" applyFont="0" applyAlignment="0" applyProtection="0"/>
    <xf numFmtId="177" fontId="20" fillId="38" borderId="36" applyNumberFormat="0" applyFont="0" applyAlignment="0" applyProtection="0"/>
    <xf numFmtId="177" fontId="20" fillId="38" borderId="36" applyNumberFormat="0" applyFont="0" applyAlignment="0" applyProtection="0"/>
    <xf numFmtId="0" fontId="20" fillId="38" borderId="36" applyNumberFormat="0" applyFont="0" applyAlignment="0" applyProtection="0"/>
    <xf numFmtId="0" fontId="20" fillId="38" borderId="36" applyNumberFormat="0" applyFont="0" applyAlignment="0" applyProtection="0"/>
    <xf numFmtId="0" fontId="20" fillId="38" borderId="36" applyNumberFormat="0" applyFont="0" applyAlignment="0" applyProtection="0"/>
    <xf numFmtId="177" fontId="20" fillId="38" borderId="36" applyNumberFormat="0" applyFont="0" applyAlignment="0" applyProtection="0"/>
    <xf numFmtId="177" fontId="20" fillId="38" borderId="36" applyNumberFormat="0" applyFont="0" applyAlignment="0" applyProtection="0"/>
    <xf numFmtId="0" fontId="20" fillId="38" borderId="36" applyNumberFormat="0" applyFont="0" applyAlignment="0" applyProtection="0"/>
    <xf numFmtId="0" fontId="20" fillId="38" borderId="36" applyNumberFormat="0" applyFont="0" applyAlignment="0" applyProtection="0"/>
    <xf numFmtId="0" fontId="20" fillId="38" borderId="36" applyNumberFormat="0" applyFont="0" applyAlignment="0" applyProtection="0"/>
    <xf numFmtId="177" fontId="20" fillId="38" borderId="36" applyNumberFormat="0" applyFont="0" applyAlignment="0" applyProtection="0"/>
    <xf numFmtId="177" fontId="20" fillId="38" borderId="36" applyNumberFormat="0" applyFont="0" applyAlignment="0" applyProtection="0"/>
    <xf numFmtId="0" fontId="20" fillId="38" borderId="36" applyNumberFormat="0" applyFont="0" applyAlignment="0" applyProtection="0"/>
    <xf numFmtId="0" fontId="20" fillId="38" borderId="36" applyNumberFormat="0" applyFont="0" applyAlignment="0" applyProtection="0"/>
    <xf numFmtId="0" fontId="20" fillId="38" borderId="36" applyNumberFormat="0" applyFont="0" applyAlignment="0" applyProtection="0"/>
    <xf numFmtId="177" fontId="20" fillId="38" borderId="36" applyNumberFormat="0" applyFont="0" applyAlignment="0" applyProtection="0"/>
    <xf numFmtId="177" fontId="20" fillId="38" borderId="36" applyNumberFormat="0" applyFont="0" applyAlignment="0" applyProtection="0"/>
    <xf numFmtId="0" fontId="20" fillId="38" borderId="36" applyNumberFormat="0" applyFont="0" applyAlignment="0" applyProtection="0"/>
    <xf numFmtId="0" fontId="20" fillId="38" borderId="36" applyNumberFormat="0" applyFont="0" applyAlignment="0" applyProtection="0"/>
    <xf numFmtId="0" fontId="20" fillId="38" borderId="36" applyNumberFormat="0" applyFont="0" applyAlignment="0" applyProtection="0"/>
    <xf numFmtId="177" fontId="10" fillId="38" borderId="36" applyNumberFormat="0" applyFont="0" applyAlignment="0" applyProtection="0"/>
    <xf numFmtId="0" fontId="10" fillId="38" borderId="36" applyNumberFormat="0" applyFont="0" applyAlignment="0" applyProtection="0"/>
    <xf numFmtId="177" fontId="10" fillId="38" borderId="36" applyNumberFormat="0" applyFont="0" applyAlignment="0" applyProtection="0"/>
    <xf numFmtId="0" fontId="10" fillId="38" borderId="36" applyNumberFormat="0" applyFont="0" applyAlignment="0" applyProtection="0"/>
    <xf numFmtId="177" fontId="10" fillId="38" borderId="36" applyNumberFormat="0" applyFont="0" applyAlignment="0" applyProtection="0"/>
    <xf numFmtId="0" fontId="10" fillId="38" borderId="36" applyNumberFormat="0" applyFont="0" applyAlignment="0" applyProtection="0"/>
    <xf numFmtId="177" fontId="10" fillId="38" borderId="36" applyNumberFormat="0" applyFont="0" applyAlignment="0" applyProtection="0"/>
    <xf numFmtId="0" fontId="10" fillId="38" borderId="36" applyNumberFormat="0" applyFont="0" applyAlignment="0" applyProtection="0"/>
    <xf numFmtId="177" fontId="10" fillId="38" borderId="36" applyNumberFormat="0" applyFont="0" applyAlignment="0" applyProtection="0"/>
    <xf numFmtId="0" fontId="10" fillId="38" borderId="36" applyNumberFormat="0" applyFont="0" applyAlignment="0" applyProtection="0"/>
    <xf numFmtId="177" fontId="60" fillId="30" borderId="37" applyNumberFormat="0" applyAlignment="0" applyProtection="0"/>
    <xf numFmtId="0" fontId="60" fillId="30" borderId="37" applyNumberFormat="0" applyAlignment="0" applyProtection="0"/>
    <xf numFmtId="0" fontId="22" fillId="0" borderId="0">
      <alignment horizontal="center" wrapText="1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9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62" fillId="0" borderId="27" applyNumberFormat="0" applyBorder="0"/>
    <xf numFmtId="177" fontId="10" fillId="0" borderId="0"/>
    <xf numFmtId="177" fontId="62" fillId="0" borderId="0" applyNumberFormat="0" applyFont="0" applyFill="0" applyBorder="0" applyAlignment="0" applyProtection="0">
      <alignment horizontal="left"/>
    </xf>
    <xf numFmtId="177" fontId="101" fillId="0" borderId="0" applyNumberFormat="0" applyFill="0" applyBorder="0" applyAlignment="0" applyProtection="0">
      <alignment horizontal="left"/>
    </xf>
    <xf numFmtId="0" fontId="63" fillId="0" borderId="0"/>
    <xf numFmtId="177" fontId="66" fillId="0" borderId="38"/>
    <xf numFmtId="177" fontId="66" fillId="0" borderId="38"/>
    <xf numFmtId="176" fontId="67" fillId="0" borderId="0"/>
    <xf numFmtId="0" fontId="68" fillId="0" borderId="0" applyBorder="0">
      <alignment horizontal="left" vertical="top" wrapText="1"/>
    </xf>
    <xf numFmtId="177" fontId="24" fillId="0" borderId="0">
      <alignment vertical="top"/>
    </xf>
    <xf numFmtId="177" fontId="69" fillId="0" borderId="39">
      <alignment horizontal="center"/>
    </xf>
    <xf numFmtId="177" fontId="69" fillId="0" borderId="39">
      <alignment horizontal="center"/>
    </xf>
    <xf numFmtId="176" fontId="69" fillId="0" borderId="39">
      <alignment horizontal="center"/>
    </xf>
    <xf numFmtId="176" fontId="69" fillId="0" borderId="0">
      <alignment horizontal="center" vertical="center"/>
    </xf>
    <xf numFmtId="176" fontId="70" fillId="39" borderId="0" applyNumberFormat="0" applyFill="0">
      <alignment horizontal="left" vertical="center"/>
    </xf>
    <xf numFmtId="177" fontId="71" fillId="0" borderId="29"/>
    <xf numFmtId="177" fontId="71" fillId="0" borderId="29"/>
    <xf numFmtId="0" fontId="72" fillId="0" borderId="0" applyBorder="0">
      <alignment horizontal="right"/>
    </xf>
    <xf numFmtId="0" fontId="10" fillId="0" borderId="0" applyBorder="0">
      <alignment horizontal="right"/>
    </xf>
    <xf numFmtId="0" fontId="10" fillId="32" borderId="0" applyFont="0" applyBorder="0">
      <alignment horizontal="left"/>
    </xf>
    <xf numFmtId="0" fontId="10" fillId="32" borderId="0" applyFont="0" applyBorder="0">
      <alignment horizontal="left"/>
    </xf>
    <xf numFmtId="0" fontId="24" fillId="0" borderId="0" applyFill="0" applyBorder="0" applyAlignment="0"/>
    <xf numFmtId="177" fontId="73" fillId="0" borderId="0" applyNumberFormat="0" applyFill="0" applyBorder="0" applyAlignment="0" applyProtection="0"/>
    <xf numFmtId="187" fontId="37" fillId="0" borderId="40">
      <protection locked="0"/>
    </xf>
    <xf numFmtId="187" fontId="37" fillId="0" borderId="40">
      <protection locked="0"/>
    </xf>
    <xf numFmtId="187" fontId="37" fillId="0" borderId="40">
      <protection locked="0"/>
    </xf>
    <xf numFmtId="187" fontId="37" fillId="0" borderId="40">
      <protection locked="0"/>
    </xf>
    <xf numFmtId="187" fontId="37" fillId="0" borderId="40">
      <protection locked="0"/>
    </xf>
    <xf numFmtId="187" fontId="37" fillId="0" borderId="40">
      <protection locked="0"/>
    </xf>
    <xf numFmtId="187" fontId="37" fillId="0" borderId="40">
      <protection locked="0"/>
    </xf>
    <xf numFmtId="187" fontId="37" fillId="0" borderId="40">
      <protection locked="0"/>
    </xf>
    <xf numFmtId="187" fontId="37" fillId="0" borderId="40">
      <protection locked="0"/>
    </xf>
    <xf numFmtId="187" fontId="37" fillId="0" borderId="40">
      <protection locked="0"/>
    </xf>
    <xf numFmtId="187" fontId="37" fillId="0" borderId="40">
      <protection locked="0"/>
    </xf>
    <xf numFmtId="187" fontId="37" fillId="0" borderId="40">
      <protection locked="0"/>
    </xf>
    <xf numFmtId="187" fontId="37" fillId="0" borderId="40">
      <protection locked="0"/>
    </xf>
    <xf numFmtId="187" fontId="37" fillId="0" borderId="40">
      <protection locked="0"/>
    </xf>
    <xf numFmtId="177" fontId="74" fillId="0" borderId="41" applyNumberFormat="0" applyFill="0" applyAlignment="0" applyProtection="0"/>
    <xf numFmtId="0" fontId="74" fillId="0" borderId="41" applyNumberFormat="0" applyFill="0" applyAlignment="0" applyProtection="0"/>
    <xf numFmtId="177" fontId="76" fillId="0" borderId="0" applyNumberFormat="0" applyFill="0" applyBorder="0" applyAlignment="0" applyProtection="0"/>
    <xf numFmtId="177" fontId="77" fillId="0" borderId="32"/>
    <xf numFmtId="178" fontId="30" fillId="0" borderId="0"/>
    <xf numFmtId="178" fontId="30" fillId="0" borderId="0"/>
    <xf numFmtId="178" fontId="30" fillId="0" borderId="0"/>
    <xf numFmtId="178" fontId="30" fillId="0" borderId="0"/>
    <xf numFmtId="168" fontId="30" fillId="0" borderId="0"/>
    <xf numFmtId="168" fontId="30" fillId="0" borderId="0"/>
    <xf numFmtId="168" fontId="30" fillId="0" borderId="0"/>
    <xf numFmtId="174" fontId="30" fillId="0" borderId="0"/>
    <xf numFmtId="168" fontId="30" fillId="0" borderId="0"/>
    <xf numFmtId="168" fontId="30" fillId="0" borderId="0"/>
    <xf numFmtId="168" fontId="30" fillId="0" borderId="0"/>
    <xf numFmtId="187" fontId="1" fillId="0" borderId="0"/>
    <xf numFmtId="168" fontId="4" fillId="0" borderId="0" applyFont="0" applyFill="0" applyBorder="0" applyAlignment="0" applyProtection="0"/>
    <xf numFmtId="0" fontId="1" fillId="0" borderId="0"/>
    <xf numFmtId="177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4" fillId="14" borderId="0" applyNumberFormat="0" applyBorder="0" applyAlignment="0" applyProtection="0"/>
    <xf numFmtId="0" fontId="20" fillId="14" borderId="0" applyNumberFormat="0" applyBorder="0" applyAlignment="0" applyProtection="0"/>
    <xf numFmtId="0" fontId="4" fillId="14" borderId="0" applyNumberFormat="0" applyBorder="0" applyAlignment="0" applyProtection="0"/>
    <xf numFmtId="0" fontId="20" fillId="14" borderId="0" applyNumberFormat="0" applyBorder="0" applyAlignment="0" applyProtection="0"/>
    <xf numFmtId="0" fontId="4" fillId="14" borderId="0" applyNumberFormat="0" applyBorder="0" applyAlignment="0" applyProtection="0"/>
    <xf numFmtId="0" fontId="20" fillId="14" borderId="0" applyNumberFormat="0" applyBorder="0" applyAlignment="0" applyProtection="0"/>
    <xf numFmtId="0" fontId="4" fillId="14" borderId="0" applyNumberFormat="0" applyBorder="0" applyAlignment="0" applyProtection="0"/>
    <xf numFmtId="0" fontId="20" fillId="14" borderId="0" applyNumberFormat="0" applyBorder="0" applyAlignment="0" applyProtection="0"/>
    <xf numFmtId="0" fontId="4" fillId="14" borderId="0" applyNumberFormat="0" applyBorder="0" applyAlignment="0" applyProtection="0"/>
    <xf numFmtId="0" fontId="20" fillId="14" borderId="0" applyNumberFormat="0" applyBorder="0" applyAlignment="0" applyProtection="0"/>
    <xf numFmtId="0" fontId="4" fillId="14" borderId="0" applyNumberFormat="0" applyBorder="0" applyAlignment="0" applyProtection="0"/>
    <xf numFmtId="0" fontId="20" fillId="14" borderId="0" applyNumberFormat="0" applyBorder="0" applyAlignment="0" applyProtection="0"/>
    <xf numFmtId="0" fontId="4" fillId="14" borderId="0" applyNumberFormat="0" applyBorder="0" applyAlignment="0" applyProtection="0"/>
    <xf numFmtId="0" fontId="20" fillId="14" borderId="0" applyNumberFormat="0" applyBorder="0" applyAlignment="0" applyProtection="0"/>
    <xf numFmtId="0" fontId="4" fillId="14" borderId="0" applyNumberFormat="0" applyBorder="0" applyAlignment="0" applyProtection="0"/>
    <xf numFmtId="0" fontId="20" fillId="14" borderId="0" applyNumberFormat="0" applyBorder="0" applyAlignment="0" applyProtection="0"/>
    <xf numFmtId="0" fontId="4" fillId="14" borderId="0" applyNumberFormat="0" applyBorder="0" applyAlignment="0" applyProtection="0"/>
    <xf numFmtId="0" fontId="20" fillId="14" borderId="0" applyNumberFormat="0" applyBorder="0" applyAlignment="0" applyProtection="0"/>
    <xf numFmtId="0" fontId="4" fillId="14" borderId="0" applyNumberFormat="0" applyBorder="0" applyAlignment="0" applyProtection="0"/>
    <xf numFmtId="0" fontId="20" fillId="14" borderId="0" applyNumberFormat="0" applyBorder="0" applyAlignment="0" applyProtection="0"/>
    <xf numFmtId="0" fontId="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177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3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4" fillId="14" borderId="0" applyNumberFormat="0" applyBorder="0" applyAlignment="0" applyProtection="0"/>
    <xf numFmtId="0" fontId="20" fillId="14" borderId="0" applyNumberFormat="0" applyBorder="0" applyAlignment="0" applyProtection="0"/>
    <xf numFmtId="0" fontId="4" fillId="14" borderId="0" applyNumberFormat="0" applyBorder="0" applyAlignment="0" applyProtection="0"/>
    <xf numFmtId="0" fontId="20" fillId="14" borderId="0" applyNumberFormat="0" applyBorder="0" applyAlignment="0" applyProtection="0"/>
    <xf numFmtId="0" fontId="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1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177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3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4" fillId="14" borderId="0" applyNumberFormat="0" applyBorder="0" applyAlignment="0" applyProtection="0"/>
    <xf numFmtId="0" fontId="20" fillId="14" borderId="0" applyNumberFormat="0" applyBorder="0" applyAlignment="0" applyProtection="0"/>
    <xf numFmtId="0" fontId="30" fillId="14" borderId="0" applyNumberFormat="0" applyBorder="0" applyAlignment="0" applyProtection="0"/>
    <xf numFmtId="177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3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4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3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4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3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4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4" borderId="0" applyNumberFormat="0" applyBorder="0" applyAlignment="0" applyProtection="0"/>
    <xf numFmtId="0" fontId="20" fillId="14" borderId="0" applyNumberFormat="0" applyBorder="0" applyAlignment="0" applyProtection="0"/>
    <xf numFmtId="0" fontId="20" fillId="14" borderId="0" applyNumberFormat="0" applyBorder="0" applyAlignment="0" applyProtection="0"/>
    <xf numFmtId="177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15" borderId="0" applyNumberFormat="0" applyBorder="0" applyAlignment="0" applyProtection="0"/>
    <xf numFmtId="0" fontId="1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15" borderId="0" applyNumberFormat="0" applyBorder="0" applyAlignment="0" applyProtection="0"/>
    <xf numFmtId="176" fontId="4" fillId="7" borderId="0" applyNumberFormat="0" applyBorder="0" applyAlignment="0" applyProtection="0"/>
    <xf numFmtId="0" fontId="30" fillId="15" borderId="0" applyNumberFormat="0" applyBorder="0" applyAlignment="0" applyProtection="0"/>
    <xf numFmtId="177" fontId="4" fillId="7" borderId="0" applyNumberFormat="0" applyBorder="0" applyAlignment="0" applyProtection="0"/>
    <xf numFmtId="0" fontId="30" fillId="15" borderId="0" applyNumberFormat="0" applyBorder="0" applyAlignment="0" applyProtection="0"/>
    <xf numFmtId="177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4" fillId="7" borderId="0" applyNumberFormat="0" applyBorder="0" applyAlignment="0" applyProtection="0"/>
    <xf numFmtId="0" fontId="20" fillId="15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15" borderId="0" applyNumberFormat="0" applyBorder="0" applyAlignment="0" applyProtection="0"/>
    <xf numFmtId="0" fontId="20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15" borderId="0" applyNumberFormat="0" applyBorder="0" applyAlignment="0" applyProtection="0"/>
    <xf numFmtId="0" fontId="1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1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177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30" fillId="15" borderId="0" applyNumberFormat="0" applyBorder="0" applyAlignment="0" applyProtection="0"/>
    <xf numFmtId="0" fontId="20" fillId="15" borderId="0" applyNumberFormat="0" applyBorder="0" applyAlignment="0" applyProtection="0"/>
    <xf numFmtId="0" fontId="30" fillId="15" borderId="0" applyNumberFormat="0" applyBorder="0" applyAlignment="0" applyProtection="0"/>
    <xf numFmtId="177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3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15" borderId="0" applyNumberFormat="0" applyBorder="0" applyAlignment="0" applyProtection="0"/>
    <xf numFmtId="177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3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15" borderId="0" applyNumberFormat="0" applyBorder="0" applyAlignment="0" applyProtection="0"/>
    <xf numFmtId="177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3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4" fillId="15" borderId="0" applyNumberFormat="0" applyBorder="0" applyAlignment="0" applyProtection="0"/>
    <xf numFmtId="0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177" fontId="20" fillId="15" borderId="0" applyNumberFormat="0" applyBorder="0" applyAlignment="0" applyProtection="0"/>
    <xf numFmtId="0" fontId="20" fillId="15" borderId="0" applyNumberFormat="0" applyBorder="0" applyAlignment="0" applyProtection="0"/>
    <xf numFmtId="0" fontId="20" fillId="15" borderId="0" applyNumberFormat="0" applyBorder="0" applyAlignment="0" applyProtection="0"/>
    <xf numFmtId="177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16" borderId="0" applyNumberFormat="0" applyBorder="0" applyAlignment="0" applyProtection="0"/>
    <xf numFmtId="0" fontId="1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177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3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16" borderId="0" applyNumberFormat="0" applyBorder="0" applyAlignment="0" applyProtection="0"/>
    <xf numFmtId="0" fontId="1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1" fillId="16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177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3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16" borderId="0" applyNumberFormat="0" applyBorder="0" applyAlignment="0" applyProtection="0"/>
    <xf numFmtId="0" fontId="30" fillId="16" borderId="0" applyNumberFormat="0" applyBorder="0" applyAlignment="0" applyProtection="0"/>
    <xf numFmtId="177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3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3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3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4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6" borderId="0" applyNumberFormat="0" applyBorder="0" applyAlignment="0" applyProtection="0"/>
    <xf numFmtId="0" fontId="20" fillId="16" borderId="0" applyNumberFormat="0" applyBorder="0" applyAlignment="0" applyProtection="0"/>
    <xf numFmtId="0" fontId="20" fillId="16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17" borderId="0" applyNumberFormat="0" applyBorder="0" applyAlignment="0" applyProtection="0"/>
    <xf numFmtId="0" fontId="20" fillId="17" borderId="0" applyNumberFormat="0" applyBorder="0" applyAlignment="0" applyProtection="0"/>
    <xf numFmtId="0" fontId="1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3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17" borderId="0" applyNumberFormat="0" applyBorder="0" applyAlignment="0" applyProtection="0"/>
    <xf numFmtId="0" fontId="20" fillId="17" borderId="0" applyNumberFormat="0" applyBorder="0" applyAlignment="0" applyProtection="0"/>
    <xf numFmtId="0" fontId="1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" fillId="17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3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17" borderId="0" applyNumberFormat="0" applyBorder="0" applyAlignment="0" applyProtection="0"/>
    <xf numFmtId="0" fontId="20" fillId="17" borderId="0" applyNumberFormat="0" applyBorder="0" applyAlignment="0" applyProtection="0"/>
    <xf numFmtId="0" fontId="3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3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3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3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4" fillId="49" borderId="0" applyNumberFormat="0" applyBorder="0" applyAlignment="0" applyProtection="0"/>
    <xf numFmtId="0" fontId="20" fillId="18" borderId="0" applyNumberFormat="0" applyBorder="0" applyAlignment="0" applyProtection="0"/>
    <xf numFmtId="0" fontId="4" fillId="49" borderId="0" applyNumberFormat="0" applyBorder="0" applyAlignment="0" applyProtection="0"/>
    <xf numFmtId="0" fontId="20" fillId="18" borderId="0" applyNumberFormat="0" applyBorder="0" applyAlignment="0" applyProtection="0"/>
    <xf numFmtId="0" fontId="4" fillId="49" borderId="0" applyNumberFormat="0" applyBorder="0" applyAlignment="0" applyProtection="0"/>
    <xf numFmtId="0" fontId="20" fillId="18" borderId="0" applyNumberFormat="0" applyBorder="0" applyAlignment="0" applyProtection="0"/>
    <xf numFmtId="0" fontId="4" fillId="49" borderId="0" applyNumberFormat="0" applyBorder="0" applyAlignment="0" applyProtection="0"/>
    <xf numFmtId="0" fontId="20" fillId="18" borderId="0" applyNumberFormat="0" applyBorder="0" applyAlignment="0" applyProtection="0"/>
    <xf numFmtId="0" fontId="4" fillId="49" borderId="0" applyNumberFormat="0" applyBorder="0" applyAlignment="0" applyProtection="0"/>
    <xf numFmtId="0" fontId="20" fillId="18" borderId="0" applyNumberFormat="0" applyBorder="0" applyAlignment="0" applyProtection="0"/>
    <xf numFmtId="0" fontId="4" fillId="49" borderId="0" applyNumberFormat="0" applyBorder="0" applyAlignment="0" applyProtection="0"/>
    <xf numFmtId="0" fontId="20" fillId="18" borderId="0" applyNumberFormat="0" applyBorder="0" applyAlignment="0" applyProtection="0"/>
    <xf numFmtId="0" fontId="4" fillId="49" borderId="0" applyNumberFormat="0" applyBorder="0" applyAlignment="0" applyProtection="0"/>
    <xf numFmtId="0" fontId="20" fillId="18" borderId="0" applyNumberFormat="0" applyBorder="0" applyAlignment="0" applyProtection="0"/>
    <xf numFmtId="0" fontId="4" fillId="49" borderId="0" applyNumberFormat="0" applyBorder="0" applyAlignment="0" applyProtection="0"/>
    <xf numFmtId="0" fontId="20" fillId="18" borderId="0" applyNumberFormat="0" applyBorder="0" applyAlignment="0" applyProtection="0"/>
    <xf numFmtId="0" fontId="4" fillId="49" borderId="0" applyNumberFormat="0" applyBorder="0" applyAlignment="0" applyProtection="0"/>
    <xf numFmtId="0" fontId="20" fillId="18" borderId="0" applyNumberFormat="0" applyBorder="0" applyAlignment="0" applyProtection="0"/>
    <xf numFmtId="0" fontId="4" fillId="49" borderId="0" applyNumberFormat="0" applyBorder="0" applyAlignment="0" applyProtection="0"/>
    <xf numFmtId="0" fontId="20" fillId="18" borderId="0" applyNumberFormat="0" applyBorder="0" applyAlignment="0" applyProtection="0"/>
    <xf numFmtId="0" fontId="1" fillId="49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177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3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4" fillId="49" borderId="0" applyNumberFormat="0" applyBorder="0" applyAlignment="0" applyProtection="0"/>
    <xf numFmtId="0" fontId="20" fillId="18" borderId="0" applyNumberFormat="0" applyBorder="0" applyAlignment="0" applyProtection="0"/>
    <xf numFmtId="0" fontId="4" fillId="49" borderId="0" applyNumberFormat="0" applyBorder="0" applyAlignment="0" applyProtection="0"/>
    <xf numFmtId="0" fontId="20" fillId="18" borderId="0" applyNumberFormat="0" applyBorder="0" applyAlignment="0" applyProtection="0"/>
    <xf numFmtId="0" fontId="1" fillId="49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" fillId="49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" fillId="49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" fillId="49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" fillId="49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" fillId="49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" fillId="49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" fillId="49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1" fillId="49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177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3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4" fillId="49" borderId="0" applyNumberFormat="0" applyBorder="0" applyAlignment="0" applyProtection="0"/>
    <xf numFmtId="0" fontId="20" fillId="18" borderId="0" applyNumberFormat="0" applyBorder="0" applyAlignment="0" applyProtection="0"/>
    <xf numFmtId="0" fontId="30" fillId="18" borderId="0" applyNumberFormat="0" applyBorder="0" applyAlignment="0" applyProtection="0"/>
    <xf numFmtId="177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3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4" fillId="49" borderId="0" applyNumberFormat="0" applyBorder="0" applyAlignment="0" applyProtection="0"/>
    <xf numFmtId="0" fontId="20" fillId="18" borderId="0" applyNumberFormat="0" applyBorder="0" applyAlignment="0" applyProtection="0"/>
    <xf numFmtId="177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3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4" fillId="49" borderId="0" applyNumberFormat="0" applyBorder="0" applyAlignment="0" applyProtection="0"/>
    <xf numFmtId="0" fontId="20" fillId="18" borderId="0" applyNumberFormat="0" applyBorder="0" applyAlignment="0" applyProtection="0"/>
    <xf numFmtId="177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3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4" fillId="49" borderId="0" applyNumberFormat="0" applyBorder="0" applyAlignment="0" applyProtection="0"/>
    <xf numFmtId="0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177" fontId="20" fillId="18" borderId="0" applyNumberFormat="0" applyBorder="0" applyAlignment="0" applyProtection="0"/>
    <xf numFmtId="0" fontId="20" fillId="18" borderId="0" applyNumberFormat="0" applyBorder="0" applyAlignment="0" applyProtection="0"/>
    <xf numFmtId="0" fontId="20" fillId="18" borderId="0" applyNumberFormat="0" applyBorder="0" applyAlignment="0" applyProtection="0"/>
    <xf numFmtId="177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4" fillId="10" borderId="0" applyNumberFormat="0" applyBorder="0" applyAlignment="0" applyProtection="0"/>
    <xf numFmtId="0" fontId="20" fillId="19" borderId="0" applyNumberFormat="0" applyBorder="0" applyAlignment="0" applyProtection="0"/>
    <xf numFmtId="0" fontId="4" fillId="10" borderId="0" applyNumberFormat="0" applyBorder="0" applyAlignment="0" applyProtection="0"/>
    <xf numFmtId="0" fontId="20" fillId="19" borderId="0" applyNumberFormat="0" applyBorder="0" applyAlignment="0" applyProtection="0"/>
    <xf numFmtId="0" fontId="4" fillId="10" borderId="0" applyNumberFormat="0" applyBorder="0" applyAlignment="0" applyProtection="0"/>
    <xf numFmtId="0" fontId="20" fillId="19" borderId="0" applyNumberFormat="0" applyBorder="0" applyAlignment="0" applyProtection="0"/>
    <xf numFmtId="0" fontId="4" fillId="10" borderId="0" applyNumberFormat="0" applyBorder="0" applyAlignment="0" applyProtection="0"/>
    <xf numFmtId="0" fontId="20" fillId="19" borderId="0" applyNumberFormat="0" applyBorder="0" applyAlignment="0" applyProtection="0"/>
    <xf numFmtId="0" fontId="4" fillId="10" borderId="0" applyNumberFormat="0" applyBorder="0" applyAlignment="0" applyProtection="0"/>
    <xf numFmtId="0" fontId="20" fillId="19" borderId="0" applyNumberFormat="0" applyBorder="0" applyAlignment="0" applyProtection="0"/>
    <xf numFmtId="0" fontId="4" fillId="10" borderId="0" applyNumberFormat="0" applyBorder="0" applyAlignment="0" applyProtection="0"/>
    <xf numFmtId="0" fontId="20" fillId="19" borderId="0" applyNumberFormat="0" applyBorder="0" applyAlignment="0" applyProtection="0"/>
    <xf numFmtId="0" fontId="4" fillId="10" borderId="0" applyNumberFormat="0" applyBorder="0" applyAlignment="0" applyProtection="0"/>
    <xf numFmtId="0" fontId="20" fillId="19" borderId="0" applyNumberFormat="0" applyBorder="0" applyAlignment="0" applyProtection="0"/>
    <xf numFmtId="0" fontId="4" fillId="10" borderId="0" applyNumberFormat="0" applyBorder="0" applyAlignment="0" applyProtection="0"/>
    <xf numFmtId="0" fontId="20" fillId="19" borderId="0" applyNumberFormat="0" applyBorder="0" applyAlignment="0" applyProtection="0"/>
    <xf numFmtId="0" fontId="4" fillId="10" borderId="0" applyNumberFormat="0" applyBorder="0" applyAlignment="0" applyProtection="0"/>
    <xf numFmtId="0" fontId="20" fillId="19" borderId="0" applyNumberFormat="0" applyBorder="0" applyAlignment="0" applyProtection="0"/>
    <xf numFmtId="0" fontId="4" fillId="10" borderId="0" applyNumberFormat="0" applyBorder="0" applyAlignment="0" applyProtection="0"/>
    <xf numFmtId="0" fontId="20" fillId="19" borderId="0" applyNumberFormat="0" applyBorder="0" applyAlignment="0" applyProtection="0"/>
    <xf numFmtId="0" fontId="1" fillId="10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20" fillId="19" borderId="0" applyNumberFormat="0" applyBorder="0" applyAlignment="0" applyProtection="0"/>
    <xf numFmtId="176" fontId="4" fillId="10" borderId="0" applyNumberFormat="0" applyBorder="0" applyAlignment="0" applyProtection="0"/>
    <xf numFmtId="0" fontId="30" fillId="19" borderId="0" applyNumberFormat="0" applyBorder="0" applyAlignment="0" applyProtection="0"/>
    <xf numFmtId="177" fontId="4" fillId="10" borderId="0" applyNumberFormat="0" applyBorder="0" applyAlignment="0" applyProtection="0"/>
    <xf numFmtId="0" fontId="30" fillId="19" borderId="0" applyNumberFormat="0" applyBorder="0" applyAlignment="0" applyProtection="0"/>
    <xf numFmtId="177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4" fillId="10" borderId="0" applyNumberFormat="0" applyBorder="0" applyAlignment="0" applyProtection="0"/>
    <xf numFmtId="0" fontId="20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20" fillId="19" borderId="0" applyNumberFormat="0" applyBorder="0" applyAlignment="0" applyProtection="0"/>
    <xf numFmtId="0" fontId="4" fillId="10" borderId="0" applyNumberFormat="0" applyBorder="0" applyAlignment="0" applyProtection="0"/>
    <xf numFmtId="0" fontId="20" fillId="19" borderId="0" applyNumberFormat="0" applyBorder="0" applyAlignment="0" applyProtection="0"/>
    <xf numFmtId="0" fontId="4" fillId="10" borderId="0" applyNumberFormat="0" applyBorder="0" applyAlignment="0" applyProtection="0"/>
    <xf numFmtId="0" fontId="20" fillId="19" borderId="0" applyNumberFormat="0" applyBorder="0" applyAlignment="0" applyProtection="0"/>
    <xf numFmtId="0" fontId="1" fillId="10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" fillId="10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" fillId="10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" fillId="10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" fillId="10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" fillId="10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" fillId="10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" fillId="10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1" fillId="10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177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30" fillId="19" borderId="0" applyNumberFormat="0" applyBorder="0" applyAlignment="0" applyProtection="0"/>
    <xf numFmtId="0" fontId="20" fillId="19" borderId="0" applyNumberFormat="0" applyBorder="0" applyAlignment="0" applyProtection="0"/>
    <xf numFmtId="0" fontId="30" fillId="19" borderId="0" applyNumberFormat="0" applyBorder="0" applyAlignment="0" applyProtection="0"/>
    <xf numFmtId="177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3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4" fillId="10" borderId="0" applyNumberFormat="0" applyBorder="0" applyAlignment="0" applyProtection="0"/>
    <xf numFmtId="0" fontId="20" fillId="19" borderId="0" applyNumberFormat="0" applyBorder="0" applyAlignment="0" applyProtection="0"/>
    <xf numFmtId="177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3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4" fillId="10" borderId="0" applyNumberFormat="0" applyBorder="0" applyAlignment="0" applyProtection="0"/>
    <xf numFmtId="0" fontId="20" fillId="19" borderId="0" applyNumberFormat="0" applyBorder="0" applyAlignment="0" applyProtection="0"/>
    <xf numFmtId="177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3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4" fillId="10" borderId="0" applyNumberFormat="0" applyBorder="0" applyAlignment="0" applyProtection="0"/>
    <xf numFmtId="0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7" fontId="20" fillId="19" borderId="0" applyNumberFormat="0" applyBorder="0" applyAlignment="0" applyProtection="0"/>
    <xf numFmtId="0" fontId="20" fillId="19" borderId="0" applyNumberFormat="0" applyBorder="0" applyAlignment="0" applyProtection="0"/>
    <xf numFmtId="0" fontId="20" fillId="19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4" fillId="46" borderId="0" applyNumberFormat="0" applyBorder="0" applyAlignment="0" applyProtection="0"/>
    <xf numFmtId="0" fontId="20" fillId="20" borderId="0" applyNumberFormat="0" applyBorder="0" applyAlignment="0" applyProtection="0"/>
    <xf numFmtId="0" fontId="4" fillId="46" borderId="0" applyNumberFormat="0" applyBorder="0" applyAlignment="0" applyProtection="0"/>
    <xf numFmtId="0" fontId="20" fillId="20" borderId="0" applyNumberFormat="0" applyBorder="0" applyAlignment="0" applyProtection="0"/>
    <xf numFmtId="0" fontId="4" fillId="46" borderId="0" applyNumberFormat="0" applyBorder="0" applyAlignment="0" applyProtection="0"/>
    <xf numFmtId="0" fontId="20" fillId="20" borderId="0" applyNumberFormat="0" applyBorder="0" applyAlignment="0" applyProtection="0"/>
    <xf numFmtId="0" fontId="4" fillId="46" borderId="0" applyNumberFormat="0" applyBorder="0" applyAlignment="0" applyProtection="0"/>
    <xf numFmtId="0" fontId="20" fillId="20" borderId="0" applyNumberFormat="0" applyBorder="0" applyAlignment="0" applyProtection="0"/>
    <xf numFmtId="0" fontId="4" fillId="46" borderId="0" applyNumberFormat="0" applyBorder="0" applyAlignment="0" applyProtection="0"/>
    <xf numFmtId="0" fontId="20" fillId="20" borderId="0" applyNumberFormat="0" applyBorder="0" applyAlignment="0" applyProtection="0"/>
    <xf numFmtId="0" fontId="4" fillId="46" borderId="0" applyNumberFormat="0" applyBorder="0" applyAlignment="0" applyProtection="0"/>
    <xf numFmtId="0" fontId="20" fillId="20" borderId="0" applyNumberFormat="0" applyBorder="0" applyAlignment="0" applyProtection="0"/>
    <xf numFmtId="0" fontId="4" fillId="46" borderId="0" applyNumberFormat="0" applyBorder="0" applyAlignment="0" applyProtection="0"/>
    <xf numFmtId="0" fontId="20" fillId="20" borderId="0" applyNumberFormat="0" applyBorder="0" applyAlignment="0" applyProtection="0"/>
    <xf numFmtId="0" fontId="4" fillId="46" borderId="0" applyNumberFormat="0" applyBorder="0" applyAlignment="0" applyProtection="0"/>
    <xf numFmtId="0" fontId="20" fillId="20" borderId="0" applyNumberFormat="0" applyBorder="0" applyAlignment="0" applyProtection="0"/>
    <xf numFmtId="0" fontId="4" fillId="46" borderId="0" applyNumberFormat="0" applyBorder="0" applyAlignment="0" applyProtection="0"/>
    <xf numFmtId="0" fontId="20" fillId="20" borderId="0" applyNumberFormat="0" applyBorder="0" applyAlignment="0" applyProtection="0"/>
    <xf numFmtId="0" fontId="4" fillId="46" borderId="0" applyNumberFormat="0" applyBorder="0" applyAlignment="0" applyProtection="0"/>
    <xf numFmtId="0" fontId="20" fillId="20" borderId="0" applyNumberFormat="0" applyBorder="0" applyAlignment="0" applyProtection="0"/>
    <xf numFmtId="0" fontId="1" fillId="46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3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4" fillId="46" borderId="0" applyNumberFormat="0" applyBorder="0" applyAlignment="0" applyProtection="0"/>
    <xf numFmtId="0" fontId="20" fillId="20" borderId="0" applyNumberFormat="0" applyBorder="0" applyAlignment="0" applyProtection="0"/>
    <xf numFmtId="0" fontId="4" fillId="46" borderId="0" applyNumberFormat="0" applyBorder="0" applyAlignment="0" applyProtection="0"/>
    <xf numFmtId="0" fontId="20" fillId="20" borderId="0" applyNumberFormat="0" applyBorder="0" applyAlignment="0" applyProtection="0"/>
    <xf numFmtId="0" fontId="1" fillId="46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" fillId="46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" fillId="46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" fillId="46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" fillId="46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" fillId="46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" fillId="46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" fillId="46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" fillId="46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3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4" fillId="46" borderId="0" applyNumberFormat="0" applyBorder="0" applyAlignment="0" applyProtection="0"/>
    <xf numFmtId="0" fontId="20" fillId="20" borderId="0" applyNumberFormat="0" applyBorder="0" applyAlignment="0" applyProtection="0"/>
    <xf numFmtId="0" fontId="3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3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4" fillId="46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3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4" fillId="46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3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4" fillId="46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4" fillId="47" borderId="0" applyNumberFormat="0" applyBorder="0" applyAlignment="0" applyProtection="0"/>
    <xf numFmtId="0" fontId="20" fillId="21" borderId="0" applyNumberFormat="0" applyBorder="0" applyAlignment="0" applyProtection="0"/>
    <xf numFmtId="0" fontId="4" fillId="47" borderId="0" applyNumberFormat="0" applyBorder="0" applyAlignment="0" applyProtection="0"/>
    <xf numFmtId="0" fontId="20" fillId="21" borderId="0" applyNumberFormat="0" applyBorder="0" applyAlignment="0" applyProtection="0"/>
    <xf numFmtId="0" fontId="4" fillId="47" borderId="0" applyNumberFormat="0" applyBorder="0" applyAlignment="0" applyProtection="0"/>
    <xf numFmtId="0" fontId="20" fillId="21" borderId="0" applyNumberFormat="0" applyBorder="0" applyAlignment="0" applyProtection="0"/>
    <xf numFmtId="0" fontId="4" fillId="47" borderId="0" applyNumberFormat="0" applyBorder="0" applyAlignment="0" applyProtection="0"/>
    <xf numFmtId="0" fontId="20" fillId="21" borderId="0" applyNumberFormat="0" applyBorder="0" applyAlignment="0" applyProtection="0"/>
    <xf numFmtId="0" fontId="4" fillId="47" borderId="0" applyNumberFormat="0" applyBorder="0" applyAlignment="0" applyProtection="0"/>
    <xf numFmtId="0" fontId="20" fillId="21" borderId="0" applyNumberFormat="0" applyBorder="0" applyAlignment="0" applyProtection="0"/>
    <xf numFmtId="0" fontId="4" fillId="47" borderId="0" applyNumberFormat="0" applyBorder="0" applyAlignment="0" applyProtection="0"/>
    <xf numFmtId="0" fontId="20" fillId="21" borderId="0" applyNumberFormat="0" applyBorder="0" applyAlignment="0" applyProtection="0"/>
    <xf numFmtId="0" fontId="4" fillId="47" borderId="0" applyNumberFormat="0" applyBorder="0" applyAlignment="0" applyProtection="0"/>
    <xf numFmtId="0" fontId="20" fillId="21" borderId="0" applyNumberFormat="0" applyBorder="0" applyAlignment="0" applyProtection="0"/>
    <xf numFmtId="0" fontId="4" fillId="47" borderId="0" applyNumberFormat="0" applyBorder="0" applyAlignment="0" applyProtection="0"/>
    <xf numFmtId="0" fontId="20" fillId="21" borderId="0" applyNumberFormat="0" applyBorder="0" applyAlignment="0" applyProtection="0"/>
    <xf numFmtId="0" fontId="4" fillId="47" borderId="0" applyNumberFormat="0" applyBorder="0" applyAlignment="0" applyProtection="0"/>
    <xf numFmtId="0" fontId="20" fillId="21" borderId="0" applyNumberFormat="0" applyBorder="0" applyAlignment="0" applyProtection="0"/>
    <xf numFmtId="0" fontId="4" fillId="47" borderId="0" applyNumberFormat="0" applyBorder="0" applyAlignment="0" applyProtection="0"/>
    <xf numFmtId="0" fontId="20" fillId="21" borderId="0" applyNumberFormat="0" applyBorder="0" applyAlignment="0" applyProtection="0"/>
    <xf numFmtId="0" fontId="1" fillId="47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77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3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4" fillId="47" borderId="0" applyNumberFormat="0" applyBorder="0" applyAlignment="0" applyProtection="0"/>
    <xf numFmtId="0" fontId="20" fillId="21" borderId="0" applyNumberFormat="0" applyBorder="0" applyAlignment="0" applyProtection="0"/>
    <xf numFmtId="0" fontId="4" fillId="47" borderId="0" applyNumberFormat="0" applyBorder="0" applyAlignment="0" applyProtection="0"/>
    <xf numFmtId="0" fontId="20" fillId="21" borderId="0" applyNumberFormat="0" applyBorder="0" applyAlignment="0" applyProtection="0"/>
    <xf numFmtId="0" fontId="1" fillId="47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" fillId="47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" fillId="47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" fillId="47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" fillId="47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" fillId="47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" fillId="47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" fillId="47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1" fillId="47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177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3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4" fillId="47" borderId="0" applyNumberFormat="0" applyBorder="0" applyAlignment="0" applyProtection="0"/>
    <xf numFmtId="0" fontId="20" fillId="21" borderId="0" applyNumberFormat="0" applyBorder="0" applyAlignment="0" applyProtection="0"/>
    <xf numFmtId="0" fontId="30" fillId="21" borderId="0" applyNumberFormat="0" applyBorder="0" applyAlignment="0" applyProtection="0"/>
    <xf numFmtId="177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3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4" fillId="47" borderId="0" applyNumberFormat="0" applyBorder="0" applyAlignment="0" applyProtection="0"/>
    <xf numFmtId="0" fontId="20" fillId="21" borderId="0" applyNumberFormat="0" applyBorder="0" applyAlignment="0" applyProtection="0"/>
    <xf numFmtId="177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3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4" fillId="47" borderId="0" applyNumberFormat="0" applyBorder="0" applyAlignment="0" applyProtection="0"/>
    <xf numFmtId="0" fontId="20" fillId="21" borderId="0" applyNumberFormat="0" applyBorder="0" applyAlignment="0" applyProtection="0"/>
    <xf numFmtId="177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3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4" fillId="47" borderId="0" applyNumberFormat="0" applyBorder="0" applyAlignment="0" applyProtection="0"/>
    <xf numFmtId="0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177" fontId="20" fillId="21" borderId="0" applyNumberFormat="0" applyBorder="0" applyAlignment="0" applyProtection="0"/>
    <xf numFmtId="0" fontId="20" fillId="21" borderId="0" applyNumberFormat="0" applyBorder="0" applyAlignment="0" applyProtection="0"/>
    <xf numFmtId="0" fontId="20" fillId="21" borderId="0" applyNumberFormat="0" applyBorder="0" applyAlignment="0" applyProtection="0"/>
    <xf numFmtId="177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4" fillId="22" borderId="0" applyNumberFormat="0" applyBorder="0" applyAlignment="0" applyProtection="0"/>
    <xf numFmtId="0" fontId="20" fillId="22" borderId="0" applyNumberFormat="0" applyBorder="0" applyAlignment="0" applyProtection="0"/>
    <xf numFmtId="0" fontId="4" fillId="22" borderId="0" applyNumberFormat="0" applyBorder="0" applyAlignment="0" applyProtection="0"/>
    <xf numFmtId="0" fontId="20" fillId="22" borderId="0" applyNumberFormat="0" applyBorder="0" applyAlignment="0" applyProtection="0"/>
    <xf numFmtId="0" fontId="4" fillId="22" borderId="0" applyNumberFormat="0" applyBorder="0" applyAlignment="0" applyProtection="0"/>
    <xf numFmtId="0" fontId="20" fillId="22" borderId="0" applyNumberFormat="0" applyBorder="0" applyAlignment="0" applyProtection="0"/>
    <xf numFmtId="0" fontId="4" fillId="22" borderId="0" applyNumberFormat="0" applyBorder="0" applyAlignment="0" applyProtection="0"/>
    <xf numFmtId="0" fontId="20" fillId="22" borderId="0" applyNumberFormat="0" applyBorder="0" applyAlignment="0" applyProtection="0"/>
    <xf numFmtId="0" fontId="4" fillId="22" borderId="0" applyNumberFormat="0" applyBorder="0" applyAlignment="0" applyProtection="0"/>
    <xf numFmtId="0" fontId="20" fillId="22" borderId="0" applyNumberFormat="0" applyBorder="0" applyAlignment="0" applyProtection="0"/>
    <xf numFmtId="0" fontId="4" fillId="22" borderId="0" applyNumberFormat="0" applyBorder="0" applyAlignment="0" applyProtection="0"/>
    <xf numFmtId="0" fontId="20" fillId="22" borderId="0" applyNumberFormat="0" applyBorder="0" applyAlignment="0" applyProtection="0"/>
    <xf numFmtId="0" fontId="4" fillId="22" borderId="0" applyNumberFormat="0" applyBorder="0" applyAlignment="0" applyProtection="0"/>
    <xf numFmtId="0" fontId="20" fillId="22" borderId="0" applyNumberFormat="0" applyBorder="0" applyAlignment="0" applyProtection="0"/>
    <xf numFmtId="0" fontId="4" fillId="22" borderId="0" applyNumberFormat="0" applyBorder="0" applyAlignment="0" applyProtection="0"/>
    <xf numFmtId="0" fontId="20" fillId="22" borderId="0" applyNumberFormat="0" applyBorder="0" applyAlignment="0" applyProtection="0"/>
    <xf numFmtId="0" fontId="4" fillId="22" borderId="0" applyNumberFormat="0" applyBorder="0" applyAlignment="0" applyProtection="0"/>
    <xf numFmtId="0" fontId="20" fillId="22" borderId="0" applyNumberFormat="0" applyBorder="0" applyAlignment="0" applyProtection="0"/>
    <xf numFmtId="0" fontId="4" fillId="22" borderId="0" applyNumberFormat="0" applyBorder="0" applyAlignment="0" applyProtection="0"/>
    <xf numFmtId="0" fontId="20" fillId="22" borderId="0" applyNumberFormat="0" applyBorder="0" applyAlignment="0" applyProtection="0"/>
    <xf numFmtId="0" fontId="1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77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3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4" fillId="22" borderId="0" applyNumberFormat="0" applyBorder="0" applyAlignment="0" applyProtection="0"/>
    <xf numFmtId="0" fontId="20" fillId="22" borderId="0" applyNumberFormat="0" applyBorder="0" applyAlignment="0" applyProtection="0"/>
    <xf numFmtId="0" fontId="4" fillId="22" borderId="0" applyNumberFormat="0" applyBorder="0" applyAlignment="0" applyProtection="0"/>
    <xf numFmtId="0" fontId="20" fillId="22" borderId="0" applyNumberFormat="0" applyBorder="0" applyAlignment="0" applyProtection="0"/>
    <xf numFmtId="0" fontId="1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1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1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1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1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1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1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1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1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177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3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4" fillId="22" borderId="0" applyNumberFormat="0" applyBorder="0" applyAlignment="0" applyProtection="0"/>
    <xf numFmtId="0" fontId="20" fillId="22" borderId="0" applyNumberFormat="0" applyBorder="0" applyAlignment="0" applyProtection="0"/>
    <xf numFmtId="0" fontId="30" fillId="22" borderId="0" applyNumberFormat="0" applyBorder="0" applyAlignment="0" applyProtection="0"/>
    <xf numFmtId="177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3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4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3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4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3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4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22" borderId="0" applyNumberFormat="0" applyBorder="0" applyAlignment="0" applyProtection="0"/>
    <xf numFmtId="0" fontId="20" fillId="22" borderId="0" applyNumberFormat="0" applyBorder="0" applyAlignment="0" applyProtection="0"/>
    <xf numFmtId="0" fontId="20" fillId="22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48" borderId="0" applyNumberFormat="0" applyBorder="0" applyAlignment="0" applyProtection="0"/>
    <xf numFmtId="0" fontId="20" fillId="17" borderId="0" applyNumberFormat="0" applyBorder="0" applyAlignment="0" applyProtection="0"/>
    <xf numFmtId="0" fontId="4" fillId="48" borderId="0" applyNumberFormat="0" applyBorder="0" applyAlignment="0" applyProtection="0"/>
    <xf numFmtId="0" fontId="20" fillId="17" borderId="0" applyNumberFormat="0" applyBorder="0" applyAlignment="0" applyProtection="0"/>
    <xf numFmtId="0" fontId="4" fillId="48" borderId="0" applyNumberFormat="0" applyBorder="0" applyAlignment="0" applyProtection="0"/>
    <xf numFmtId="0" fontId="20" fillId="17" borderId="0" applyNumberFormat="0" applyBorder="0" applyAlignment="0" applyProtection="0"/>
    <xf numFmtId="0" fontId="4" fillId="48" borderId="0" applyNumberFormat="0" applyBorder="0" applyAlignment="0" applyProtection="0"/>
    <xf numFmtId="0" fontId="20" fillId="17" borderId="0" applyNumberFormat="0" applyBorder="0" applyAlignment="0" applyProtection="0"/>
    <xf numFmtId="0" fontId="4" fillId="48" borderId="0" applyNumberFormat="0" applyBorder="0" applyAlignment="0" applyProtection="0"/>
    <xf numFmtId="0" fontId="20" fillId="17" borderId="0" applyNumberFormat="0" applyBorder="0" applyAlignment="0" applyProtection="0"/>
    <xf numFmtId="0" fontId="4" fillId="48" borderId="0" applyNumberFormat="0" applyBorder="0" applyAlignment="0" applyProtection="0"/>
    <xf numFmtId="0" fontId="20" fillId="17" borderId="0" applyNumberFormat="0" applyBorder="0" applyAlignment="0" applyProtection="0"/>
    <xf numFmtId="0" fontId="4" fillId="48" borderId="0" applyNumberFormat="0" applyBorder="0" applyAlignment="0" applyProtection="0"/>
    <xf numFmtId="0" fontId="20" fillId="17" borderId="0" applyNumberFormat="0" applyBorder="0" applyAlignment="0" applyProtection="0"/>
    <xf numFmtId="0" fontId="4" fillId="48" borderId="0" applyNumberFormat="0" applyBorder="0" applyAlignment="0" applyProtection="0"/>
    <xf numFmtId="0" fontId="20" fillId="17" borderId="0" applyNumberFormat="0" applyBorder="0" applyAlignment="0" applyProtection="0"/>
    <xf numFmtId="0" fontId="4" fillId="48" borderId="0" applyNumberFormat="0" applyBorder="0" applyAlignment="0" applyProtection="0"/>
    <xf numFmtId="0" fontId="20" fillId="17" borderId="0" applyNumberFormat="0" applyBorder="0" applyAlignment="0" applyProtection="0"/>
    <xf numFmtId="0" fontId="4" fillId="48" borderId="0" applyNumberFormat="0" applyBorder="0" applyAlignment="0" applyProtection="0"/>
    <xf numFmtId="0" fontId="20" fillId="17" borderId="0" applyNumberFormat="0" applyBorder="0" applyAlignment="0" applyProtection="0"/>
    <xf numFmtId="0" fontId="1" fillId="48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3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48" borderId="0" applyNumberFormat="0" applyBorder="0" applyAlignment="0" applyProtection="0"/>
    <xf numFmtId="0" fontId="20" fillId="17" borderId="0" applyNumberFormat="0" applyBorder="0" applyAlignment="0" applyProtection="0"/>
    <xf numFmtId="0" fontId="4" fillId="48" borderId="0" applyNumberFormat="0" applyBorder="0" applyAlignment="0" applyProtection="0"/>
    <xf numFmtId="0" fontId="20" fillId="17" borderId="0" applyNumberFormat="0" applyBorder="0" applyAlignment="0" applyProtection="0"/>
    <xf numFmtId="0" fontId="1" fillId="48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" fillId="48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" fillId="48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" fillId="48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" fillId="48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" fillId="48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" fillId="48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" fillId="48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0" fontId="1" fillId="48" borderId="0" applyNumberFormat="0" applyBorder="0" applyAlignment="0" applyProtection="0"/>
    <xf numFmtId="0" fontId="30" fillId="17" borderId="0" applyNumberFormat="0" applyBorder="0" applyAlignment="0" applyProtection="0"/>
    <xf numFmtId="0" fontId="3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3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48" borderId="0" applyNumberFormat="0" applyBorder="0" applyAlignment="0" applyProtection="0"/>
    <xf numFmtId="0" fontId="20" fillId="17" borderId="0" applyNumberFormat="0" applyBorder="0" applyAlignment="0" applyProtection="0"/>
    <xf numFmtId="0" fontId="3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3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48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3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48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3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4" fillId="48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17" borderId="0" applyNumberFormat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4" fillId="50" borderId="0" applyNumberFormat="0" applyBorder="0" applyAlignment="0" applyProtection="0"/>
    <xf numFmtId="0" fontId="20" fillId="20" borderId="0" applyNumberFormat="0" applyBorder="0" applyAlignment="0" applyProtection="0"/>
    <xf numFmtId="0" fontId="4" fillId="50" borderId="0" applyNumberFormat="0" applyBorder="0" applyAlignment="0" applyProtection="0"/>
    <xf numFmtId="0" fontId="20" fillId="20" borderId="0" applyNumberFormat="0" applyBorder="0" applyAlignment="0" applyProtection="0"/>
    <xf numFmtId="0" fontId="4" fillId="50" borderId="0" applyNumberFormat="0" applyBorder="0" applyAlignment="0" applyProtection="0"/>
    <xf numFmtId="0" fontId="20" fillId="20" borderId="0" applyNumberFormat="0" applyBorder="0" applyAlignment="0" applyProtection="0"/>
    <xf numFmtId="0" fontId="4" fillId="50" borderId="0" applyNumberFormat="0" applyBorder="0" applyAlignment="0" applyProtection="0"/>
    <xf numFmtId="0" fontId="20" fillId="20" borderId="0" applyNumberFormat="0" applyBorder="0" applyAlignment="0" applyProtection="0"/>
    <xf numFmtId="0" fontId="4" fillId="50" borderId="0" applyNumberFormat="0" applyBorder="0" applyAlignment="0" applyProtection="0"/>
    <xf numFmtId="0" fontId="20" fillId="20" borderId="0" applyNumberFormat="0" applyBorder="0" applyAlignment="0" applyProtection="0"/>
    <xf numFmtId="0" fontId="4" fillId="50" borderId="0" applyNumberFormat="0" applyBorder="0" applyAlignment="0" applyProtection="0"/>
    <xf numFmtId="0" fontId="20" fillId="20" borderId="0" applyNumberFormat="0" applyBorder="0" applyAlignment="0" applyProtection="0"/>
    <xf numFmtId="0" fontId="4" fillId="50" borderId="0" applyNumberFormat="0" applyBorder="0" applyAlignment="0" applyProtection="0"/>
    <xf numFmtId="0" fontId="20" fillId="20" borderId="0" applyNumberFormat="0" applyBorder="0" applyAlignment="0" applyProtection="0"/>
    <xf numFmtId="0" fontId="4" fillId="50" borderId="0" applyNumberFormat="0" applyBorder="0" applyAlignment="0" applyProtection="0"/>
    <xf numFmtId="0" fontId="20" fillId="20" borderId="0" applyNumberFormat="0" applyBorder="0" applyAlignment="0" applyProtection="0"/>
    <xf numFmtId="0" fontId="4" fillId="50" borderId="0" applyNumberFormat="0" applyBorder="0" applyAlignment="0" applyProtection="0"/>
    <xf numFmtId="0" fontId="20" fillId="20" borderId="0" applyNumberFormat="0" applyBorder="0" applyAlignment="0" applyProtection="0"/>
    <xf numFmtId="0" fontId="4" fillId="50" borderId="0" applyNumberFormat="0" applyBorder="0" applyAlignment="0" applyProtection="0"/>
    <xf numFmtId="0" fontId="20" fillId="20" borderId="0" applyNumberFormat="0" applyBorder="0" applyAlignment="0" applyProtection="0"/>
    <xf numFmtId="0" fontId="1" fillId="5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3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4" fillId="50" borderId="0" applyNumberFormat="0" applyBorder="0" applyAlignment="0" applyProtection="0"/>
    <xf numFmtId="0" fontId="20" fillId="20" borderId="0" applyNumberFormat="0" applyBorder="0" applyAlignment="0" applyProtection="0"/>
    <xf numFmtId="0" fontId="4" fillId="50" borderId="0" applyNumberFormat="0" applyBorder="0" applyAlignment="0" applyProtection="0"/>
    <xf numFmtId="0" fontId="20" fillId="20" borderId="0" applyNumberFormat="0" applyBorder="0" applyAlignment="0" applyProtection="0"/>
    <xf numFmtId="0" fontId="1" fillId="5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" fillId="5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" fillId="5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" fillId="5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" fillId="5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" fillId="5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" fillId="5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" fillId="5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1" fillId="5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3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4" fillId="50" borderId="0" applyNumberFormat="0" applyBorder="0" applyAlignment="0" applyProtection="0"/>
    <xf numFmtId="0" fontId="20" fillId="20" borderId="0" applyNumberFormat="0" applyBorder="0" applyAlignment="0" applyProtection="0"/>
    <xf numFmtId="0" fontId="3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3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4" fillId="5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3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4" fillId="5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3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4" fillId="5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0" borderId="0" applyNumberFormat="0" applyBorder="0" applyAlignment="0" applyProtection="0"/>
    <xf numFmtId="0" fontId="20" fillId="20" borderId="0" applyNumberFormat="0" applyBorder="0" applyAlignment="0" applyProtection="0"/>
    <xf numFmtId="0" fontId="20" fillId="20" borderId="0" applyNumberFormat="0" applyBorder="0" applyAlignment="0" applyProtection="0"/>
    <xf numFmtId="177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4" fillId="51" borderId="0" applyNumberFormat="0" applyBorder="0" applyAlignment="0" applyProtection="0"/>
    <xf numFmtId="0" fontId="20" fillId="23" borderId="0" applyNumberFormat="0" applyBorder="0" applyAlignment="0" applyProtection="0"/>
    <xf numFmtId="0" fontId="4" fillId="51" borderId="0" applyNumberFormat="0" applyBorder="0" applyAlignment="0" applyProtection="0"/>
    <xf numFmtId="0" fontId="20" fillId="23" borderId="0" applyNumberFormat="0" applyBorder="0" applyAlignment="0" applyProtection="0"/>
    <xf numFmtId="0" fontId="4" fillId="51" borderId="0" applyNumberFormat="0" applyBorder="0" applyAlignment="0" applyProtection="0"/>
    <xf numFmtId="0" fontId="20" fillId="23" borderId="0" applyNumberFormat="0" applyBorder="0" applyAlignment="0" applyProtection="0"/>
    <xf numFmtId="0" fontId="4" fillId="51" borderId="0" applyNumberFormat="0" applyBorder="0" applyAlignment="0" applyProtection="0"/>
    <xf numFmtId="0" fontId="20" fillId="23" borderId="0" applyNumberFormat="0" applyBorder="0" applyAlignment="0" applyProtection="0"/>
    <xf numFmtId="0" fontId="4" fillId="51" borderId="0" applyNumberFormat="0" applyBorder="0" applyAlignment="0" applyProtection="0"/>
    <xf numFmtId="0" fontId="20" fillId="23" borderId="0" applyNumberFormat="0" applyBorder="0" applyAlignment="0" applyProtection="0"/>
    <xf numFmtId="0" fontId="4" fillId="51" borderId="0" applyNumberFormat="0" applyBorder="0" applyAlignment="0" applyProtection="0"/>
    <xf numFmtId="0" fontId="20" fillId="23" borderId="0" applyNumberFormat="0" applyBorder="0" applyAlignment="0" applyProtection="0"/>
    <xf numFmtId="0" fontId="4" fillId="51" borderId="0" applyNumberFormat="0" applyBorder="0" applyAlignment="0" applyProtection="0"/>
    <xf numFmtId="0" fontId="20" fillId="23" borderId="0" applyNumberFormat="0" applyBorder="0" applyAlignment="0" applyProtection="0"/>
    <xf numFmtId="0" fontId="4" fillId="51" borderId="0" applyNumberFormat="0" applyBorder="0" applyAlignment="0" applyProtection="0"/>
    <xf numFmtId="0" fontId="20" fillId="23" borderId="0" applyNumberFormat="0" applyBorder="0" applyAlignment="0" applyProtection="0"/>
    <xf numFmtId="0" fontId="4" fillId="51" borderId="0" applyNumberFormat="0" applyBorder="0" applyAlignment="0" applyProtection="0"/>
    <xf numFmtId="0" fontId="20" fillId="23" borderId="0" applyNumberFormat="0" applyBorder="0" applyAlignment="0" applyProtection="0"/>
    <xf numFmtId="0" fontId="4" fillId="51" borderId="0" applyNumberFormat="0" applyBorder="0" applyAlignment="0" applyProtection="0"/>
    <xf numFmtId="0" fontId="20" fillId="23" borderId="0" applyNumberFormat="0" applyBorder="0" applyAlignment="0" applyProtection="0"/>
    <xf numFmtId="0" fontId="1" fillId="51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177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3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4" fillId="51" borderId="0" applyNumberFormat="0" applyBorder="0" applyAlignment="0" applyProtection="0"/>
    <xf numFmtId="0" fontId="20" fillId="23" borderId="0" applyNumberFormat="0" applyBorder="0" applyAlignment="0" applyProtection="0"/>
    <xf numFmtId="0" fontId="4" fillId="51" borderId="0" applyNumberFormat="0" applyBorder="0" applyAlignment="0" applyProtection="0"/>
    <xf numFmtId="0" fontId="20" fillId="23" borderId="0" applyNumberFormat="0" applyBorder="0" applyAlignment="0" applyProtection="0"/>
    <xf numFmtId="0" fontId="1" fillId="51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1" fillId="51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1" fillId="51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1" fillId="51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1" fillId="51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1" fillId="51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1" fillId="51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1" fillId="51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1" fillId="51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177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3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4" fillId="51" borderId="0" applyNumberFormat="0" applyBorder="0" applyAlignment="0" applyProtection="0"/>
    <xf numFmtId="0" fontId="20" fillId="23" borderId="0" applyNumberFormat="0" applyBorder="0" applyAlignment="0" applyProtection="0"/>
    <xf numFmtId="0" fontId="30" fillId="23" borderId="0" applyNumberFormat="0" applyBorder="0" applyAlignment="0" applyProtection="0"/>
    <xf numFmtId="177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3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4" fillId="51" borderId="0" applyNumberFormat="0" applyBorder="0" applyAlignment="0" applyProtection="0"/>
    <xf numFmtId="0" fontId="20" fillId="23" borderId="0" applyNumberFormat="0" applyBorder="0" applyAlignment="0" applyProtection="0"/>
    <xf numFmtId="177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3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4" fillId="51" borderId="0" applyNumberFormat="0" applyBorder="0" applyAlignment="0" applyProtection="0"/>
    <xf numFmtId="0" fontId="20" fillId="23" borderId="0" applyNumberFormat="0" applyBorder="0" applyAlignment="0" applyProtection="0"/>
    <xf numFmtId="177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3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4" fillId="51" borderId="0" applyNumberFormat="0" applyBorder="0" applyAlignment="0" applyProtection="0"/>
    <xf numFmtId="0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177" fontId="20" fillId="23" borderId="0" applyNumberFormat="0" applyBorder="0" applyAlignment="0" applyProtection="0"/>
    <xf numFmtId="0" fontId="20" fillId="23" borderId="0" applyNumberFormat="0" applyBorder="0" applyAlignment="0" applyProtection="0"/>
    <xf numFmtId="0" fontId="20" fillId="23" borderId="0" applyNumberFormat="0" applyBorder="0" applyAlignment="0" applyProtection="0"/>
    <xf numFmtId="177" fontId="21" fillId="24" borderId="0" applyNumberFormat="0" applyBorder="0" applyAlignment="0" applyProtection="0"/>
    <xf numFmtId="177" fontId="21" fillId="21" borderId="0" applyNumberFormat="0" applyBorder="0" applyAlignment="0" applyProtection="0"/>
    <xf numFmtId="0" fontId="21" fillId="21" borderId="0" applyNumberFormat="0" applyBorder="0" applyAlignment="0" applyProtection="0"/>
    <xf numFmtId="0" fontId="21" fillId="21" borderId="0" applyNumberFormat="0" applyBorder="0" applyAlignment="0" applyProtection="0"/>
    <xf numFmtId="177" fontId="21" fillId="22" borderId="0" applyNumberFormat="0" applyBorder="0" applyAlignment="0" applyProtection="0"/>
    <xf numFmtId="177" fontId="21" fillId="25" borderId="0" applyNumberFormat="0" applyBorder="0" applyAlignment="0" applyProtection="0"/>
    <xf numFmtId="177" fontId="21" fillId="26" borderId="0" applyNumberFormat="0" applyBorder="0" applyAlignment="0" applyProtection="0"/>
    <xf numFmtId="177" fontId="21" fillId="41" borderId="0" applyNumberFormat="0" applyBorder="0" applyAlignment="0" applyProtection="0"/>
    <xf numFmtId="0" fontId="15" fillId="41" borderId="0" applyNumberFormat="0" applyBorder="0" applyAlignment="0" applyProtection="0"/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177" fontId="21" fillId="27" borderId="0" applyNumberFormat="0" applyBorder="0" applyAlignment="0" applyProtection="0"/>
    <xf numFmtId="177" fontId="21" fillId="42" borderId="0" applyNumberFormat="0" applyBorder="0" applyAlignment="0" applyProtection="0"/>
    <xf numFmtId="0" fontId="21" fillId="42" borderId="0" applyNumberFormat="0" applyBorder="0" applyAlignment="0" applyProtection="0"/>
    <xf numFmtId="0" fontId="21" fillId="42" borderId="0" applyNumberFormat="0" applyBorder="0" applyAlignment="0" applyProtection="0"/>
    <xf numFmtId="177" fontId="21" fillId="28" borderId="0" applyNumberFormat="0" applyBorder="0" applyAlignment="0" applyProtection="0"/>
    <xf numFmtId="177" fontId="21" fillId="25" borderId="0" applyNumberFormat="0" applyBorder="0" applyAlignment="0" applyProtection="0"/>
    <xf numFmtId="0" fontId="21" fillId="25" borderId="0" applyNumberFormat="0" applyBorder="0" applyAlignment="0" applyProtection="0"/>
    <xf numFmtId="0" fontId="21" fillId="25" borderId="0" applyNumberFormat="0" applyBorder="0" applyAlignment="0" applyProtection="0"/>
    <xf numFmtId="177" fontId="21" fillId="26" borderId="0" applyNumberFormat="0" applyBorder="0" applyAlignment="0" applyProtection="0"/>
    <xf numFmtId="177" fontId="21" fillId="29" borderId="0" applyNumberFormat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77" fontId="22" fillId="0" borderId="0">
      <alignment horizontal="center" wrapText="1"/>
      <protection locked="0"/>
    </xf>
    <xf numFmtId="177" fontId="92" fillId="15" borderId="0" applyNumberFormat="0" applyBorder="0" applyAlignment="0" applyProtection="0"/>
    <xf numFmtId="0" fontId="92" fillId="15" borderId="0" applyNumberFormat="0" applyBorder="0" applyAlignment="0" applyProtection="0"/>
    <xf numFmtId="0" fontId="92" fillId="15" borderId="0" applyNumberFormat="0" applyBorder="0" applyAlignment="0" applyProtection="0"/>
    <xf numFmtId="220" fontId="10" fillId="0" borderId="0" applyFill="0" applyBorder="0" applyAlignment="0"/>
    <xf numFmtId="221" fontId="101" fillId="0" borderId="0" applyFill="0" applyBorder="0" applyAlignment="0"/>
    <xf numFmtId="0" fontId="26" fillId="30" borderId="35" applyNumberFormat="0" applyAlignment="0" applyProtection="0"/>
    <xf numFmtId="177" fontId="26" fillId="30" borderId="35" applyNumberFormat="0" applyAlignment="0" applyProtection="0"/>
    <xf numFmtId="176" fontId="26" fillId="30" borderId="35" applyNumberFormat="0" applyAlignment="0" applyProtection="0"/>
    <xf numFmtId="177" fontId="28" fillId="31" borderId="15" applyNumberFormat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4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114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11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22" fontId="58" fillId="0" borderId="0" applyFill="0" applyBorder="0" applyAlignment="0" applyProtection="0"/>
    <xf numFmtId="168" fontId="2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5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20" fillId="0" borderId="0" applyFont="0" applyFill="0" applyBorder="0" applyAlignment="0" applyProtection="0"/>
    <xf numFmtId="168" fontId="58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114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24" fillId="0" borderId="0" applyFont="0" applyFill="0" applyBorder="0" applyAlignment="0" applyProtection="0">
      <alignment vertical="top"/>
    </xf>
    <xf numFmtId="222" fontId="10" fillId="0" borderId="0" applyFill="0" applyBorder="0" applyAlignment="0" applyProtection="0"/>
    <xf numFmtId="168" fontId="1" fillId="0" borderId="0" applyFont="0" applyFill="0" applyBorder="0" applyAlignment="0" applyProtection="0"/>
    <xf numFmtId="168" fontId="10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16" fillId="0" borderId="0">
      <protection locked="0"/>
    </xf>
    <xf numFmtId="168" fontId="29" fillId="0" borderId="0" applyFont="0" applyFill="0" applyBorder="0" applyAlignment="0" applyProtection="0"/>
    <xf numFmtId="168" fontId="10" fillId="0" borderId="0" applyFont="0" applyFill="0" applyBorder="0" applyAlignment="0" applyProtection="0"/>
    <xf numFmtId="0" fontId="94" fillId="0" borderId="0" applyFont="0" applyFill="0" applyBorder="0" applyAlignment="0" applyProtection="0"/>
    <xf numFmtId="38" fontId="94" fillId="0" borderId="0" applyFont="0" applyFill="0" applyBorder="0" applyAlignment="0" applyProtection="0"/>
    <xf numFmtId="168" fontId="4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17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14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58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30" fillId="0" borderId="0" applyFont="0" applyFill="0" applyBorder="0" applyAlignment="0" applyProtection="0"/>
    <xf numFmtId="5" fontId="10" fillId="0" borderId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18" fillId="0" borderId="0" applyFont="0">
      <protection locked="0"/>
    </xf>
    <xf numFmtId="170" fontId="4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69" fontId="2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223" fontId="1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2" fontId="20" fillId="0" borderId="0" applyFont="0" applyFill="0" applyBorder="0" applyAlignment="0" applyProtection="0"/>
    <xf numFmtId="170" fontId="109" fillId="0" borderId="0" applyFont="0" applyFill="0" applyBorder="0" applyAlignment="0" applyProtection="0"/>
    <xf numFmtId="172" fontId="2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14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224" fontId="58" fillId="0" borderId="0" applyFill="0" applyBorder="0" applyAlignment="0" applyProtection="0"/>
    <xf numFmtId="170" fontId="3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40" fontId="94" fillId="0" borderId="0" applyFont="0" applyFill="0" applyBorder="0" applyAlignment="0" applyProtection="0"/>
    <xf numFmtId="170" fontId="20" fillId="0" borderId="0" applyFont="0" applyFill="0" applyBorder="0" applyAlignment="0" applyProtection="0"/>
    <xf numFmtId="224" fontId="10" fillId="0" borderId="0" applyFill="0" applyBorder="0" applyAlignment="0" applyProtection="0"/>
    <xf numFmtId="170" fontId="3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09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109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58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224" fontId="10" fillId="0" borderId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224" fontId="10" fillId="0" borderId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10" fillId="0" borderId="0" applyFont="0" applyFill="0" applyBorder="0" applyAlignment="0" applyProtection="0"/>
    <xf numFmtId="170" fontId="116" fillId="0" borderId="0">
      <protection locked="0"/>
    </xf>
    <xf numFmtId="170" fontId="1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224" fontId="10" fillId="0" borderId="0" applyFill="0" applyBorder="0" applyAlignment="0" applyProtection="0"/>
    <xf numFmtId="170" fontId="20" fillId="0" borderId="0" applyFont="0" applyFill="0" applyBorder="0" applyAlignment="0" applyProtection="0"/>
    <xf numFmtId="170" fontId="3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1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224" fontId="10" fillId="0" borderId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4" fillId="0" borderId="0" applyFont="0" applyFill="0" applyBorder="0" applyAlignment="0" applyProtection="0"/>
    <xf numFmtId="166" fontId="1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0" fontId="20" fillId="0" borderId="0" applyFont="0" applyFill="0" applyBorder="0" applyAlignment="0" applyProtection="0"/>
    <xf numFmtId="177" fontId="35" fillId="0" borderId="0" applyNumberFormat="0" applyAlignment="0"/>
    <xf numFmtId="185" fontId="36" fillId="0" borderId="39"/>
    <xf numFmtId="185" fontId="36" fillId="0" borderId="39"/>
    <xf numFmtId="185" fontId="36" fillId="0" borderId="39"/>
    <xf numFmtId="185" fontId="36" fillId="0" borderId="39"/>
    <xf numFmtId="185" fontId="36" fillId="0" borderId="39"/>
    <xf numFmtId="185" fontId="36" fillId="0" borderId="39"/>
    <xf numFmtId="185" fontId="36" fillId="0" borderId="39"/>
    <xf numFmtId="185" fontId="36" fillId="0" borderId="39"/>
    <xf numFmtId="185" fontId="36" fillId="0" borderId="39"/>
    <xf numFmtId="185" fontId="36" fillId="0" borderId="39"/>
    <xf numFmtId="185" fontId="36" fillId="0" borderId="39"/>
    <xf numFmtId="185" fontId="36" fillId="0" borderId="39"/>
    <xf numFmtId="185" fontId="36" fillId="0" borderId="39"/>
    <xf numFmtId="185" fontId="36" fillId="0" borderId="39"/>
    <xf numFmtId="185" fontId="36" fillId="0" borderId="39"/>
    <xf numFmtId="185" fontId="36" fillId="0" borderId="39"/>
    <xf numFmtId="185" fontId="36" fillId="0" borderId="39"/>
    <xf numFmtId="185" fontId="36" fillId="0" borderId="39"/>
    <xf numFmtId="185" fontId="36" fillId="0" borderId="39"/>
    <xf numFmtId="185" fontId="36" fillId="0" borderId="39"/>
    <xf numFmtId="185" fontId="36" fillId="0" borderId="39"/>
    <xf numFmtId="169" fontId="10" fillId="0" borderId="0" applyFont="0" applyFill="0" applyBorder="0" applyAlignment="0" applyProtection="0"/>
    <xf numFmtId="169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7" fontId="39" fillId="0" borderId="0" applyNumberFormat="0" applyFill="0" applyBorder="0" applyAlignment="0" applyProtection="0"/>
    <xf numFmtId="177" fontId="40" fillId="16" borderId="0" applyNumberFormat="0" applyBorder="0" applyAlignment="0" applyProtection="0"/>
    <xf numFmtId="0" fontId="42" fillId="0" borderId="45">
      <alignment horizontal="left" vertical="center"/>
    </xf>
    <xf numFmtId="0" fontId="42" fillId="0" borderId="45">
      <alignment horizontal="left" vertical="center"/>
    </xf>
    <xf numFmtId="177" fontId="42" fillId="0" borderId="45">
      <alignment horizontal="left" vertical="center"/>
    </xf>
    <xf numFmtId="177" fontId="42" fillId="0" borderId="45">
      <alignment horizontal="left" vertical="center"/>
    </xf>
    <xf numFmtId="0" fontId="42" fillId="0" borderId="45">
      <alignment horizontal="left" vertical="center"/>
    </xf>
    <xf numFmtId="177" fontId="42" fillId="0" borderId="45">
      <alignment horizontal="left" vertical="center"/>
    </xf>
    <xf numFmtId="0" fontId="42" fillId="0" borderId="45">
      <alignment horizontal="left" vertical="center"/>
    </xf>
    <xf numFmtId="0" fontId="42" fillId="0" borderId="45">
      <alignment horizontal="left" vertical="center"/>
    </xf>
    <xf numFmtId="0" fontId="42" fillId="0" borderId="45">
      <alignment horizontal="left" vertical="center"/>
    </xf>
    <xf numFmtId="0" fontId="42" fillId="0" borderId="45">
      <alignment horizontal="left" vertical="center"/>
    </xf>
    <xf numFmtId="0" fontId="42" fillId="0" borderId="45">
      <alignment horizontal="left" vertical="center"/>
    </xf>
    <xf numFmtId="0" fontId="42" fillId="0" borderId="45">
      <alignment horizontal="left" vertical="center"/>
    </xf>
    <xf numFmtId="0" fontId="42" fillId="0" borderId="45">
      <alignment horizontal="left" vertical="center"/>
    </xf>
    <xf numFmtId="177" fontId="43" fillId="0" borderId="19" applyNumberFormat="0" applyFill="0" applyAlignment="0" applyProtection="0"/>
    <xf numFmtId="177" fontId="44" fillId="0" borderId="20" applyNumberFormat="0" applyFill="0" applyAlignment="0" applyProtection="0"/>
    <xf numFmtId="177" fontId="45" fillId="0" borderId="21" applyNumberFormat="0" applyFill="0" applyAlignment="0" applyProtection="0"/>
    <xf numFmtId="177" fontId="45" fillId="0" borderId="0" applyNumberFormat="0" applyFill="0" applyBorder="0" applyAlignment="0" applyProtection="0"/>
    <xf numFmtId="177" fontId="96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10" fontId="33" fillId="34" borderId="39" applyNumberFormat="0" applyBorder="0" applyAlignment="0" applyProtection="0"/>
    <xf numFmtId="10" fontId="33" fillId="34" borderId="39" applyNumberFormat="0" applyBorder="0" applyAlignment="0" applyProtection="0"/>
    <xf numFmtId="10" fontId="33" fillId="34" borderId="39" applyNumberFormat="0" applyBorder="0" applyAlignment="0" applyProtection="0"/>
    <xf numFmtId="10" fontId="33" fillId="34" borderId="39" applyNumberFormat="0" applyBorder="0" applyAlignment="0" applyProtection="0"/>
    <xf numFmtId="10" fontId="33" fillId="34" borderId="39" applyNumberFormat="0" applyBorder="0" applyAlignment="0" applyProtection="0"/>
    <xf numFmtId="10" fontId="33" fillId="34" borderId="39" applyNumberFormat="0" applyBorder="0" applyAlignment="0" applyProtection="0"/>
    <xf numFmtId="10" fontId="33" fillId="34" borderId="39" applyNumberFormat="0" applyBorder="0" applyAlignment="0" applyProtection="0"/>
    <xf numFmtId="10" fontId="33" fillId="34" borderId="39" applyNumberFormat="0" applyBorder="0" applyAlignment="0" applyProtection="0"/>
    <xf numFmtId="10" fontId="33" fillId="34" borderId="39" applyNumberFormat="0" applyBorder="0" applyAlignment="0" applyProtection="0"/>
    <xf numFmtId="10" fontId="33" fillId="34" borderId="39" applyNumberFormat="0" applyBorder="0" applyAlignment="0" applyProtection="0"/>
    <xf numFmtId="10" fontId="33" fillId="34" borderId="39" applyNumberFormat="0" applyBorder="0" applyAlignment="0" applyProtection="0"/>
    <xf numFmtId="10" fontId="33" fillId="34" borderId="39" applyNumberFormat="0" applyBorder="0" applyAlignment="0" applyProtection="0"/>
    <xf numFmtId="10" fontId="33" fillId="34" borderId="39" applyNumberFormat="0" applyBorder="0" applyAlignment="0" applyProtection="0"/>
    <xf numFmtId="10" fontId="33" fillId="34" borderId="39" applyNumberFormat="0" applyBorder="0" applyAlignment="0" applyProtection="0"/>
    <xf numFmtId="10" fontId="33" fillId="34" borderId="39" applyNumberFormat="0" applyBorder="0" applyAlignment="0" applyProtection="0"/>
    <xf numFmtId="10" fontId="33" fillId="34" borderId="39" applyNumberFormat="0" applyBorder="0" applyAlignment="0" applyProtection="0"/>
    <xf numFmtId="10" fontId="33" fillId="34" borderId="39" applyNumberFormat="0" applyBorder="0" applyAlignment="0" applyProtection="0"/>
    <xf numFmtId="0" fontId="33" fillId="34" borderId="39" applyNumberFormat="0" applyBorder="0" applyAlignment="0" applyProtection="0"/>
    <xf numFmtId="10" fontId="33" fillId="34" borderId="39" applyNumberFormat="0" applyBorder="0" applyAlignment="0" applyProtection="0"/>
    <xf numFmtId="10" fontId="33" fillId="34" borderId="39" applyNumberFormat="0" applyBorder="0" applyAlignment="0" applyProtection="0"/>
    <xf numFmtId="10" fontId="33" fillId="34" borderId="39" applyNumberFormat="0" applyBorder="0" applyAlignment="0" applyProtection="0"/>
    <xf numFmtId="10" fontId="33" fillId="34" borderId="39" applyNumberFormat="0" applyBorder="0" applyAlignment="0" applyProtection="0"/>
    <xf numFmtId="0" fontId="49" fillId="19" borderId="48" applyNumberFormat="0" applyAlignment="0" applyProtection="0"/>
    <xf numFmtId="177" fontId="49" fillId="19" borderId="48" applyNumberFormat="0" applyAlignment="0" applyProtection="0"/>
    <xf numFmtId="176" fontId="49" fillId="19" borderId="48" applyNumberFormat="0" applyAlignment="0" applyProtection="0"/>
    <xf numFmtId="177" fontId="49" fillId="19" borderId="48" applyNumberFormat="0" applyAlignment="0" applyProtection="0"/>
    <xf numFmtId="177" fontId="49" fillId="19" borderId="48" applyNumberFormat="0" applyAlignment="0" applyProtection="0"/>
    <xf numFmtId="177" fontId="49" fillId="19" borderId="48" applyNumberFormat="0" applyAlignment="0" applyProtection="0"/>
    <xf numFmtId="218" fontId="29" fillId="35" borderId="0"/>
    <xf numFmtId="177" fontId="50" fillId="0" borderId="24" applyNumberFormat="0" applyFill="0" applyAlignment="0" applyProtection="0"/>
    <xf numFmtId="218" fontId="51" fillId="36" borderId="0"/>
    <xf numFmtId="177" fontId="53" fillId="37" borderId="0" applyNumberFormat="0" applyBorder="0" applyAlignment="0" applyProtection="0"/>
    <xf numFmtId="0" fontId="29" fillId="0" borderId="0"/>
    <xf numFmtId="209" fontId="10" fillId="0" borderId="0"/>
    <xf numFmtId="0" fontId="4" fillId="0" borderId="0"/>
    <xf numFmtId="177" fontId="20" fillId="0" borderId="0"/>
    <xf numFmtId="0" fontId="4" fillId="0" borderId="0"/>
    <xf numFmtId="177" fontId="20" fillId="0" borderId="0"/>
    <xf numFmtId="0" fontId="20" fillId="0" borderId="0"/>
    <xf numFmtId="0" fontId="20" fillId="0" borderId="0"/>
    <xf numFmtId="0" fontId="20" fillId="0" borderId="0"/>
    <xf numFmtId="176" fontId="10" fillId="0" borderId="0"/>
    <xf numFmtId="176" fontId="1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77" fontId="4" fillId="0" borderId="0"/>
    <xf numFmtId="176" fontId="4" fillId="0" borderId="0"/>
    <xf numFmtId="177" fontId="4" fillId="0" borderId="0"/>
    <xf numFmtId="177" fontId="20" fillId="0" borderId="0"/>
    <xf numFmtId="176" fontId="10" fillId="0" borderId="0"/>
    <xf numFmtId="215" fontId="1" fillId="0" borderId="0"/>
    <xf numFmtId="0" fontId="20" fillId="0" borderId="0"/>
    <xf numFmtId="176" fontId="10" fillId="0" borderId="0"/>
    <xf numFmtId="0" fontId="4" fillId="0" borderId="0"/>
    <xf numFmtId="0" fontId="20" fillId="0" borderId="0"/>
    <xf numFmtId="0" fontId="4" fillId="0" borderId="0"/>
    <xf numFmtId="177" fontId="10" fillId="0" borderId="0"/>
    <xf numFmtId="0" fontId="1" fillId="0" borderId="0"/>
    <xf numFmtId="0" fontId="4" fillId="0" borderId="0"/>
    <xf numFmtId="177" fontId="1" fillId="0" borderId="0"/>
    <xf numFmtId="177" fontId="1" fillId="0" borderId="0"/>
    <xf numFmtId="0" fontId="1" fillId="0" borderId="0"/>
    <xf numFmtId="0" fontId="59" fillId="0" borderId="0" applyNumberFormat="0" applyFont="0" applyFill="0" applyAlignment="0" applyProtection="0"/>
    <xf numFmtId="0" fontId="59" fillId="0" borderId="0" applyNumberFormat="0" applyFont="0" applyFill="0" applyAlignment="0" applyProtection="0"/>
    <xf numFmtId="0" fontId="59" fillId="0" borderId="0" applyNumberFormat="0" applyFont="0" applyFill="0" applyAlignment="0" applyProtection="0"/>
    <xf numFmtId="0" fontId="59" fillId="0" borderId="0" applyNumberFormat="0" applyFont="0" applyFill="0" applyAlignment="0" applyProtection="0"/>
    <xf numFmtId="0" fontId="59" fillId="0" borderId="0" applyNumberFormat="0" applyFont="0" applyFill="0" applyAlignment="0" applyProtection="0"/>
    <xf numFmtId="0" fontId="59" fillId="0" borderId="0" applyNumberFormat="0" applyFont="0" applyFill="0" applyAlignment="0" applyProtection="0"/>
    <xf numFmtId="0" fontId="59" fillId="0" borderId="0" applyNumberFormat="0" applyFont="0" applyFill="0" applyAlignment="0" applyProtection="0"/>
    <xf numFmtId="0" fontId="1" fillId="0" borderId="0"/>
    <xf numFmtId="0" fontId="59" fillId="0" borderId="0" applyNumberFormat="0" applyFont="0" applyFill="0" applyAlignment="0" applyProtection="0"/>
    <xf numFmtId="176" fontId="68" fillId="0" borderId="0"/>
    <xf numFmtId="177" fontId="68" fillId="0" borderId="0"/>
    <xf numFmtId="177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" fillId="0" borderId="0"/>
    <xf numFmtId="180" fontId="1" fillId="0" borderId="0"/>
    <xf numFmtId="177" fontId="1" fillId="0" borderId="0"/>
    <xf numFmtId="177" fontId="1" fillId="0" borderId="0"/>
    <xf numFmtId="0" fontId="1" fillId="0" borderId="0"/>
    <xf numFmtId="0" fontId="1" fillId="0" borderId="0"/>
    <xf numFmtId="177" fontId="1" fillId="0" borderId="0"/>
    <xf numFmtId="176" fontId="1" fillId="0" borderId="0"/>
    <xf numFmtId="177" fontId="1" fillId="0" borderId="0"/>
    <xf numFmtId="176" fontId="1" fillId="0" borderId="0"/>
    <xf numFmtId="176" fontId="1" fillId="0" borderId="0"/>
    <xf numFmtId="177" fontId="1" fillId="0" borderId="0"/>
    <xf numFmtId="176" fontId="1" fillId="0" borderId="0"/>
    <xf numFmtId="0" fontId="1" fillId="0" borderId="0"/>
    <xf numFmtId="177" fontId="1" fillId="0" borderId="0"/>
    <xf numFmtId="176" fontId="1" fillId="0" borderId="0"/>
    <xf numFmtId="0" fontId="1" fillId="0" borderId="0"/>
    <xf numFmtId="0" fontId="10" fillId="0" borderId="0"/>
    <xf numFmtId="0" fontId="59" fillId="0" borderId="0" applyNumberFormat="0" applyFont="0" applyFill="0" applyAlignment="0" applyProtection="0"/>
    <xf numFmtId="0" fontId="59" fillId="0" borderId="0" applyNumberFormat="0" applyFont="0" applyFill="0" applyAlignment="0" applyProtection="0"/>
    <xf numFmtId="0" fontId="1" fillId="0" borderId="0"/>
    <xf numFmtId="0" fontId="59" fillId="0" borderId="0" applyNumberFormat="0" applyFont="0" applyFill="0" applyAlignment="0" applyProtection="0"/>
    <xf numFmtId="0" fontId="59" fillId="0" borderId="0" applyNumberFormat="0" applyFont="0" applyFill="0" applyAlignment="0" applyProtection="0"/>
    <xf numFmtId="177" fontId="59" fillId="0" borderId="0" applyNumberFormat="0" applyFont="0" applyFill="0" applyAlignment="0" applyProtection="0"/>
    <xf numFmtId="182" fontId="1" fillId="0" borderId="0"/>
    <xf numFmtId="0" fontId="59" fillId="0" borderId="0" applyNumberFormat="0" applyFont="0" applyFill="0" applyAlignment="0" applyProtection="0"/>
    <xf numFmtId="177" fontId="59" fillId="0" borderId="0" applyNumberFormat="0" applyFont="0" applyFill="0" applyAlignment="0" applyProtection="0"/>
    <xf numFmtId="0" fontId="59" fillId="0" borderId="0" applyNumberFormat="0" applyFont="0" applyFill="0" applyAlignment="0" applyProtection="0"/>
    <xf numFmtId="177" fontId="59" fillId="0" borderId="0" applyNumberFormat="0" applyFont="0" applyFill="0" applyAlignment="0" applyProtection="0"/>
    <xf numFmtId="0" fontId="59" fillId="0" borderId="0" applyNumberFormat="0" applyFont="0" applyFill="0" applyAlignment="0" applyProtection="0"/>
    <xf numFmtId="176" fontId="10" fillId="0" borderId="0"/>
    <xf numFmtId="176" fontId="1" fillId="0" borderId="0"/>
    <xf numFmtId="177" fontId="1" fillId="0" borderId="0"/>
    <xf numFmtId="176" fontId="1" fillId="0" borderId="0"/>
    <xf numFmtId="176" fontId="1" fillId="0" borderId="0"/>
    <xf numFmtId="176" fontId="1" fillId="0" borderId="0"/>
    <xf numFmtId="0" fontId="10" fillId="0" borderId="0"/>
    <xf numFmtId="176" fontId="1" fillId="0" borderId="0"/>
    <xf numFmtId="0" fontId="4" fillId="0" borderId="0"/>
    <xf numFmtId="0" fontId="4" fillId="0" borderId="0"/>
    <xf numFmtId="6" fontId="1" fillId="0" borderId="0"/>
    <xf numFmtId="6" fontId="1" fillId="0" borderId="0"/>
    <xf numFmtId="6" fontId="1" fillId="0" borderId="0"/>
    <xf numFmtId="6" fontId="1" fillId="0" borderId="0"/>
    <xf numFmtId="177" fontId="1" fillId="0" borderId="0"/>
    <xf numFmtId="0" fontId="10" fillId="0" borderId="0"/>
    <xf numFmtId="176" fontId="1" fillId="0" borderId="0"/>
    <xf numFmtId="0" fontId="1" fillId="0" borderId="0"/>
    <xf numFmtId="176" fontId="1" fillId="0" borderId="0"/>
    <xf numFmtId="177" fontId="1" fillId="0" borderId="0"/>
    <xf numFmtId="176" fontId="1" fillId="0" borderId="0"/>
    <xf numFmtId="0" fontId="1" fillId="0" borderId="0"/>
    <xf numFmtId="176" fontId="1" fillId="0" borderId="0"/>
    <xf numFmtId="177" fontId="1" fillId="0" borderId="0"/>
    <xf numFmtId="176" fontId="1" fillId="0" borderId="0"/>
    <xf numFmtId="0" fontId="1" fillId="0" borderId="0"/>
    <xf numFmtId="176" fontId="1" fillId="0" borderId="0"/>
    <xf numFmtId="177" fontId="1" fillId="0" borderId="0"/>
    <xf numFmtId="176" fontId="1" fillId="0" borderId="0"/>
    <xf numFmtId="0" fontId="1" fillId="0" borderId="0"/>
    <xf numFmtId="177" fontId="59" fillId="0" borderId="0" applyNumberFormat="0" applyFont="0" applyFill="0" applyAlignment="0" applyProtection="0"/>
    <xf numFmtId="0" fontId="59" fillId="0" borderId="0" applyNumberFormat="0" applyFont="0" applyFill="0" applyAlignment="0" applyProtection="0"/>
    <xf numFmtId="177" fontId="1" fillId="0" borderId="0"/>
    <xf numFmtId="176" fontId="1" fillId="0" borderId="0"/>
    <xf numFmtId="0" fontId="58" fillId="0" borderId="0">
      <alignment horizontal="justify" vertical="top" wrapText="1"/>
    </xf>
    <xf numFmtId="177" fontId="4" fillId="0" borderId="0"/>
    <xf numFmtId="177" fontId="10" fillId="0" borderId="0"/>
    <xf numFmtId="177" fontId="4" fillId="0" borderId="0"/>
    <xf numFmtId="177" fontId="4" fillId="0" borderId="0"/>
    <xf numFmtId="177" fontId="1" fillId="0" borderId="0"/>
    <xf numFmtId="177" fontId="1" fillId="0" borderId="0"/>
    <xf numFmtId="177" fontId="10" fillId="0" borderId="0"/>
    <xf numFmtId="176" fontId="10" fillId="0" borderId="0"/>
    <xf numFmtId="177" fontId="10" fillId="0" borderId="0"/>
    <xf numFmtId="177" fontId="10" fillId="0" borderId="0"/>
    <xf numFmtId="0" fontId="1" fillId="0" borderId="0"/>
    <xf numFmtId="0" fontId="10" fillId="0" borderId="0"/>
    <xf numFmtId="0" fontId="1" fillId="0" borderId="0"/>
    <xf numFmtId="0" fontId="1" fillId="0" borderId="0"/>
    <xf numFmtId="177" fontId="10" fillId="0" borderId="0"/>
    <xf numFmtId="176" fontId="10" fillId="0" borderId="0"/>
    <xf numFmtId="0" fontId="30" fillId="0" borderId="0"/>
    <xf numFmtId="177" fontId="10" fillId="0" borderId="0"/>
    <xf numFmtId="0" fontId="10" fillId="0" borderId="0"/>
    <xf numFmtId="0" fontId="62" fillId="0" borderId="0"/>
    <xf numFmtId="0" fontId="1" fillId="0" borderId="0"/>
    <xf numFmtId="0" fontId="4" fillId="0" borderId="0"/>
    <xf numFmtId="0" fontId="4" fillId="0" borderId="0"/>
    <xf numFmtId="0" fontId="4" fillId="0" borderId="0"/>
    <xf numFmtId="189" fontId="29" fillId="0" borderId="0"/>
    <xf numFmtId="0" fontId="30" fillId="0" borderId="0"/>
    <xf numFmtId="177" fontId="10" fillId="0" borderId="0"/>
    <xf numFmtId="0" fontId="1" fillId="0" borderId="0"/>
    <xf numFmtId="0" fontId="30" fillId="0" borderId="0"/>
    <xf numFmtId="177" fontId="1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30" fillId="0" borderId="0"/>
    <xf numFmtId="176" fontId="100" fillId="0" borderId="0"/>
    <xf numFmtId="0" fontId="4" fillId="0" borderId="0"/>
    <xf numFmtId="0" fontId="4" fillId="0" borderId="0"/>
    <xf numFmtId="0" fontId="4" fillId="0" borderId="0"/>
    <xf numFmtId="177" fontId="1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8" fillId="0" borderId="0"/>
    <xf numFmtId="0" fontId="10" fillId="0" borderId="0"/>
    <xf numFmtId="177" fontId="1" fillId="0" borderId="0"/>
    <xf numFmtId="177" fontId="10" fillId="0" borderId="0"/>
    <xf numFmtId="177" fontId="10" fillId="0" borderId="0"/>
    <xf numFmtId="0" fontId="4" fillId="0" borderId="0"/>
    <xf numFmtId="0" fontId="4" fillId="0" borderId="0"/>
    <xf numFmtId="0" fontId="4" fillId="0" borderId="0"/>
    <xf numFmtId="177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7" fontId="4" fillId="0" borderId="0"/>
    <xf numFmtId="0" fontId="4" fillId="0" borderId="0"/>
    <xf numFmtId="177" fontId="4" fillId="0" borderId="0"/>
    <xf numFmtId="0" fontId="4" fillId="0" borderId="0"/>
    <xf numFmtId="177" fontId="4" fillId="0" borderId="0"/>
    <xf numFmtId="0" fontId="4" fillId="0" borderId="0"/>
    <xf numFmtId="177" fontId="4" fillId="0" borderId="0"/>
    <xf numFmtId="0" fontId="1" fillId="0" borderId="0"/>
    <xf numFmtId="0" fontId="4" fillId="0" borderId="0"/>
    <xf numFmtId="177" fontId="4" fillId="0" borderId="0"/>
    <xf numFmtId="0" fontId="4" fillId="0" borderId="0"/>
    <xf numFmtId="177" fontId="1" fillId="0" borderId="0"/>
    <xf numFmtId="0" fontId="1" fillId="0" borderId="0"/>
    <xf numFmtId="37" fontId="10" fillId="0" borderId="0"/>
    <xf numFmtId="177" fontId="1" fillId="0" borderId="0"/>
    <xf numFmtId="176" fontId="1" fillId="0" borderId="0"/>
    <xf numFmtId="0" fontId="1" fillId="0" borderId="0"/>
    <xf numFmtId="182" fontId="1" fillId="0" borderId="0"/>
    <xf numFmtId="177" fontId="1" fillId="0" borderId="0"/>
    <xf numFmtId="0" fontId="10" fillId="0" borderId="0"/>
    <xf numFmtId="176" fontId="1" fillId="0" borderId="0"/>
    <xf numFmtId="0" fontId="1" fillId="0" borderId="0"/>
    <xf numFmtId="177" fontId="1" fillId="0" borderId="0"/>
    <xf numFmtId="0" fontId="1" fillId="0" borderId="0"/>
    <xf numFmtId="177" fontId="1" fillId="0" borderId="0"/>
    <xf numFmtId="0" fontId="84" fillId="0" borderId="0"/>
    <xf numFmtId="195" fontId="58" fillId="0" borderId="0"/>
    <xf numFmtId="0" fontId="10" fillId="0" borderId="0"/>
    <xf numFmtId="0" fontId="10" fillId="0" borderId="0"/>
    <xf numFmtId="177" fontId="1" fillId="0" borderId="0"/>
    <xf numFmtId="176" fontId="1" fillId="0" borderId="0"/>
    <xf numFmtId="177" fontId="1" fillId="0" borderId="0"/>
    <xf numFmtId="0" fontId="4" fillId="0" borderId="0"/>
    <xf numFmtId="176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225" fontId="29" fillId="0" borderId="0"/>
    <xf numFmtId="0" fontId="4" fillId="0" borderId="0"/>
    <xf numFmtId="177" fontId="1" fillId="0" borderId="0"/>
    <xf numFmtId="176" fontId="1" fillId="0" borderId="0"/>
    <xf numFmtId="0" fontId="1" fillId="0" borderId="0"/>
    <xf numFmtId="0" fontId="4" fillId="0" borderId="0"/>
    <xf numFmtId="177" fontId="1" fillId="0" borderId="0"/>
    <xf numFmtId="0" fontId="1" fillId="0" borderId="0"/>
    <xf numFmtId="0" fontId="4" fillId="0" borderId="0"/>
    <xf numFmtId="177" fontId="1" fillId="0" borderId="0"/>
    <xf numFmtId="176" fontId="1" fillId="0" borderId="0"/>
    <xf numFmtId="177" fontId="1" fillId="0" borderId="0"/>
    <xf numFmtId="216" fontId="1" fillId="0" borderId="0"/>
    <xf numFmtId="176" fontId="1" fillId="0" borderId="0"/>
    <xf numFmtId="177" fontId="1" fillId="0" borderId="0"/>
    <xf numFmtId="176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177" fontId="1" fillId="0" borderId="0"/>
    <xf numFmtId="176" fontId="1" fillId="0" borderId="0"/>
    <xf numFmtId="176" fontId="1" fillId="0" borderId="0"/>
    <xf numFmtId="177" fontId="1" fillId="0" borderId="0"/>
    <xf numFmtId="0" fontId="1" fillId="0" borderId="0"/>
    <xf numFmtId="0" fontId="10" fillId="0" borderId="0"/>
    <xf numFmtId="177" fontId="1" fillId="0" borderId="0"/>
    <xf numFmtId="180" fontId="1" fillId="0" borderId="0"/>
    <xf numFmtId="0" fontId="10" fillId="0" borderId="0"/>
    <xf numFmtId="201" fontId="1" fillId="0" borderId="0"/>
    <xf numFmtId="0" fontId="116" fillId="0" borderId="0">
      <protection locked="0"/>
    </xf>
    <xf numFmtId="0" fontId="116" fillId="0" borderId="0">
      <protection locked="0"/>
    </xf>
    <xf numFmtId="0" fontId="116" fillId="0" borderId="0">
      <protection locked="0"/>
    </xf>
    <xf numFmtId="0" fontId="20" fillId="0" borderId="0"/>
    <xf numFmtId="0" fontId="10" fillId="0" borderId="0"/>
    <xf numFmtId="177" fontId="10" fillId="0" borderId="0"/>
    <xf numFmtId="0" fontId="10" fillId="0" borderId="0"/>
    <xf numFmtId="177" fontId="1" fillId="0" borderId="0"/>
    <xf numFmtId="176" fontId="1" fillId="0" borderId="0"/>
    <xf numFmtId="0" fontId="10" fillId="0" borderId="0"/>
    <xf numFmtId="177" fontId="1" fillId="0" borderId="0"/>
    <xf numFmtId="176" fontId="1" fillId="0" borderId="0"/>
    <xf numFmtId="0" fontId="10" fillId="0" borderId="0"/>
    <xf numFmtId="177" fontId="10" fillId="0" borderId="0"/>
    <xf numFmtId="0" fontId="1" fillId="0" borderId="0"/>
    <xf numFmtId="177" fontId="1" fillId="0" borderId="0"/>
    <xf numFmtId="0" fontId="1" fillId="0" borderId="0"/>
    <xf numFmtId="177" fontId="1" fillId="0" borderId="0"/>
    <xf numFmtId="0" fontId="4" fillId="0" borderId="0"/>
    <xf numFmtId="0" fontId="4" fillId="0" borderId="0"/>
    <xf numFmtId="0" fontId="4" fillId="0" borderId="0"/>
    <xf numFmtId="176" fontId="1" fillId="0" borderId="0"/>
    <xf numFmtId="177" fontId="1" fillId="0" borderId="0"/>
    <xf numFmtId="0" fontId="1" fillId="0" borderId="0"/>
    <xf numFmtId="219" fontId="29" fillId="0" borderId="0"/>
    <xf numFmtId="177" fontId="1" fillId="0" borderId="0"/>
    <xf numFmtId="225" fontId="29" fillId="0" borderId="0"/>
    <xf numFmtId="177" fontId="1" fillId="0" borderId="0"/>
    <xf numFmtId="0" fontId="1" fillId="0" borderId="0"/>
    <xf numFmtId="176" fontId="1" fillId="0" borderId="0"/>
    <xf numFmtId="176" fontId="1" fillId="0" borderId="0"/>
    <xf numFmtId="0" fontId="10" fillId="0" borderId="0"/>
    <xf numFmtId="0" fontId="1" fillId="0" borderId="0"/>
    <xf numFmtId="177" fontId="1" fillId="0" borderId="0"/>
    <xf numFmtId="0" fontId="1" fillId="0" borderId="0"/>
    <xf numFmtId="226" fontId="1" fillId="0" borderId="0"/>
    <xf numFmtId="0" fontId="1" fillId="0" borderId="0"/>
    <xf numFmtId="0" fontId="58" fillId="0" borderId="0"/>
    <xf numFmtId="177" fontId="1" fillId="0" borderId="0"/>
    <xf numFmtId="0" fontId="1" fillId="0" borderId="0"/>
    <xf numFmtId="0" fontId="4" fillId="0" borderId="0"/>
    <xf numFmtId="0" fontId="1" fillId="0" borderId="0"/>
    <xf numFmtId="176" fontId="1" fillId="0" borderId="0"/>
    <xf numFmtId="0" fontId="1" fillId="0" borderId="0"/>
    <xf numFmtId="176" fontId="1" fillId="0" borderId="0"/>
    <xf numFmtId="0" fontId="1" fillId="0" borderId="0"/>
    <xf numFmtId="176" fontId="1" fillId="0" borderId="0"/>
    <xf numFmtId="0" fontId="4" fillId="0" borderId="0"/>
    <xf numFmtId="0" fontId="4" fillId="0" borderId="0"/>
    <xf numFmtId="0" fontId="4" fillId="0" borderId="0"/>
    <xf numFmtId="176" fontId="1" fillId="0" borderId="0"/>
    <xf numFmtId="0" fontId="4" fillId="0" borderId="0"/>
    <xf numFmtId="0" fontId="4" fillId="0" borderId="0"/>
    <xf numFmtId="0" fontId="4" fillId="0" borderId="0"/>
    <xf numFmtId="176" fontId="4" fillId="0" borderId="0"/>
    <xf numFmtId="0" fontId="4" fillId="0" borderId="0"/>
    <xf numFmtId="0" fontId="4" fillId="0" borderId="0"/>
    <xf numFmtId="0" fontId="4" fillId="0" borderId="0"/>
    <xf numFmtId="0" fontId="119" fillId="0" borderId="0"/>
    <xf numFmtId="0" fontId="56" fillId="0" borderId="0"/>
    <xf numFmtId="215" fontId="1" fillId="0" borderId="0"/>
    <xf numFmtId="0" fontId="4" fillId="0" borderId="0"/>
    <xf numFmtId="176" fontId="10" fillId="0" borderId="0"/>
    <xf numFmtId="0" fontId="4" fillId="0" borderId="0"/>
    <xf numFmtId="177" fontId="10" fillId="0" borderId="0"/>
    <xf numFmtId="0" fontId="4" fillId="0" borderId="0"/>
    <xf numFmtId="177" fontId="10" fillId="0" borderId="0"/>
    <xf numFmtId="0" fontId="4" fillId="0" borderId="0"/>
    <xf numFmtId="177" fontId="10" fillId="0" borderId="0"/>
    <xf numFmtId="0" fontId="4" fillId="0" borderId="0"/>
    <xf numFmtId="215" fontId="1" fillId="0" borderId="0"/>
    <xf numFmtId="39" fontId="2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08" fillId="0" borderId="0"/>
    <xf numFmtId="0" fontId="10" fillId="0" borderId="0"/>
    <xf numFmtId="173" fontId="1" fillId="0" borderId="0"/>
    <xf numFmtId="0" fontId="10" fillId="0" borderId="0"/>
    <xf numFmtId="180" fontId="1" fillId="0" borderId="0"/>
    <xf numFmtId="0" fontId="114" fillId="0" borderId="0"/>
    <xf numFmtId="0" fontId="1" fillId="0" borderId="0"/>
    <xf numFmtId="0" fontId="24" fillId="0" borderId="0">
      <alignment vertical="top"/>
    </xf>
    <xf numFmtId="0" fontId="10" fillId="0" borderId="0"/>
    <xf numFmtId="0" fontId="10" fillId="0" borderId="0"/>
    <xf numFmtId="0" fontId="10" fillId="0" borderId="0"/>
    <xf numFmtId="176" fontId="1" fillId="0" borderId="0"/>
    <xf numFmtId="0" fontId="118" fillId="0" borderId="0"/>
    <xf numFmtId="0" fontId="10" fillId="0" borderId="0"/>
    <xf numFmtId="0" fontId="118" fillId="0" borderId="0"/>
    <xf numFmtId="176" fontId="10" fillId="0" borderId="0"/>
    <xf numFmtId="0" fontId="20" fillId="0" borderId="0"/>
    <xf numFmtId="177" fontId="10" fillId="0" borderId="0"/>
    <xf numFmtId="188" fontId="29" fillId="0" borderId="0"/>
    <xf numFmtId="195" fontId="29" fillId="0" borderId="0"/>
    <xf numFmtId="0" fontId="10" fillId="0" borderId="0"/>
    <xf numFmtId="177" fontId="1" fillId="0" borderId="0"/>
    <xf numFmtId="176" fontId="1" fillId="0" borderId="0"/>
    <xf numFmtId="0" fontId="4" fillId="0" borderId="0"/>
    <xf numFmtId="0" fontId="4" fillId="0" borderId="0"/>
    <xf numFmtId="0" fontId="1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18" fillId="0" borderId="0"/>
    <xf numFmtId="0" fontId="10" fillId="0" borderId="0"/>
    <xf numFmtId="0" fontId="118" fillId="0" borderId="0"/>
    <xf numFmtId="0" fontId="10" fillId="0" borderId="0"/>
    <xf numFmtId="0" fontId="120" fillId="0" borderId="0">
      <alignment vertical="center"/>
    </xf>
    <xf numFmtId="0" fontId="10" fillId="0" borderId="0"/>
    <xf numFmtId="227" fontId="29" fillId="0" borderId="0"/>
    <xf numFmtId="189" fontId="29" fillId="0" borderId="0"/>
    <xf numFmtId="165" fontId="1" fillId="0" borderId="0"/>
    <xf numFmtId="0" fontId="4" fillId="0" borderId="0"/>
    <xf numFmtId="0" fontId="1" fillId="0" borderId="0"/>
    <xf numFmtId="177" fontId="59" fillId="0" borderId="0" applyNumberFormat="0" applyFont="0" applyFill="0" applyAlignment="0" applyProtection="0"/>
    <xf numFmtId="0" fontId="59" fillId="0" borderId="0" applyNumberFormat="0" applyFont="0" applyFill="0" applyAlignment="0" applyProtection="0"/>
    <xf numFmtId="0" fontId="10" fillId="0" borderId="0"/>
    <xf numFmtId="177" fontId="59" fillId="0" borderId="0" applyNumberFormat="0" applyFont="0" applyFill="0" applyAlignment="0" applyProtection="0"/>
    <xf numFmtId="215" fontId="1" fillId="0" borderId="0"/>
    <xf numFmtId="215" fontId="1" fillId="0" borderId="0"/>
    <xf numFmtId="215" fontId="1" fillId="0" borderId="0"/>
    <xf numFmtId="215" fontId="1" fillId="0" borderId="0"/>
    <xf numFmtId="0" fontId="20" fillId="0" borderId="0"/>
    <xf numFmtId="0" fontId="20" fillId="38" borderId="49" applyNumberFormat="0" applyFont="0" applyAlignment="0" applyProtection="0"/>
    <xf numFmtId="177" fontId="10" fillId="38" borderId="49" applyNumberFormat="0" applyFont="0" applyAlignment="0" applyProtection="0"/>
    <xf numFmtId="0" fontId="10" fillId="38" borderId="49" applyNumberFormat="0" applyFont="0" applyAlignment="0" applyProtection="0"/>
    <xf numFmtId="0" fontId="1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177" fontId="10" fillId="38" borderId="49" applyNumberFormat="0" applyFont="0" applyAlignment="0" applyProtection="0"/>
    <xf numFmtId="0" fontId="10" fillId="38" borderId="49" applyNumberFormat="0" applyFont="0" applyAlignment="0" applyProtection="0"/>
    <xf numFmtId="0" fontId="1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177" fontId="20" fillId="38" borderId="49" applyNumberFormat="0" applyFont="0" applyAlignment="0" applyProtection="0"/>
    <xf numFmtId="177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177" fontId="20" fillId="38" borderId="49" applyNumberFormat="0" applyFont="0" applyAlignment="0" applyProtection="0"/>
    <xf numFmtId="177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30" fillId="38" borderId="49" applyNumberFormat="0" applyFont="0" applyAlignment="0" applyProtection="0"/>
    <xf numFmtId="0" fontId="29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177" fontId="20" fillId="38" borderId="49" applyNumberFormat="0" applyFont="0" applyAlignment="0" applyProtection="0"/>
    <xf numFmtId="0" fontId="20" fillId="45" borderId="46" applyNumberFormat="0" applyFont="0" applyAlignment="0" applyProtection="0"/>
    <xf numFmtId="177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9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177" fontId="20" fillId="38" borderId="49" applyNumberFormat="0" applyFont="0" applyAlignment="0" applyProtection="0"/>
    <xf numFmtId="0" fontId="20" fillId="45" borderId="46" applyNumberFormat="0" applyFont="0" applyAlignment="0" applyProtection="0"/>
    <xf numFmtId="177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3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20" fillId="38" borderId="49" applyNumberFormat="0" applyFont="0" applyAlignment="0" applyProtection="0"/>
    <xf numFmtId="0" fontId="30" fillId="38" borderId="49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177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45" borderId="46" applyNumberFormat="0" applyFont="0" applyAlignment="0" applyProtection="0"/>
    <xf numFmtId="0" fontId="20" fillId="45" borderId="46" applyNumberFormat="0" applyFont="0" applyAlignment="0" applyProtection="0"/>
    <xf numFmtId="177" fontId="20" fillId="38" borderId="49" applyNumberFormat="0" applyFont="0" applyAlignment="0" applyProtection="0"/>
    <xf numFmtId="0" fontId="3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3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30" fillId="45" borderId="46" applyNumberFormat="0" applyFont="0" applyAlignment="0" applyProtection="0"/>
    <xf numFmtId="0" fontId="2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1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38" borderId="49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2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45" borderId="46" applyNumberFormat="0" applyFont="0" applyAlignment="0" applyProtection="0"/>
    <xf numFmtId="0" fontId="20" fillId="45" borderId="46" applyNumberFormat="0" applyFont="0" applyAlignment="0" applyProtection="0"/>
    <xf numFmtId="177" fontId="10" fillId="38" borderId="49" applyNumberFormat="0" applyFont="0" applyAlignment="0" applyProtection="0"/>
    <xf numFmtId="177" fontId="10" fillId="38" borderId="49" applyNumberFormat="0" applyFont="0" applyAlignment="0" applyProtection="0"/>
    <xf numFmtId="177" fontId="10" fillId="38" borderId="49" applyNumberFormat="0" applyFont="0" applyAlignment="0" applyProtection="0"/>
    <xf numFmtId="0" fontId="3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45" borderId="46" applyNumberFormat="0" applyFont="0" applyAlignment="0" applyProtection="0"/>
    <xf numFmtId="0" fontId="10" fillId="38" borderId="49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0" fontId="10" fillId="38" borderId="49" applyNumberFormat="0" applyFont="0" applyAlignment="0" applyProtection="0"/>
    <xf numFmtId="0" fontId="10" fillId="38" borderId="49" applyNumberFormat="0" applyFont="0" applyAlignment="0" applyProtection="0"/>
    <xf numFmtId="0" fontId="10" fillId="38" borderId="49" applyNumberFormat="0" applyFont="0" applyAlignment="0" applyProtection="0"/>
    <xf numFmtId="0" fontId="10" fillId="38" borderId="49" applyNumberFormat="0" applyFont="0" applyAlignment="0" applyProtection="0"/>
    <xf numFmtId="0" fontId="10" fillId="38" borderId="49" applyNumberFormat="0" applyFont="0" applyAlignment="0" applyProtection="0"/>
    <xf numFmtId="0" fontId="30" fillId="45" borderId="46" applyNumberFormat="0" applyFont="0" applyAlignment="0" applyProtection="0"/>
    <xf numFmtId="0" fontId="10" fillId="38" borderId="49" applyNumberFormat="0" applyFont="0" applyAlignment="0" applyProtection="0"/>
    <xf numFmtId="0" fontId="30" fillId="45" borderId="46" applyNumberFormat="0" applyFont="0" applyAlignment="0" applyProtection="0"/>
    <xf numFmtId="0" fontId="30" fillId="45" borderId="46" applyNumberFormat="0" applyFont="0" applyAlignment="0" applyProtection="0"/>
    <xf numFmtId="0" fontId="10" fillId="38" borderId="49" applyNumberFormat="0" applyFont="0" applyAlignment="0" applyProtection="0"/>
    <xf numFmtId="0" fontId="30" fillId="38" borderId="49" applyNumberFormat="0" applyFont="0" applyAlignment="0" applyProtection="0"/>
    <xf numFmtId="0" fontId="30" fillId="38" borderId="49" applyNumberFormat="0" applyFont="0" applyAlignment="0" applyProtection="0"/>
    <xf numFmtId="0" fontId="30" fillId="45" borderId="46" applyNumberFormat="0" applyFont="0" applyAlignment="0" applyProtection="0"/>
    <xf numFmtId="177" fontId="10" fillId="38" borderId="49" applyNumberFormat="0" applyFont="0" applyAlignment="0" applyProtection="0"/>
    <xf numFmtId="0" fontId="30" fillId="38" borderId="49" applyNumberFormat="0" applyFont="0" applyAlignment="0" applyProtection="0"/>
    <xf numFmtId="0" fontId="20" fillId="38" borderId="49" applyNumberFormat="0" applyFont="0" applyAlignment="0" applyProtection="0"/>
    <xf numFmtId="0" fontId="10" fillId="38" borderId="49" applyNumberFormat="0" applyFont="0" applyAlignment="0" applyProtection="0"/>
    <xf numFmtId="0" fontId="20" fillId="45" borderId="46" applyNumberFormat="0" applyFont="0" applyAlignment="0" applyProtection="0"/>
    <xf numFmtId="0" fontId="10" fillId="38" borderId="49" applyNumberFormat="0" applyFont="0" applyAlignment="0" applyProtection="0"/>
    <xf numFmtId="0" fontId="10" fillId="38" borderId="49" applyNumberFormat="0" applyFont="0" applyAlignment="0" applyProtection="0"/>
    <xf numFmtId="0" fontId="10" fillId="38" borderId="49" applyNumberFormat="0" applyFont="0" applyAlignment="0" applyProtection="0"/>
    <xf numFmtId="0" fontId="10" fillId="38" borderId="49" applyNumberFormat="0" applyFont="0" applyAlignment="0" applyProtection="0"/>
    <xf numFmtId="0" fontId="10" fillId="38" borderId="49" applyNumberFormat="0" applyFont="0" applyAlignment="0" applyProtection="0"/>
    <xf numFmtId="0" fontId="20" fillId="45" borderId="46" applyNumberFormat="0" applyFont="0" applyAlignment="0" applyProtection="0"/>
    <xf numFmtId="0" fontId="10" fillId="38" borderId="49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177" fontId="10" fillId="38" borderId="49" applyNumberFormat="0" applyFont="0" applyAlignment="0" applyProtection="0"/>
    <xf numFmtId="0" fontId="10" fillId="38" borderId="49" applyNumberFormat="0" applyFont="0" applyAlignment="0" applyProtection="0"/>
    <xf numFmtId="0" fontId="1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177" fontId="10" fillId="38" borderId="49" applyNumberFormat="0" applyFont="0" applyAlignment="0" applyProtection="0"/>
    <xf numFmtId="0" fontId="10" fillId="38" borderId="49" applyNumberFormat="0" applyFont="0" applyAlignment="0" applyProtection="0"/>
    <xf numFmtId="0" fontId="1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20" fillId="38" borderId="49" applyNumberFormat="0" applyFont="0" applyAlignment="0" applyProtection="0"/>
    <xf numFmtId="177" fontId="10" fillId="38" borderId="49" applyNumberFormat="0" applyFont="0" applyAlignment="0" applyProtection="0"/>
    <xf numFmtId="0" fontId="10" fillId="38" borderId="49" applyNumberFormat="0" applyFont="0" applyAlignment="0" applyProtection="0"/>
    <xf numFmtId="0" fontId="10" fillId="38" borderId="49" applyNumberFormat="0" applyFont="0" applyAlignment="0" applyProtection="0"/>
    <xf numFmtId="0" fontId="20" fillId="45" borderId="46" applyNumberFormat="0" applyFont="0" applyAlignment="0" applyProtection="0"/>
    <xf numFmtId="0" fontId="20" fillId="38" borderId="49" applyNumberFormat="0" applyFont="0" applyAlignment="0" applyProtection="0"/>
    <xf numFmtId="0" fontId="60" fillId="30" borderId="50" applyNumberFormat="0" applyAlignment="0" applyProtection="0"/>
    <xf numFmtId="177" fontId="60" fillId="30" borderId="50" applyNumberFormat="0" applyAlignment="0" applyProtection="0"/>
    <xf numFmtId="0" fontId="121" fillId="30" borderId="50" applyNumberFormat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6" fillId="0" borderId="0">
      <protection locked="0"/>
    </xf>
    <xf numFmtId="9" fontId="10" fillId="0" borderId="0" applyFont="0" applyFill="0" applyBorder="0" applyAlignment="0" applyProtection="0"/>
    <xf numFmtId="0" fontId="30" fillId="0" borderId="0" applyFont="0" applyFill="0" applyBorder="0" applyAlignment="0" applyProtection="0"/>
    <xf numFmtId="9" fontId="30" fillId="0" borderId="0" applyFont="0" applyFill="0" applyBorder="0" applyAlignment="0" applyProtection="0"/>
    <xf numFmtId="0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64" fillId="0" borderId="0"/>
    <xf numFmtId="0" fontId="10" fillId="0" borderId="0"/>
    <xf numFmtId="177" fontId="62" fillId="0" borderId="0" applyNumberFormat="0" applyFont="0" applyFill="0" applyBorder="0" applyAlignment="0" applyProtection="0">
      <alignment horizontal="left"/>
    </xf>
    <xf numFmtId="228" fontId="10" fillId="0" borderId="0" applyNumberFormat="0" applyFill="0" applyBorder="0" applyAlignment="0" applyProtection="0">
      <alignment horizontal="left"/>
    </xf>
    <xf numFmtId="0" fontId="101" fillId="0" borderId="0" applyNumberFormat="0" applyFill="0" applyBorder="0" applyAlignment="0" applyProtection="0">
      <alignment horizontal="left"/>
    </xf>
    <xf numFmtId="177" fontId="66" fillId="0" borderId="51"/>
    <xf numFmtId="177" fontId="66" fillId="0" borderId="51"/>
    <xf numFmtId="177" fontId="66" fillId="0" borderId="51"/>
    <xf numFmtId="177" fontId="66" fillId="0" borderId="51"/>
    <xf numFmtId="177" fontId="67" fillId="0" borderId="0"/>
    <xf numFmtId="0" fontId="69" fillId="0" borderId="52">
      <alignment horizontal="center"/>
    </xf>
    <xf numFmtId="0" fontId="69" fillId="0" borderId="52">
      <alignment horizontal="center"/>
    </xf>
    <xf numFmtId="0" fontId="69" fillId="0" borderId="52">
      <alignment horizontal="center"/>
    </xf>
    <xf numFmtId="0" fontId="69" fillId="0" borderId="52">
      <alignment horizontal="center"/>
    </xf>
    <xf numFmtId="0" fontId="69" fillId="0" borderId="52">
      <alignment horizontal="center"/>
    </xf>
    <xf numFmtId="0" fontId="69" fillId="0" borderId="52">
      <alignment horizontal="center"/>
    </xf>
    <xf numFmtId="0" fontId="69" fillId="0" borderId="52">
      <alignment horizontal="center"/>
    </xf>
    <xf numFmtId="0" fontId="69" fillId="0" borderId="52">
      <alignment horizontal="center"/>
    </xf>
    <xf numFmtId="0" fontId="69" fillId="0" borderId="52">
      <alignment horizontal="center"/>
    </xf>
    <xf numFmtId="0" fontId="69" fillId="0" borderId="52">
      <alignment horizontal="center"/>
    </xf>
    <xf numFmtId="177" fontId="69" fillId="0" borderId="52">
      <alignment horizontal="center"/>
    </xf>
    <xf numFmtId="177" fontId="69" fillId="0" borderId="52">
      <alignment horizontal="center"/>
    </xf>
    <xf numFmtId="0" fontId="69" fillId="0" borderId="52">
      <alignment horizontal="center"/>
    </xf>
    <xf numFmtId="0" fontId="69" fillId="0" borderId="52">
      <alignment horizontal="center"/>
    </xf>
    <xf numFmtId="0" fontId="69" fillId="0" borderId="52">
      <alignment horizontal="center"/>
    </xf>
    <xf numFmtId="0" fontId="69" fillId="0" borderId="52">
      <alignment horizontal="center"/>
    </xf>
    <xf numFmtId="0" fontId="69" fillId="0" borderId="52">
      <alignment horizontal="center"/>
    </xf>
    <xf numFmtId="177" fontId="69" fillId="0" borderId="52">
      <alignment horizontal="center"/>
    </xf>
    <xf numFmtId="177" fontId="69" fillId="0" borderId="52">
      <alignment horizontal="center"/>
    </xf>
    <xf numFmtId="177" fontId="69" fillId="0" borderId="52">
      <alignment horizontal="center"/>
    </xf>
    <xf numFmtId="0" fontId="69" fillId="0" borderId="52">
      <alignment horizontal="center"/>
    </xf>
    <xf numFmtId="0" fontId="69" fillId="0" borderId="52">
      <alignment horizontal="center"/>
    </xf>
    <xf numFmtId="177" fontId="69" fillId="0" borderId="52">
      <alignment horizontal="center"/>
    </xf>
    <xf numFmtId="0" fontId="69" fillId="0" borderId="52">
      <alignment horizontal="center"/>
    </xf>
    <xf numFmtId="177" fontId="69" fillId="0" borderId="52">
      <alignment horizontal="center"/>
    </xf>
    <xf numFmtId="0" fontId="69" fillId="0" borderId="52">
      <alignment horizontal="center"/>
    </xf>
    <xf numFmtId="177" fontId="69" fillId="0" borderId="52">
      <alignment horizontal="center"/>
    </xf>
    <xf numFmtId="0" fontId="69" fillId="0" borderId="52">
      <alignment horizontal="center"/>
    </xf>
    <xf numFmtId="176" fontId="69" fillId="0" borderId="52">
      <alignment horizontal="center"/>
    </xf>
    <xf numFmtId="0" fontId="69" fillId="0" borderId="52">
      <alignment horizontal="center"/>
    </xf>
    <xf numFmtId="0" fontId="69" fillId="0" borderId="52">
      <alignment horizontal="center"/>
    </xf>
    <xf numFmtId="0" fontId="69" fillId="0" borderId="52">
      <alignment horizontal="center"/>
    </xf>
    <xf numFmtId="177" fontId="69" fillId="0" borderId="0">
      <alignment horizontal="center" vertical="center"/>
    </xf>
    <xf numFmtId="177" fontId="70" fillId="39" borderId="0" applyNumberFormat="0" applyFill="0">
      <alignment horizontal="left" vertical="center"/>
    </xf>
    <xf numFmtId="177" fontId="71" fillId="0" borderId="29"/>
    <xf numFmtId="40" fontId="10" fillId="0" borderId="0" applyBorder="0">
      <alignment horizontal="right"/>
    </xf>
    <xf numFmtId="177" fontId="73" fillId="0" borderId="0" applyNumberFormat="0" applyFill="0" applyBorder="0" applyAlignment="0" applyProtection="0"/>
    <xf numFmtId="0" fontId="14" fillId="0" borderId="47" applyNumberFormat="0" applyFill="0" applyAlignment="0" applyProtection="0"/>
    <xf numFmtId="0" fontId="14" fillId="0" borderId="47" applyNumberFormat="0" applyFill="0" applyAlignment="0" applyProtection="0"/>
    <xf numFmtId="0" fontId="14" fillId="0" borderId="47" applyNumberFormat="0" applyFill="0" applyAlignment="0" applyProtection="0"/>
    <xf numFmtId="0" fontId="14" fillId="0" borderId="47" applyNumberFormat="0" applyFill="0" applyAlignment="0" applyProtection="0"/>
    <xf numFmtId="0" fontId="14" fillId="0" borderId="47" applyNumberFormat="0" applyFill="0" applyAlignment="0" applyProtection="0"/>
    <xf numFmtId="0" fontId="14" fillId="0" borderId="47" applyNumberFormat="0" applyFill="0" applyAlignment="0" applyProtection="0"/>
    <xf numFmtId="0" fontId="14" fillId="0" borderId="47" applyNumberFormat="0" applyFill="0" applyAlignment="0" applyProtection="0"/>
    <xf numFmtId="0" fontId="14" fillId="0" borderId="47" applyNumberFormat="0" applyFill="0" applyAlignment="0" applyProtection="0"/>
    <xf numFmtId="0" fontId="14" fillId="0" borderId="47" applyNumberFormat="0" applyFill="0" applyAlignment="0" applyProtection="0"/>
    <xf numFmtId="0" fontId="14" fillId="0" borderId="47" applyNumberFormat="0" applyFill="0" applyAlignment="0" applyProtection="0"/>
    <xf numFmtId="0" fontId="74" fillId="0" borderId="53" applyNumberFormat="0" applyFill="0" applyAlignment="0" applyProtection="0"/>
    <xf numFmtId="0" fontId="74" fillId="0" borderId="53" applyNumberFormat="0" applyFill="0" applyAlignment="0" applyProtection="0"/>
    <xf numFmtId="187" fontId="37" fillId="0" borderId="40">
      <protection locked="0"/>
    </xf>
    <xf numFmtId="0" fontId="122" fillId="0" borderId="53" applyNumberFormat="0" applyFill="0" applyAlignment="0" applyProtection="0"/>
    <xf numFmtId="187" fontId="37" fillId="0" borderId="40">
      <protection locked="0"/>
    </xf>
    <xf numFmtId="0" fontId="122" fillId="0" borderId="53" applyNumberFormat="0" applyFill="0" applyAlignment="0" applyProtection="0"/>
    <xf numFmtId="187" fontId="37" fillId="0" borderId="40">
      <protection locked="0"/>
    </xf>
    <xf numFmtId="187" fontId="37" fillId="0" borderId="40">
      <protection locked="0"/>
    </xf>
    <xf numFmtId="187" fontId="37" fillId="0" borderId="40">
      <protection locked="0"/>
    </xf>
    <xf numFmtId="0" fontId="122" fillId="0" borderId="53" applyNumberFormat="0" applyFill="0" applyAlignment="0" applyProtection="0"/>
    <xf numFmtId="0" fontId="14" fillId="0" borderId="47" applyNumberFormat="0" applyFill="0" applyAlignment="0" applyProtection="0"/>
    <xf numFmtId="0" fontId="14" fillId="0" borderId="47" applyNumberFormat="0" applyFill="0" applyAlignment="0" applyProtection="0"/>
    <xf numFmtId="0" fontId="123" fillId="0" borderId="47" applyNumberFormat="0" applyFill="0" applyAlignment="0" applyProtection="0"/>
    <xf numFmtId="0" fontId="14" fillId="0" borderId="47" applyNumberFormat="0" applyFill="0" applyAlignment="0" applyProtection="0"/>
    <xf numFmtId="0" fontId="123" fillId="0" borderId="47" applyNumberFormat="0" applyFill="0" applyAlignment="0" applyProtection="0"/>
    <xf numFmtId="0" fontId="123" fillId="0" borderId="47" applyNumberFormat="0" applyFill="0" applyAlignment="0" applyProtection="0"/>
    <xf numFmtId="0" fontId="123" fillId="0" borderId="47" applyNumberFormat="0" applyFill="0" applyAlignment="0" applyProtection="0"/>
    <xf numFmtId="0" fontId="123" fillId="0" borderId="47" applyNumberFormat="0" applyFill="0" applyAlignment="0" applyProtection="0"/>
    <xf numFmtId="0" fontId="123" fillId="0" borderId="47" applyNumberFormat="0" applyFill="0" applyAlignment="0" applyProtection="0"/>
    <xf numFmtId="0" fontId="123" fillId="0" borderId="47" applyNumberFormat="0" applyFill="0" applyAlignment="0" applyProtection="0"/>
    <xf numFmtId="0" fontId="74" fillId="0" borderId="53" applyNumberFormat="0" applyFill="0" applyAlignment="0" applyProtection="0"/>
    <xf numFmtId="0" fontId="74" fillId="0" borderId="53" applyNumberFormat="0" applyFill="0" applyAlignment="0" applyProtection="0"/>
    <xf numFmtId="187" fontId="37" fillId="0" borderId="40">
      <protection locked="0"/>
    </xf>
    <xf numFmtId="0" fontId="122" fillId="0" borderId="53" applyNumberFormat="0" applyFill="0" applyAlignment="0" applyProtection="0"/>
    <xf numFmtId="187" fontId="37" fillId="0" borderId="40">
      <protection locked="0"/>
    </xf>
    <xf numFmtId="0" fontId="123" fillId="0" borderId="47" applyNumberFormat="0" applyFill="0" applyAlignment="0" applyProtection="0"/>
    <xf numFmtId="187" fontId="37" fillId="0" borderId="40">
      <protection locked="0"/>
    </xf>
    <xf numFmtId="187" fontId="37" fillId="0" borderId="40">
      <protection locked="0"/>
    </xf>
    <xf numFmtId="187" fontId="37" fillId="0" borderId="40">
      <protection locked="0"/>
    </xf>
    <xf numFmtId="0" fontId="123" fillId="0" borderId="47" applyNumberFormat="0" applyFill="0" applyAlignment="0" applyProtection="0"/>
    <xf numFmtId="0" fontId="123" fillId="0" borderId="47" applyNumberFormat="0" applyFill="0" applyAlignment="0" applyProtection="0"/>
    <xf numFmtId="0" fontId="123" fillId="0" borderId="47" applyNumberFormat="0" applyFill="0" applyAlignment="0" applyProtection="0"/>
    <xf numFmtId="0" fontId="123" fillId="0" borderId="47" applyNumberFormat="0" applyFill="0" applyAlignment="0" applyProtection="0"/>
    <xf numFmtId="0" fontId="123" fillId="0" borderId="47" applyNumberFormat="0" applyFill="0" applyAlignment="0" applyProtection="0"/>
    <xf numFmtId="0" fontId="123" fillId="0" borderId="47" applyNumberFormat="0" applyFill="0" applyAlignment="0" applyProtection="0"/>
    <xf numFmtId="0" fontId="74" fillId="0" borderId="53" applyNumberFormat="0" applyFill="0" applyAlignment="0" applyProtection="0"/>
    <xf numFmtId="0" fontId="74" fillId="0" borderId="53" applyNumberFormat="0" applyFill="0" applyAlignment="0" applyProtection="0"/>
    <xf numFmtId="187" fontId="37" fillId="0" borderId="40">
      <protection locked="0"/>
    </xf>
    <xf numFmtId="0" fontId="122" fillId="0" borderId="53" applyNumberFormat="0" applyFill="0" applyAlignment="0" applyProtection="0"/>
    <xf numFmtId="187" fontId="37" fillId="0" borderId="40">
      <protection locked="0"/>
    </xf>
    <xf numFmtId="0" fontId="123" fillId="0" borderId="47" applyNumberFormat="0" applyFill="0" applyAlignment="0" applyProtection="0"/>
    <xf numFmtId="187" fontId="37" fillId="0" borderId="40">
      <protection locked="0"/>
    </xf>
    <xf numFmtId="187" fontId="37" fillId="0" borderId="40">
      <protection locked="0"/>
    </xf>
    <xf numFmtId="187" fontId="37" fillId="0" borderId="40">
      <protection locked="0"/>
    </xf>
    <xf numFmtId="0" fontId="74" fillId="0" borderId="53" applyNumberFormat="0" applyFill="0" applyAlignment="0" applyProtection="0"/>
    <xf numFmtId="0" fontId="74" fillId="0" borderId="53" applyNumberFormat="0" applyFill="0" applyAlignment="0" applyProtection="0"/>
    <xf numFmtId="187" fontId="37" fillId="0" borderId="40">
      <protection locked="0"/>
    </xf>
    <xf numFmtId="0" fontId="122" fillId="0" borderId="53" applyNumberFormat="0" applyFill="0" applyAlignment="0" applyProtection="0"/>
    <xf numFmtId="187" fontId="37" fillId="0" borderId="40">
      <protection locked="0"/>
    </xf>
    <xf numFmtId="0" fontId="123" fillId="0" borderId="47" applyNumberFormat="0" applyFill="0" applyAlignment="0" applyProtection="0"/>
    <xf numFmtId="187" fontId="37" fillId="0" borderId="40">
      <protection locked="0"/>
    </xf>
    <xf numFmtId="187" fontId="37" fillId="0" borderId="40">
      <protection locked="0"/>
    </xf>
    <xf numFmtId="187" fontId="37" fillId="0" borderId="40">
      <protection locked="0"/>
    </xf>
    <xf numFmtId="187" fontId="37" fillId="0" borderId="40">
      <protection locked="0"/>
    </xf>
    <xf numFmtId="187" fontId="37" fillId="0" borderId="40">
      <protection locked="0"/>
    </xf>
    <xf numFmtId="187" fontId="37" fillId="0" borderId="40">
      <protection locked="0"/>
    </xf>
    <xf numFmtId="0" fontId="74" fillId="0" borderId="53" applyNumberFormat="0" applyFill="0" applyAlignment="0" applyProtection="0"/>
    <xf numFmtId="177" fontId="74" fillId="0" borderId="53" applyNumberFormat="0" applyFill="0" applyAlignment="0" applyProtection="0"/>
    <xf numFmtId="177" fontId="76" fillId="0" borderId="0" applyNumberFormat="0" applyFill="0" applyBorder="0" applyAlignment="0" applyProtection="0"/>
    <xf numFmtId="0" fontId="20" fillId="0" borderId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21" fillId="24" borderId="0" applyNumberFormat="0" applyBorder="0" applyAlignment="0" applyProtection="0"/>
    <xf numFmtId="0" fontId="15" fillId="8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15" fillId="41" borderId="0" applyNumberFormat="0" applyBorder="0" applyAlignment="0" applyProtection="0"/>
    <xf numFmtId="0" fontId="21" fillId="27" borderId="0" applyNumberFormat="0" applyBorder="0" applyAlignment="0" applyProtection="0"/>
    <xf numFmtId="0" fontId="15" fillId="6" borderId="0" applyNumberFormat="0" applyBorder="0" applyAlignment="0" applyProtection="0"/>
    <xf numFmtId="0" fontId="21" fillId="28" borderId="0" applyNumberFormat="0" applyBorder="0" applyAlignment="0" applyProtection="0"/>
    <xf numFmtId="0" fontId="15" fillId="9" borderId="0" applyNumberFormat="0" applyBorder="0" applyAlignment="0" applyProtection="0"/>
    <xf numFmtId="0" fontId="21" fillId="26" borderId="0" applyNumberFormat="0" applyBorder="0" applyAlignment="0" applyProtection="0"/>
    <xf numFmtId="0" fontId="21" fillId="29" borderId="0" applyNumberFormat="0" applyBorder="0" applyAlignment="0" applyProtection="0"/>
    <xf numFmtId="6" fontId="10" fillId="0" borderId="0" applyFill="0" applyBorder="0" applyAlignment="0"/>
    <xf numFmtId="5" fontId="10" fillId="0" borderId="0" applyFill="0" applyBorder="0" applyAlignment="0"/>
    <xf numFmtId="41" fontId="10" fillId="0" borderId="0" applyFill="0" applyBorder="0" applyAlignment="0"/>
    <xf numFmtId="6" fontId="10" fillId="0" borderId="0" applyFill="0" applyBorder="0" applyAlignment="0"/>
    <xf numFmtId="0" fontId="26" fillId="30" borderId="48" applyNumberFormat="0" applyAlignment="0" applyProtection="0"/>
    <xf numFmtId="0" fontId="26" fillId="30" borderId="48" applyNumberFormat="0" applyAlignment="0" applyProtection="0"/>
    <xf numFmtId="0" fontId="28" fillId="31" borderId="15" applyNumberFormat="0" applyAlignment="0" applyProtection="0"/>
    <xf numFmtId="43" fontId="2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230" fontId="2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Protection="0"/>
    <xf numFmtId="41" fontId="1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0" fillId="0" borderId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30" fillId="0" borderId="0"/>
    <xf numFmtId="222" fontId="10" fillId="0" borderId="0" applyFill="0" applyBorder="0" applyAlignment="0" applyProtection="0"/>
    <xf numFmtId="41" fontId="4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43" fontId="20" fillId="0" borderId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0" fillId="0" borderId="0" applyProtection="0"/>
    <xf numFmtId="43" fontId="1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0" fillId="0" borderId="0" applyProtection="0"/>
    <xf numFmtId="43" fontId="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224" fontId="58" fillId="0" borderId="0" applyFill="0" applyBorder="0" applyAlignment="0" applyProtection="0"/>
    <xf numFmtId="43" fontId="1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224" fontId="10" fillId="0" borderId="0" applyFill="0" applyBorder="0" applyAlignment="0" applyProtection="0"/>
    <xf numFmtId="43" fontId="1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20" fillId="0" borderId="0" applyProtection="0"/>
    <xf numFmtId="43" fontId="11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14" fillId="0" borderId="0" applyFont="0" applyFill="0" applyBorder="0" applyAlignment="0" applyProtection="0"/>
    <xf numFmtId="224" fontId="10" fillId="0" borderId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20" fillId="0" borderId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224" fontId="10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4" fillId="0" borderId="0" applyFont="0" applyFill="0" applyBorder="0" applyAlignment="0" applyProtection="0"/>
    <xf numFmtId="224" fontId="10" fillId="0" borderId="0" applyFill="0" applyBorder="0" applyAlignment="0" applyProtection="0"/>
    <xf numFmtId="43" fontId="30" fillId="0" borderId="0" applyFont="0" applyFill="0" applyBorder="0" applyAlignment="0" applyProtection="0"/>
    <xf numFmtId="43" fontId="20" fillId="0" borderId="0" applyProtection="0"/>
    <xf numFmtId="43" fontId="114" fillId="0" borderId="0" applyFont="0" applyFill="0" applyBorder="0" applyAlignment="0" applyProtection="0"/>
    <xf numFmtId="224" fontId="10" fillId="0" borderId="0" applyFill="0" applyBorder="0" applyAlignment="0" applyProtection="0"/>
    <xf numFmtId="43" fontId="20" fillId="0" borderId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0" fillId="0" borderId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222" fontId="10" fillId="0" borderId="0" applyFill="0" applyBorder="0" applyAlignment="0" applyProtection="0">
      <alignment vertical="center"/>
    </xf>
    <xf numFmtId="185" fontId="36" fillId="0" borderId="58"/>
    <xf numFmtId="6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5" fontId="10" fillId="0" borderId="0" applyFill="0" applyBorder="0" applyAlignment="0"/>
    <xf numFmtId="6" fontId="10" fillId="0" borderId="0" applyFill="0" applyBorder="0" applyAlignment="0"/>
    <xf numFmtId="5" fontId="10" fillId="0" borderId="0" applyFill="0" applyBorder="0" applyAlignment="0"/>
    <xf numFmtId="41" fontId="10" fillId="0" borderId="0" applyFill="0" applyBorder="0" applyAlignment="0"/>
    <xf numFmtId="6" fontId="10" fillId="0" borderId="0" applyFill="0" applyBorder="0" applyAlignment="0"/>
    <xf numFmtId="0" fontId="39" fillId="0" borderId="0" applyNumberFormat="0" applyFill="0" applyBorder="0" applyAlignment="0" applyProtection="0"/>
    <xf numFmtId="0" fontId="40" fillId="16" borderId="0" applyNumberFormat="0" applyBorder="0" applyAlignment="0" applyProtection="0"/>
    <xf numFmtId="0" fontId="42" fillId="0" borderId="59">
      <alignment horizontal="left" vertical="center"/>
    </xf>
    <xf numFmtId="0" fontId="43" fillId="0" borderId="19" applyNumberFormat="0" applyFill="0" applyAlignment="0" applyProtection="0"/>
    <xf numFmtId="0" fontId="44" fillId="0" borderId="20" applyNumberFormat="0" applyFill="0" applyAlignment="0" applyProtection="0"/>
    <xf numFmtId="0" fontId="45" fillId="0" borderId="21" applyNumberFormat="0" applyFill="0" applyAlignment="0" applyProtection="0"/>
    <xf numFmtId="0" fontId="45" fillId="0" borderId="0" applyNumberFormat="0" applyFill="0" applyBorder="0" applyAlignment="0" applyProtection="0"/>
    <xf numFmtId="10" fontId="33" fillId="34" borderId="58" applyNumberFormat="0" applyBorder="0" applyAlignment="0" applyProtection="0"/>
    <xf numFmtId="0" fontId="49" fillId="19" borderId="48" applyNumberFormat="0" applyAlignment="0" applyProtection="0"/>
    <xf numFmtId="5" fontId="10" fillId="0" borderId="0" applyFill="0" applyBorder="0" applyAlignment="0"/>
    <xf numFmtId="6" fontId="10" fillId="0" borderId="0" applyFill="0" applyBorder="0" applyAlignment="0"/>
    <xf numFmtId="5" fontId="10" fillId="0" borderId="0" applyFill="0" applyBorder="0" applyAlignment="0"/>
    <xf numFmtId="41" fontId="10" fillId="0" borderId="0" applyFill="0" applyBorder="0" applyAlignment="0"/>
    <xf numFmtId="6" fontId="10" fillId="0" borderId="0" applyFill="0" applyBorder="0" applyAlignment="0"/>
    <xf numFmtId="0" fontId="50" fillId="0" borderId="24" applyNumberFormat="0" applyFill="0" applyAlignment="0" applyProtection="0"/>
    <xf numFmtId="0" fontId="53" fillId="37" borderId="0" applyNumberFormat="0" applyBorder="0" applyAlignment="0" applyProtection="0"/>
    <xf numFmtId="0" fontId="1" fillId="0" borderId="0"/>
    <xf numFmtId="0" fontId="30" fillId="0" borderId="0"/>
    <xf numFmtId="0" fontId="114" fillId="0" borderId="0"/>
    <xf numFmtId="0" fontId="4" fillId="0" borderId="0"/>
    <xf numFmtId="0" fontId="114" fillId="0" borderId="0"/>
    <xf numFmtId="0" fontId="114" fillId="0" borderId="0"/>
    <xf numFmtId="0" fontId="114" fillId="0" borderId="0"/>
    <xf numFmtId="0" fontId="58" fillId="0" borderId="0"/>
    <xf numFmtId="0" fontId="10" fillId="0" borderId="0"/>
    <xf numFmtId="0" fontId="58" fillId="0" borderId="0"/>
    <xf numFmtId="0" fontId="4" fillId="0" borderId="0"/>
    <xf numFmtId="0" fontId="20" fillId="0" borderId="0"/>
    <xf numFmtId="230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0" fontId="1" fillId="0" borderId="0"/>
    <xf numFmtId="0" fontId="26" fillId="30" borderId="14" applyNumberFormat="0" applyAlignment="0" applyProtection="0"/>
    <xf numFmtId="0" fontId="1" fillId="0" borderId="0"/>
    <xf numFmtId="230" fontId="20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230" fontId="20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20" fillId="0" borderId="0" applyFont="0" applyFill="0" applyBorder="0" applyAlignment="0" applyProtection="0"/>
    <xf numFmtId="230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0" fontId="10" fillId="0" borderId="0"/>
    <xf numFmtId="0" fontId="10" fillId="0" borderId="0"/>
    <xf numFmtId="43" fontId="20" fillId="0" borderId="0" applyFont="0" applyFill="0" applyBorder="0" applyAlignment="0" applyProtection="0"/>
    <xf numFmtId="0" fontId="30" fillId="38" borderId="68" applyNumberFormat="0" applyFont="0" applyAlignment="0" applyProtection="0"/>
    <xf numFmtId="0" fontId="130" fillId="0" borderId="0"/>
    <xf numFmtId="0" fontId="1" fillId="0" borderId="0"/>
    <xf numFmtId="0" fontId="10" fillId="0" borderId="0"/>
    <xf numFmtId="0" fontId="30" fillId="38" borderId="68" applyNumberFormat="0" applyFont="0" applyAlignment="0" applyProtection="0"/>
    <xf numFmtId="0" fontId="30" fillId="38" borderId="68" applyNumberFormat="0" applyFont="0" applyAlignment="0" applyProtection="0"/>
    <xf numFmtId="0" fontId="4" fillId="0" borderId="0"/>
    <xf numFmtId="0" fontId="4" fillId="0" borderId="0"/>
    <xf numFmtId="0" fontId="58" fillId="0" borderId="0"/>
    <xf numFmtId="0" fontId="30" fillId="38" borderId="68" applyNumberFormat="0" applyFont="0" applyAlignment="0" applyProtection="0"/>
    <xf numFmtId="0" fontId="1" fillId="0" borderId="0"/>
    <xf numFmtId="0" fontId="1" fillId="0" borderId="0"/>
    <xf numFmtId="0" fontId="20" fillId="0" borderId="0"/>
    <xf numFmtId="0" fontId="114" fillId="0" borderId="0"/>
    <xf numFmtId="0" fontId="30" fillId="38" borderId="68" applyNumberFormat="0" applyFont="0" applyAlignment="0" applyProtection="0"/>
    <xf numFmtId="0" fontId="30" fillId="38" borderId="49" applyNumberFormat="0" applyFont="0" applyAlignment="0" applyProtection="0"/>
    <xf numFmtId="0" fontId="30" fillId="38" borderId="49" applyNumberFormat="0" applyFont="0" applyAlignment="0" applyProtection="0"/>
    <xf numFmtId="0" fontId="60" fillId="30" borderId="63" applyNumberFormat="0" applyAlignment="0" applyProtection="0"/>
    <xf numFmtId="0" fontId="60" fillId="30" borderId="63" applyNumberFormat="0" applyAlignment="0" applyProtection="0"/>
    <xf numFmtId="0" fontId="30" fillId="38" borderId="68" applyNumberFormat="0" applyFont="0" applyAlignment="0" applyProtection="0"/>
    <xf numFmtId="6" fontId="25" fillId="0" borderId="0" applyFont="0" applyFill="0" applyBorder="0" applyAlignment="0" applyProtection="0"/>
    <xf numFmtId="0" fontId="30" fillId="38" borderId="68" applyNumberFormat="0" applyFont="0" applyAlignment="0" applyProtection="0"/>
    <xf numFmtId="9" fontId="4" fillId="0" borderId="0" applyFont="0" applyFill="0" applyBorder="0" applyAlignment="0" applyProtection="0"/>
    <xf numFmtId="9" fontId="114" fillId="0" borderId="0" applyFont="0" applyFill="0" applyBorder="0" applyAlignment="0" applyProtection="0"/>
    <xf numFmtId="0" fontId="30" fillId="38" borderId="68" applyNumberFormat="0" applyFont="0" applyAlignment="0" applyProtection="0"/>
    <xf numFmtId="9" fontId="114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5" fontId="10" fillId="0" borderId="0" applyFill="0" applyBorder="0" applyAlignment="0"/>
    <xf numFmtId="6" fontId="10" fillId="0" borderId="0" applyFill="0" applyBorder="0" applyAlignment="0"/>
    <xf numFmtId="5" fontId="10" fillId="0" borderId="0" applyFill="0" applyBorder="0" applyAlignment="0"/>
    <xf numFmtId="41" fontId="10" fillId="0" borderId="0" applyFill="0" applyBorder="0" applyAlignment="0"/>
    <xf numFmtId="6" fontId="10" fillId="0" borderId="0" applyFill="0" applyBorder="0" applyAlignment="0"/>
    <xf numFmtId="0" fontId="66" fillId="0" borderId="64"/>
    <xf numFmtId="0" fontId="69" fillId="0" borderId="58">
      <alignment horizontal="center"/>
    </xf>
    <xf numFmtId="43" fontId="10" fillId="0" borderId="0" applyFill="0" applyBorder="0" applyAlignment="0"/>
    <xf numFmtId="41" fontId="10" fillId="0" borderId="0" applyFont="0" applyFill="0" applyBorder="0" applyAlignment="0" applyProtection="0"/>
    <xf numFmtId="0" fontId="69" fillId="0" borderId="66">
      <alignment horizontal="center"/>
    </xf>
    <xf numFmtId="0" fontId="73" fillId="0" borderId="0" applyNumberFormat="0" applyFill="0" applyBorder="0" applyAlignment="0" applyProtection="0"/>
    <xf numFmtId="0" fontId="74" fillId="0" borderId="65" applyNumberFormat="0" applyFill="0" applyAlignment="0" applyProtection="0"/>
    <xf numFmtId="0" fontId="74" fillId="0" borderId="65" applyNumberFormat="0" applyFill="0" applyAlignment="0" applyProtection="0"/>
    <xf numFmtId="0" fontId="76" fillId="0" borderId="0" applyNumberFormat="0" applyFill="0" applyBorder="0" applyAlignment="0" applyProtection="0"/>
    <xf numFmtId="0" fontId="69" fillId="0" borderId="66">
      <alignment horizontal="center"/>
    </xf>
    <xf numFmtId="0" fontId="69" fillId="0" borderId="66">
      <alignment horizontal="center"/>
    </xf>
    <xf numFmtId="0" fontId="20" fillId="0" borderId="0"/>
    <xf numFmtId="185" fontId="36" fillId="0" borderId="66"/>
    <xf numFmtId="0" fontId="42" fillId="0" borderId="67">
      <alignment horizontal="left" vertical="center"/>
    </xf>
    <xf numFmtId="10" fontId="33" fillId="34" borderId="66" applyNumberFormat="0" applyBorder="0" applyAlignment="0" applyProtection="0"/>
    <xf numFmtId="0" fontId="49" fillId="19" borderId="14" applyNumberFormat="0" applyAlignment="0" applyProtection="0"/>
    <xf numFmtId="0" fontId="49" fillId="19" borderId="14" applyNumberFormat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230" fontId="20" fillId="0" borderId="0" applyFont="0" applyFill="0" applyBorder="0" applyAlignment="0" applyProtection="0">
      <alignment vertical="center"/>
    </xf>
    <xf numFmtId="230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230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230" fontId="20" fillId="0" borderId="0" applyFont="0" applyFill="0" applyBorder="0" applyAlignment="0" applyProtection="0">
      <alignment vertical="center"/>
    </xf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0" fillId="38" borderId="68" applyNumberFormat="0" applyFont="0" applyAlignment="0" applyProtection="0"/>
    <xf numFmtId="0" fontId="30" fillId="38" borderId="68" applyNumberFormat="0" applyFont="0" applyAlignment="0" applyProtection="0"/>
    <xf numFmtId="0" fontId="30" fillId="38" borderId="68" applyNumberFormat="0" applyFont="0" applyAlignment="0" applyProtection="0"/>
    <xf numFmtId="0" fontId="30" fillId="38" borderId="68" applyNumberFormat="0" applyFont="0" applyAlignment="0" applyProtection="0"/>
    <xf numFmtId="0" fontId="30" fillId="38" borderId="68" applyNumberFormat="0" applyFont="0" applyAlignment="0" applyProtection="0"/>
    <xf numFmtId="0" fontId="30" fillId="38" borderId="68" applyNumberFormat="0" applyFont="0" applyAlignment="0" applyProtection="0"/>
    <xf numFmtId="0" fontId="30" fillId="38" borderId="68" applyNumberFormat="0" applyFont="0" applyAlignment="0" applyProtection="0"/>
    <xf numFmtId="0" fontId="30" fillId="38" borderId="68" applyNumberFormat="0" applyFont="0" applyAlignment="0" applyProtection="0"/>
    <xf numFmtId="0" fontId="69" fillId="0" borderId="66">
      <alignment horizontal="center"/>
    </xf>
    <xf numFmtId="0" fontId="69" fillId="0" borderId="66">
      <alignment horizontal="center"/>
    </xf>
    <xf numFmtId="0" fontId="74" fillId="0" borderId="69" applyNumberFormat="0" applyFill="0" applyAlignment="0" applyProtection="0"/>
    <xf numFmtId="0" fontId="74" fillId="0" borderId="69" applyNumberFormat="0" applyFill="0" applyAlignment="0" applyProtection="0"/>
    <xf numFmtId="0" fontId="69" fillId="0" borderId="66">
      <alignment horizontal="center"/>
    </xf>
    <xf numFmtId="0" fontId="69" fillId="0" borderId="66">
      <alignment horizontal="center"/>
    </xf>
    <xf numFmtId="0" fontId="20" fillId="0" borderId="0"/>
    <xf numFmtId="0" fontId="74" fillId="0" borderId="69" applyNumberFormat="0" applyFill="0" applyAlignment="0" applyProtection="0"/>
    <xf numFmtId="0" fontId="69" fillId="0" borderId="66">
      <alignment horizont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31" fillId="0" borderId="0"/>
    <xf numFmtId="0" fontId="131" fillId="0" borderId="0"/>
    <xf numFmtId="6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5" fontId="10" fillId="0" borderId="0" applyFill="0" applyBorder="0" applyAlignment="0"/>
    <xf numFmtId="5" fontId="10" fillId="0" borderId="0" applyFill="0" applyBorder="0" applyAlignment="0"/>
    <xf numFmtId="5" fontId="10" fillId="0" borderId="0" applyFill="0" applyBorder="0" applyAlignment="0"/>
    <xf numFmtId="41" fontId="10" fillId="0" borderId="0" applyFill="0" applyBorder="0" applyAlignment="0"/>
    <xf numFmtId="41" fontId="10" fillId="0" borderId="0" applyFill="0" applyBorder="0" applyAlignment="0"/>
    <xf numFmtId="41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0" fontId="26" fillId="30" borderId="48" applyNumberFormat="0" applyAlignment="0" applyProtection="0"/>
    <xf numFmtId="0" fontId="26" fillId="30" borderId="48" applyNumberFormat="0" applyAlignment="0" applyProtection="0"/>
    <xf numFmtId="0" fontId="26" fillId="30" borderId="48" applyNumberFormat="0" applyAlignment="0" applyProtection="0"/>
    <xf numFmtId="0" fontId="26" fillId="30" borderId="48" applyNumberFormat="0" applyAlignment="0" applyProtection="0"/>
    <xf numFmtId="0" fontId="26" fillId="30" borderId="48" applyNumberFormat="0" applyAlignment="0" applyProtection="0"/>
    <xf numFmtId="0" fontId="26" fillId="30" borderId="48" applyNumberFormat="0" applyAlignment="0" applyProtection="0"/>
    <xf numFmtId="43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32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20" fillId="0" borderId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14" fillId="0" borderId="0" applyFont="0" applyFill="0" applyBorder="0" applyAlignment="0" applyProtection="0"/>
    <xf numFmtId="230" fontId="2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  <xf numFmtId="230" fontId="20" fillId="0" borderId="0" applyFont="0" applyFill="0" applyBorder="0" applyAlignment="0" applyProtection="0">
      <alignment vertical="center"/>
    </xf>
    <xf numFmtId="230" fontId="20" fillId="0" borderId="0" applyFont="0" applyFill="0" applyBorder="0" applyAlignment="0" applyProtection="0">
      <alignment vertical="center"/>
    </xf>
    <xf numFmtId="230" fontId="20" fillId="0" borderId="0" applyFont="0" applyFill="0" applyBorder="0" applyAlignment="0" applyProtection="0">
      <alignment vertical="center"/>
    </xf>
    <xf numFmtId="230" fontId="20" fillId="0" borderId="0" applyFont="0" applyFill="0" applyBorder="0" applyAlignment="0" applyProtection="0">
      <alignment vertical="center"/>
    </xf>
    <xf numFmtId="230" fontId="20" fillId="0" borderId="0" applyFont="0" applyFill="0" applyBorder="0" applyAlignment="0" applyProtection="0">
      <alignment vertical="center"/>
    </xf>
    <xf numFmtId="230" fontId="20" fillId="0" borderId="0" applyFont="0" applyFill="0" applyBorder="0" applyAlignment="0" applyProtection="0">
      <alignment vertical="center"/>
    </xf>
    <xf numFmtId="230" fontId="2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1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5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0" fillId="0" borderId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0" fillId="0" borderId="0" applyProtection="0"/>
    <xf numFmtId="43" fontId="20" fillId="0" borderId="0" applyProtection="0"/>
    <xf numFmtId="43" fontId="3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0" fillId="0" borderId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0" fillId="0" borderId="0" applyProtection="0"/>
    <xf numFmtId="43" fontId="1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20" fillId="0" borderId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20" fillId="0" borderId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20" fillId="0" borderId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0" fillId="0" borderId="0" applyProtection="0"/>
    <xf numFmtId="43" fontId="11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0" fillId="0" borderId="0" applyProtection="0"/>
    <xf numFmtId="185" fontId="36" fillId="0" borderId="66"/>
    <xf numFmtId="185" fontId="36" fillId="0" borderId="66"/>
    <xf numFmtId="6" fontId="10" fillId="0" borderId="0" applyFont="0" applyFill="0" applyBorder="0" applyAlignment="0" applyProtection="0"/>
    <xf numFmtId="6" fontId="10" fillId="0" borderId="0" applyFont="0" applyFill="0" applyBorder="0" applyAlignment="0" applyProtection="0"/>
    <xf numFmtId="6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5" fontId="10" fillId="0" borderId="0" applyFill="0" applyBorder="0" applyAlignment="0"/>
    <xf numFmtId="5" fontId="10" fillId="0" borderId="0" applyFill="0" applyBorder="0" applyAlignment="0"/>
    <xf numFmtId="5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5" fontId="10" fillId="0" borderId="0" applyFill="0" applyBorder="0" applyAlignment="0"/>
    <xf numFmtId="5" fontId="10" fillId="0" borderId="0" applyFill="0" applyBorder="0" applyAlignment="0"/>
    <xf numFmtId="5" fontId="10" fillId="0" borderId="0" applyFill="0" applyBorder="0" applyAlignment="0"/>
    <xf numFmtId="41" fontId="10" fillId="0" borderId="0" applyFill="0" applyBorder="0" applyAlignment="0"/>
    <xf numFmtId="41" fontId="10" fillId="0" borderId="0" applyFill="0" applyBorder="0" applyAlignment="0"/>
    <xf numFmtId="41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0" fontId="42" fillId="0" borderId="67">
      <alignment horizontal="left" vertical="center"/>
    </xf>
    <xf numFmtId="0" fontId="42" fillId="0" borderId="67">
      <alignment horizontal="left" vertical="center"/>
    </xf>
    <xf numFmtId="10" fontId="33" fillId="34" borderId="66" applyNumberFormat="0" applyBorder="0" applyAlignment="0" applyProtection="0"/>
    <xf numFmtId="10" fontId="33" fillId="34" borderId="66" applyNumberFormat="0" applyBorder="0" applyAlignment="0" applyProtection="0"/>
    <xf numFmtId="0" fontId="49" fillId="19" borderId="48" applyNumberFormat="0" applyAlignment="0" applyProtection="0"/>
    <xf numFmtId="0" fontId="49" fillId="19" borderId="48" applyNumberFormat="0" applyAlignment="0" applyProtection="0"/>
    <xf numFmtId="0" fontId="49" fillId="19" borderId="48" applyNumberFormat="0" applyAlignment="0" applyProtection="0"/>
    <xf numFmtId="0" fontId="49" fillId="19" borderId="48" applyNumberFormat="0" applyAlignment="0" applyProtection="0"/>
    <xf numFmtId="0" fontId="49" fillId="19" borderId="48" applyNumberFormat="0" applyAlignment="0" applyProtection="0"/>
    <xf numFmtId="5" fontId="10" fillId="0" borderId="0" applyFill="0" applyBorder="0" applyAlignment="0"/>
    <xf numFmtId="5" fontId="10" fillId="0" borderId="0" applyFill="0" applyBorder="0" applyAlignment="0"/>
    <xf numFmtId="5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5" fontId="10" fillId="0" borderId="0" applyFill="0" applyBorder="0" applyAlignment="0"/>
    <xf numFmtId="5" fontId="10" fillId="0" borderId="0" applyFill="0" applyBorder="0" applyAlignment="0"/>
    <xf numFmtId="5" fontId="10" fillId="0" borderId="0" applyFill="0" applyBorder="0" applyAlignment="0"/>
    <xf numFmtId="41" fontId="10" fillId="0" borderId="0" applyFill="0" applyBorder="0" applyAlignment="0"/>
    <xf numFmtId="41" fontId="10" fillId="0" borderId="0" applyFill="0" applyBorder="0" applyAlignment="0"/>
    <xf numFmtId="41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0" fontId="30" fillId="0" borderId="0"/>
    <xf numFmtId="0" fontId="20" fillId="0" borderId="0"/>
    <xf numFmtId="0" fontId="1" fillId="0" borderId="0"/>
    <xf numFmtId="0" fontId="20" fillId="0" borderId="0"/>
    <xf numFmtId="0" fontId="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8" fillId="0" borderId="0"/>
    <xf numFmtId="0" fontId="20" fillId="0" borderId="0"/>
    <xf numFmtId="0" fontId="20" fillId="0" borderId="0"/>
    <xf numFmtId="0" fontId="30" fillId="38" borderId="68" applyNumberFormat="0" applyFont="0" applyAlignment="0" applyProtection="0"/>
    <xf numFmtId="0" fontId="30" fillId="38" borderId="68" applyNumberFormat="0" applyFont="0" applyAlignment="0" applyProtection="0"/>
    <xf numFmtId="0" fontId="30" fillId="38" borderId="68" applyNumberFormat="0" applyFont="0" applyAlignment="0" applyProtection="0"/>
    <xf numFmtId="0" fontId="30" fillId="38" borderId="68" applyNumberFormat="0" applyFont="0" applyAlignment="0" applyProtection="0"/>
    <xf numFmtId="0" fontId="30" fillId="38" borderId="68" applyNumberFormat="0" applyFont="0" applyAlignment="0" applyProtection="0"/>
    <xf numFmtId="0" fontId="30" fillId="38" borderId="68" applyNumberFormat="0" applyFont="0" applyAlignment="0" applyProtection="0"/>
    <xf numFmtId="0" fontId="30" fillId="38" borderId="68" applyNumberFormat="0" applyFont="0" applyAlignment="0" applyProtection="0"/>
    <xf numFmtId="0" fontId="30" fillId="38" borderId="68" applyNumberFormat="0" applyFont="0" applyAlignment="0" applyProtection="0"/>
    <xf numFmtId="0" fontId="60" fillId="30" borderId="63" applyNumberFormat="0" applyAlignment="0" applyProtection="0"/>
    <xf numFmtId="0" fontId="60" fillId="30" borderId="63" applyNumberFormat="0" applyAlignment="0" applyProtection="0"/>
    <xf numFmtId="0" fontId="60" fillId="30" borderId="63" applyNumberFormat="0" applyAlignment="0" applyProtection="0"/>
    <xf numFmtId="0" fontId="60" fillId="30" borderId="63" applyNumberFormat="0" applyAlignment="0" applyProtection="0"/>
    <xf numFmtId="0" fontId="60" fillId="30" borderId="63" applyNumberFormat="0" applyAlignment="0" applyProtection="0"/>
    <xf numFmtId="0" fontId="60" fillId="30" borderId="63" applyNumberFormat="0" applyAlignment="0" applyProtection="0"/>
    <xf numFmtId="9" fontId="20" fillId="0" borderId="0" applyFont="0" applyFill="0" applyBorder="0" applyAlignment="0" applyProtection="0"/>
    <xf numFmtId="6" fontId="25" fillId="0" borderId="0" applyFont="0" applyFill="0" applyBorder="0" applyAlignment="0" applyProtection="0"/>
    <xf numFmtId="6" fontId="25" fillId="0" borderId="0" applyFont="0" applyFill="0" applyBorder="0" applyAlignment="0" applyProtection="0"/>
    <xf numFmtId="6" fontId="25" fillId="0" borderId="0" applyFont="0" applyFill="0" applyBorder="0" applyAlignment="0" applyProtection="0"/>
    <xf numFmtId="5" fontId="10" fillId="0" borderId="0" applyFill="0" applyBorder="0" applyAlignment="0"/>
    <xf numFmtId="5" fontId="10" fillId="0" borderId="0" applyFill="0" applyBorder="0" applyAlignment="0"/>
    <xf numFmtId="5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5" fontId="10" fillId="0" borderId="0" applyFill="0" applyBorder="0" applyAlignment="0"/>
    <xf numFmtId="5" fontId="10" fillId="0" borderId="0" applyFill="0" applyBorder="0" applyAlignment="0"/>
    <xf numFmtId="5" fontId="10" fillId="0" borderId="0" applyFill="0" applyBorder="0" applyAlignment="0"/>
    <xf numFmtId="41" fontId="10" fillId="0" borderId="0" applyFill="0" applyBorder="0" applyAlignment="0"/>
    <xf numFmtId="41" fontId="10" fillId="0" borderId="0" applyFill="0" applyBorder="0" applyAlignment="0"/>
    <xf numFmtId="41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6" fontId="10" fillId="0" borderId="0" applyFill="0" applyBorder="0" applyAlignment="0"/>
    <xf numFmtId="0" fontId="66" fillId="0" borderId="64"/>
    <xf numFmtId="0" fontId="66" fillId="0" borderId="64"/>
    <xf numFmtId="0" fontId="66" fillId="0" borderId="64"/>
    <xf numFmtId="0" fontId="69" fillId="0" borderId="66">
      <alignment horizontal="center"/>
    </xf>
    <xf numFmtId="0" fontId="69" fillId="0" borderId="66">
      <alignment horizontal="center"/>
    </xf>
    <xf numFmtId="0" fontId="69" fillId="0" borderId="66">
      <alignment horizontal="center"/>
    </xf>
    <xf numFmtId="43" fontId="10" fillId="0" borderId="0" applyFill="0" applyBorder="0" applyAlignment="0"/>
    <xf numFmtId="43" fontId="10" fillId="0" borderId="0" applyFill="0" applyBorder="0" applyAlignment="0"/>
    <xf numFmtId="43" fontId="10" fillId="0" borderId="0" applyFill="0" applyBorder="0" applyAlignment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74" fillId="0" borderId="69" applyNumberFormat="0" applyFill="0" applyAlignment="0" applyProtection="0"/>
    <xf numFmtId="0" fontId="74" fillId="0" borderId="69" applyNumberFormat="0" applyFill="0" applyAlignment="0" applyProtection="0"/>
    <xf numFmtId="0" fontId="74" fillId="0" borderId="69" applyNumberFormat="0" applyFill="0" applyAlignment="0" applyProtection="0"/>
    <xf numFmtId="0" fontId="74" fillId="0" borderId="69" applyNumberFormat="0" applyFill="0" applyAlignment="0" applyProtection="0"/>
    <xf numFmtId="0" fontId="74" fillId="0" borderId="69" applyNumberFormat="0" applyFill="0" applyAlignment="0" applyProtection="0"/>
    <xf numFmtId="0" fontId="74" fillId="0" borderId="69" applyNumberFormat="0" applyFill="0" applyAlignment="0" applyProtection="0"/>
    <xf numFmtId="178" fontId="1" fillId="0" borderId="0"/>
    <xf numFmtId="0" fontId="140" fillId="0" borderId="0"/>
    <xf numFmtId="43" fontId="140" fillId="0" borderId="0" applyFont="0" applyFill="0" applyBorder="0" applyAlignment="0" applyProtection="0"/>
    <xf numFmtId="41" fontId="140" fillId="0" borderId="0" applyFont="0" applyFill="0" applyBorder="0" applyAlignment="0" applyProtection="0">
      <alignment vertical="center"/>
    </xf>
    <xf numFmtId="9" fontId="140" fillId="0" borderId="0" applyFont="0" applyFill="0" applyBorder="0" applyAlignment="0" applyProtection="0"/>
    <xf numFmtId="178" fontId="142" fillId="0" borderId="0"/>
    <xf numFmtId="181" fontId="141" fillId="0" borderId="0"/>
    <xf numFmtId="9" fontId="4" fillId="0" borderId="0" applyFont="0" applyFill="0" applyBorder="0" applyAlignment="0" applyProtection="0"/>
    <xf numFmtId="168" fontId="4" fillId="0" borderId="0" applyFont="0" applyFill="0" applyBorder="0" applyAlignment="0" applyProtection="0">
      <alignment vertical="center"/>
    </xf>
    <xf numFmtId="168" fontId="4" fillId="0" borderId="0" applyFont="0" applyFill="0" applyBorder="0" applyAlignment="0" applyProtection="0">
      <alignment vertical="center"/>
    </xf>
    <xf numFmtId="178" fontId="20" fillId="0" borderId="0"/>
    <xf numFmtId="181" fontId="4" fillId="0" borderId="0"/>
    <xf numFmtId="176" fontId="30" fillId="0" borderId="0"/>
    <xf numFmtId="176" fontId="30" fillId="0" borderId="0"/>
    <xf numFmtId="176" fontId="30" fillId="0" borderId="0"/>
    <xf numFmtId="176" fontId="30" fillId="0" borderId="0"/>
    <xf numFmtId="177" fontId="30" fillId="0" borderId="0"/>
    <xf numFmtId="176" fontId="30" fillId="0" borderId="0"/>
    <xf numFmtId="176" fontId="30" fillId="0" borderId="0"/>
    <xf numFmtId="177" fontId="10" fillId="0" borderId="0"/>
    <xf numFmtId="179" fontId="30" fillId="0" borderId="0"/>
    <xf numFmtId="179" fontId="30" fillId="0" borderId="0"/>
    <xf numFmtId="176" fontId="30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9" fontId="4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4" fillId="0" borderId="0" applyFont="0" applyFill="0" applyBorder="0" applyAlignment="0" applyProtection="0"/>
    <xf numFmtId="0" fontId="143" fillId="0" borderId="0"/>
    <xf numFmtId="43" fontId="143" fillId="0" borderId="0" applyFont="0" applyFill="0" applyBorder="0" applyAlignment="0" applyProtection="0"/>
    <xf numFmtId="9" fontId="143" fillId="0" borderId="0" applyFont="0" applyFill="0" applyBorder="0" applyAlignment="0" applyProtection="0"/>
    <xf numFmtId="41" fontId="143" fillId="0" borderId="0" applyFont="0" applyFill="0" applyBorder="0" applyAlignment="0" applyProtection="0"/>
    <xf numFmtId="0" fontId="4" fillId="0" borderId="0"/>
    <xf numFmtId="41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230" fontId="4" fillId="0" borderId="0" applyFont="0" applyFill="0" applyBorder="0" applyAlignment="0" applyProtection="0">
      <alignment vertical="center"/>
    </xf>
    <xf numFmtId="43" fontId="58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144" fillId="0" borderId="0"/>
    <xf numFmtId="0" fontId="4" fillId="0" borderId="0"/>
    <xf numFmtId="41" fontId="20" fillId="0" borderId="0" applyFont="0" applyFill="0" applyBorder="0" applyAlignment="0" applyProtection="0"/>
    <xf numFmtId="0" fontId="10" fillId="0" borderId="0"/>
    <xf numFmtId="0" fontId="115" fillId="0" borderId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20" fillId="59" borderId="0" applyNumberFormat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5" fontId="36" fillId="0" borderId="72"/>
    <xf numFmtId="41" fontId="20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21" fillId="68" borderId="0" applyNumberFormat="0" applyBorder="0" applyAlignment="0" applyProtection="0"/>
    <xf numFmtId="43" fontId="10" fillId="0" borderId="0" applyFont="0" applyFill="0" applyBorder="0" applyAlignment="0" applyProtection="0"/>
    <xf numFmtId="10" fontId="33" fillId="34" borderId="72" applyNumberFormat="0" applyBorder="0" applyAlignment="0" applyProtection="0"/>
    <xf numFmtId="10" fontId="33" fillId="34" borderId="72" applyNumberFormat="0" applyBorder="0" applyAlignment="0" applyProtection="0"/>
    <xf numFmtId="41" fontId="10" fillId="0" borderId="0" applyFont="0" applyFill="0" applyBorder="0" applyAlignment="0" applyProtection="0"/>
    <xf numFmtId="41" fontId="4" fillId="0" borderId="0" applyFont="0" applyFill="0" applyBorder="0" applyAlignment="0" applyProtection="0"/>
    <xf numFmtId="10" fontId="33" fillId="34" borderId="72" applyNumberFormat="0" applyBorder="0" applyAlignment="0" applyProtection="0"/>
    <xf numFmtId="10" fontId="33" fillId="34" borderId="72" applyNumberFormat="0" applyBorder="0" applyAlignment="0" applyProtection="0"/>
    <xf numFmtId="41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20" fillId="64" borderId="0" applyNumberFormat="0" applyBorder="0" applyAlignment="0" applyProtection="0"/>
    <xf numFmtId="43" fontId="10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1" fontId="118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0" fontId="33" fillId="34" borderId="72" applyNumberFormat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20" fillId="70" borderId="0" applyNumberFormat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10" fontId="33" fillId="34" borderId="72" applyNumberFormat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20" fillId="70" borderId="0" applyNumberFormat="0" applyBorder="0" applyAlignment="0" applyProtection="0"/>
    <xf numFmtId="43" fontId="4" fillId="0" borderId="0" applyFont="0" applyFill="0" applyBorder="0" applyAlignment="0" applyProtection="0"/>
    <xf numFmtId="0" fontId="10" fillId="0" borderId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21" fillId="71" borderId="0" applyNumberFormat="0" applyBorder="0" applyAlignment="0" applyProtection="0"/>
    <xf numFmtId="0" fontId="21" fillId="75" borderId="0" applyNumberFormat="0" applyBorder="0" applyAlignment="0" applyProtection="0"/>
    <xf numFmtId="0" fontId="26" fillId="32" borderId="80" applyNumberFormat="0" applyAlignment="0" applyProtection="0"/>
    <xf numFmtId="0" fontId="4" fillId="76" borderId="0" applyNumberFormat="0" applyBorder="0" applyAlignment="0" applyProtection="0"/>
    <xf numFmtId="37" fontId="150" fillId="0" borderId="0"/>
    <xf numFmtId="41" fontId="20" fillId="0" borderId="0" applyFont="0" applyFill="0" applyBorder="0" applyAlignment="0" applyProtection="0"/>
    <xf numFmtId="0" fontId="20" fillId="77" borderId="0" applyNumberFormat="0" applyBorder="0" applyAlignment="0" applyProtection="0"/>
    <xf numFmtId="41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20" fillId="61" borderId="0" applyNumberFormat="0" applyBorder="0" applyAlignment="0" applyProtection="0"/>
    <xf numFmtId="0" fontId="20" fillId="61" borderId="0" applyNumberFormat="0" applyBorder="0" applyAlignment="0" applyProtection="0"/>
    <xf numFmtId="0" fontId="4" fillId="66" borderId="0" applyNumberFormat="0" applyBorder="0" applyAlignment="0" applyProtection="0"/>
    <xf numFmtId="41" fontId="10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20" fillId="67" borderId="0" applyNumberFormat="0" applyBorder="0" applyAlignment="0" applyProtection="0"/>
    <xf numFmtId="43" fontId="10" fillId="0" borderId="0" applyFont="0" applyFill="0" applyBorder="0" applyAlignment="0" applyProtection="0"/>
    <xf numFmtId="41" fontId="118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20" fillId="73" borderId="0" applyNumberFormat="0" applyBorder="0" applyAlignment="0" applyProtection="0"/>
    <xf numFmtId="43" fontId="10" fillId="0" borderId="0" applyFont="0" applyFill="0" applyBorder="0" applyAlignment="0" applyProtection="0"/>
    <xf numFmtId="0" fontId="20" fillId="73" borderId="0" applyNumberFormat="0" applyBorder="0" applyAlignment="0" applyProtection="0"/>
    <xf numFmtId="0" fontId="20" fillId="78" borderId="0" applyNumberFormat="0" applyBorder="0" applyAlignment="0" applyProtection="0"/>
    <xf numFmtId="43" fontId="20" fillId="0" borderId="0" applyFont="0" applyFill="0" applyBorder="0" applyAlignment="0" applyProtection="0"/>
    <xf numFmtId="0" fontId="20" fillId="68" borderId="0" applyNumberFormat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0" fillId="78" borderId="0" applyNumberFormat="0" applyBorder="0" applyAlignment="0" applyProtection="0"/>
    <xf numFmtId="0" fontId="4" fillId="0" borderId="0"/>
    <xf numFmtId="0" fontId="20" fillId="79" borderId="0" applyNumberFormat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21" fillId="58" borderId="0" applyNumberFormat="0" applyBorder="0" applyAlignment="0" applyProtection="0"/>
    <xf numFmtId="43" fontId="115" fillId="0" borderId="0" applyFont="0" applyFill="0" applyBorder="0" applyAlignment="0" applyProtection="0"/>
    <xf numFmtId="0" fontId="21" fillId="64" borderId="0" applyNumberFormat="0" applyBorder="0" applyAlignment="0" applyProtection="0"/>
    <xf numFmtId="0" fontId="21" fillId="64" borderId="0" applyNumberFormat="0" applyBorder="0" applyAlignment="0" applyProtection="0"/>
    <xf numFmtId="41" fontId="10" fillId="0" borderId="0" applyFont="0" applyFill="0" applyBorder="0" applyAlignment="0" applyProtection="0"/>
    <xf numFmtId="0" fontId="15" fillId="80" borderId="0" applyNumberFormat="0" applyBorder="0" applyAlignment="0" applyProtection="0"/>
    <xf numFmtId="0" fontId="21" fillId="71" borderId="0" applyNumberFormat="0" applyBorder="0" applyAlignment="0" applyProtection="0"/>
    <xf numFmtId="0" fontId="21" fillId="62" borderId="0" applyNumberFormat="0" applyBorder="0" applyAlignment="0" applyProtection="0"/>
    <xf numFmtId="0" fontId="21" fillId="65" borderId="0" applyNumberFormat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1" fillId="65" borderId="0" applyNumberFormat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5" fillId="81" borderId="0" applyNumberFormat="0" applyBorder="0" applyAlignment="0" applyProtection="0"/>
    <xf numFmtId="0" fontId="21" fillId="60" borderId="0" applyNumberFormat="0" applyBorder="0" applyAlignment="0" applyProtection="0"/>
    <xf numFmtId="185" fontId="36" fillId="0" borderId="72"/>
    <xf numFmtId="0" fontId="21" fillId="75" borderId="0" applyNumberFormat="0" applyBorder="0" applyAlignment="0" applyProtection="0"/>
    <xf numFmtId="0" fontId="15" fillId="57" borderId="0" applyNumberFormat="0" applyBorder="0" applyAlignment="0" applyProtection="0"/>
    <xf numFmtId="43" fontId="20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21" fillId="63" borderId="0" applyNumberFormat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21" fillId="71" borderId="0" applyNumberFormat="0" applyBorder="0" applyAlignment="0" applyProtection="0"/>
    <xf numFmtId="0" fontId="21" fillId="72" borderId="0" applyNumberFormat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55" fillId="0" borderId="0" applyNumberFormat="0" applyAlignment="0">
      <alignment horizontal="left"/>
    </xf>
    <xf numFmtId="0" fontId="15" fillId="82" borderId="0" applyNumberFormat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42" fillId="0" borderId="73">
      <alignment horizontal="left" vertical="center"/>
    </xf>
    <xf numFmtId="0" fontId="21" fillId="62" borderId="0" applyNumberFormat="0" applyBorder="0" applyAlignment="0" applyProtection="0"/>
    <xf numFmtId="0" fontId="144" fillId="0" borderId="0"/>
    <xf numFmtId="43" fontId="10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4" fillId="0" borderId="0"/>
    <xf numFmtId="0" fontId="12" fillId="56" borderId="0" applyNumberFormat="0" applyBorder="0" applyAlignment="0" applyProtection="0"/>
    <xf numFmtId="0" fontId="92" fillId="61" borderId="0" applyNumberFormat="0" applyBorder="0" applyAlignment="0" applyProtection="0"/>
    <xf numFmtId="43" fontId="10" fillId="0" borderId="0" applyFont="0" applyFill="0" applyBorder="0" applyAlignment="0" applyProtection="0"/>
    <xf numFmtId="0" fontId="53" fillId="69" borderId="0" applyNumberFormat="0" applyBorder="0" applyAlignment="0" applyProtection="0"/>
    <xf numFmtId="0" fontId="4" fillId="0" borderId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236" fontId="147" fillId="0" borderId="0" applyFill="0" applyBorder="0" applyAlignment="0"/>
    <xf numFmtId="0" fontId="49" fillId="73" borderId="80" applyNumberFormat="0" applyAlignment="0" applyProtection="0"/>
    <xf numFmtId="41" fontId="20" fillId="0" borderId="0" applyFont="0" applyFill="0" applyBorder="0" applyAlignment="0" applyProtection="0"/>
    <xf numFmtId="238" fontId="147" fillId="0" borderId="0" applyFill="0" applyBorder="0" applyAlignment="0"/>
    <xf numFmtId="43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3" fontId="147" fillId="0" borderId="0" applyFill="0" applyBorder="0" applyAlignment="0"/>
    <xf numFmtId="43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4" fillId="0" borderId="0"/>
    <xf numFmtId="41" fontId="58" fillId="0" borderId="0" applyFont="0" applyFill="0" applyBorder="0" applyAlignment="0" applyProtection="0"/>
    <xf numFmtId="41" fontId="10" fillId="0" borderId="0" applyFont="0" applyFill="0" applyBorder="0" applyAlignment="0" applyProtection="0"/>
    <xf numFmtId="184" fontId="27" fillId="0" borderId="0" applyFill="0" applyBorder="0"/>
    <xf numFmtId="0" fontId="144" fillId="0" borderId="0"/>
    <xf numFmtId="41" fontId="10" fillId="0" borderId="0" applyFont="0" applyFill="0" applyBorder="0" applyAlignment="0" applyProtection="0"/>
    <xf numFmtId="0" fontId="28" fillId="83" borderId="15" applyNumberFormat="0" applyAlignment="0" applyProtection="0"/>
    <xf numFmtId="0" fontId="144" fillId="0" borderId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42" fillId="0" borderId="73">
      <alignment horizontal="left" vertical="center"/>
    </xf>
    <xf numFmtId="0" fontId="144" fillId="0" borderId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71" fillId="0" borderId="81"/>
    <xf numFmtId="41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185" fontId="36" fillId="0" borderId="72"/>
    <xf numFmtId="185" fontId="36" fillId="0" borderId="72"/>
    <xf numFmtId="185" fontId="36" fillId="0" borderId="72"/>
    <xf numFmtId="185" fontId="36" fillId="0" borderId="72"/>
    <xf numFmtId="43" fontId="20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66" fillId="0" borderId="82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10" fontId="33" fillId="34" borderId="72" applyNumberFormat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176" fontId="4" fillId="0" borderId="0"/>
    <xf numFmtId="43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4" fillId="0" borderId="0"/>
    <xf numFmtId="41" fontId="1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15" fillId="0" borderId="0" applyFont="0" applyFill="0" applyBorder="0" applyAlignment="0" applyProtection="0"/>
    <xf numFmtId="0" fontId="144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237" fontId="10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4" fillId="0" borderId="0"/>
    <xf numFmtId="41" fontId="20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198" fontId="147" fillId="0" borderId="0" applyFill="0" applyBorder="0" applyAlignment="0"/>
    <xf numFmtId="41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1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176" fontId="4" fillId="0" borderId="0"/>
    <xf numFmtId="40" fontId="158" fillId="0" borderId="0" applyBorder="0">
      <alignment horizontal="right"/>
    </xf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15" fillId="0" borderId="0" applyFont="0" applyFill="0" applyBorder="0" applyAlignment="0" applyProtection="0"/>
    <xf numFmtId="0" fontId="10" fillId="0" borderId="0"/>
    <xf numFmtId="0" fontId="4" fillId="0" borderId="0"/>
    <xf numFmtId="0" fontId="4" fillId="0" borderId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1" fontId="10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" fillId="0" borderId="0"/>
    <xf numFmtId="0" fontId="4" fillId="0" borderId="0"/>
    <xf numFmtId="41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1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1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4" fillId="0" borderId="0" applyFont="0" applyFill="0" applyBorder="0" applyAlignment="0" applyProtection="0"/>
    <xf numFmtId="176" fontId="4" fillId="0" borderId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4" fillId="0" borderId="0" applyFont="0" applyFill="0" applyBorder="0" applyAlignment="0" applyProtection="0"/>
    <xf numFmtId="185" fontId="36" fillId="0" borderId="72"/>
    <xf numFmtId="185" fontId="36" fillId="0" borderId="72"/>
    <xf numFmtId="185" fontId="36" fillId="0" borderId="72"/>
    <xf numFmtId="41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185" fontId="36" fillId="0" borderId="72"/>
    <xf numFmtId="185" fontId="36" fillId="0" borderId="72"/>
    <xf numFmtId="41" fontId="58" fillId="0" borderId="0" applyFont="0" applyFill="0" applyBorder="0" applyAlignment="0" applyProtection="0"/>
    <xf numFmtId="41" fontId="58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41" fontId="115" fillId="0" borderId="0" applyFont="0" applyFill="0" applyBorder="0" applyAlignment="0" applyProtection="0"/>
    <xf numFmtId="0" fontId="4" fillId="0" borderId="0"/>
    <xf numFmtId="41" fontId="115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10" fillId="0" borderId="0" applyFont="0" applyFill="0" applyBorder="0" applyAlignment="0" applyProtection="0"/>
    <xf numFmtId="176" fontId="4" fillId="0" borderId="0"/>
    <xf numFmtId="43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144" fillId="0" borderId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0" fontId="146" fillId="0" borderId="72">
      <alignment horizontal="center"/>
    </xf>
    <xf numFmtId="41" fontId="10" fillId="0" borderId="0" applyFont="0" applyFill="0" applyBorder="0" applyAlignment="0" applyProtection="0"/>
    <xf numFmtId="41" fontId="58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10" fillId="0" borderId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4" fillId="0" borderId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0" fillId="0" borderId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4" fillId="0" borderId="0"/>
    <xf numFmtId="41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0" fontId="4" fillId="0" borderId="0"/>
    <xf numFmtId="0" fontId="4" fillId="0" borderId="0"/>
    <xf numFmtId="43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3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117" fillId="0" borderId="0" applyFont="0" applyFill="0" applyBorder="0" applyAlignment="0" applyProtection="0"/>
    <xf numFmtId="0" fontId="4" fillId="0" borderId="0"/>
    <xf numFmtId="0" fontId="42" fillId="0" borderId="73">
      <alignment horizontal="left" vertical="center"/>
    </xf>
    <xf numFmtId="0" fontId="4" fillId="0" borderId="0"/>
    <xf numFmtId="43" fontId="10" fillId="0" borderId="0" applyFont="0" applyFill="0" applyBorder="0" applyAlignment="0" applyProtection="0"/>
    <xf numFmtId="0" fontId="10" fillId="0" borderId="0"/>
    <xf numFmtId="43" fontId="117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" fillId="0" borderId="0"/>
    <xf numFmtId="185" fontId="36" fillId="0" borderId="72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87" fontId="161" fillId="0" borderId="0">
      <protection locked="0"/>
    </xf>
    <xf numFmtId="43" fontId="10" fillId="0" borderId="0" applyFont="0" applyFill="0" applyBorder="0" applyAlignment="0" applyProtection="0"/>
    <xf numFmtId="0" fontId="154" fillId="0" borderId="0"/>
    <xf numFmtId="43" fontId="10" fillId="0" borderId="0" applyFont="0" applyFill="0" applyBorder="0" applyAlignment="0" applyProtection="0"/>
    <xf numFmtId="220" fontId="4" fillId="0" borderId="0"/>
    <xf numFmtId="43" fontId="1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35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0" fillId="0" borderId="0"/>
    <xf numFmtId="43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54" fillId="0" borderId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0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0" fontId="33" fillId="34" borderId="72" applyNumberFormat="0" applyBorder="0" applyAlignment="0" applyProtection="0"/>
    <xf numFmtId="0" fontId="40" fillId="59" borderId="0" applyNumberFormat="0" applyBorder="0" applyAlignment="0" applyProtection="0"/>
    <xf numFmtId="43" fontId="2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22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15" fillId="0" borderId="0" applyFont="0" applyFill="0" applyBorder="0" applyAlignment="0" applyProtection="0"/>
    <xf numFmtId="43" fontId="4" fillId="0" borderId="0" applyFont="0" applyFill="0" applyBorder="0" applyAlignment="0" applyProtection="0"/>
    <xf numFmtId="187" fontId="162" fillId="0" borderId="0">
      <protection locked="0"/>
    </xf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14" fontId="159" fillId="0" borderId="0" applyNumberFormat="0" applyFill="0" applyBorder="0" applyAlignment="0" applyProtection="0">
      <alignment horizontal="left"/>
    </xf>
    <xf numFmtId="43" fontId="4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154" fillId="0" borderId="0" applyNumberFormat="0" applyFont="0" applyFill="0" applyBorder="0" applyAlignment="0" applyProtection="0">
      <alignment horizontal="left"/>
    </xf>
    <xf numFmtId="0" fontId="58" fillId="0" borderId="0">
      <alignment horizontal="justify" vertical="top" wrapText="1"/>
    </xf>
    <xf numFmtId="0" fontId="20" fillId="0" borderId="0"/>
    <xf numFmtId="43" fontId="5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20" fillId="0" borderId="0" applyFont="0" applyFill="0" applyBorder="0" applyAlignment="0" applyProtection="0"/>
    <xf numFmtId="0" fontId="4" fillId="0" borderId="0"/>
    <xf numFmtId="0" fontId="42" fillId="0" borderId="73">
      <alignment horizontal="left" vertical="center"/>
    </xf>
    <xf numFmtId="0" fontId="156" fillId="0" borderId="0" applyNumberFormat="0" applyAlignment="0">
      <alignment horizontal="left"/>
    </xf>
    <xf numFmtId="0" fontId="145" fillId="0" borderId="0" applyNumberFormat="0" applyAlignment="0"/>
    <xf numFmtId="0" fontId="144" fillId="0" borderId="0"/>
    <xf numFmtId="185" fontId="36" fillId="0" borderId="72"/>
    <xf numFmtId="185" fontId="36" fillId="0" borderId="72"/>
    <xf numFmtId="185" fontId="36" fillId="0" borderId="72"/>
    <xf numFmtId="185" fontId="36" fillId="0" borderId="72"/>
    <xf numFmtId="185" fontId="36" fillId="0" borderId="72"/>
    <xf numFmtId="185" fontId="36" fillId="0" borderId="72"/>
    <xf numFmtId="185" fontId="36" fillId="0" borderId="72"/>
    <xf numFmtId="185" fontId="36" fillId="0" borderId="72"/>
    <xf numFmtId="185" fontId="36" fillId="0" borderId="72"/>
    <xf numFmtId="185" fontId="36" fillId="0" borderId="72"/>
    <xf numFmtId="0" fontId="20" fillId="0" borderId="0" applyFont="0" applyFill="0" applyBorder="0" applyAlignment="0" applyProtection="0"/>
    <xf numFmtId="187" fontId="162" fillId="0" borderId="0">
      <protection locked="0"/>
    </xf>
    <xf numFmtId="0" fontId="145" fillId="0" borderId="0"/>
    <xf numFmtId="0" fontId="145" fillId="0" borderId="83"/>
    <xf numFmtId="0" fontId="145" fillId="0" borderId="83"/>
    <xf numFmtId="0" fontId="163" fillId="86" borderId="0"/>
    <xf numFmtId="0" fontId="20" fillId="0" borderId="0"/>
    <xf numFmtId="0" fontId="157" fillId="0" borderId="84"/>
    <xf numFmtId="0" fontId="42" fillId="0" borderId="73">
      <alignment horizontal="left" vertical="center"/>
    </xf>
    <xf numFmtId="0" fontId="157" fillId="0" borderId="83"/>
    <xf numFmtId="0" fontId="157" fillId="87" borderId="83"/>
    <xf numFmtId="0" fontId="42" fillId="0" borderId="73">
      <alignment horizontal="left" vertical="center"/>
    </xf>
    <xf numFmtId="0" fontId="58" fillId="0" borderId="0"/>
    <xf numFmtId="0" fontId="42" fillId="0" borderId="73">
      <alignment horizontal="left" vertical="center"/>
    </xf>
    <xf numFmtId="0" fontId="42" fillId="0" borderId="73">
      <alignment horizontal="left" vertical="center"/>
    </xf>
    <xf numFmtId="0" fontId="42" fillId="0" borderId="73">
      <alignment horizontal="left" vertical="center"/>
    </xf>
    <xf numFmtId="0" fontId="42" fillId="0" borderId="73">
      <alignment horizontal="left" vertical="center"/>
    </xf>
    <xf numFmtId="187" fontId="161" fillId="0" borderId="0">
      <protection locked="0"/>
    </xf>
    <xf numFmtId="0" fontId="20" fillId="0" borderId="0"/>
    <xf numFmtId="0" fontId="164" fillId="0" borderId="0" applyNumberFormat="0" applyFill="0" applyBorder="0" applyAlignment="0" applyProtection="0">
      <alignment vertical="top"/>
      <protection locked="0"/>
    </xf>
    <xf numFmtId="10" fontId="33" fillId="34" borderId="72" applyNumberFormat="0" applyBorder="0" applyAlignment="0" applyProtection="0"/>
    <xf numFmtId="10" fontId="33" fillId="34" borderId="72" applyNumberFormat="0" applyBorder="0" applyAlignment="0" applyProtection="0"/>
    <xf numFmtId="10" fontId="33" fillId="34" borderId="72" applyNumberFormat="0" applyBorder="0" applyAlignment="0" applyProtection="0"/>
    <xf numFmtId="10" fontId="33" fillId="34" borderId="72" applyNumberFormat="0" applyBorder="0" applyAlignment="0" applyProtection="0"/>
    <xf numFmtId="10" fontId="33" fillId="34" borderId="72" applyNumberFormat="0" applyBorder="0" applyAlignment="0" applyProtection="0"/>
    <xf numFmtId="10" fontId="33" fillId="34" borderId="72" applyNumberFormat="0" applyBorder="0" applyAlignment="0" applyProtection="0"/>
    <xf numFmtId="176" fontId="10" fillId="0" borderId="0"/>
    <xf numFmtId="10" fontId="33" fillId="34" borderId="72" applyNumberFormat="0" applyBorder="0" applyAlignment="0" applyProtection="0"/>
    <xf numFmtId="10" fontId="33" fillId="34" borderId="72" applyNumberFormat="0" applyBorder="0" applyAlignment="0" applyProtection="0"/>
    <xf numFmtId="10" fontId="33" fillId="34" borderId="72" applyNumberFormat="0" applyBorder="0" applyAlignment="0" applyProtection="0"/>
    <xf numFmtId="10" fontId="33" fillId="34" borderId="72" applyNumberFormat="0" applyBorder="0" applyAlignment="0" applyProtection="0"/>
    <xf numFmtId="5" fontId="147" fillId="0" borderId="0"/>
    <xf numFmtId="10" fontId="33" fillId="34" borderId="72" applyNumberFormat="0" applyBorder="0" applyAlignment="0" applyProtection="0"/>
    <xf numFmtId="10" fontId="33" fillId="34" borderId="72" applyNumberFormat="0" applyBorder="0" applyAlignment="0" applyProtection="0"/>
    <xf numFmtId="10" fontId="33" fillId="34" borderId="72" applyNumberFormat="0" applyBorder="0" applyAlignment="0" applyProtection="0"/>
    <xf numFmtId="10" fontId="33" fillId="34" borderId="72" applyNumberFormat="0" applyBorder="0" applyAlignment="0" applyProtection="0"/>
    <xf numFmtId="188" fontId="144" fillId="84" borderId="0"/>
    <xf numFmtId="188" fontId="149" fillId="74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58" fillId="0" borderId="0">
      <alignment horizontal="justify" vertical="top" wrapText="1"/>
    </xf>
    <xf numFmtId="0" fontId="10" fillId="0" borderId="0"/>
    <xf numFmtId="0" fontId="4" fillId="0" borderId="0"/>
    <xf numFmtId="0" fontId="10" fillId="0" borderId="0"/>
    <xf numFmtId="0" fontId="10" fillId="0" borderId="0"/>
    <xf numFmtId="0" fontId="148" fillId="0" borderId="0"/>
    <xf numFmtId="0" fontId="68" fillId="0" borderId="0"/>
    <xf numFmtId="0" fontId="4" fillId="0" borderId="0"/>
    <xf numFmtId="0" fontId="151" fillId="0" borderId="0"/>
    <xf numFmtId="178" fontId="4" fillId="0" borderId="0"/>
    <xf numFmtId="178" fontId="4" fillId="0" borderId="0"/>
    <xf numFmtId="5" fontId="147" fillId="0" borderId="0"/>
    <xf numFmtId="178" fontId="4" fillId="0" borderId="0"/>
    <xf numFmtId="178" fontId="4" fillId="0" borderId="0"/>
    <xf numFmtId="176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178" fontId="4" fillId="0" borderId="0"/>
    <xf numFmtId="0" fontId="4" fillId="0" borderId="0"/>
    <xf numFmtId="0" fontId="118" fillId="0" borderId="0"/>
    <xf numFmtId="0" fontId="4" fillId="0" borderId="0"/>
    <xf numFmtId="0" fontId="151" fillId="0" borderId="0"/>
    <xf numFmtId="0" fontId="58" fillId="0" borderId="0">
      <alignment horizontal="justify" vertical="top" wrapText="1"/>
    </xf>
    <xf numFmtId="0" fontId="4" fillId="0" borderId="0"/>
    <xf numFmtId="0" fontId="151" fillId="0" borderId="0"/>
    <xf numFmtId="176" fontId="4" fillId="0" borderId="0"/>
    <xf numFmtId="0" fontId="10" fillId="0" borderId="0"/>
    <xf numFmtId="0" fontId="10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2" fillId="0" borderId="0"/>
    <xf numFmtId="0" fontId="20" fillId="0" borderId="0"/>
    <xf numFmtId="0" fontId="20" fillId="0" borderId="0"/>
    <xf numFmtId="0" fontId="152" fillId="0" borderId="0"/>
    <xf numFmtId="176" fontId="4" fillId="0" borderId="0"/>
    <xf numFmtId="0" fontId="151" fillId="0" borderId="0"/>
    <xf numFmtId="0" fontId="4" fillId="0" borderId="0"/>
    <xf numFmtId="0" fontId="4" fillId="0" borderId="0"/>
    <xf numFmtId="0" fontId="152" fillId="0" borderId="0"/>
    <xf numFmtId="0" fontId="4" fillId="0" borderId="0"/>
    <xf numFmtId="0" fontId="4" fillId="0" borderId="0"/>
    <xf numFmtId="176" fontId="4" fillId="0" borderId="0"/>
    <xf numFmtId="37" fontId="58" fillId="0" borderId="0"/>
    <xf numFmtId="0" fontId="151" fillId="0" borderId="0"/>
    <xf numFmtId="176" fontId="4" fillId="0" borderId="0"/>
    <xf numFmtId="176" fontId="4" fillId="0" borderId="0"/>
    <xf numFmtId="0" fontId="144" fillId="0" borderId="0"/>
    <xf numFmtId="0" fontId="115" fillId="0" borderId="0"/>
    <xf numFmtId="176" fontId="20" fillId="0" borderId="0"/>
    <xf numFmtId="176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0" fillId="85" borderId="0"/>
    <xf numFmtId="0" fontId="115" fillId="0" borderId="0"/>
    <xf numFmtId="0" fontId="4" fillId="0" borderId="0"/>
    <xf numFmtId="0" fontId="115" fillId="0" borderId="0"/>
    <xf numFmtId="0" fontId="4" fillId="0" borderId="0"/>
    <xf numFmtId="0" fontId="10" fillId="0" borderId="0"/>
    <xf numFmtId="0" fontId="20" fillId="0" borderId="0" applyNumberFormat="0" applyFill="0" applyBorder="0" applyProtection="0"/>
    <xf numFmtId="0" fontId="4" fillId="0" borderId="0"/>
    <xf numFmtId="9" fontId="4" fillId="0" borderId="0" applyFont="0" applyFill="0" applyBorder="0" applyAlignment="0" applyProtection="0"/>
    <xf numFmtId="0" fontId="146" fillId="0" borderId="72">
      <alignment horizontal="center"/>
    </xf>
    <xf numFmtId="0" fontId="4" fillId="0" borderId="0"/>
    <xf numFmtId="0" fontId="144" fillId="0" borderId="0"/>
    <xf numFmtId="0" fontId="4" fillId="0" borderId="0"/>
    <xf numFmtId="0" fontId="4" fillId="0" borderId="0"/>
    <xf numFmtId="0" fontId="4" fillId="0" borderId="0"/>
    <xf numFmtId="0" fontId="144" fillId="0" borderId="0"/>
    <xf numFmtId="0" fontId="4" fillId="0" borderId="0"/>
    <xf numFmtId="0" fontId="144" fillId="34" borderId="68" applyNumberFormat="0" applyFont="0" applyAlignment="0" applyProtection="0"/>
    <xf numFmtId="0" fontId="60" fillId="32" borderId="63" applyNumberFormat="0" applyAlignment="0" applyProtection="0"/>
    <xf numFmtId="183" fontId="147" fillId="0" borderId="0" applyFont="0" applyFill="0" applyBorder="0" applyAlignment="0" applyProtection="0"/>
    <xf numFmtId="6" fontId="147" fillId="0" borderId="0" applyFont="0" applyFill="0" applyBorder="0" applyAlignment="0" applyProtection="0"/>
    <xf numFmtId="6" fontId="14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115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65" fillId="0" borderId="0" applyNumberFormat="0" applyFill="0" applyBorder="0" applyAlignment="0" applyProtection="0"/>
    <xf numFmtId="9" fontId="3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154" fillId="0" borderId="27" applyNumberFormat="0" applyBorder="0"/>
    <xf numFmtId="0" fontId="145" fillId="0" borderId="0"/>
    <xf numFmtId="0" fontId="66" fillId="0" borderId="82"/>
    <xf numFmtId="0" fontId="66" fillId="0" borderId="82"/>
    <xf numFmtId="0" fontId="66" fillId="0" borderId="82"/>
    <xf numFmtId="0" fontId="66" fillId="0" borderId="82"/>
    <xf numFmtId="0" fontId="66" fillId="0" borderId="82"/>
    <xf numFmtId="0" fontId="66" fillId="0" borderId="82"/>
    <xf numFmtId="0" fontId="66" fillId="0" borderId="82"/>
    <xf numFmtId="0" fontId="66" fillId="0" borderId="82"/>
    <xf numFmtId="0" fontId="66" fillId="0" borderId="82"/>
    <xf numFmtId="0" fontId="160" fillId="0" borderId="0"/>
    <xf numFmtId="0" fontId="146" fillId="0" borderId="72">
      <alignment horizontal="center"/>
    </xf>
    <xf numFmtId="0" fontId="146" fillId="0" borderId="72">
      <alignment horizontal="center"/>
    </xf>
    <xf numFmtId="0" fontId="146" fillId="0" borderId="72">
      <alignment horizontal="center"/>
    </xf>
    <xf numFmtId="0" fontId="146" fillId="0" borderId="72">
      <alignment horizontal="center"/>
    </xf>
    <xf numFmtId="0" fontId="146" fillId="0" borderId="72">
      <alignment horizontal="center"/>
    </xf>
    <xf numFmtId="0" fontId="146" fillId="0" borderId="72">
      <alignment horizontal="center"/>
    </xf>
    <xf numFmtId="0" fontId="146" fillId="0" borderId="72">
      <alignment horizontal="center"/>
    </xf>
    <xf numFmtId="0" fontId="146" fillId="0" borderId="72">
      <alignment horizontal="center"/>
    </xf>
    <xf numFmtId="0" fontId="146" fillId="0" borderId="72">
      <alignment horizontal="center"/>
    </xf>
    <xf numFmtId="0" fontId="146" fillId="0" borderId="72">
      <alignment horizontal="center"/>
    </xf>
    <xf numFmtId="0" fontId="146" fillId="0" borderId="72">
      <alignment horizontal="center"/>
    </xf>
    <xf numFmtId="0" fontId="146" fillId="0" borderId="72">
      <alignment horizontal="center"/>
    </xf>
    <xf numFmtId="0" fontId="146" fillId="0" borderId="72">
      <alignment horizontal="center"/>
    </xf>
    <xf numFmtId="0" fontId="146" fillId="0" borderId="72">
      <alignment horizontal="center"/>
    </xf>
    <xf numFmtId="0" fontId="146" fillId="0" borderId="72">
      <alignment horizontal="center"/>
    </xf>
    <xf numFmtId="0" fontId="146" fillId="0" borderId="72">
      <alignment horizontal="center"/>
    </xf>
    <xf numFmtId="0" fontId="146" fillId="0" borderId="72">
      <alignment horizontal="center"/>
    </xf>
    <xf numFmtId="0" fontId="146" fillId="0" borderId="72">
      <alignment horizontal="center"/>
    </xf>
    <xf numFmtId="0" fontId="146" fillId="0" borderId="72">
      <alignment horizontal="center"/>
    </xf>
    <xf numFmtId="0" fontId="146" fillId="0" borderId="72">
      <alignment horizontal="center"/>
    </xf>
    <xf numFmtId="0" fontId="146" fillId="0" borderId="0">
      <alignment horizontal="center" vertical="center"/>
    </xf>
    <xf numFmtId="0" fontId="153" fillId="0" borderId="0" applyNumberFormat="0" applyFill="0">
      <alignment horizontal="left" vertical="center"/>
    </xf>
    <xf numFmtId="41" fontId="10" fillId="0" borderId="0" applyFont="0" applyFill="0" applyBorder="0" applyAlignment="0" applyProtection="0"/>
    <xf numFmtId="170" fontId="4" fillId="0" borderId="0" applyFont="0" applyFill="0" applyBorder="0" applyAlignment="0" applyProtection="0"/>
    <xf numFmtId="0" fontId="171" fillId="0" borderId="0"/>
    <xf numFmtId="168" fontId="4" fillId="0" borderId="0" applyFont="0" applyFill="0" applyBorder="0" applyAlignment="0" applyProtection="0">
      <alignment vertical="center"/>
    </xf>
    <xf numFmtId="168" fontId="4" fillId="0" borderId="0" applyFont="0" applyFill="0" applyBorder="0" applyAlignment="0" applyProtection="0">
      <alignment vertical="center"/>
    </xf>
    <xf numFmtId="168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8" fontId="4" fillId="0" borderId="0" applyFont="0" applyFill="0" applyBorder="0" applyAlignment="0" applyProtection="0">
      <alignment vertical="center"/>
    </xf>
    <xf numFmtId="0" fontId="179" fillId="0" borderId="0"/>
    <xf numFmtId="41" fontId="179" fillId="0" borderId="0" applyFont="0" applyFill="0" applyBorder="0" applyAlignment="0" applyProtection="0"/>
  </cellStyleXfs>
  <cellXfs count="781">
    <xf numFmtId="0" fontId="0" fillId="0" borderId="0" xfId="0"/>
    <xf numFmtId="176" fontId="8" fillId="0" borderId="0" xfId="3" applyFont="1" applyAlignment="1">
      <alignment vertical="center"/>
    </xf>
    <xf numFmtId="0" fontId="8" fillId="4" borderId="0" xfId="10" applyNumberFormat="1" applyFont="1" applyFill="1" applyAlignment="1">
      <alignment horizontal="center" vertical="center"/>
    </xf>
    <xf numFmtId="0" fontId="7" fillId="4" borderId="0" xfId="10" applyNumberFormat="1" applyFont="1" applyFill="1" applyAlignment="1">
      <alignment vertical="center"/>
    </xf>
    <xf numFmtId="37" fontId="11" fillId="4" borderId="0" xfId="1" applyNumberFormat="1" applyFont="1" applyFill="1" applyAlignment="1">
      <alignment horizontal="center" vertical="center"/>
    </xf>
    <xf numFmtId="176" fontId="8" fillId="4" borderId="0" xfId="10" applyFont="1" applyFill="1" applyAlignment="1">
      <alignment vertical="center"/>
    </xf>
    <xf numFmtId="0" fontId="16" fillId="0" borderId="0" xfId="3" applyNumberFormat="1" applyFont="1" applyAlignment="1">
      <alignment horizontal="left" vertical="center"/>
    </xf>
    <xf numFmtId="176" fontId="8" fillId="0" borderId="0" xfId="3" applyFont="1" applyAlignment="1">
      <alignment horizontal="center" vertical="center"/>
    </xf>
    <xf numFmtId="0" fontId="17" fillId="0" borderId="0" xfId="3" applyNumberFormat="1" applyFont="1" applyAlignment="1">
      <alignment vertical="center"/>
    </xf>
    <xf numFmtId="176" fontId="18" fillId="12" borderId="0" xfId="3" applyFont="1" applyFill="1" applyAlignment="1">
      <alignment horizontal="center" vertical="center"/>
    </xf>
    <xf numFmtId="176" fontId="19" fillId="0" borderId="0" xfId="3" applyFont="1" applyAlignment="1">
      <alignment horizontal="left" vertical="center"/>
    </xf>
    <xf numFmtId="176" fontId="7" fillId="0" borderId="0" xfId="3" applyFont="1" applyAlignment="1">
      <alignment horizontal="center" vertical="center" wrapText="1"/>
    </xf>
    <xf numFmtId="176" fontId="7" fillId="0" borderId="0" xfId="3" applyFont="1" applyAlignment="1">
      <alignment vertical="center"/>
    </xf>
    <xf numFmtId="176" fontId="8" fillId="0" borderId="0" xfId="11" applyNumberFormat="1" applyFont="1" applyAlignment="1">
      <alignment vertical="center"/>
    </xf>
    <xf numFmtId="176" fontId="7" fillId="0" borderId="0" xfId="11" applyNumberFormat="1" applyFont="1" applyAlignment="1">
      <alignment horizontal="center" vertical="center" wrapText="1"/>
    </xf>
    <xf numFmtId="176" fontId="7" fillId="0" borderId="0" xfId="11" applyNumberFormat="1" applyFont="1" applyAlignment="1">
      <alignment vertical="center"/>
    </xf>
    <xf numFmtId="0" fontId="4" fillId="0" borderId="0" xfId="3" applyNumberFormat="1" applyFont="1" applyAlignment="1">
      <alignment vertical="center"/>
    </xf>
    <xf numFmtId="0" fontId="5" fillId="0" borderId="0" xfId="12" applyAlignment="1">
      <alignment horizontal="left" vertical="top"/>
    </xf>
    <xf numFmtId="0" fontId="5" fillId="0" borderId="0" xfId="12"/>
    <xf numFmtId="0" fontId="5" fillId="0" borderId="0" xfId="12" applyAlignment="1">
      <alignment vertical="center"/>
    </xf>
    <xf numFmtId="2" fontId="5" fillId="0" borderId="0" xfId="12" applyNumberFormat="1"/>
    <xf numFmtId="0" fontId="14" fillId="0" borderId="0" xfId="0" applyFont="1"/>
    <xf numFmtId="168" fontId="8" fillId="0" borderId="0" xfId="1" applyFont="1" applyFill="1" applyAlignment="1">
      <alignment vertical="center"/>
    </xf>
    <xf numFmtId="176" fontId="8" fillId="0" borderId="0" xfId="792" applyNumberFormat="1" applyFont="1" applyAlignment="1">
      <alignment vertical="center"/>
    </xf>
    <xf numFmtId="176" fontId="8" fillId="0" borderId="0" xfId="792" applyNumberFormat="1" applyFont="1" applyAlignment="1">
      <alignment horizontal="center" vertical="center"/>
    </xf>
    <xf numFmtId="176" fontId="85" fillId="0" borderId="0" xfId="792" applyNumberFormat="1" applyFont="1" applyAlignment="1">
      <alignment horizontal="center" vertical="center"/>
    </xf>
    <xf numFmtId="176" fontId="85" fillId="0" borderId="0" xfId="792" applyNumberFormat="1" applyFont="1" applyAlignment="1">
      <alignment vertical="center"/>
    </xf>
    <xf numFmtId="168" fontId="8" fillId="0" borderId="0" xfId="1" applyFont="1" applyAlignment="1">
      <alignment horizontal="center" vertical="center"/>
    </xf>
    <xf numFmtId="176" fontId="8" fillId="0" borderId="0" xfId="1051" applyNumberFormat="1" applyFont="1" applyAlignment="1">
      <alignment horizontal="center" vertical="center"/>
    </xf>
    <xf numFmtId="176" fontId="87" fillId="0" borderId="0" xfId="1051" applyNumberFormat="1" applyFont="1" applyAlignment="1">
      <alignment horizontal="left" vertical="center"/>
    </xf>
    <xf numFmtId="176" fontId="8" fillId="0" borderId="0" xfId="1051" applyNumberFormat="1" applyFont="1" applyAlignment="1">
      <alignment vertical="center"/>
    </xf>
    <xf numFmtId="176" fontId="86" fillId="0" borderId="0" xfId="1051" applyNumberFormat="1" applyFont="1" applyAlignment="1">
      <alignment vertical="center"/>
    </xf>
    <xf numFmtId="176" fontId="6" fillId="0" borderId="0" xfId="1051" applyNumberFormat="1" applyFont="1" applyAlignment="1">
      <alignment horizontal="center" vertical="center" wrapText="1"/>
    </xf>
    <xf numFmtId="176" fontId="7" fillId="0" borderId="0" xfId="1051" applyNumberFormat="1" applyFont="1" applyAlignment="1">
      <alignment horizontal="center" vertical="center" wrapText="1"/>
    </xf>
    <xf numFmtId="176" fontId="6" fillId="0" borderId="0" xfId="1051" applyNumberFormat="1" applyFont="1" applyAlignment="1">
      <alignment vertical="center"/>
    </xf>
    <xf numFmtId="176" fontId="7" fillId="0" borderId="0" xfId="1051" applyNumberFormat="1" applyFont="1" applyAlignment="1">
      <alignment vertical="center"/>
    </xf>
    <xf numFmtId="168" fontId="86" fillId="0" borderId="0" xfId="1" applyFont="1" applyFill="1" applyAlignment="1">
      <alignment vertical="center"/>
    </xf>
    <xf numFmtId="0" fontId="8" fillId="0" borderId="0" xfId="1051" applyNumberFormat="1" applyFont="1" applyAlignment="1">
      <alignment horizontal="center" vertical="center"/>
    </xf>
    <xf numFmtId="176" fontId="8" fillId="0" borderId="0" xfId="1056" applyNumberFormat="1" applyFont="1" applyAlignment="1">
      <alignment horizontal="center" vertical="center"/>
    </xf>
    <xf numFmtId="176" fontId="87" fillId="0" borderId="0" xfId="1056" applyNumberFormat="1" applyFont="1" applyAlignment="1">
      <alignment horizontal="left" vertical="center"/>
    </xf>
    <xf numFmtId="176" fontId="8" fillId="0" borderId="0" xfId="1056" applyNumberFormat="1" applyFont="1" applyAlignment="1">
      <alignment vertical="center"/>
    </xf>
    <xf numFmtId="0" fontId="14" fillId="4" borderId="11" xfId="0" applyFont="1" applyFill="1" applyBorder="1" applyAlignment="1">
      <alignment horizontal="center" vertical="center"/>
    </xf>
    <xf numFmtId="176" fontId="19" fillId="0" borderId="0" xfId="1056" applyNumberFormat="1" applyFont="1" applyAlignment="1">
      <alignment horizontal="left" vertical="center"/>
    </xf>
    <xf numFmtId="0" fontId="8" fillId="0" borderId="0" xfId="1034" applyNumberFormat="1" applyFont="1" applyAlignment="1">
      <alignment vertical="center"/>
    </xf>
    <xf numFmtId="176" fontId="85" fillId="0" borderId="0" xfId="1005" applyFont="1" applyAlignment="1">
      <alignment vertical="center"/>
    </xf>
    <xf numFmtId="0" fontId="1" fillId="0" borderId="0" xfId="1034" applyNumberFormat="1" applyAlignment="1">
      <alignment vertical="center"/>
    </xf>
    <xf numFmtId="0" fontId="4" fillId="0" borderId="0" xfId="1034" applyNumberFormat="1" applyFont="1" applyAlignment="1">
      <alignment vertical="center"/>
    </xf>
    <xf numFmtId="0" fontId="102" fillId="3" borderId="2" xfId="2329" applyNumberFormat="1" applyFont="1" applyFill="1" applyBorder="1" applyAlignment="1">
      <alignment horizontal="center" vertical="center"/>
    </xf>
    <xf numFmtId="0" fontId="102" fillId="3" borderId="12" xfId="2087" applyNumberFormat="1" applyFont="1" applyFill="1" applyBorder="1" applyAlignment="1">
      <alignment horizontal="left" vertical="center"/>
    </xf>
    <xf numFmtId="0" fontId="102" fillId="3" borderId="10" xfId="2087" applyNumberFormat="1" applyFont="1" applyFill="1" applyBorder="1" applyAlignment="1">
      <alignment horizontal="left" vertical="center"/>
    </xf>
    <xf numFmtId="0" fontId="102" fillId="3" borderId="13" xfId="2087" applyNumberFormat="1" applyFont="1" applyFill="1" applyBorder="1" applyAlignment="1">
      <alignment horizontal="left" vertical="center"/>
    </xf>
    <xf numFmtId="0" fontId="103" fillId="0" borderId="3" xfId="2329" applyNumberFormat="1" applyFont="1" applyBorder="1" applyAlignment="1">
      <alignment horizontal="center" vertical="center"/>
    </xf>
    <xf numFmtId="0" fontId="103" fillId="0" borderId="4" xfId="2329" applyNumberFormat="1" applyFont="1" applyBorder="1" applyAlignment="1">
      <alignment horizontal="left" vertical="center" wrapText="1"/>
    </xf>
    <xf numFmtId="0" fontId="103" fillId="0" borderId="4" xfId="2329" applyNumberFormat="1" applyFont="1" applyBorder="1" applyAlignment="1">
      <alignment horizontal="center" vertical="center" wrapText="1"/>
    </xf>
    <xf numFmtId="0" fontId="102" fillId="3" borderId="3" xfId="2329" applyNumberFormat="1" applyFont="1" applyFill="1" applyBorder="1" applyAlignment="1">
      <alignment horizontal="center" vertical="center"/>
    </xf>
    <xf numFmtId="0" fontId="102" fillId="3" borderId="4" xfId="2087" applyNumberFormat="1" applyFont="1" applyFill="1" applyBorder="1" applyAlignment="1">
      <alignment horizontal="left" vertical="center"/>
    </xf>
    <xf numFmtId="0" fontId="102" fillId="3" borderId="4" xfId="2329" applyNumberFormat="1" applyFont="1" applyFill="1" applyBorder="1" applyAlignment="1">
      <alignment horizontal="left" vertical="center" wrapText="1"/>
    </xf>
    <xf numFmtId="0" fontId="102" fillId="3" borderId="4" xfId="2329" applyNumberFormat="1" applyFont="1" applyFill="1" applyBorder="1" applyAlignment="1">
      <alignment horizontal="center" vertical="center" wrapText="1"/>
    </xf>
    <xf numFmtId="0" fontId="102" fillId="3" borderId="6" xfId="2329" applyNumberFormat="1" applyFont="1" applyFill="1" applyBorder="1" applyAlignment="1">
      <alignment horizontal="center" vertical="center"/>
    </xf>
    <xf numFmtId="0" fontId="102" fillId="3" borderId="7" xfId="2329" applyNumberFormat="1" applyFont="1" applyFill="1" applyBorder="1" applyAlignment="1">
      <alignment horizontal="left" vertical="center" wrapText="1"/>
    </xf>
    <xf numFmtId="0" fontId="102" fillId="3" borderId="7" xfId="2329" applyNumberFormat="1" applyFont="1" applyFill="1" applyBorder="1" applyAlignment="1">
      <alignment horizontal="center" vertical="center" wrapText="1"/>
    </xf>
    <xf numFmtId="0" fontId="103" fillId="0" borderId="4" xfId="2329" applyNumberFormat="1" applyFont="1" applyBorder="1" applyAlignment="1">
      <alignment horizontal="center" vertical="center"/>
    </xf>
    <xf numFmtId="0" fontId="102" fillId="3" borderId="43" xfId="2087" applyNumberFormat="1" applyFont="1" applyFill="1" applyBorder="1" applyAlignment="1">
      <alignment horizontal="center" vertical="center"/>
    </xf>
    <xf numFmtId="176" fontId="105" fillId="0" borderId="0" xfId="792" applyNumberFormat="1" applyFont="1" applyAlignment="1">
      <alignment horizontal="left" vertical="center"/>
    </xf>
    <xf numFmtId="0" fontId="0" fillId="0" borderId="0" xfId="792" applyNumberFormat="1" applyFont="1" applyAlignment="1">
      <alignment vertical="center"/>
    </xf>
    <xf numFmtId="0" fontId="106" fillId="3" borderId="2" xfId="2329" applyNumberFormat="1" applyFont="1" applyFill="1" applyBorder="1" applyAlignment="1">
      <alignment horizontal="center" vertical="center"/>
    </xf>
    <xf numFmtId="0" fontId="106" fillId="3" borderId="12" xfId="2087" applyNumberFormat="1" applyFont="1" applyFill="1" applyBorder="1" applyAlignment="1">
      <alignment horizontal="left" vertical="center"/>
    </xf>
    <xf numFmtId="0" fontId="106" fillId="3" borderId="10" xfId="2087" applyNumberFormat="1" applyFont="1" applyFill="1" applyBorder="1" applyAlignment="1">
      <alignment horizontal="left" vertical="center"/>
    </xf>
    <xf numFmtId="0" fontId="106" fillId="3" borderId="43" xfId="2087" applyNumberFormat="1" applyFont="1" applyFill="1" applyBorder="1" applyAlignment="1">
      <alignment horizontal="center" vertical="center"/>
    </xf>
    <xf numFmtId="0" fontId="107" fillId="0" borderId="3" xfId="2329" applyNumberFormat="1" applyFont="1" applyBorder="1" applyAlignment="1">
      <alignment horizontal="center" vertical="center"/>
    </xf>
    <xf numFmtId="0" fontId="106" fillId="3" borderId="3" xfId="2329" applyNumberFormat="1" applyFont="1" applyFill="1" applyBorder="1" applyAlignment="1">
      <alignment horizontal="center" vertical="center"/>
    </xf>
    <xf numFmtId="0" fontId="106" fillId="3" borderId="4" xfId="2087" applyNumberFormat="1" applyFont="1" applyFill="1" applyBorder="1" applyAlignment="1">
      <alignment horizontal="left" vertical="center"/>
    </xf>
    <xf numFmtId="0" fontId="106" fillId="3" borderId="12" xfId="2087" applyNumberFormat="1" applyFont="1" applyFill="1" applyBorder="1" applyAlignment="1">
      <alignment horizontal="center" vertical="center"/>
    </xf>
    <xf numFmtId="0" fontId="106" fillId="3" borderId="6" xfId="2329" applyNumberFormat="1" applyFont="1" applyFill="1" applyBorder="1" applyAlignment="1">
      <alignment horizontal="center" vertical="center"/>
    </xf>
    <xf numFmtId="0" fontId="107" fillId="0" borderId="4" xfId="2329" applyNumberFormat="1" applyFont="1" applyBorder="1" applyAlignment="1">
      <alignment horizontal="left" vertical="center"/>
    </xf>
    <xf numFmtId="1" fontId="108" fillId="0" borderId="5" xfId="579" applyNumberFormat="1" applyFont="1" applyBorder="1" applyAlignment="1">
      <alignment horizontal="center" vertical="center"/>
    </xf>
    <xf numFmtId="0" fontId="107" fillId="0" borderId="42" xfId="2329" applyNumberFormat="1" applyFont="1" applyBorder="1" applyAlignment="1">
      <alignment horizontal="center" vertical="center"/>
    </xf>
    <xf numFmtId="0" fontId="107" fillId="0" borderId="4" xfId="2329" applyNumberFormat="1" applyFont="1" applyBorder="1" applyAlignment="1">
      <alignment horizontal="center" vertical="center"/>
    </xf>
    <xf numFmtId="0" fontId="107" fillId="0" borderId="12" xfId="2329" applyNumberFormat="1" applyFont="1" applyBorder="1" applyAlignment="1">
      <alignment horizontal="center" vertical="center"/>
    </xf>
    <xf numFmtId="176" fontId="109" fillId="0" borderId="3" xfId="2331" applyNumberFormat="1" applyFont="1" applyBorder="1" applyAlignment="1">
      <alignment horizontal="center" vertical="center"/>
    </xf>
    <xf numFmtId="0" fontId="106" fillId="3" borderId="4" xfId="2329" applyNumberFormat="1" applyFont="1" applyFill="1" applyBorder="1" applyAlignment="1">
      <alignment horizontal="left" vertical="center"/>
    </xf>
    <xf numFmtId="0" fontId="106" fillId="3" borderId="42" xfId="2329" applyNumberFormat="1" applyFont="1" applyFill="1" applyBorder="1" applyAlignment="1">
      <alignment horizontal="center" vertical="center"/>
    </xf>
    <xf numFmtId="0" fontId="106" fillId="3" borderId="4" xfId="2329" applyNumberFormat="1" applyFont="1" applyFill="1" applyBorder="1" applyAlignment="1">
      <alignment horizontal="center" vertical="center"/>
    </xf>
    <xf numFmtId="0" fontId="106" fillId="3" borderId="7" xfId="2329" applyNumberFormat="1" applyFont="1" applyFill="1" applyBorder="1" applyAlignment="1">
      <alignment horizontal="left" vertical="center"/>
    </xf>
    <xf numFmtId="0" fontId="106" fillId="3" borderId="34" xfId="2329" applyNumberFormat="1" applyFont="1" applyFill="1" applyBorder="1" applyAlignment="1">
      <alignment horizontal="left" vertical="center"/>
    </xf>
    <xf numFmtId="0" fontId="106" fillId="3" borderId="8" xfId="2329" applyNumberFormat="1" applyFont="1" applyFill="1" applyBorder="1" applyAlignment="1">
      <alignment horizontal="center" vertical="center"/>
    </xf>
    <xf numFmtId="0" fontId="106" fillId="3" borderId="7" xfId="2329" applyNumberFormat="1" applyFont="1" applyFill="1" applyBorder="1" applyAlignment="1">
      <alignment horizontal="center" vertical="center"/>
    </xf>
    <xf numFmtId="0" fontId="102" fillId="40" borderId="0" xfId="2329" applyNumberFormat="1" applyFont="1" applyFill="1" applyAlignment="1">
      <alignment horizontal="center" vertical="center" wrapText="1"/>
    </xf>
    <xf numFmtId="3" fontId="103" fillId="0" borderId="4" xfId="2329" applyNumberFormat="1" applyFont="1" applyBorder="1" applyAlignment="1">
      <alignment horizontal="center" vertical="center" wrapText="1"/>
    </xf>
    <xf numFmtId="4" fontId="103" fillId="0" borderId="4" xfId="2329" applyNumberFormat="1" applyFont="1" applyBorder="1" applyAlignment="1">
      <alignment horizontal="center" vertical="center" wrapText="1"/>
    </xf>
    <xf numFmtId="4" fontId="103" fillId="0" borderId="3" xfId="2329" applyNumberFormat="1" applyFont="1" applyBorder="1" applyAlignment="1">
      <alignment horizontal="center" vertical="center"/>
    </xf>
    <xf numFmtId="3" fontId="103" fillId="0" borderId="3" xfId="2329" applyNumberFormat="1" applyFont="1" applyBorder="1" applyAlignment="1">
      <alignment horizontal="center" vertical="center"/>
    </xf>
    <xf numFmtId="4" fontId="107" fillId="0" borderId="4" xfId="2329" applyNumberFormat="1" applyFont="1" applyBorder="1" applyAlignment="1">
      <alignment horizontal="center" vertical="center"/>
    </xf>
    <xf numFmtId="3" fontId="107" fillId="0" borderId="4" xfId="2329" applyNumberFormat="1" applyFont="1" applyBorder="1" applyAlignment="1">
      <alignment horizontal="center" vertical="center"/>
    </xf>
    <xf numFmtId="2" fontId="103" fillId="0" borderId="3" xfId="2329" applyNumberFormat="1" applyFont="1" applyBorder="1" applyAlignment="1">
      <alignment horizontal="center" vertical="center"/>
    </xf>
    <xf numFmtId="2" fontId="103" fillId="0" borderId="3" xfId="2329" applyNumberFormat="1" applyFont="1" applyBorder="1" applyAlignment="1">
      <alignment horizontal="center" vertical="center" wrapText="1"/>
    </xf>
    <xf numFmtId="2" fontId="104" fillId="0" borderId="3" xfId="3" applyNumberFormat="1" applyFont="1" applyBorder="1" applyAlignment="1">
      <alignment horizontal="center" vertical="center"/>
    </xf>
    <xf numFmtId="0" fontId="107" fillId="40" borderId="42" xfId="2329" applyNumberFormat="1" applyFont="1" applyFill="1" applyBorder="1" applyAlignment="1">
      <alignment horizontal="center" vertical="center"/>
    </xf>
    <xf numFmtId="4" fontId="103" fillId="40" borderId="3" xfId="2329" applyNumberFormat="1" applyFont="1" applyFill="1" applyBorder="1" applyAlignment="1">
      <alignment horizontal="center" vertical="center"/>
    </xf>
    <xf numFmtId="2" fontId="104" fillId="40" borderId="3" xfId="3" applyNumberFormat="1" applyFont="1" applyFill="1" applyBorder="1" applyAlignment="1">
      <alignment horizontal="center" vertical="center"/>
    </xf>
    <xf numFmtId="0" fontId="107" fillId="40" borderId="12" xfId="2087" applyNumberFormat="1" applyFont="1" applyFill="1" applyBorder="1" applyAlignment="1">
      <alignment horizontal="center" vertical="center"/>
    </xf>
    <xf numFmtId="3" fontId="103" fillId="40" borderId="3" xfId="2329" applyNumberFormat="1" applyFont="1" applyFill="1" applyBorder="1" applyAlignment="1">
      <alignment horizontal="center" vertical="center"/>
    </xf>
    <xf numFmtId="2" fontId="106" fillId="3" borderId="33" xfId="2087" applyNumberFormat="1" applyFont="1" applyFill="1" applyBorder="1" applyAlignment="1">
      <alignment horizontal="center" vertical="center"/>
    </xf>
    <xf numFmtId="2" fontId="103" fillId="40" borderId="3" xfId="2329" applyNumberFormat="1" applyFont="1" applyFill="1" applyBorder="1" applyAlignment="1">
      <alignment horizontal="center" vertical="center"/>
    </xf>
    <xf numFmtId="2" fontId="106" fillId="3" borderId="3" xfId="2329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" fontId="107" fillId="0" borderId="12" xfId="2329" applyNumberFormat="1" applyFont="1" applyBorder="1" applyAlignment="1">
      <alignment horizontal="center" vertical="center"/>
    </xf>
    <xf numFmtId="0" fontId="106" fillId="3" borderId="33" xfId="2087" applyNumberFormat="1" applyFont="1" applyFill="1" applyBorder="1" applyAlignment="1">
      <alignment horizontal="center" vertical="center"/>
    </xf>
    <xf numFmtId="4" fontId="107" fillId="0" borderId="3" xfId="2329" applyNumberFormat="1" applyFont="1" applyBorder="1" applyAlignment="1">
      <alignment horizontal="center" vertical="center"/>
    </xf>
    <xf numFmtId="4" fontId="107" fillId="0" borderId="2" xfId="2329" applyNumberFormat="1" applyFont="1" applyBorder="1" applyAlignment="1">
      <alignment horizontal="center" vertical="center"/>
    </xf>
    <xf numFmtId="2" fontId="102" fillId="3" borderId="33" xfId="2087" applyNumberFormat="1" applyFont="1" applyFill="1" applyBorder="1" applyAlignment="1">
      <alignment horizontal="center" vertical="center"/>
    </xf>
    <xf numFmtId="4" fontId="103" fillId="0" borderId="3" xfId="2329" applyNumberFormat="1" applyFont="1" applyBorder="1" applyAlignment="1">
      <alignment horizontal="center" vertical="center" wrapText="1"/>
    </xf>
    <xf numFmtId="0" fontId="5" fillId="0" borderId="0" xfId="12" applyAlignment="1">
      <alignment horizontal="center"/>
    </xf>
    <xf numFmtId="0" fontId="6" fillId="2" borderId="44" xfId="1005" applyNumberFormat="1" applyFont="1" applyFill="1" applyBorder="1" applyAlignment="1">
      <alignment horizontal="center" vertical="center" wrapText="1"/>
    </xf>
    <xf numFmtId="0" fontId="8" fillId="4" borderId="0" xfId="1005" applyNumberFormat="1" applyFont="1" applyFill="1" applyAlignment="1">
      <alignment horizontal="center" vertical="center"/>
    </xf>
    <xf numFmtId="0" fontId="7" fillId="4" borderId="0" xfId="1005" applyNumberFormat="1" applyFont="1" applyFill="1" applyAlignment="1">
      <alignment vertical="center"/>
    </xf>
    <xf numFmtId="176" fontId="8" fillId="4" borderId="0" xfId="1005" applyFont="1" applyFill="1" applyAlignment="1">
      <alignment vertical="center"/>
    </xf>
    <xf numFmtId="176" fontId="105" fillId="0" borderId="0" xfId="2340" applyNumberFormat="1" applyFont="1" applyAlignment="1">
      <alignment horizontal="left" vertical="center"/>
    </xf>
    <xf numFmtId="176" fontId="85" fillId="0" borderId="0" xfId="2340" applyNumberFormat="1" applyFont="1" applyAlignment="1">
      <alignment vertical="center"/>
    </xf>
    <xf numFmtId="176" fontId="85" fillId="0" borderId="0" xfId="2340" applyNumberFormat="1" applyFont="1" applyAlignment="1">
      <alignment horizontal="center" vertical="center"/>
    </xf>
    <xf numFmtId="0" fontId="0" fillId="0" borderId="0" xfId="2340" applyNumberFormat="1" applyFont="1" applyAlignment="1">
      <alignment vertical="center"/>
    </xf>
    <xf numFmtId="176" fontId="8" fillId="0" borderId="0" xfId="2340" applyNumberFormat="1" applyFont="1" applyAlignment="1">
      <alignment horizontal="center" vertical="center"/>
    </xf>
    <xf numFmtId="176" fontId="8" fillId="0" borderId="0" xfId="2340" applyNumberFormat="1" applyFont="1" applyAlignment="1">
      <alignment vertical="center"/>
    </xf>
    <xf numFmtId="3" fontId="107" fillId="0" borderId="3" xfId="2329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2" fontId="0" fillId="0" borderId="0" xfId="0" applyNumberFormat="1"/>
    <xf numFmtId="0" fontId="106" fillId="3" borderId="5" xfId="2329" applyNumberFormat="1" applyFont="1" applyFill="1" applyBorder="1" applyAlignment="1">
      <alignment horizontal="left" vertical="center"/>
    </xf>
    <xf numFmtId="0" fontId="102" fillId="3" borderId="42" xfId="2087" applyNumberFormat="1" applyFont="1" applyFill="1" applyBorder="1" applyAlignment="1">
      <alignment horizontal="left" vertical="center"/>
    </xf>
    <xf numFmtId="2" fontId="102" fillId="3" borderId="3" xfId="2329" applyNumberFormat="1" applyFont="1" applyFill="1" applyBorder="1" applyAlignment="1">
      <alignment horizontal="center" vertical="center" wrapText="1"/>
    </xf>
    <xf numFmtId="0" fontId="1" fillId="0" borderId="0" xfId="2342"/>
    <xf numFmtId="4" fontId="1" fillId="0" borderId="0" xfId="2342" applyNumberFormat="1"/>
    <xf numFmtId="0" fontId="14" fillId="0" borderId="0" xfId="2342" applyFont="1"/>
    <xf numFmtId="9" fontId="1" fillId="0" borderId="0" xfId="2342" applyNumberFormat="1"/>
    <xf numFmtId="10" fontId="1" fillId="0" borderId="0" xfId="2342" applyNumberFormat="1"/>
    <xf numFmtId="176" fontId="109" fillId="0" borderId="12" xfId="2331" applyNumberFormat="1" applyFont="1" applyBorder="1" applyAlignment="1">
      <alignment horizontal="center" vertical="center"/>
    </xf>
    <xf numFmtId="0" fontId="124" fillId="0" borderId="0" xfId="0" applyFont="1"/>
    <xf numFmtId="176" fontId="87" fillId="0" borderId="0" xfId="1056" applyNumberFormat="1" applyFont="1" applyAlignment="1">
      <alignment vertical="center"/>
    </xf>
    <xf numFmtId="0" fontId="102" fillId="3" borderId="4" xfId="2087" applyNumberFormat="1" applyFont="1" applyFill="1" applyBorder="1" applyAlignment="1">
      <alignment horizontal="center" vertical="center"/>
    </xf>
    <xf numFmtId="0" fontId="1" fillId="0" borderId="11" xfId="3" applyNumberFormat="1" applyFont="1" applyBorder="1" applyAlignment="1" applyProtection="1">
      <alignment horizontal="center" vertical="center"/>
      <protection locked="0"/>
    </xf>
    <xf numFmtId="168" fontId="8" fillId="0" borderId="0" xfId="1" applyFont="1" applyFill="1" applyAlignment="1">
      <alignment horizontal="center" vertical="center"/>
    </xf>
    <xf numFmtId="176" fontId="8" fillId="12" borderId="0" xfId="1051" applyNumberFormat="1" applyFont="1" applyFill="1" applyAlignment="1">
      <alignment vertical="center"/>
    </xf>
    <xf numFmtId="0" fontId="0" fillId="12" borderId="0" xfId="0" applyFill="1"/>
    <xf numFmtId="4" fontId="0" fillId="0" borderId="0" xfId="0" applyNumberFormat="1" applyAlignment="1">
      <alignment horizontal="center"/>
    </xf>
    <xf numFmtId="2" fontId="103" fillId="0" borderId="4" xfId="2329" applyNumberFormat="1" applyFont="1" applyBorder="1" applyAlignment="1">
      <alignment horizontal="center" vertical="center" wrapText="1"/>
    </xf>
    <xf numFmtId="217" fontId="103" fillId="40" borderId="3" xfId="2329" applyNumberFormat="1" applyFont="1" applyFill="1" applyBorder="1" applyAlignment="1">
      <alignment horizontal="center" vertical="center"/>
    </xf>
    <xf numFmtId="176" fontId="125" fillId="0" borderId="0" xfId="1051" applyNumberFormat="1" applyFont="1" applyAlignment="1">
      <alignment horizontal="left" vertical="center"/>
    </xf>
    <xf numFmtId="217" fontId="1" fillId="0" borderId="0" xfId="2342" applyNumberFormat="1"/>
    <xf numFmtId="229" fontId="1" fillId="0" borderId="0" xfId="2342" applyNumberFormat="1"/>
    <xf numFmtId="2" fontId="0" fillId="0" borderId="0" xfId="0" applyNumberFormat="1" applyAlignment="1">
      <alignment horizontal="center"/>
    </xf>
    <xf numFmtId="168" fontId="0" fillId="0" borderId="0" xfId="1" applyFont="1" applyAlignment="1">
      <alignment horizontal="center"/>
    </xf>
    <xf numFmtId="2" fontId="106" fillId="3" borderId="6" xfId="2329" applyNumberFormat="1" applyFont="1" applyFill="1" applyBorder="1" applyAlignment="1">
      <alignment horizontal="center" vertical="center"/>
    </xf>
    <xf numFmtId="0" fontId="102" fillId="3" borderId="8" xfId="2087" applyNumberFormat="1" applyFont="1" applyFill="1" applyBorder="1" applyAlignment="1">
      <alignment horizontal="left" vertical="center"/>
    </xf>
    <xf numFmtId="2" fontId="102" fillId="3" borderId="6" xfId="2329" applyNumberFormat="1" applyFont="1" applyFill="1" applyBorder="1" applyAlignment="1">
      <alignment horizontal="center" vertical="center" wrapText="1"/>
    </xf>
    <xf numFmtId="3" fontId="1" fillId="0" borderId="0" xfId="2342" applyNumberFormat="1"/>
    <xf numFmtId="168" fontId="0" fillId="0" borderId="0" xfId="0" applyNumberFormat="1"/>
    <xf numFmtId="176" fontId="85" fillId="0" borderId="0" xfId="3" applyFont="1" applyAlignment="1">
      <alignment vertical="center"/>
    </xf>
    <xf numFmtId="168" fontId="8" fillId="0" borderId="0" xfId="1" applyFont="1" applyBorder="1" applyAlignment="1">
      <alignment horizontal="center" vertical="center"/>
    </xf>
    <xf numFmtId="168" fontId="85" fillId="0" borderId="0" xfId="1" applyFont="1" applyFill="1" applyAlignment="1">
      <alignment vertical="center"/>
    </xf>
    <xf numFmtId="0" fontId="107" fillId="0" borderId="4" xfId="2329" applyNumberFormat="1" applyFont="1" applyBorder="1" applyAlignment="1">
      <alignment horizontal="left" vertical="center" wrapText="1"/>
    </xf>
    <xf numFmtId="4" fontId="103" fillId="0" borderId="9" xfId="2329" applyNumberFormat="1" applyFont="1" applyBorder="1" applyAlignment="1">
      <alignment horizontal="center" vertical="center" wrapText="1"/>
    </xf>
    <xf numFmtId="0" fontId="102" fillId="3" borderId="5" xfId="2087" applyNumberFormat="1" applyFont="1" applyFill="1" applyBorder="1" applyAlignment="1">
      <alignment horizontal="left" vertical="center"/>
    </xf>
    <xf numFmtId="0" fontId="0" fillId="0" borderId="57" xfId="0" applyBorder="1"/>
    <xf numFmtId="168" fontId="0" fillId="0" borderId="0" xfId="1" applyFont="1" applyFill="1" applyBorder="1" applyAlignment="1">
      <alignment horizontal="center"/>
    </xf>
    <xf numFmtId="2" fontId="104" fillId="40" borderId="3" xfId="1034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/>
    </xf>
    <xf numFmtId="0" fontId="106" fillId="3" borderId="4" xfId="2087" applyNumberFormat="1" applyFont="1" applyFill="1" applyBorder="1" applyAlignment="1">
      <alignment horizontal="center" vertical="center"/>
    </xf>
    <xf numFmtId="0" fontId="106" fillId="3" borderId="3" xfId="2087" applyNumberFormat="1" applyFont="1" applyFill="1" applyBorder="1" applyAlignment="1">
      <alignment horizontal="center" vertical="center"/>
    </xf>
    <xf numFmtId="4" fontId="103" fillId="40" borderId="55" xfId="2329" applyNumberFormat="1" applyFont="1" applyFill="1" applyBorder="1" applyAlignment="1">
      <alignment horizontal="center" vertical="center"/>
    </xf>
    <xf numFmtId="4" fontId="103" fillId="0" borderId="55" xfId="2329" applyNumberFormat="1" applyFont="1" applyBorder="1" applyAlignment="1">
      <alignment horizontal="center" vertical="center"/>
    </xf>
    <xf numFmtId="2" fontId="104" fillId="40" borderId="55" xfId="3" applyNumberFormat="1" applyFont="1" applyFill="1" applyBorder="1" applyAlignment="1">
      <alignment horizontal="center" vertical="center"/>
    </xf>
    <xf numFmtId="2" fontId="102" fillId="3" borderId="3" xfId="2087" applyNumberFormat="1" applyFont="1" applyFill="1" applyBorder="1" applyAlignment="1">
      <alignment horizontal="center" vertical="center"/>
    </xf>
    <xf numFmtId="0" fontId="127" fillId="0" borderId="0" xfId="12" applyFont="1" applyAlignment="1">
      <alignment horizontal="left" vertical="top"/>
    </xf>
    <xf numFmtId="0" fontId="127" fillId="0" borderId="0" xfId="12" applyFont="1"/>
    <xf numFmtId="0" fontId="127" fillId="0" borderId="0" xfId="12" applyFont="1" applyAlignment="1">
      <alignment vertical="center"/>
    </xf>
    <xf numFmtId="0" fontId="85" fillId="0" borderId="0" xfId="0" applyFont="1"/>
    <xf numFmtId="0" fontId="85" fillId="0" borderId="0" xfId="0" applyFont="1" applyAlignment="1">
      <alignment horizontal="center"/>
    </xf>
    <xf numFmtId="176" fontId="85" fillId="0" borderId="0" xfId="1051" applyNumberFormat="1" applyFont="1" applyAlignment="1">
      <alignment horizontal="left" vertical="center"/>
    </xf>
    <xf numFmtId="0" fontId="128" fillId="0" borderId="0" xfId="0" applyFont="1" applyAlignment="1">
      <alignment horizontal="center"/>
    </xf>
    <xf numFmtId="0" fontId="102" fillId="3" borderId="3" xfId="2087" applyNumberFormat="1" applyFont="1" applyFill="1" applyBorder="1" applyAlignment="1">
      <alignment horizontal="center" vertical="center"/>
    </xf>
    <xf numFmtId="41" fontId="0" fillId="0" borderId="0" xfId="0" applyNumberFormat="1" applyAlignment="1">
      <alignment horizontal="center"/>
    </xf>
    <xf numFmtId="0" fontId="113" fillId="0" borderId="0" xfId="3" applyNumberFormat="1" applyFont="1" applyAlignment="1" applyProtection="1">
      <alignment horizontal="center" vertical="center"/>
      <protection locked="0"/>
    </xf>
    <xf numFmtId="176" fontId="105" fillId="0" borderId="0" xfId="3" applyFont="1" applyAlignment="1">
      <alignment vertical="center"/>
    </xf>
    <xf numFmtId="176" fontId="132" fillId="12" borderId="0" xfId="3" applyFont="1" applyFill="1" applyAlignment="1">
      <alignment horizontal="center" vertical="center"/>
    </xf>
    <xf numFmtId="176" fontId="133" fillId="0" borderId="0" xfId="3" applyFont="1" applyAlignment="1">
      <alignment horizontal="center" vertical="center" wrapText="1"/>
    </xf>
    <xf numFmtId="217" fontId="103" fillId="0" borderId="3" xfId="2329" applyNumberFormat="1" applyFont="1" applyBorder="1" applyAlignment="1">
      <alignment horizontal="center" vertical="center"/>
    </xf>
    <xf numFmtId="0" fontId="86" fillId="0" borderId="0" xfId="12" applyFont="1"/>
    <xf numFmtId="0" fontId="86" fillId="0" borderId="0" xfId="12" applyFont="1" applyAlignment="1">
      <alignment horizontal="center"/>
    </xf>
    <xf numFmtId="0" fontId="86" fillId="0" borderId="0" xfId="12" applyFont="1" applyAlignment="1">
      <alignment horizontal="left" vertical="top"/>
    </xf>
    <xf numFmtId="0" fontId="86" fillId="0" borderId="0" xfId="12" applyFont="1" applyAlignment="1">
      <alignment horizontal="center" vertical="top"/>
    </xf>
    <xf numFmtId="0" fontId="86" fillId="0" borderId="0" xfId="12" applyFont="1" applyAlignment="1">
      <alignment vertical="center"/>
    </xf>
    <xf numFmtId="2" fontId="86" fillId="0" borderId="0" xfId="12" applyNumberFormat="1" applyFont="1"/>
    <xf numFmtId="0" fontId="134" fillId="3" borderId="12" xfId="2087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127" fillId="0" borderId="0" xfId="12" applyNumberFormat="1" applyFont="1" applyAlignment="1">
      <alignment vertical="center"/>
    </xf>
    <xf numFmtId="0" fontId="127" fillId="0" borderId="0" xfId="12" applyFont="1" applyAlignment="1">
      <alignment horizontal="center"/>
    </xf>
    <xf numFmtId="2" fontId="127" fillId="0" borderId="0" xfId="12" applyNumberFormat="1" applyFont="1" applyAlignment="1">
      <alignment horizontal="center"/>
    </xf>
    <xf numFmtId="168" fontId="85" fillId="0" borderId="0" xfId="1" applyFont="1" applyFill="1" applyAlignment="1">
      <alignment horizontal="center"/>
    </xf>
    <xf numFmtId="0" fontId="107" fillId="0" borderId="55" xfId="2329" applyNumberFormat="1" applyFont="1" applyBorder="1" applyAlignment="1">
      <alignment horizontal="center" vertical="center"/>
    </xf>
    <xf numFmtId="0" fontId="107" fillId="0" borderId="2" xfId="2329" applyNumberFormat="1" applyFont="1" applyBorder="1" applyAlignment="1">
      <alignment horizontal="center" vertical="center"/>
    </xf>
    <xf numFmtId="0" fontId="107" fillId="40" borderId="4" xfId="2087" applyNumberFormat="1" applyFont="1" applyFill="1" applyBorder="1" applyAlignment="1">
      <alignment horizontal="center" vertical="center"/>
    </xf>
    <xf numFmtId="0" fontId="106" fillId="0" borderId="4" xfId="2087" applyNumberFormat="1" applyFont="1" applyBorder="1" applyAlignment="1">
      <alignment horizontal="center" vertical="center"/>
    </xf>
    <xf numFmtId="2" fontId="106" fillId="0" borderId="3" xfId="2087" applyNumberFormat="1" applyFont="1" applyBorder="1" applyAlignment="1">
      <alignment horizontal="center" vertical="center"/>
    </xf>
    <xf numFmtId="176" fontId="13" fillId="0" borderId="0" xfId="1051" applyNumberFormat="1" applyFont="1" applyAlignment="1">
      <alignment horizontal="center" vertical="center" wrapText="1"/>
    </xf>
    <xf numFmtId="176" fontId="11" fillId="0" borderId="0" xfId="1051" applyNumberFormat="1" applyFont="1" applyAlignment="1">
      <alignment horizontal="center" vertical="center" wrapText="1"/>
    </xf>
    <xf numFmtId="0" fontId="13" fillId="2" borderId="44" xfId="1005" applyNumberFormat="1" applyFont="1" applyFill="1" applyBorder="1" applyAlignment="1">
      <alignment horizontal="center" vertical="center" wrapText="1"/>
    </xf>
    <xf numFmtId="0" fontId="11" fillId="3" borderId="13" xfId="2087" applyNumberFormat="1" applyFont="1" applyFill="1" applyBorder="1" applyAlignment="1">
      <alignment horizontal="left" vertical="center"/>
    </xf>
    <xf numFmtId="176" fontId="13" fillId="0" borderId="0" xfId="1051" applyNumberFormat="1" applyFont="1" applyAlignment="1">
      <alignment vertical="center"/>
    </xf>
    <xf numFmtId="176" fontId="11" fillId="0" borderId="0" xfId="1051" applyNumberFormat="1" applyFont="1" applyAlignment="1">
      <alignment vertical="center"/>
    </xf>
    <xf numFmtId="168" fontId="15" fillId="0" borderId="0" xfId="1" applyFont="1" applyFill="1" applyAlignment="1">
      <alignment vertical="center"/>
    </xf>
    <xf numFmtId="176" fontId="85" fillId="0" borderId="0" xfId="1051" applyNumberFormat="1" applyFont="1" applyAlignment="1">
      <alignment vertical="center"/>
    </xf>
    <xf numFmtId="0" fontId="11" fillId="3" borderId="5" xfId="2087" applyNumberFormat="1" applyFont="1" applyFill="1" applyBorder="1" applyAlignment="1">
      <alignment horizontal="left" vertical="center"/>
    </xf>
    <xf numFmtId="176" fontId="15" fillId="0" borderId="0" xfId="1051" applyNumberFormat="1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85" fillId="4" borderId="0" xfId="1005" applyNumberFormat="1" applyFont="1" applyFill="1" applyAlignment="1">
      <alignment horizontal="center" vertical="center"/>
    </xf>
    <xf numFmtId="0" fontId="11" fillId="4" borderId="0" xfId="1005" applyNumberFormat="1" applyFont="1" applyFill="1" applyAlignment="1">
      <alignment vertical="center"/>
    </xf>
    <xf numFmtId="176" fontId="85" fillId="4" borderId="0" xfId="1005" applyFont="1" applyFill="1" applyAlignment="1">
      <alignment vertical="center"/>
    </xf>
    <xf numFmtId="0" fontId="4" fillId="0" borderId="0" xfId="2340" applyNumberFormat="1" applyFont="1" applyAlignment="1">
      <alignment vertical="center"/>
    </xf>
    <xf numFmtId="0" fontId="11" fillId="3" borderId="2" xfId="2329" applyNumberFormat="1" applyFont="1" applyFill="1" applyBorder="1" applyAlignment="1">
      <alignment horizontal="center" vertical="center"/>
    </xf>
    <xf numFmtId="0" fontId="11" fillId="3" borderId="12" xfId="2087" applyNumberFormat="1" applyFont="1" applyFill="1" applyBorder="1" applyAlignment="1">
      <alignment horizontal="left" vertical="center"/>
    </xf>
    <xf numFmtId="0" fontId="11" fillId="3" borderId="10" xfId="2087" applyNumberFormat="1" applyFont="1" applyFill="1" applyBorder="1" applyAlignment="1">
      <alignment horizontal="left" vertical="center"/>
    </xf>
    <xf numFmtId="0" fontId="11" fillId="3" borderId="12" xfId="2087" applyNumberFormat="1" applyFont="1" applyFill="1" applyBorder="1" applyAlignment="1">
      <alignment horizontal="center" vertical="center"/>
    </xf>
    <xf numFmtId="0" fontId="11" fillId="3" borderId="43" xfId="2087" applyNumberFormat="1" applyFont="1" applyFill="1" applyBorder="1" applyAlignment="1">
      <alignment horizontal="center" vertical="center"/>
    </xf>
    <xf numFmtId="0" fontId="11" fillId="3" borderId="33" xfId="2087" applyNumberFormat="1" applyFont="1" applyFill="1" applyBorder="1" applyAlignment="1">
      <alignment horizontal="center" vertical="center"/>
    </xf>
    <xf numFmtId="0" fontId="85" fillId="0" borderId="3" xfId="2329" applyNumberFormat="1" applyFont="1" applyBorder="1" applyAlignment="1">
      <alignment horizontal="center" vertical="center"/>
    </xf>
    <xf numFmtId="0" fontId="85" fillId="0" borderId="4" xfId="2329" applyNumberFormat="1" applyFont="1" applyBorder="1" applyAlignment="1">
      <alignment horizontal="left" vertical="center"/>
    </xf>
    <xf numFmtId="1" fontId="4" fillId="0" borderId="5" xfId="579" applyNumberFormat="1" applyFont="1" applyBorder="1" applyAlignment="1">
      <alignment horizontal="center" vertical="center"/>
    </xf>
    <xf numFmtId="0" fontId="85" fillId="0" borderId="42" xfId="2329" applyNumberFormat="1" applyFont="1" applyBorder="1" applyAlignment="1">
      <alignment horizontal="center" vertical="center"/>
    </xf>
    <xf numFmtId="0" fontId="85" fillId="0" borderId="4" xfId="2329" applyNumberFormat="1" applyFont="1" applyBorder="1" applyAlignment="1">
      <alignment horizontal="center" vertical="center"/>
    </xf>
    <xf numFmtId="4" fontId="85" fillId="0" borderId="4" xfId="2329" applyNumberFormat="1" applyFont="1" applyBorder="1" applyAlignment="1">
      <alignment horizontal="center" vertical="center"/>
    </xf>
    <xf numFmtId="4" fontId="85" fillId="0" borderId="3" xfId="2329" applyNumberFormat="1" applyFont="1" applyBorder="1" applyAlignment="1">
      <alignment horizontal="center" vertical="center"/>
    </xf>
    <xf numFmtId="0" fontId="11" fillId="3" borderId="4" xfId="2087" applyNumberFormat="1" applyFont="1" applyFill="1" applyBorder="1" applyAlignment="1">
      <alignment horizontal="center" vertical="center"/>
    </xf>
    <xf numFmtId="0" fontId="11" fillId="3" borderId="4" xfId="2087" applyNumberFormat="1" applyFont="1" applyFill="1" applyBorder="1" applyAlignment="1">
      <alignment horizontal="left" vertical="center"/>
    </xf>
    <xf numFmtId="0" fontId="11" fillId="3" borderId="3" xfId="2087" applyNumberFormat="1" applyFont="1" applyFill="1" applyBorder="1" applyAlignment="1">
      <alignment horizontal="center" vertical="center"/>
    </xf>
    <xf numFmtId="176" fontId="138" fillId="0" borderId="55" xfId="2331" applyNumberFormat="1" applyFont="1" applyBorder="1" applyAlignment="1">
      <alignment horizontal="center" vertical="center"/>
    </xf>
    <xf numFmtId="176" fontId="138" fillId="0" borderId="3" xfId="2331" applyNumberFormat="1" applyFont="1" applyBorder="1" applyAlignment="1">
      <alignment horizontal="center" vertical="center"/>
    </xf>
    <xf numFmtId="176" fontId="138" fillId="0" borderId="12" xfId="2331" applyNumberFormat="1" applyFont="1" applyBorder="1" applyAlignment="1">
      <alignment horizontal="center" vertical="center"/>
    </xf>
    <xf numFmtId="3" fontId="85" fillId="0" borderId="4" xfId="2329" applyNumberFormat="1" applyFont="1" applyBorder="1" applyAlignment="1">
      <alignment horizontal="center" vertical="center"/>
    </xf>
    <xf numFmtId="0" fontId="85" fillId="0" borderId="12" xfId="2087" applyNumberFormat="1" applyFont="1" applyBorder="1" applyAlignment="1">
      <alignment horizontal="center" vertical="center"/>
    </xf>
    <xf numFmtId="0" fontId="11" fillId="3" borderId="6" xfId="2329" applyNumberFormat="1" applyFont="1" applyFill="1" applyBorder="1" applyAlignment="1">
      <alignment horizontal="center" vertical="center"/>
    </xf>
    <xf numFmtId="0" fontId="11" fillId="3" borderId="7" xfId="2329" applyNumberFormat="1" applyFont="1" applyFill="1" applyBorder="1" applyAlignment="1">
      <alignment horizontal="left" vertical="center"/>
    </xf>
    <xf numFmtId="0" fontId="11" fillId="3" borderId="34" xfId="2329" applyNumberFormat="1" applyFont="1" applyFill="1" applyBorder="1" applyAlignment="1">
      <alignment horizontal="left" vertical="center"/>
    </xf>
    <xf numFmtId="0" fontId="11" fillId="3" borderId="8" xfId="2329" applyNumberFormat="1" applyFont="1" applyFill="1" applyBorder="1" applyAlignment="1">
      <alignment horizontal="center" vertical="center"/>
    </xf>
    <xf numFmtId="0" fontId="11" fillId="3" borderId="7" xfId="2329" applyNumberFormat="1" applyFont="1" applyFill="1" applyBorder="1" applyAlignment="1">
      <alignment horizontal="center" vertical="center"/>
    </xf>
    <xf numFmtId="196" fontId="106" fillId="3" borderId="3" xfId="2087" applyNumberFormat="1" applyFont="1" applyFill="1" applyBorder="1" applyAlignment="1">
      <alignment horizontal="center" vertical="center"/>
    </xf>
    <xf numFmtId="1" fontId="103" fillId="0" borderId="9" xfId="2329" applyNumberFormat="1" applyFont="1" applyBorder="1" applyAlignment="1">
      <alignment horizontal="center" vertical="center" wrapText="1"/>
    </xf>
    <xf numFmtId="1" fontId="103" fillId="0" borderId="4" xfId="2329" applyNumberFormat="1" applyFont="1" applyBorder="1" applyAlignment="1">
      <alignment horizontal="center" vertical="center" wrapText="1"/>
    </xf>
    <xf numFmtId="1" fontId="103" fillId="0" borderId="3" xfId="2329" applyNumberFormat="1" applyFont="1" applyBorder="1" applyAlignment="1">
      <alignment horizontal="center" vertical="center" wrapText="1"/>
    </xf>
    <xf numFmtId="3" fontId="0" fillId="0" borderId="0" xfId="0" applyNumberFormat="1"/>
    <xf numFmtId="0" fontId="6" fillId="43" borderId="73" xfId="1056" applyNumberFormat="1" applyFont="1" applyFill="1" applyBorder="1" applyAlignment="1">
      <alignment horizontal="center" vertical="center" wrapText="1"/>
    </xf>
    <xf numFmtId="0" fontId="107" fillId="40" borderId="5" xfId="2329" applyNumberFormat="1" applyFont="1" applyFill="1" applyBorder="1" applyAlignment="1">
      <alignment horizontal="center" vertical="center"/>
    </xf>
    <xf numFmtId="0" fontId="106" fillId="3" borderId="5" xfId="2329" applyNumberFormat="1" applyFont="1" applyFill="1" applyBorder="1" applyAlignment="1">
      <alignment horizontal="center" vertical="center"/>
    </xf>
    <xf numFmtId="0" fontId="106" fillId="3" borderId="34" xfId="2329" applyNumberFormat="1" applyFont="1" applyFill="1" applyBorder="1" applyAlignment="1">
      <alignment horizontal="center" vertical="center"/>
    </xf>
    <xf numFmtId="22" fontId="0" fillId="0" borderId="0" xfId="0" applyNumberFormat="1"/>
    <xf numFmtId="0" fontId="0" fillId="0" borderId="76" xfId="0" applyBorder="1"/>
    <xf numFmtId="0" fontId="0" fillId="0" borderId="76" xfId="0" applyBorder="1" applyAlignment="1">
      <alignment horizontal="center"/>
    </xf>
    <xf numFmtId="0" fontId="0" fillId="0" borderId="77" xfId="0" applyBorder="1"/>
    <xf numFmtId="0" fontId="0" fillId="0" borderId="77" xfId="0" applyBorder="1" applyAlignment="1">
      <alignment horizontal="center"/>
    </xf>
    <xf numFmtId="0" fontId="0" fillId="0" borderId="78" xfId="0" applyBorder="1"/>
    <xf numFmtId="0" fontId="0" fillId="0" borderId="78" xfId="0" applyBorder="1" applyAlignment="1">
      <alignment horizontal="center"/>
    </xf>
    <xf numFmtId="2" fontId="0" fillId="0" borderId="76" xfId="0" applyNumberFormat="1" applyBorder="1" applyAlignment="1">
      <alignment horizontal="center"/>
    </xf>
    <xf numFmtId="0" fontId="8" fillId="0" borderId="0" xfId="3" applyNumberFormat="1" applyFont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0" borderId="61" xfId="0" applyNumberFormat="1" applyBorder="1" applyAlignment="1">
      <alignment horizontal="center"/>
    </xf>
    <xf numFmtId="2" fontId="5" fillId="0" borderId="0" xfId="12" applyNumberFormat="1" applyAlignment="1">
      <alignment horizontal="center"/>
    </xf>
    <xf numFmtId="2" fontId="106" fillId="3" borderId="3" xfId="2087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4" fontId="0" fillId="0" borderId="0" xfId="0" applyNumberFormat="1"/>
    <xf numFmtId="168" fontId="0" fillId="0" borderId="0" xfId="1" applyFont="1"/>
    <xf numFmtId="3" fontId="85" fillId="0" borderId="0" xfId="2329" applyNumberFormat="1" applyFont="1" applyAlignment="1">
      <alignment horizontal="center" vertical="center"/>
    </xf>
    <xf numFmtId="3" fontId="85" fillId="0" borderId="60" xfId="2329" applyNumberFormat="1" applyFont="1" applyBorder="1" applyAlignment="1">
      <alignment horizontal="center" vertical="center"/>
    </xf>
    <xf numFmtId="176" fontId="139" fillId="0" borderId="0" xfId="3" applyFont="1" applyAlignment="1">
      <alignment vertical="center"/>
    </xf>
    <xf numFmtId="176" fontId="138" fillId="0" borderId="12" xfId="2331" applyNumberFormat="1" applyFont="1" applyBorder="1" applyAlignment="1">
      <alignment horizontal="center" vertical="center" wrapText="1"/>
    </xf>
    <xf numFmtId="0" fontId="11" fillId="4" borderId="0" xfId="1005" applyNumberFormat="1" applyFont="1" applyFill="1" applyAlignment="1">
      <alignment horizontal="center" vertical="center"/>
    </xf>
    <xf numFmtId="0" fontId="107" fillId="0" borderId="3" xfId="2329" applyNumberFormat="1" applyFont="1" applyBorder="1" applyAlignment="1">
      <alignment horizontal="center"/>
    </xf>
    <xf numFmtId="0" fontId="106" fillId="3" borderId="3" xfId="2329" applyNumberFormat="1" applyFont="1" applyFill="1" applyBorder="1" applyAlignment="1">
      <alignment horizontal="center"/>
    </xf>
    <xf numFmtId="0" fontId="107" fillId="0" borderId="55" xfId="2329" applyNumberFormat="1" applyFont="1" applyBorder="1" applyAlignment="1">
      <alignment horizontal="center"/>
    </xf>
    <xf numFmtId="0" fontId="107" fillId="0" borderId="61" xfId="2329" applyNumberFormat="1" applyFont="1" applyBorder="1" applyAlignment="1">
      <alignment horizontal="center"/>
    </xf>
    <xf numFmtId="0" fontId="107" fillId="0" borderId="2" xfId="2329" applyNumberFormat="1" applyFont="1" applyBorder="1" applyAlignment="1">
      <alignment horizontal="center"/>
    </xf>
    <xf numFmtId="4" fontId="103" fillId="40" borderId="12" xfId="2329" applyNumberFormat="1" applyFont="1" applyFill="1" applyBorder="1" applyAlignment="1">
      <alignment horizontal="center" vertical="center"/>
    </xf>
    <xf numFmtId="0" fontId="107" fillId="40" borderId="42" xfId="2329" applyNumberFormat="1" applyFont="1" applyFill="1" applyBorder="1" applyAlignment="1">
      <alignment horizontal="center" vertical="center" wrapText="1"/>
    </xf>
    <xf numFmtId="4" fontId="103" fillId="40" borderId="4" xfId="2329" applyNumberFormat="1" applyFont="1" applyFill="1" applyBorder="1" applyAlignment="1">
      <alignment horizontal="center" vertical="center"/>
    </xf>
    <xf numFmtId="2" fontId="104" fillId="40" borderId="9" xfId="3" applyNumberFormat="1" applyFont="1" applyFill="1" applyBorder="1" applyAlignment="1">
      <alignment horizontal="center" vertical="center"/>
    </xf>
    <xf numFmtId="4" fontId="103" fillId="0" borderId="4" xfId="2329" applyNumberFormat="1" applyFont="1" applyBorder="1" applyAlignment="1">
      <alignment horizontal="center" vertical="center"/>
    </xf>
    <xf numFmtId="2" fontId="104" fillId="40" borderId="4" xfId="1034" applyNumberFormat="1" applyFont="1" applyFill="1" applyBorder="1" applyAlignment="1">
      <alignment horizontal="center" vertical="center"/>
    </xf>
    <xf numFmtId="1" fontId="103" fillId="0" borderId="4" xfId="2329" applyNumberFormat="1" applyFont="1" applyBorder="1" applyAlignment="1">
      <alignment horizontal="center" vertical="center"/>
    </xf>
    <xf numFmtId="0" fontId="102" fillId="3" borderId="33" xfId="2087" applyNumberFormat="1" applyFont="1" applyFill="1" applyBorder="1" applyAlignment="1">
      <alignment horizontal="center" vertical="center"/>
    </xf>
    <xf numFmtId="2" fontId="104" fillId="55" borderId="3" xfId="1034" applyNumberFormat="1" applyFont="1" applyFill="1" applyBorder="1" applyAlignment="1">
      <alignment horizontal="center" vertical="center"/>
    </xf>
    <xf numFmtId="231" fontId="104" fillId="0" borderId="44" xfId="0" applyNumberFormat="1" applyFont="1" applyBorder="1" applyAlignment="1">
      <alignment horizontal="center" vertical="center"/>
    </xf>
    <xf numFmtId="0" fontId="0" fillId="0" borderId="0" xfId="0" quotePrefix="1"/>
    <xf numFmtId="0" fontId="0" fillId="0" borderId="61" xfId="0" applyBorder="1" applyAlignment="1">
      <alignment horizontal="center"/>
    </xf>
    <xf numFmtId="0" fontId="0" fillId="0" borderId="0" xfId="0" applyAlignment="1">
      <alignment horizontal="left"/>
    </xf>
    <xf numFmtId="233" fontId="0" fillId="0" borderId="0" xfId="1" applyNumberFormat="1" applyFont="1" applyFill="1" applyBorder="1" applyAlignment="1">
      <alignment horizontal="center"/>
    </xf>
    <xf numFmtId="234" fontId="0" fillId="0" borderId="0" xfId="1" applyNumberFormat="1" applyFont="1" applyFill="1" applyBorder="1" applyAlignment="1">
      <alignment horizontal="center"/>
    </xf>
    <xf numFmtId="168" fontId="0" fillId="0" borderId="0" xfId="1" applyFont="1" applyFill="1" applyBorder="1" applyAlignment="1">
      <alignment horizontal="center" vertical="center"/>
    </xf>
    <xf numFmtId="168" fontId="8" fillId="0" borderId="0" xfId="1" applyFont="1" applyFill="1" applyBorder="1" applyAlignment="1">
      <alignment horizontal="center" vertical="center"/>
    </xf>
    <xf numFmtId="41" fontId="8" fillId="0" borderId="0" xfId="1051" applyNumberFormat="1" applyFont="1" applyAlignment="1">
      <alignment horizontal="center" vertical="center"/>
    </xf>
    <xf numFmtId="232" fontId="0" fillId="0" borderId="0" xfId="0" applyNumberFormat="1" applyAlignment="1">
      <alignment horizontal="center"/>
    </xf>
    <xf numFmtId="0" fontId="14" fillId="0" borderId="0" xfId="0" applyFont="1" applyAlignment="1">
      <alignment horizontal="center" vertical="center"/>
    </xf>
    <xf numFmtId="176" fontId="129" fillId="0" borderId="0" xfId="1051" applyNumberFormat="1" applyFont="1" applyAlignment="1">
      <alignment horizontal="left" vertical="center"/>
    </xf>
    <xf numFmtId="0" fontId="0" fillId="0" borderId="79" xfId="0" applyBorder="1" applyAlignment="1">
      <alignment vertical="center"/>
    </xf>
    <xf numFmtId="168" fontId="0" fillId="0" borderId="0" xfId="1" applyFont="1" applyBorder="1" applyAlignment="1">
      <alignment horizontal="center"/>
    </xf>
    <xf numFmtId="43" fontId="0" fillId="0" borderId="0" xfId="0" applyNumberFormat="1" applyAlignment="1">
      <alignment horizontal="center"/>
    </xf>
    <xf numFmtId="2" fontId="126" fillId="0" borderId="0" xfId="0" applyNumberFormat="1" applyFont="1" applyAlignment="1">
      <alignment horizontal="center"/>
    </xf>
    <xf numFmtId="0" fontId="113" fillId="0" borderId="0" xfId="0" applyFont="1" applyAlignment="1">
      <alignment horizontal="right"/>
    </xf>
    <xf numFmtId="0" fontId="11" fillId="0" borderId="4" xfId="2329" applyNumberFormat="1" applyFont="1" applyBorder="1" applyAlignment="1">
      <alignment horizontal="left" vertical="center"/>
    </xf>
    <xf numFmtId="0" fontId="106" fillId="0" borderId="4" xfId="2329" applyNumberFormat="1" applyFont="1" applyBorder="1" applyAlignment="1">
      <alignment horizontal="left" vertical="center"/>
    </xf>
    <xf numFmtId="0" fontId="106" fillId="0" borderId="4" xfId="2329" applyNumberFormat="1" applyFont="1" applyBorder="1" applyAlignment="1">
      <alignment horizontal="left" vertical="center" wrapText="1"/>
    </xf>
    <xf numFmtId="0" fontId="102" fillId="0" borderId="4" xfId="2329" applyNumberFormat="1" applyFont="1" applyBorder="1" applyAlignment="1">
      <alignment horizontal="left" vertical="center" wrapText="1"/>
    </xf>
    <xf numFmtId="170" fontId="103" fillId="0" borderId="4" xfId="7181" applyFont="1" applyBorder="1" applyAlignment="1">
      <alignment horizontal="center" vertical="center" wrapText="1"/>
    </xf>
    <xf numFmtId="0" fontId="102" fillId="3" borderId="12" xfId="2329" applyNumberFormat="1" applyFont="1" applyFill="1" applyBorder="1" applyAlignment="1">
      <alignment horizontal="left" vertical="center"/>
    </xf>
    <xf numFmtId="0" fontId="102" fillId="3" borderId="12" xfId="2087" applyNumberFormat="1" applyFont="1" applyFill="1" applyBorder="1" applyAlignment="1">
      <alignment horizontal="center" vertical="center"/>
    </xf>
    <xf numFmtId="0" fontId="102" fillId="0" borderId="4" xfId="2329" applyNumberFormat="1" applyFont="1" applyBorder="1" applyAlignment="1">
      <alignment horizontal="left" vertical="center"/>
    </xf>
    <xf numFmtId="1" fontId="104" fillId="0" borderId="5" xfId="579" applyNumberFormat="1" applyFont="1" applyBorder="1" applyAlignment="1">
      <alignment horizontal="center" vertical="center"/>
    </xf>
    <xf numFmtId="0" fontId="103" fillId="0" borderId="42" xfId="2329" applyNumberFormat="1" applyFont="1" applyBorder="1" applyAlignment="1">
      <alignment horizontal="center" vertical="center"/>
    </xf>
    <xf numFmtId="3" fontId="103" fillId="0" borderId="4" xfId="2329" applyNumberFormat="1" applyFont="1" applyBorder="1" applyAlignment="1">
      <alignment horizontal="center" vertical="center"/>
    </xf>
    <xf numFmtId="0" fontId="103" fillId="0" borderId="4" xfId="2329" applyNumberFormat="1" applyFont="1" applyBorder="1" applyAlignment="1">
      <alignment horizontal="left" vertical="center"/>
    </xf>
    <xf numFmtId="0" fontId="102" fillId="3" borderId="7" xfId="2329" applyNumberFormat="1" applyFont="1" applyFill="1" applyBorder="1" applyAlignment="1">
      <alignment horizontal="left" vertical="center"/>
    </xf>
    <xf numFmtId="0" fontId="102" fillId="3" borderId="34" xfId="2329" applyNumberFormat="1" applyFont="1" applyFill="1" applyBorder="1" applyAlignment="1">
      <alignment horizontal="left" vertical="center"/>
    </xf>
    <xf numFmtId="0" fontId="102" fillId="3" borderId="8" xfId="2329" applyNumberFormat="1" applyFont="1" applyFill="1" applyBorder="1" applyAlignment="1">
      <alignment horizontal="center" vertical="center"/>
    </xf>
    <xf numFmtId="0" fontId="102" fillId="3" borderId="7" xfId="2329" applyNumberFormat="1" applyFont="1" applyFill="1" applyBorder="1" applyAlignment="1">
      <alignment horizontal="center" vertical="center"/>
    </xf>
    <xf numFmtId="2" fontId="103" fillId="0" borderId="9" xfId="2329" applyNumberFormat="1" applyFont="1" applyBorder="1" applyAlignment="1">
      <alignment horizontal="center" vertical="center" wrapText="1"/>
    </xf>
    <xf numFmtId="2" fontId="85" fillId="0" borderId="4" xfId="6362" applyNumberFormat="1" applyFont="1" applyBorder="1" applyAlignment="1">
      <alignment horizontal="center" vertical="center"/>
    </xf>
    <xf numFmtId="2" fontId="85" fillId="0" borderId="9" xfId="6362" applyNumberFormat="1" applyFont="1" applyBorder="1" applyAlignment="1">
      <alignment horizontal="center" vertical="center"/>
    </xf>
    <xf numFmtId="178" fontId="103" fillId="40" borderId="3" xfId="2329" applyFont="1" applyFill="1" applyBorder="1" applyAlignment="1">
      <alignment horizontal="center" vertical="center"/>
    </xf>
    <xf numFmtId="0" fontId="0" fillId="0" borderId="86" xfId="0" applyBorder="1"/>
    <xf numFmtId="0" fontId="0" fillId="54" borderId="86" xfId="0" applyFill="1" applyBorder="1"/>
    <xf numFmtId="0" fontId="0" fillId="54" borderId="0" xfId="0" applyFill="1" applyAlignment="1">
      <alignment horizontal="center"/>
    </xf>
    <xf numFmtId="0" fontId="107" fillId="0" borderId="61" xfId="2329" applyNumberFormat="1" applyFont="1" applyBorder="1" applyAlignment="1">
      <alignment horizontal="center" vertical="center"/>
    </xf>
    <xf numFmtId="0" fontId="14" fillId="0" borderId="86" xfId="0" applyFont="1" applyBorder="1" applyAlignment="1">
      <alignment horizontal="center" vertical="center"/>
    </xf>
    <xf numFmtId="217" fontId="103" fillId="0" borderId="4" xfId="2329" applyNumberFormat="1" applyFont="1" applyBorder="1" applyAlignment="1">
      <alignment horizontal="center" vertical="center"/>
    </xf>
    <xf numFmtId="0" fontId="103" fillId="0" borderId="55" xfId="2329" applyNumberFormat="1" applyFont="1" applyBorder="1" applyAlignment="1">
      <alignment horizontal="center" vertical="center"/>
    </xf>
    <xf numFmtId="0" fontId="103" fillId="0" borderId="9" xfId="2329" applyNumberFormat="1" applyFont="1" applyBorder="1" applyAlignment="1">
      <alignment horizontal="left" vertical="center"/>
    </xf>
    <xf numFmtId="0" fontId="103" fillId="0" borderId="57" xfId="2329" applyNumberFormat="1" applyFont="1" applyBorder="1" applyAlignment="1">
      <alignment horizontal="center" vertical="center"/>
    </xf>
    <xf numFmtId="176" fontId="166" fillId="0" borderId="55" xfId="2331" applyNumberFormat="1" applyFont="1" applyBorder="1" applyAlignment="1">
      <alignment horizontal="center" vertical="center"/>
    </xf>
    <xf numFmtId="0" fontId="103" fillId="0" borderId="9" xfId="2329" applyNumberFormat="1" applyFont="1" applyBorder="1" applyAlignment="1">
      <alignment horizontal="center" vertical="center"/>
    </xf>
    <xf numFmtId="4" fontId="103" fillId="0" borderId="9" xfId="2329" applyNumberFormat="1" applyFont="1" applyBorder="1" applyAlignment="1">
      <alignment horizontal="center" vertical="center"/>
    </xf>
    <xf numFmtId="176" fontId="166" fillId="0" borderId="3" xfId="2331" applyNumberFormat="1" applyFont="1" applyBorder="1" applyAlignment="1">
      <alignment horizontal="center" vertical="center"/>
    </xf>
    <xf numFmtId="0" fontId="103" fillId="0" borderId="13" xfId="2329" applyNumberFormat="1" applyFont="1" applyBorder="1" applyAlignment="1">
      <alignment horizontal="center" vertical="center"/>
    </xf>
    <xf numFmtId="176" fontId="166" fillId="0" borderId="12" xfId="2331" applyNumberFormat="1" applyFont="1" applyBorder="1" applyAlignment="1">
      <alignment horizontal="center" vertical="center"/>
    </xf>
    <xf numFmtId="0" fontId="103" fillId="0" borderId="12" xfId="2329" applyNumberFormat="1" applyFont="1" applyBorder="1" applyAlignment="1">
      <alignment horizontal="center" vertical="center"/>
    </xf>
    <xf numFmtId="176" fontId="166" fillId="0" borderId="12" xfId="2331" applyNumberFormat="1" applyFont="1" applyBorder="1" applyAlignment="1">
      <alignment horizontal="center" vertical="center" wrapText="1"/>
    </xf>
    <xf numFmtId="0" fontId="103" fillId="0" borderId="12" xfId="2087" applyNumberFormat="1" applyFont="1" applyBorder="1" applyAlignment="1">
      <alignment horizontal="center" vertical="center"/>
    </xf>
    <xf numFmtId="0" fontId="102" fillId="0" borderId="4" xfId="2329" quotePrefix="1" applyNumberFormat="1" applyFont="1" applyBorder="1" applyAlignment="1">
      <alignment horizontal="left" vertical="center" wrapText="1"/>
    </xf>
    <xf numFmtId="0" fontId="85" fillId="0" borderId="0" xfId="2340" applyNumberFormat="1" applyFont="1" applyAlignment="1">
      <alignment horizontal="center" vertical="center"/>
    </xf>
    <xf numFmtId="240" fontId="168" fillId="0" borderId="5" xfId="579" applyNumberFormat="1" applyFont="1" applyBorder="1" applyAlignment="1">
      <alignment horizontal="center" vertical="center"/>
    </xf>
    <xf numFmtId="1" fontId="167" fillId="0" borderId="5" xfId="579" applyNumberFormat="1" applyFont="1" applyBorder="1" applyAlignment="1">
      <alignment horizontal="center" vertical="center"/>
    </xf>
    <xf numFmtId="240" fontId="168" fillId="0" borderId="0" xfId="579" applyNumberFormat="1" applyFont="1" applyAlignment="1">
      <alignment horizontal="center" vertical="center"/>
    </xf>
    <xf numFmtId="0" fontId="11" fillId="0" borderId="86" xfId="0" applyFont="1" applyBorder="1" applyAlignment="1">
      <alignment horizontal="center" vertical="center"/>
    </xf>
    <xf numFmtId="2" fontId="104" fillId="40" borderId="5" xfId="1034" applyNumberFormat="1" applyFont="1" applyFill="1" applyBorder="1" applyAlignment="1">
      <alignment horizontal="center" vertical="center"/>
    </xf>
    <xf numFmtId="4" fontId="103" fillId="40" borderId="2" xfId="2329" applyNumberFormat="1" applyFont="1" applyFill="1" applyBorder="1" applyAlignment="1">
      <alignment horizontal="center" vertical="center"/>
    </xf>
    <xf numFmtId="178" fontId="103" fillId="0" borderId="3" xfId="2329" applyFont="1" applyBorder="1" applyAlignment="1">
      <alignment horizontal="center" vertical="center"/>
    </xf>
    <xf numFmtId="0" fontId="103" fillId="0" borderId="0" xfId="2329" applyNumberFormat="1" applyFont="1" applyAlignment="1">
      <alignment horizontal="center" vertical="center"/>
    </xf>
    <xf numFmtId="0" fontId="103" fillId="0" borderId="13" xfId="2329" applyNumberFormat="1" applyFont="1" applyBorder="1" applyAlignment="1">
      <alignment horizontal="center" vertical="center" wrapText="1"/>
    </xf>
    <xf numFmtId="3" fontId="107" fillId="0" borderId="12" xfId="2329" applyNumberFormat="1" applyFont="1" applyBorder="1" applyAlignment="1">
      <alignment horizontal="center" vertical="center"/>
    </xf>
    <xf numFmtId="0" fontId="169" fillId="0" borderId="88" xfId="0" applyFont="1" applyBorder="1" applyAlignment="1">
      <alignment vertical="center" wrapText="1"/>
    </xf>
    <xf numFmtId="0" fontId="170" fillId="0" borderId="88" xfId="0" applyFont="1" applyBorder="1" applyAlignment="1">
      <alignment vertical="center" wrapText="1"/>
    </xf>
    <xf numFmtId="0" fontId="107" fillId="0" borderId="42" xfId="2329" applyNumberFormat="1" applyFont="1" applyBorder="1" applyAlignment="1">
      <alignment horizontal="center" vertical="center" wrapText="1"/>
    </xf>
    <xf numFmtId="0" fontId="11" fillId="0" borderId="4" xfId="2329" applyNumberFormat="1" applyFont="1" applyBorder="1" applyAlignment="1">
      <alignment horizontal="left" vertical="center" wrapText="1"/>
    </xf>
    <xf numFmtId="1" fontId="4" fillId="0" borderId="56" xfId="579" applyNumberFormat="1" applyFont="1" applyBorder="1" applyAlignment="1">
      <alignment horizontal="center" vertical="center"/>
    </xf>
    <xf numFmtId="0" fontId="85" fillId="0" borderId="57" xfId="2329" applyNumberFormat="1" applyFont="1" applyBorder="1" applyAlignment="1">
      <alignment horizontal="center" vertical="center"/>
    </xf>
    <xf numFmtId="176" fontId="138" fillId="0" borderId="60" xfId="2331" applyNumberFormat="1" applyFont="1" applyBorder="1" applyAlignment="1">
      <alignment horizontal="center" vertical="center"/>
    </xf>
    <xf numFmtId="3" fontId="85" fillId="0" borderId="9" xfId="2329" applyNumberFormat="1" applyFont="1" applyBorder="1" applyAlignment="1">
      <alignment horizontal="center" vertical="center"/>
    </xf>
    <xf numFmtId="4" fontId="85" fillId="0" borderId="9" xfId="2329" applyNumberFormat="1" applyFont="1" applyBorder="1" applyAlignment="1">
      <alignment horizontal="center" vertical="center"/>
    </xf>
    <xf numFmtId="4" fontId="85" fillId="0" borderId="55" xfId="2329" applyNumberFormat="1" applyFont="1" applyBorder="1" applyAlignment="1">
      <alignment horizontal="center" vertical="center"/>
    </xf>
    <xf numFmtId="0" fontId="85" fillId="0" borderId="4" xfId="2329" applyNumberFormat="1" applyFont="1" applyBorder="1" applyAlignment="1">
      <alignment horizontal="left" vertical="center" wrapText="1"/>
    </xf>
    <xf numFmtId="0" fontId="85" fillId="0" borderId="42" xfId="2329" applyNumberFormat="1" applyFont="1" applyBorder="1" applyAlignment="1">
      <alignment horizontal="center" vertical="center" wrapText="1"/>
    </xf>
    <xf numFmtId="0" fontId="0" fillId="12" borderId="0" xfId="0" applyFill="1" applyAlignment="1">
      <alignment vertical="center"/>
    </xf>
    <xf numFmtId="0" fontId="14" fillId="0" borderId="0" xfId="0" applyFont="1" applyAlignment="1">
      <alignment horizontal="left" vertical="center"/>
    </xf>
    <xf numFmtId="176" fontId="11" fillId="0" borderId="0" xfId="1051" applyNumberFormat="1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4" fillId="0" borderId="79" xfId="0" applyFont="1" applyBorder="1" applyAlignment="1">
      <alignment horizontal="center" vertical="center" wrapText="1"/>
    </xf>
    <xf numFmtId="178" fontId="85" fillId="0" borderId="4" xfId="2329" applyFont="1" applyBorder="1" applyAlignment="1">
      <alignment horizontal="center" vertical="center"/>
    </xf>
    <xf numFmtId="9" fontId="0" fillId="0" borderId="0" xfId="6362" applyFont="1"/>
    <xf numFmtId="0" fontId="8" fillId="0" borderId="0" xfId="1051" applyNumberFormat="1" applyFont="1" applyAlignment="1">
      <alignment vertical="center"/>
    </xf>
    <xf numFmtId="4" fontId="104" fillId="40" borderId="3" xfId="1034" applyNumberFormat="1" applyFont="1" applyFill="1" applyBorder="1" applyAlignment="1">
      <alignment horizontal="center" vertical="center"/>
    </xf>
    <xf numFmtId="0" fontId="1" fillId="0" borderId="0" xfId="12" applyFont="1" applyAlignment="1">
      <alignment horizontal="center" vertical="center"/>
    </xf>
    <xf numFmtId="0" fontId="1" fillId="0" borderId="0" xfId="12" applyFont="1" applyAlignment="1">
      <alignment vertical="center"/>
    </xf>
    <xf numFmtId="2" fontId="1" fillId="0" borderId="0" xfId="12" applyNumberFormat="1" applyFont="1" applyAlignment="1">
      <alignment vertical="center"/>
    </xf>
    <xf numFmtId="0" fontId="1" fillId="0" borderId="0" xfId="12" applyFont="1" applyAlignment="1">
      <alignment horizontal="center"/>
    </xf>
    <xf numFmtId="0" fontId="1" fillId="0" borderId="0" xfId="12" applyFont="1"/>
    <xf numFmtId="0" fontId="0" fillId="0" borderId="0" xfId="0" applyAlignment="1">
      <alignment horizontal="right"/>
    </xf>
    <xf numFmtId="4" fontId="0" fillId="0" borderId="61" xfId="0" applyNumberFormat="1" applyBorder="1" applyAlignment="1">
      <alignment horizontal="center"/>
    </xf>
    <xf numFmtId="0" fontId="0" fillId="88" borderId="0" xfId="0" applyFill="1" applyAlignment="1">
      <alignment horizontal="center"/>
    </xf>
    <xf numFmtId="0" fontId="0" fillId="88" borderId="0" xfId="0" applyFill="1"/>
    <xf numFmtId="170" fontId="0" fillId="0" borderId="0" xfId="0" applyNumberFormat="1" applyAlignment="1">
      <alignment horizontal="center"/>
    </xf>
    <xf numFmtId="176" fontId="128" fillId="0" borderId="0" xfId="1051" applyNumberFormat="1" applyFont="1" applyAlignment="1">
      <alignment horizontal="left" vertical="center"/>
    </xf>
    <xf numFmtId="0" fontId="0" fillId="54" borderId="0" xfId="0" applyFill="1" applyAlignment="1">
      <alignment horizontal="left"/>
    </xf>
    <xf numFmtId="233" fontId="0" fillId="54" borderId="0" xfId="1" applyNumberFormat="1" applyFont="1" applyFill="1" applyBorder="1" applyAlignment="1">
      <alignment horizontal="center"/>
    </xf>
    <xf numFmtId="168" fontId="0" fillId="54" borderId="0" xfId="1" applyFont="1" applyFill="1" applyBorder="1" applyAlignment="1">
      <alignment horizontal="center"/>
    </xf>
    <xf numFmtId="234" fontId="0" fillId="54" borderId="0" xfId="1" applyNumberFormat="1" applyFont="1" applyFill="1" applyBorder="1" applyAlignment="1">
      <alignment horizontal="center"/>
    </xf>
    <xf numFmtId="0" fontId="0" fillId="54" borderId="0" xfId="0" applyFill="1"/>
    <xf numFmtId="4" fontId="103" fillId="54" borderId="0" xfId="2329" applyNumberFormat="1" applyFont="1" applyFill="1" applyAlignment="1">
      <alignment horizontal="center" vertical="center"/>
    </xf>
    <xf numFmtId="4" fontId="0" fillId="54" borderId="0" xfId="0" applyNumberFormat="1" applyFill="1" applyAlignment="1">
      <alignment horizontal="center"/>
    </xf>
    <xf numFmtId="1" fontId="14" fillId="0" borderId="0" xfId="0" applyNumberFormat="1" applyFont="1" applyAlignment="1">
      <alignment horizontal="center"/>
    </xf>
    <xf numFmtId="196" fontId="0" fillId="0" borderId="0" xfId="0" applyNumberFormat="1" applyAlignment="1">
      <alignment horizontal="center"/>
    </xf>
    <xf numFmtId="0" fontId="0" fillId="0" borderId="0" xfId="1" applyNumberFormat="1" applyFont="1" applyFill="1" applyBorder="1" applyAlignment="1">
      <alignment horizontal="right" vertical="center"/>
    </xf>
    <xf numFmtId="0" fontId="0" fillId="0" borderId="0" xfId="1" applyNumberFormat="1" applyFont="1" applyFill="1" applyBorder="1" applyAlignment="1">
      <alignment horizontal="center" vertical="center"/>
    </xf>
    <xf numFmtId="234" fontId="0" fillId="0" borderId="0" xfId="1" applyNumberFormat="1" applyFont="1" applyFill="1" applyBorder="1" applyAlignment="1">
      <alignment horizontal="center" vertical="center"/>
    </xf>
    <xf numFmtId="1" fontId="167" fillId="0" borderId="56" xfId="579" applyNumberFormat="1" applyFont="1" applyBorder="1" applyAlignment="1">
      <alignment horizontal="center" vertical="center"/>
    </xf>
    <xf numFmtId="1" fontId="167" fillId="0" borderId="10" xfId="579" applyNumberFormat="1" applyFont="1" applyBorder="1" applyAlignment="1">
      <alignment horizontal="center" vertical="center"/>
    </xf>
    <xf numFmtId="239" fontId="167" fillId="0" borderId="5" xfId="579" applyNumberFormat="1" applyFont="1" applyBorder="1" applyAlignment="1">
      <alignment horizontal="center" vertical="center"/>
    </xf>
    <xf numFmtId="240" fontId="172" fillId="0" borderId="10" xfId="579" applyNumberFormat="1" applyFont="1" applyBorder="1" applyAlignment="1">
      <alignment horizontal="center" vertical="center"/>
    </xf>
    <xf numFmtId="240" fontId="172" fillId="0" borderId="5" xfId="579" applyNumberFormat="1" applyFont="1" applyBorder="1" applyAlignment="1">
      <alignment horizontal="center" vertical="center"/>
    </xf>
    <xf numFmtId="1" fontId="173" fillId="0" borderId="5" xfId="579" applyNumberFormat="1" applyFont="1" applyBorder="1" applyAlignment="1">
      <alignment horizontal="center" vertical="center"/>
    </xf>
    <xf numFmtId="0" fontId="103" fillId="0" borderId="4" xfId="2087" applyNumberFormat="1" applyFont="1" applyBorder="1" applyAlignment="1">
      <alignment horizontal="left" vertical="center"/>
    </xf>
    <xf numFmtId="0" fontId="103" fillId="0" borderId="4" xfId="2329" quotePrefix="1" applyNumberFormat="1" applyFont="1" applyBorder="1" applyAlignment="1">
      <alignment horizontal="left" vertical="center"/>
    </xf>
    <xf numFmtId="0" fontId="103" fillId="0" borderId="4" xfId="2329" quotePrefix="1" applyNumberFormat="1" applyFont="1" applyBorder="1" applyAlignment="1">
      <alignment horizontal="left" vertical="center" wrapText="1"/>
    </xf>
    <xf numFmtId="0" fontId="107" fillId="0" borderId="9" xfId="2329" applyNumberFormat="1" applyFont="1" applyBorder="1" applyAlignment="1">
      <alignment horizontal="center" vertical="center"/>
    </xf>
    <xf numFmtId="176" fontId="8" fillId="0" borderId="0" xfId="1051" applyNumberFormat="1" applyFont="1" applyAlignment="1">
      <alignment horizontal="center" vertical="center" wrapText="1"/>
    </xf>
    <xf numFmtId="0" fontId="106" fillId="3" borderId="12" xfId="2087" applyNumberFormat="1" applyFont="1" applyFill="1" applyBorder="1" applyAlignment="1">
      <alignment horizontal="center" vertical="center" wrapText="1"/>
    </xf>
    <xf numFmtId="0" fontId="107" fillId="0" borderId="4" xfId="2329" applyNumberFormat="1" applyFont="1" applyBorder="1" applyAlignment="1">
      <alignment horizontal="center" vertical="center" wrapText="1"/>
    </xf>
    <xf numFmtId="0" fontId="106" fillId="3" borderId="4" xfId="2087" applyNumberFormat="1" applyFont="1" applyFill="1" applyBorder="1" applyAlignment="1">
      <alignment horizontal="center" vertical="center" wrapText="1"/>
    </xf>
    <xf numFmtId="176" fontId="109" fillId="0" borderId="3" xfId="2331" applyNumberFormat="1" applyFont="1" applyBorder="1" applyAlignment="1">
      <alignment horizontal="center" vertical="center" wrapText="1"/>
    </xf>
    <xf numFmtId="176" fontId="109" fillId="0" borderId="12" xfId="2331" applyNumberFormat="1" applyFont="1" applyBorder="1" applyAlignment="1">
      <alignment horizontal="center" vertical="center" wrapText="1"/>
    </xf>
    <xf numFmtId="0" fontId="106" fillId="3" borderId="7" xfId="2329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8" fillId="4" borderId="0" xfId="1005" applyNumberFormat="1" applyFont="1" applyFill="1" applyAlignment="1">
      <alignment horizontal="center" vertical="center" wrapText="1"/>
    </xf>
    <xf numFmtId="176" fontId="85" fillId="0" borderId="0" xfId="2340" applyNumberFormat="1" applyFont="1" applyAlignment="1">
      <alignment horizontal="center" vertical="center" wrapText="1"/>
    </xf>
    <xf numFmtId="176" fontId="8" fillId="0" borderId="0" xfId="2340" applyNumberFormat="1" applyFont="1" applyAlignment="1">
      <alignment horizontal="center" vertical="center" wrapText="1"/>
    </xf>
    <xf numFmtId="0" fontId="8" fillId="0" borderId="0" xfId="1051" applyNumberFormat="1" applyFont="1" applyAlignment="1">
      <alignment horizontal="center" vertical="center" wrapText="1"/>
    </xf>
    <xf numFmtId="176" fontId="87" fillId="0" borderId="0" xfId="1051" applyNumberFormat="1" applyFont="1" applyAlignment="1">
      <alignment horizontal="left" vertical="center" wrapText="1"/>
    </xf>
    <xf numFmtId="0" fontId="106" fillId="3" borderId="12" xfId="2087" applyNumberFormat="1" applyFont="1" applyFill="1" applyBorder="1" applyAlignment="1">
      <alignment horizontal="left" vertical="center" wrapText="1"/>
    </xf>
    <xf numFmtId="0" fontId="106" fillId="3" borderId="4" xfId="2087" applyNumberFormat="1" applyFont="1" applyFill="1" applyBorder="1" applyAlignment="1">
      <alignment horizontal="left" vertical="center" wrapText="1"/>
    </xf>
    <xf numFmtId="0" fontId="106" fillId="3" borderId="7" xfId="2329" applyNumberFormat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7" fillId="4" borderId="0" xfId="1005" applyNumberFormat="1" applyFont="1" applyFill="1" applyAlignment="1">
      <alignment vertical="center" wrapText="1"/>
    </xf>
    <xf numFmtId="176" fontId="85" fillId="0" borderId="0" xfId="2340" applyNumberFormat="1" applyFont="1" applyAlignment="1">
      <alignment vertical="center" wrapText="1"/>
    </xf>
    <xf numFmtId="0" fontId="0" fillId="0" borderId="0" xfId="2340" applyNumberFormat="1" applyFont="1" applyAlignment="1">
      <alignment vertical="center" wrapText="1"/>
    </xf>
    <xf numFmtId="176" fontId="8" fillId="0" borderId="0" xfId="2340" applyNumberFormat="1" applyFont="1" applyAlignment="1">
      <alignment vertical="center" wrapText="1"/>
    </xf>
    <xf numFmtId="176" fontId="8" fillId="0" borderId="0" xfId="1051" applyNumberFormat="1" applyFont="1" applyAlignment="1">
      <alignment vertical="center" wrapText="1"/>
    </xf>
    <xf numFmtId="0" fontId="102" fillId="3" borderId="13" xfId="2087" applyNumberFormat="1" applyFont="1" applyFill="1" applyBorder="1" applyAlignment="1">
      <alignment horizontal="left" vertical="center" wrapText="1"/>
    </xf>
    <xf numFmtId="0" fontId="102" fillId="3" borderId="42" xfId="2087" applyNumberFormat="1" applyFont="1" applyFill="1" applyBorder="1" applyAlignment="1">
      <alignment horizontal="left" vertical="center" wrapText="1"/>
    </xf>
    <xf numFmtId="0" fontId="106" fillId="3" borderId="8" xfId="2329" applyNumberFormat="1" applyFont="1" applyFill="1" applyBorder="1" applyAlignment="1">
      <alignment horizontal="center" vertical="center" wrapText="1"/>
    </xf>
    <xf numFmtId="37" fontId="11" fillId="4" borderId="0" xfId="1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/>
    </xf>
    <xf numFmtId="176" fontId="174" fillId="0" borderId="0" xfId="1051" applyNumberFormat="1" applyFont="1" applyAlignment="1">
      <alignment horizontal="center" vertical="center"/>
    </xf>
    <xf numFmtId="0" fontId="175" fillId="3" borderId="10" xfId="2087" applyNumberFormat="1" applyFont="1" applyFill="1" applyBorder="1" applyAlignment="1">
      <alignment horizontal="left" vertical="center"/>
    </xf>
    <xf numFmtId="1" fontId="167" fillId="0" borderId="5" xfId="579" applyNumberFormat="1" applyFont="1" applyBorder="1" applyAlignment="1">
      <alignment horizontal="center" vertical="center" wrapText="1"/>
    </xf>
    <xf numFmtId="0" fontId="175" fillId="3" borderId="5" xfId="2087" applyNumberFormat="1" applyFont="1" applyFill="1" applyBorder="1" applyAlignment="1">
      <alignment horizontal="left" vertical="center"/>
    </xf>
    <xf numFmtId="0" fontId="167" fillId="0" borderId="0" xfId="0" applyFont="1"/>
    <xf numFmtId="0" fontId="175" fillId="4" borderId="0" xfId="10" applyNumberFormat="1" applyFont="1" applyFill="1" applyAlignment="1">
      <alignment vertical="center"/>
    </xf>
    <xf numFmtId="176" fontId="174" fillId="0" borderId="0" xfId="792" applyNumberFormat="1" applyFont="1" applyAlignment="1">
      <alignment vertical="center"/>
    </xf>
    <xf numFmtId="0" fontId="177" fillId="3" borderId="10" xfId="2087" applyNumberFormat="1" applyFont="1" applyFill="1" applyBorder="1" applyAlignment="1">
      <alignment horizontal="left" vertical="center"/>
    </xf>
    <xf numFmtId="1" fontId="172" fillId="0" borderId="5" xfId="579" applyNumberFormat="1" applyFont="1" applyBorder="1" applyAlignment="1">
      <alignment horizontal="center" vertical="center"/>
    </xf>
    <xf numFmtId="0" fontId="178" fillId="0" borderId="5" xfId="2329" applyNumberFormat="1" applyFont="1" applyBorder="1" applyAlignment="1">
      <alignment horizontal="left" vertical="center"/>
    </xf>
    <xf numFmtId="0" fontId="177" fillId="3" borderId="5" xfId="2087" applyNumberFormat="1" applyFont="1" applyFill="1" applyBorder="1" applyAlignment="1">
      <alignment horizontal="left" vertical="center"/>
    </xf>
    <xf numFmtId="1" fontId="172" fillId="0" borderId="10" xfId="579" applyNumberFormat="1" applyFont="1" applyBorder="1" applyAlignment="1">
      <alignment horizontal="center" vertical="center"/>
    </xf>
    <xf numFmtId="0" fontId="177" fillId="3" borderId="34" xfId="2329" applyNumberFormat="1" applyFont="1" applyFill="1" applyBorder="1" applyAlignment="1">
      <alignment horizontal="left" vertical="center"/>
    </xf>
    <xf numFmtId="0" fontId="175" fillId="4" borderId="0" xfId="1005" applyNumberFormat="1" applyFont="1" applyFill="1" applyAlignment="1">
      <alignment vertical="center"/>
    </xf>
    <xf numFmtId="176" fontId="174" fillId="0" borderId="0" xfId="2340" applyNumberFormat="1" applyFont="1" applyAlignment="1">
      <alignment vertical="center"/>
    </xf>
    <xf numFmtId="176" fontId="174" fillId="0" borderId="0" xfId="1051" applyNumberFormat="1" applyFont="1" applyAlignment="1">
      <alignment vertical="center"/>
    </xf>
    <xf numFmtId="176" fontId="174" fillId="0" borderId="0" xfId="1056" applyNumberFormat="1" applyFont="1" applyAlignment="1">
      <alignment horizontal="center" vertical="center"/>
    </xf>
    <xf numFmtId="176" fontId="174" fillId="0" borderId="0" xfId="1056" applyNumberFormat="1" applyFont="1" applyAlignment="1">
      <alignment vertical="center"/>
    </xf>
    <xf numFmtId="0" fontId="177" fillId="3" borderId="5" xfId="2329" applyNumberFormat="1" applyFont="1" applyFill="1" applyBorder="1" applyAlignment="1">
      <alignment horizontal="left" vertical="center"/>
    </xf>
    <xf numFmtId="176" fontId="174" fillId="0" borderId="0" xfId="3" applyFont="1" applyAlignment="1">
      <alignment vertical="center"/>
    </xf>
    <xf numFmtId="176" fontId="174" fillId="0" borderId="0" xfId="3" applyFont="1" applyAlignment="1">
      <alignment horizontal="center" vertical="center"/>
    </xf>
    <xf numFmtId="0" fontId="176" fillId="2" borderId="71" xfId="3" applyNumberFormat="1" applyFont="1" applyFill="1" applyBorder="1" applyAlignment="1">
      <alignment horizontal="center" vertical="center" wrapText="1"/>
    </xf>
    <xf numFmtId="0" fontId="176" fillId="2" borderId="70" xfId="3" applyNumberFormat="1" applyFont="1" applyFill="1" applyBorder="1" applyAlignment="1">
      <alignment horizontal="center" vertical="center" wrapText="1"/>
    </xf>
    <xf numFmtId="0" fontId="176" fillId="2" borderId="73" xfId="3" applyNumberFormat="1" applyFont="1" applyFill="1" applyBorder="1" applyAlignment="1">
      <alignment horizontal="center" vertical="center" wrapText="1"/>
    </xf>
    <xf numFmtId="0" fontId="175" fillId="3" borderId="5" xfId="2329" applyNumberFormat="1" applyFont="1" applyFill="1" applyBorder="1" applyAlignment="1">
      <alignment horizontal="left" vertical="center" wrapText="1"/>
    </xf>
    <xf numFmtId="0" fontId="175" fillId="3" borderId="34" xfId="2329" applyNumberFormat="1" applyFont="1" applyFill="1" applyBorder="1" applyAlignment="1">
      <alignment horizontal="left" vertical="center" wrapText="1"/>
    </xf>
    <xf numFmtId="178" fontId="103" fillId="0" borderId="4" xfId="2329" applyFont="1" applyBorder="1" applyAlignment="1">
      <alignment horizontal="center" vertical="center"/>
    </xf>
    <xf numFmtId="0" fontId="0" fillId="40" borderId="0" xfId="0" applyFill="1" applyAlignment="1">
      <alignment horizontal="center" vertical="center"/>
    </xf>
    <xf numFmtId="4" fontId="85" fillId="54" borderId="0" xfId="2329" applyNumberFormat="1" applyFont="1" applyFill="1" applyAlignment="1">
      <alignment horizontal="center" vertical="center"/>
    </xf>
    <xf numFmtId="0" fontId="0" fillId="54" borderId="0" xfId="0" applyFill="1" applyAlignment="1">
      <alignment horizontal="center" vertical="center"/>
    </xf>
    <xf numFmtId="0" fontId="85" fillId="54" borderId="0" xfId="6362" applyNumberFormat="1" applyFont="1" applyFill="1" applyBorder="1" applyAlignment="1">
      <alignment horizontal="center" vertical="center"/>
    </xf>
    <xf numFmtId="3" fontId="107" fillId="0" borderId="2" xfId="2329" applyNumberFormat="1" applyFont="1" applyBorder="1" applyAlignment="1">
      <alignment horizontal="center" vertical="center"/>
    </xf>
    <xf numFmtId="0" fontId="106" fillId="3" borderId="85" xfId="2087" applyNumberFormat="1" applyFont="1" applyFill="1" applyBorder="1" applyAlignment="1">
      <alignment horizontal="center" vertical="center"/>
    </xf>
    <xf numFmtId="4" fontId="107" fillId="0" borderId="33" xfId="2329" applyNumberFormat="1" applyFont="1" applyBorder="1" applyAlignment="1">
      <alignment horizontal="center" vertical="center"/>
    </xf>
    <xf numFmtId="176" fontId="8" fillId="0" borderId="89" xfId="1051" applyNumberFormat="1" applyFont="1" applyBorder="1" applyAlignment="1">
      <alignment vertical="center"/>
    </xf>
    <xf numFmtId="2" fontId="8" fillId="0" borderId="0" xfId="3" applyNumberFormat="1" applyFont="1" applyAlignment="1">
      <alignment vertical="center"/>
    </xf>
    <xf numFmtId="0" fontId="8" fillId="0" borderId="0" xfId="1" applyNumberFormat="1" applyFont="1" applyBorder="1" applyAlignment="1">
      <alignment horizontal="center" vertical="center"/>
    </xf>
    <xf numFmtId="0" fontId="107" fillId="40" borderId="4" xfId="2087" applyNumberFormat="1" applyFont="1" applyFill="1" applyBorder="1" applyAlignment="1">
      <alignment horizontal="center" vertical="center" wrapText="1"/>
    </xf>
    <xf numFmtId="0" fontId="6" fillId="43" borderId="79" xfId="1056" applyNumberFormat="1" applyFont="1" applyFill="1" applyBorder="1" applyAlignment="1">
      <alignment horizontal="center" vertical="center" wrapText="1"/>
    </xf>
    <xf numFmtId="0" fontId="88" fillId="43" borderId="85" xfId="1034" applyNumberFormat="1" applyFont="1" applyFill="1" applyBorder="1" applyAlignment="1">
      <alignment horizontal="center" vertical="center" wrapText="1"/>
    </xf>
    <xf numFmtId="0" fontId="113" fillId="54" borderId="86" xfId="0" applyFont="1" applyFill="1" applyBorder="1" applyAlignment="1">
      <alignment horizontal="left"/>
    </xf>
    <xf numFmtId="0" fontId="14" fillId="13" borderId="61" xfId="0" applyFont="1" applyFill="1" applyBorder="1" applyAlignment="1">
      <alignment horizontal="center" vertical="center"/>
    </xf>
    <xf numFmtId="0" fontId="0" fillId="0" borderId="86" xfId="0" applyBorder="1" applyAlignment="1">
      <alignment vertical="center"/>
    </xf>
    <xf numFmtId="0" fontId="0" fillId="0" borderId="86" xfId="0" applyBorder="1" applyAlignment="1">
      <alignment vertical="center" wrapText="1"/>
    </xf>
    <xf numFmtId="0" fontId="176" fillId="43" borderId="73" xfId="1056" applyNumberFormat="1" applyFont="1" applyFill="1" applyBorder="1" applyAlignment="1">
      <alignment horizontal="center" vertical="center" wrapText="1"/>
    </xf>
    <xf numFmtId="0" fontId="6" fillId="2" borderId="79" xfId="3" applyNumberFormat="1" applyFont="1" applyFill="1" applyBorder="1" applyAlignment="1">
      <alignment horizontal="center" vertical="center" wrapText="1"/>
    </xf>
    <xf numFmtId="0" fontId="13" fillId="2" borderId="79" xfId="1051" applyNumberFormat="1" applyFont="1" applyFill="1" applyBorder="1" applyAlignment="1">
      <alignment horizontal="center" vertical="center" wrapText="1"/>
    </xf>
    <xf numFmtId="0" fontId="13" fillId="2" borderId="73" xfId="1051" applyNumberFormat="1" applyFont="1" applyFill="1" applyBorder="1" applyAlignment="1">
      <alignment horizontal="center" vertical="center" wrapText="1"/>
    </xf>
    <xf numFmtId="0" fontId="176" fillId="2" borderId="73" xfId="1051" applyNumberFormat="1" applyFont="1" applyFill="1" applyBorder="1" applyAlignment="1">
      <alignment horizontal="center" vertical="center" wrapText="1"/>
    </xf>
    <xf numFmtId="10" fontId="0" fillId="0" borderId="0" xfId="6362" applyNumberFormat="1" applyFont="1" applyAlignment="1">
      <alignment horizontal="left" vertical="center"/>
    </xf>
    <xf numFmtId="0" fontId="0" fillId="0" borderId="66" xfId="0" applyBorder="1"/>
    <xf numFmtId="0" fontId="14" fillId="0" borderId="66" xfId="0" applyFont="1" applyBorder="1"/>
    <xf numFmtId="0" fontId="84" fillId="0" borderId="66" xfId="12" applyFont="1" applyBorder="1" applyAlignment="1">
      <alignment horizontal="left" vertical="center" indent="1"/>
    </xf>
    <xf numFmtId="0" fontId="18" fillId="44" borderId="66" xfId="12" applyFont="1" applyFill="1" applyBorder="1" applyAlignment="1">
      <alignment horizontal="left" vertical="center" indent="1"/>
    </xf>
    <xf numFmtId="0" fontId="111" fillId="44" borderId="66" xfId="0" applyFont="1" applyFill="1" applyBorder="1" applyAlignment="1">
      <alignment horizontal="center" vertical="center" wrapText="1"/>
    </xf>
    <xf numFmtId="0" fontId="112" fillId="3" borderId="66" xfId="0" applyFont="1" applyFill="1" applyBorder="1" applyAlignment="1">
      <alignment horizontal="center" vertical="center"/>
    </xf>
    <xf numFmtId="0" fontId="110" fillId="3" borderId="66" xfId="0" applyFont="1" applyFill="1" applyBorder="1" applyAlignment="1">
      <alignment horizontal="center"/>
    </xf>
    <xf numFmtId="0" fontId="112" fillId="0" borderId="66" xfId="0" applyFont="1" applyBorder="1" applyAlignment="1">
      <alignment horizontal="center" vertical="center"/>
    </xf>
    <xf numFmtId="0" fontId="112" fillId="0" borderId="66" xfId="0" applyFont="1" applyBorder="1" applyAlignment="1">
      <alignment vertical="center"/>
    </xf>
    <xf numFmtId="2" fontId="136" fillId="0" borderId="66" xfId="0" applyNumberFormat="1" applyFont="1" applyBorder="1" applyAlignment="1">
      <alignment horizontal="center"/>
    </xf>
    <xf numFmtId="0" fontId="136" fillId="0" borderId="66" xfId="0" applyFont="1" applyBorder="1" applyAlignment="1">
      <alignment horizontal="center"/>
    </xf>
    <xf numFmtId="0" fontId="136" fillId="3" borderId="66" xfId="0" applyFont="1" applyFill="1" applyBorder="1" applyAlignment="1">
      <alignment horizontal="center"/>
    </xf>
    <xf numFmtId="0" fontId="112" fillId="0" borderId="66" xfId="0" applyFont="1" applyBorder="1" applyAlignment="1">
      <alignment vertical="center" wrapText="1"/>
    </xf>
    <xf numFmtId="0" fontId="136" fillId="0" borderId="66" xfId="0" applyFont="1" applyBorder="1" applyAlignment="1">
      <alignment horizontal="center" vertical="center"/>
    </xf>
    <xf numFmtId="2" fontId="136" fillId="3" borderId="66" xfId="0" applyNumberFormat="1" applyFont="1" applyFill="1" applyBorder="1" applyAlignment="1">
      <alignment horizontal="center"/>
    </xf>
    <xf numFmtId="0" fontId="13" fillId="43" borderId="66" xfId="1034" applyNumberFormat="1" applyFont="1" applyFill="1" applyBorder="1" applyAlignment="1">
      <alignment horizontal="center" vertical="center" wrapText="1"/>
    </xf>
    <xf numFmtId="2" fontId="14" fillId="0" borderId="66" xfId="0" applyNumberFormat="1" applyFont="1" applyBorder="1"/>
    <xf numFmtId="0" fontId="88" fillId="43" borderId="66" xfId="1034" applyNumberFormat="1" applyFont="1" applyFill="1" applyBorder="1" applyAlignment="1">
      <alignment horizontal="center" vertical="center" wrapText="1"/>
    </xf>
    <xf numFmtId="0" fontId="6" fillId="43" borderId="66" xfId="1056" applyNumberFormat="1" applyFont="1" applyFill="1" applyBorder="1" applyAlignment="1">
      <alignment horizontal="center" vertical="center" wrapText="1"/>
    </xf>
    <xf numFmtId="4" fontId="0" fillId="0" borderId="66" xfId="0" applyNumberFormat="1" applyBorder="1" applyAlignment="1">
      <alignment horizontal="center"/>
    </xf>
    <xf numFmtId="3" fontId="0" fillId="0" borderId="66" xfId="0" applyNumberFormat="1" applyBorder="1" applyAlignment="1">
      <alignment horizontal="center"/>
    </xf>
    <xf numFmtId="4" fontId="113" fillId="54" borderId="66" xfId="0" applyNumberFormat="1" applyFont="1" applyFill="1" applyBorder="1" applyAlignment="1">
      <alignment horizontal="center"/>
    </xf>
    <xf numFmtId="2" fontId="4" fillId="0" borderId="66" xfId="0" applyNumberFormat="1" applyFont="1" applyBorder="1" applyAlignment="1">
      <alignment horizontal="center" vertical="center"/>
    </xf>
    <xf numFmtId="178" fontId="0" fillId="0" borderId="66" xfId="0" applyNumberFormat="1" applyBorder="1" applyAlignment="1">
      <alignment horizontal="center"/>
    </xf>
    <xf numFmtId="168" fontId="0" fillId="0" borderId="66" xfId="1" applyFont="1" applyBorder="1" applyAlignment="1">
      <alignment horizontal="center"/>
    </xf>
    <xf numFmtId="168" fontId="0" fillId="0" borderId="66" xfId="1" applyFont="1" applyBorder="1" applyAlignment="1">
      <alignment horizontal="left"/>
    </xf>
    <xf numFmtId="0" fontId="0" fillId="0" borderId="66" xfId="0" applyBorder="1" applyAlignment="1">
      <alignment horizontal="left"/>
    </xf>
    <xf numFmtId="0" fontId="0" fillId="54" borderId="66" xfId="0" applyFill="1" applyBorder="1" applyAlignment="1">
      <alignment horizontal="left"/>
    </xf>
    <xf numFmtId="168" fontId="0" fillId="54" borderId="66" xfId="1" applyFont="1" applyFill="1" applyBorder="1" applyAlignment="1">
      <alignment horizontal="center"/>
    </xf>
    <xf numFmtId="234" fontId="0" fillId="54" borderId="66" xfId="1" applyNumberFormat="1" applyFont="1" applyFill="1" applyBorder="1" applyAlignment="1">
      <alignment horizontal="center"/>
    </xf>
    <xf numFmtId="233" fontId="0" fillId="54" borderId="66" xfId="1" applyNumberFormat="1" applyFont="1" applyFill="1" applyBorder="1" applyAlignment="1">
      <alignment horizontal="center"/>
    </xf>
    <xf numFmtId="168" fontId="0" fillId="54" borderId="66" xfId="1" applyFont="1" applyFill="1" applyBorder="1" applyAlignment="1">
      <alignment horizontal="left"/>
    </xf>
    <xf numFmtId="234" fontId="0" fillId="54" borderId="66" xfId="1" applyNumberFormat="1" applyFont="1" applyFill="1" applyBorder="1" applyAlignment="1">
      <alignment horizontal="left" indent="1"/>
    </xf>
    <xf numFmtId="194" fontId="0" fillId="54" borderId="66" xfId="1" applyNumberFormat="1" applyFont="1" applyFill="1" applyBorder="1" applyAlignment="1">
      <alignment horizontal="center"/>
    </xf>
    <xf numFmtId="233" fontId="0" fillId="0" borderId="66" xfId="1" applyNumberFormat="1" applyFont="1" applyBorder="1" applyAlignment="1">
      <alignment horizontal="center"/>
    </xf>
    <xf numFmtId="234" fontId="0" fillId="54" borderId="66" xfId="1" applyNumberFormat="1" applyFont="1" applyFill="1" applyBorder="1" applyAlignment="1">
      <alignment horizontal="left"/>
    </xf>
    <xf numFmtId="0" fontId="0" fillId="0" borderId="66" xfId="1" applyNumberFormat="1" applyFont="1" applyBorder="1" applyAlignment="1">
      <alignment horizontal="center"/>
    </xf>
    <xf numFmtId="234" fontId="0" fillId="0" borderId="66" xfId="1" applyNumberFormat="1" applyFont="1" applyBorder="1" applyAlignment="1">
      <alignment horizontal="center"/>
    </xf>
    <xf numFmtId="4" fontId="0" fillId="0" borderId="66" xfId="1" applyNumberFormat="1" applyFont="1" applyBorder="1" applyAlignment="1">
      <alignment horizontal="right"/>
    </xf>
    <xf numFmtId="0" fontId="0" fillId="0" borderId="66" xfId="0" applyBorder="1" applyAlignment="1">
      <alignment vertical="center" wrapText="1"/>
    </xf>
    <xf numFmtId="0" fontId="0" fillId="0" borderId="66" xfId="0" applyBorder="1" applyAlignment="1">
      <alignment horizontal="center"/>
    </xf>
    <xf numFmtId="4" fontId="0" fillId="54" borderId="66" xfId="0" applyNumberFormat="1" applyFill="1" applyBorder="1" applyAlignment="1">
      <alignment horizontal="center"/>
    </xf>
    <xf numFmtId="168" fontId="0" fillId="0" borderId="66" xfId="1" applyFont="1" applyFill="1" applyBorder="1" applyAlignment="1">
      <alignment horizontal="center"/>
    </xf>
    <xf numFmtId="3" fontId="85" fillId="0" borderId="66" xfId="2329" applyNumberFormat="1" applyFont="1" applyBorder="1" applyAlignment="1">
      <alignment horizontal="center" vertical="center"/>
    </xf>
    <xf numFmtId="2" fontId="85" fillId="0" borderId="66" xfId="6362" applyNumberFormat="1" applyFont="1" applyBorder="1" applyAlignment="1">
      <alignment horizontal="center" vertical="center"/>
    </xf>
    <xf numFmtId="178" fontId="85" fillId="0" borderId="66" xfId="2329" applyFont="1" applyBorder="1" applyAlignment="1">
      <alignment horizontal="center" vertical="center"/>
    </xf>
    <xf numFmtId="3" fontId="85" fillId="54" borderId="66" xfId="2329" applyNumberFormat="1" applyFont="1" applyFill="1" applyBorder="1" applyAlignment="1">
      <alignment horizontal="center" vertical="center"/>
    </xf>
    <xf numFmtId="2" fontId="85" fillId="54" borderId="66" xfId="6362" applyNumberFormat="1" applyFont="1" applyFill="1" applyBorder="1" applyAlignment="1">
      <alignment horizontal="center" vertical="center"/>
    </xf>
    <xf numFmtId="178" fontId="85" fillId="54" borderId="66" xfId="2329" applyFont="1" applyFill="1" applyBorder="1" applyAlignment="1">
      <alignment horizontal="center" vertical="center"/>
    </xf>
    <xf numFmtId="1" fontId="0" fillId="0" borderId="66" xfId="0" applyNumberFormat="1" applyBorder="1" applyAlignment="1">
      <alignment horizontal="center"/>
    </xf>
    <xf numFmtId="196" fontId="0" fillId="0" borderId="66" xfId="0" applyNumberFormat="1" applyBorder="1" applyAlignment="1">
      <alignment horizontal="center"/>
    </xf>
    <xf numFmtId="2" fontId="0" fillId="0" borderId="66" xfId="0" applyNumberFormat="1" applyBorder="1" applyAlignment="1">
      <alignment horizontal="center"/>
    </xf>
    <xf numFmtId="1" fontId="14" fillId="88" borderId="66" xfId="0" applyNumberFormat="1" applyFont="1" applyFill="1" applyBorder="1" applyAlignment="1">
      <alignment horizontal="center"/>
    </xf>
    <xf numFmtId="0" fontId="14" fillId="88" borderId="66" xfId="0" applyFont="1" applyFill="1" applyBorder="1" applyAlignment="1">
      <alignment horizontal="center" vertical="center"/>
    </xf>
    <xf numFmtId="0" fontId="0" fillId="88" borderId="66" xfId="0" applyFill="1" applyBorder="1"/>
    <xf numFmtId="1" fontId="0" fillId="88" borderId="66" xfId="0" applyNumberFormat="1" applyFill="1" applyBorder="1" applyAlignment="1">
      <alignment horizontal="center"/>
    </xf>
    <xf numFmtId="196" fontId="0" fillId="88" borderId="66" xfId="0" applyNumberFormat="1" applyFill="1" applyBorder="1" applyAlignment="1">
      <alignment horizontal="center"/>
    </xf>
    <xf numFmtId="0" fontId="7" fillId="13" borderId="66" xfId="0" applyFont="1" applyFill="1" applyBorder="1" applyAlignment="1">
      <alignment horizontal="center" vertical="center"/>
    </xf>
    <xf numFmtId="0" fontId="14" fillId="13" borderId="66" xfId="0" applyFont="1" applyFill="1" applyBorder="1" applyAlignment="1">
      <alignment horizontal="center" vertical="center"/>
    </xf>
    <xf numFmtId="176" fontId="11" fillId="13" borderId="66" xfId="1005" applyFont="1" applyFill="1" applyBorder="1" applyAlignment="1">
      <alignment horizontal="center" vertical="center"/>
    </xf>
    <xf numFmtId="0" fontId="14" fillId="54" borderId="66" xfId="0" applyFont="1" applyFill="1" applyBorder="1"/>
    <xf numFmtId="2" fontId="0" fillId="54" borderId="66" xfId="0" applyNumberFormat="1" applyFill="1" applyBorder="1" applyAlignment="1">
      <alignment horizontal="center"/>
    </xf>
    <xf numFmtId="0" fontId="0" fillId="54" borderId="66" xfId="0" applyFill="1" applyBorder="1"/>
    <xf numFmtId="2" fontId="14" fillId="54" borderId="66" xfId="0" applyNumberFormat="1" applyFont="1" applyFill="1" applyBorder="1" applyAlignment="1">
      <alignment horizontal="center"/>
    </xf>
    <xf numFmtId="196" fontId="14" fillId="54" borderId="66" xfId="0" applyNumberFormat="1" applyFont="1" applyFill="1" applyBorder="1" applyAlignment="1">
      <alignment horizontal="center"/>
    </xf>
    <xf numFmtId="2" fontId="14" fillId="54" borderId="66" xfId="6362" applyNumberFormat="1" applyFont="1" applyFill="1" applyBorder="1" applyAlignment="1">
      <alignment horizontal="center"/>
    </xf>
    <xf numFmtId="219" fontId="14" fillId="54" borderId="66" xfId="0" applyNumberFormat="1" applyFont="1" applyFill="1" applyBorder="1" applyAlignment="1">
      <alignment horizontal="center"/>
    </xf>
    <xf numFmtId="219" fontId="14" fillId="54" borderId="66" xfId="6362" applyNumberFormat="1" applyFont="1" applyFill="1" applyBorder="1" applyAlignment="1">
      <alignment horizontal="center"/>
    </xf>
    <xf numFmtId="0" fontId="14" fillId="54" borderId="66" xfId="0" applyFont="1" applyFill="1" applyBorder="1" applyAlignment="1">
      <alignment vertical="center"/>
    </xf>
    <xf numFmtId="2" fontId="14" fillId="54" borderId="66" xfId="0" applyNumberFormat="1" applyFont="1" applyFill="1" applyBorder="1" applyAlignment="1">
      <alignment horizontal="center" vertical="center"/>
    </xf>
    <xf numFmtId="2" fontId="4" fillId="54" borderId="66" xfId="6362" applyNumberFormat="1" applyFont="1" applyFill="1" applyBorder="1" applyAlignment="1">
      <alignment horizontal="center" vertical="center"/>
    </xf>
    <xf numFmtId="2" fontId="0" fillId="54" borderId="66" xfId="6362" applyNumberFormat="1" applyFont="1" applyFill="1" applyBorder="1" applyAlignment="1">
      <alignment horizontal="center" vertical="center"/>
    </xf>
    <xf numFmtId="2" fontId="4" fillId="54" borderId="66" xfId="6362" applyNumberFormat="1" applyFont="1" applyFill="1" applyBorder="1" applyAlignment="1">
      <alignment horizontal="center"/>
    </xf>
    <xf numFmtId="196" fontId="0" fillId="54" borderId="66" xfId="0" applyNumberFormat="1" applyFill="1" applyBorder="1" applyAlignment="1">
      <alignment horizontal="center"/>
    </xf>
    <xf numFmtId="0" fontId="14" fillId="0" borderId="66" xfId="0" applyFont="1" applyBorder="1" applyAlignment="1">
      <alignment horizontal="left"/>
    </xf>
    <xf numFmtId="233" fontId="4" fillId="0" borderId="66" xfId="1" applyNumberFormat="1" applyFont="1" applyBorder="1" applyAlignment="1">
      <alignment horizontal="left" indent="3"/>
    </xf>
    <xf numFmtId="168" fontId="0" fillId="0" borderId="66" xfId="1" applyFont="1" applyFill="1" applyBorder="1" applyAlignment="1">
      <alignment horizontal="center" vertical="center"/>
    </xf>
    <xf numFmtId="233" fontId="4" fillId="54" borderId="66" xfId="1" applyNumberFormat="1" applyFont="1" applyFill="1" applyBorder="1" applyAlignment="1">
      <alignment horizontal="left" indent="3"/>
    </xf>
    <xf numFmtId="168" fontId="0" fillId="54" borderId="66" xfId="1" applyFont="1" applyFill="1" applyBorder="1" applyAlignment="1">
      <alignment horizontal="center" vertical="center"/>
    </xf>
    <xf numFmtId="233" fontId="4" fillId="0" borderId="66" xfId="1" applyNumberFormat="1" applyFont="1" applyBorder="1" applyAlignment="1">
      <alignment horizontal="center"/>
    </xf>
    <xf numFmtId="168" fontId="0" fillId="0" borderId="66" xfId="1" applyFont="1" applyBorder="1" applyAlignment="1">
      <alignment horizontal="center" vertical="center"/>
    </xf>
    <xf numFmtId="233" fontId="4" fillId="54" borderId="66" xfId="1" applyNumberFormat="1" applyFont="1" applyFill="1" applyBorder="1" applyAlignment="1">
      <alignment horizontal="center"/>
    </xf>
    <xf numFmtId="9" fontId="0" fillId="0" borderId="66" xfId="6362" applyFont="1" applyBorder="1" applyAlignment="1">
      <alignment horizontal="center"/>
    </xf>
    <xf numFmtId="9" fontId="0" fillId="54" borderId="66" xfId="6362" applyFont="1" applyFill="1" applyBorder="1" applyAlignment="1">
      <alignment horizontal="center"/>
    </xf>
    <xf numFmtId="0" fontId="0" fillId="0" borderId="66" xfId="0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/>
    </xf>
    <xf numFmtId="3" fontId="103" fillId="0" borderId="66" xfId="2329" applyNumberFormat="1" applyFont="1" applyBorder="1" applyAlignment="1">
      <alignment horizontal="center" vertical="center"/>
    </xf>
    <xf numFmtId="4" fontId="103" fillId="0" borderId="66" xfId="2329" applyNumberFormat="1" applyFont="1" applyBorder="1" applyAlignment="1">
      <alignment horizontal="center" vertical="center"/>
    </xf>
    <xf numFmtId="4" fontId="104" fillId="0" borderId="66" xfId="0" applyNumberFormat="1" applyFont="1" applyBorder="1" applyAlignment="1">
      <alignment horizontal="center"/>
    </xf>
    <xf numFmtId="3" fontId="103" fillId="54" borderId="66" xfId="2329" applyNumberFormat="1" applyFont="1" applyFill="1" applyBorder="1" applyAlignment="1">
      <alignment horizontal="center" vertical="center"/>
    </xf>
    <xf numFmtId="3" fontId="0" fillId="54" borderId="66" xfId="0" applyNumberFormat="1" applyFill="1" applyBorder="1" applyAlignment="1">
      <alignment horizontal="center"/>
    </xf>
    <xf numFmtId="4" fontId="103" fillId="54" borderId="66" xfId="2329" applyNumberFormat="1" applyFont="1" applyFill="1" applyBorder="1" applyAlignment="1">
      <alignment horizontal="center" vertical="center"/>
    </xf>
    <xf numFmtId="217" fontId="103" fillId="54" borderId="66" xfId="2329" applyNumberFormat="1" applyFont="1" applyFill="1" applyBorder="1" applyAlignment="1">
      <alignment horizontal="center" vertical="center"/>
    </xf>
    <xf numFmtId="168" fontId="0" fillId="0" borderId="66" xfId="0" applyNumberFormat="1" applyBorder="1" applyAlignment="1">
      <alignment horizontal="center"/>
    </xf>
    <xf numFmtId="0" fontId="0" fillId="0" borderId="66" xfId="0" applyBorder="1" applyAlignment="1">
      <alignment horizontal="left" vertical="center"/>
    </xf>
    <xf numFmtId="196" fontId="0" fillId="0" borderId="66" xfId="1" applyNumberFormat="1" applyFont="1" applyFill="1" applyBorder="1" applyAlignment="1">
      <alignment horizontal="right" vertical="center"/>
    </xf>
    <xf numFmtId="241" fontId="84" fillId="0" borderId="66" xfId="7185" applyNumberFormat="1" applyFont="1" applyFill="1" applyBorder="1" applyAlignment="1">
      <alignment vertical="center"/>
    </xf>
    <xf numFmtId="0" fontId="0" fillId="0" borderId="66" xfId="0" applyBorder="1" applyAlignment="1">
      <alignment horizontal="left" vertical="center" wrapText="1"/>
    </xf>
    <xf numFmtId="0" fontId="0" fillId="54" borderId="66" xfId="0" applyFill="1" applyBorder="1" applyAlignment="1">
      <alignment horizontal="left" vertical="center"/>
    </xf>
    <xf numFmtId="196" fontId="0" fillId="54" borderId="66" xfId="6362" applyNumberFormat="1" applyFont="1" applyFill="1" applyBorder="1" applyAlignment="1">
      <alignment horizontal="right"/>
    </xf>
    <xf numFmtId="2" fontId="0" fillId="54" borderId="66" xfId="6362" applyNumberFormat="1" applyFont="1" applyFill="1" applyBorder="1" applyAlignment="1">
      <alignment horizontal="right"/>
    </xf>
    <xf numFmtId="196" fontId="0" fillId="54" borderId="66" xfId="1" applyNumberFormat="1" applyFont="1" applyFill="1" applyBorder="1" applyAlignment="1">
      <alignment horizontal="right"/>
    </xf>
    <xf numFmtId="0" fontId="0" fillId="54" borderId="66" xfId="0" applyFill="1" applyBorder="1" applyAlignment="1">
      <alignment horizontal="left" vertical="center" wrapText="1"/>
    </xf>
    <xf numFmtId="217" fontId="0" fillId="0" borderId="66" xfId="0" applyNumberFormat="1" applyBorder="1" applyAlignment="1">
      <alignment horizontal="center"/>
    </xf>
    <xf numFmtId="4" fontId="85" fillId="0" borderId="66" xfId="2329" applyNumberFormat="1" applyFont="1" applyBorder="1" applyAlignment="1">
      <alignment horizontal="center" vertical="center"/>
    </xf>
    <xf numFmtId="4" fontId="85" fillId="54" borderId="66" xfId="2329" applyNumberFormat="1" applyFont="1" applyFill="1" applyBorder="1" applyAlignment="1">
      <alignment horizontal="center" vertical="center"/>
    </xf>
    <xf numFmtId="0" fontId="85" fillId="54" borderId="66" xfId="6362" applyNumberFormat="1" applyFont="1" applyFill="1" applyBorder="1" applyAlignment="1">
      <alignment horizontal="center" vertical="center"/>
    </xf>
    <xf numFmtId="0" fontId="0" fillId="0" borderId="66" xfId="0" applyBorder="1" applyAlignment="1">
      <alignment vertical="center"/>
    </xf>
    <xf numFmtId="170" fontId="0" fillId="0" borderId="66" xfId="7181" applyFont="1" applyFill="1" applyBorder="1" applyAlignment="1">
      <alignment horizontal="center" vertical="center" wrapText="1"/>
    </xf>
    <xf numFmtId="217" fontId="0" fillId="54" borderId="66" xfId="0" applyNumberFormat="1" applyFill="1" applyBorder="1" applyAlignment="1">
      <alignment horizontal="center"/>
    </xf>
    <xf numFmtId="0" fontId="0" fillId="0" borderId="66" xfId="1" applyNumberFormat="1" applyFont="1" applyFill="1" applyBorder="1" applyAlignment="1">
      <alignment horizontal="right" vertical="center"/>
    </xf>
    <xf numFmtId="0" fontId="0" fillId="0" borderId="66" xfId="1" applyNumberFormat="1" applyFont="1" applyFill="1" applyBorder="1" applyAlignment="1">
      <alignment horizontal="center" vertical="center"/>
    </xf>
    <xf numFmtId="234" fontId="0" fillId="0" borderId="66" xfId="1" applyNumberFormat="1" applyFont="1" applyFill="1" applyBorder="1" applyAlignment="1">
      <alignment horizontal="center" vertical="center"/>
    </xf>
    <xf numFmtId="0" fontId="6" fillId="2" borderId="66" xfId="3" applyNumberFormat="1" applyFont="1" applyFill="1" applyBorder="1" applyAlignment="1">
      <alignment horizontal="center" vertical="center" wrapText="1"/>
    </xf>
    <xf numFmtId="0" fontId="6" fillId="2" borderId="66" xfId="3" applyNumberFormat="1" applyFont="1" applyFill="1" applyBorder="1" applyAlignment="1">
      <alignment horizontal="center" vertical="center"/>
    </xf>
    <xf numFmtId="0" fontId="14" fillId="13" borderId="66" xfId="12" applyFont="1" applyFill="1" applyBorder="1" applyAlignment="1">
      <alignment horizontal="center" vertical="center"/>
    </xf>
    <xf numFmtId="0" fontId="6" fillId="2" borderId="66" xfId="2" applyNumberFormat="1" applyFont="1" applyFill="1" applyBorder="1" applyAlignment="1">
      <alignment horizontal="center" vertical="center" wrapText="1"/>
    </xf>
    <xf numFmtId="0" fontId="6" fillId="2" borderId="66" xfId="1051" applyNumberFormat="1" applyFont="1" applyFill="1" applyBorder="1" applyAlignment="1">
      <alignment horizontal="center" vertical="center" wrapText="1"/>
    </xf>
    <xf numFmtId="0" fontId="6" fillId="2" borderId="66" xfId="1005" applyNumberFormat="1" applyFont="1" applyFill="1" applyBorder="1" applyAlignment="1">
      <alignment horizontal="center" vertical="center" wrapText="1"/>
    </xf>
    <xf numFmtId="0" fontId="0" fillId="0" borderId="91" xfId="0" applyBorder="1"/>
    <xf numFmtId="0" fontId="0" fillId="0" borderId="27" xfId="0" applyBorder="1"/>
    <xf numFmtId="0" fontId="0" fillId="0" borderId="92" xfId="0" applyBorder="1"/>
    <xf numFmtId="0" fontId="0" fillId="0" borderId="93" xfId="0" applyBorder="1"/>
    <xf numFmtId="0" fontId="0" fillId="0" borderId="94" xfId="0" applyBorder="1"/>
    <xf numFmtId="0" fontId="0" fillId="0" borderId="95" xfId="0" applyBorder="1"/>
    <xf numFmtId="0" fontId="0" fillId="0" borderId="96" xfId="0" applyBorder="1"/>
    <xf numFmtId="0" fontId="0" fillId="0" borderId="97" xfId="0" applyBorder="1"/>
    <xf numFmtId="242" fontId="0" fillId="0" borderId="0" xfId="0" applyNumberFormat="1"/>
    <xf numFmtId="243" fontId="0" fillId="0" borderId="0" xfId="0" applyNumberFormat="1"/>
    <xf numFmtId="170" fontId="0" fillId="0" borderId="0" xfId="7181" applyFont="1"/>
    <xf numFmtId="0" fontId="180" fillId="0" borderId="0" xfId="0" applyFont="1"/>
    <xf numFmtId="244" fontId="0" fillId="0" borderId="0" xfId="7181" applyNumberFormat="1" applyFont="1"/>
    <xf numFmtId="179" fontId="0" fillId="0" borderId="0" xfId="7181" applyNumberFormat="1" applyFont="1"/>
    <xf numFmtId="179" fontId="0" fillId="0" borderId="0" xfId="7181" applyNumberFormat="1" applyFont="1" applyAlignment="1">
      <alignment horizontal="center"/>
    </xf>
    <xf numFmtId="170" fontId="0" fillId="0" borderId="66" xfId="7181" applyFont="1" applyBorder="1"/>
    <xf numFmtId="242" fontId="0" fillId="0" borderId="66" xfId="0" applyNumberFormat="1" applyBorder="1"/>
    <xf numFmtId="170" fontId="0" fillId="0" borderId="0" xfId="0" applyNumberFormat="1"/>
    <xf numFmtId="43" fontId="0" fillId="0" borderId="0" xfId="0" applyNumberFormat="1"/>
    <xf numFmtId="0" fontId="186" fillId="0" borderId="0" xfId="0" applyFont="1" applyAlignment="1">
      <alignment vertical="center"/>
    </xf>
    <xf numFmtId="0" fontId="18" fillId="44" borderId="66" xfId="12" applyFont="1" applyFill="1" applyBorder="1" applyAlignment="1">
      <alignment horizontal="center" vertical="center"/>
    </xf>
    <xf numFmtId="0" fontId="84" fillId="0" borderId="66" xfId="12" applyFont="1" applyBorder="1" applyAlignment="1">
      <alignment horizontal="center" vertical="center"/>
    </xf>
    <xf numFmtId="0" fontId="13" fillId="43" borderId="85" xfId="1034" applyNumberFormat="1" applyFont="1" applyFill="1" applyBorder="1" applyAlignment="1">
      <alignment horizontal="center" vertical="center" wrapText="1"/>
    </xf>
    <xf numFmtId="0" fontId="0" fillId="52" borderId="11" xfId="0" applyFill="1" applyBorder="1" applyAlignment="1">
      <alignment horizontal="center"/>
    </xf>
    <xf numFmtId="0" fontId="0" fillId="0" borderId="66" xfId="0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13" fillId="53" borderId="79" xfId="0" applyFont="1" applyFill="1" applyBorder="1" applyAlignment="1">
      <alignment horizontal="center"/>
    </xf>
    <xf numFmtId="0" fontId="13" fillId="53" borderId="86" xfId="0" applyFont="1" applyFill="1" applyBorder="1" applyAlignment="1">
      <alignment horizontal="center"/>
    </xf>
    <xf numFmtId="0" fontId="0" fillId="0" borderId="85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3" fillId="53" borderId="66" xfId="0" applyFont="1" applyFill="1" applyBorder="1" applyAlignment="1">
      <alignment horizontal="center"/>
    </xf>
    <xf numFmtId="0" fontId="0" fillId="0" borderId="79" xfId="0" applyBorder="1" applyAlignment="1">
      <alignment horizontal="left"/>
    </xf>
    <xf numFmtId="0" fontId="0" fillId="0" borderId="86" xfId="0" applyBorder="1" applyAlignment="1">
      <alignment horizontal="left"/>
    </xf>
    <xf numFmtId="0" fontId="0" fillId="54" borderId="79" xfId="0" applyFill="1" applyBorder="1" applyAlignment="1">
      <alignment horizontal="left"/>
    </xf>
    <xf numFmtId="0" fontId="0" fillId="54" borderId="86" xfId="0" applyFill="1" applyBorder="1" applyAlignment="1">
      <alignment horizontal="left"/>
    </xf>
    <xf numFmtId="0" fontId="14" fillId="0" borderId="85" xfId="0" applyFont="1" applyBorder="1" applyAlignment="1">
      <alignment vertical="center"/>
    </xf>
    <xf numFmtId="0" fontId="14" fillId="0" borderId="61" xfId="0" applyFont="1" applyBorder="1" applyAlignment="1">
      <alignment vertical="center"/>
    </xf>
    <xf numFmtId="0" fontId="14" fillId="0" borderId="44" xfId="0" applyFont="1" applyBorder="1" applyAlignment="1">
      <alignment vertical="center"/>
    </xf>
    <xf numFmtId="0" fontId="13" fillId="2" borderId="66" xfId="1051" applyNumberFormat="1" applyFont="1" applyFill="1" applyBorder="1" applyAlignment="1">
      <alignment horizontal="center" vertical="center" wrapText="1"/>
    </xf>
    <xf numFmtId="0" fontId="6" fillId="2" borderId="86" xfId="2" applyNumberFormat="1" applyFont="1" applyFill="1" applyBorder="1" applyAlignment="1">
      <alignment horizontal="center" vertical="center" wrapText="1"/>
    </xf>
    <xf numFmtId="0" fontId="6" fillId="2" borderId="79" xfId="1051" applyNumberFormat="1" applyFont="1" applyFill="1" applyBorder="1" applyAlignment="1">
      <alignment horizontal="center" vertical="center" wrapText="1"/>
    </xf>
    <xf numFmtId="0" fontId="13" fillId="90" borderId="0" xfId="0" applyFont="1" applyFill="1" applyAlignment="1">
      <alignment horizontal="center"/>
    </xf>
    <xf numFmtId="0" fontId="0" fillId="0" borderId="27" xfId="0" applyBorder="1" applyAlignment="1">
      <alignment horizontal="left"/>
    </xf>
    <xf numFmtId="0" fontId="0" fillId="0" borderId="92" xfId="0" applyBorder="1" applyAlignment="1">
      <alignment horizontal="left"/>
    </xf>
    <xf numFmtId="0" fontId="0" fillId="0" borderId="94" xfId="0" applyBorder="1" applyAlignment="1">
      <alignment horizontal="left"/>
    </xf>
    <xf numFmtId="0" fontId="103" fillId="0" borderId="2" xfId="2329" applyNumberFormat="1" applyFont="1" applyBorder="1" applyAlignment="1">
      <alignment horizontal="center" vertical="center"/>
    </xf>
    <xf numFmtId="176" fontId="7" fillId="0" borderId="66" xfId="3" applyFont="1" applyBorder="1" applyAlignment="1">
      <alignment vertical="center"/>
    </xf>
    <xf numFmtId="0" fontId="83" fillId="0" borderId="0" xfId="12" applyFont="1" applyAlignment="1">
      <alignment horizontal="center" vertical="top"/>
    </xf>
    <xf numFmtId="2" fontId="18" fillId="44" borderId="66" xfId="12" applyNumberFormat="1" applyFont="1" applyFill="1" applyBorder="1" applyAlignment="1">
      <alignment horizontal="center" vertical="center"/>
    </xf>
    <xf numFmtId="0" fontId="18" fillId="44" borderId="66" xfId="12" applyFont="1" applyFill="1" applyBorder="1" applyAlignment="1">
      <alignment horizontal="center" vertical="center"/>
    </xf>
    <xf numFmtId="2" fontId="84" fillId="0" borderId="66" xfId="12" applyNumberFormat="1" applyFont="1" applyBorder="1" applyAlignment="1">
      <alignment horizontal="center" vertical="center"/>
    </xf>
    <xf numFmtId="0" fontId="84" fillId="0" borderId="66" xfId="12" applyFont="1" applyBorder="1" applyAlignment="1">
      <alignment horizontal="center" vertical="center"/>
    </xf>
    <xf numFmtId="0" fontId="135" fillId="3" borderId="66" xfId="0" applyFont="1" applyFill="1" applyBorder="1" applyAlignment="1">
      <alignment horizontal="center" vertical="center"/>
    </xf>
    <xf numFmtId="0" fontId="13" fillId="43" borderId="79" xfId="1034" applyNumberFormat="1" applyFont="1" applyFill="1" applyBorder="1" applyAlignment="1">
      <alignment horizontal="center" vertical="center" wrapText="1"/>
    </xf>
    <xf numFmtId="0" fontId="13" fillId="43" borderId="73" xfId="1034" applyNumberFormat="1" applyFont="1" applyFill="1" applyBorder="1" applyAlignment="1">
      <alignment horizontal="center" vertical="center" wrapText="1"/>
    </xf>
    <xf numFmtId="0" fontId="13" fillId="43" borderId="86" xfId="1034" applyNumberFormat="1" applyFont="1" applyFill="1" applyBorder="1" applyAlignment="1">
      <alignment horizontal="center" vertical="center" wrapText="1"/>
    </xf>
    <xf numFmtId="0" fontId="13" fillId="43" borderId="85" xfId="1034" applyNumberFormat="1" applyFont="1" applyFill="1" applyBorder="1" applyAlignment="1">
      <alignment horizontal="center" vertical="center" wrapText="1"/>
    </xf>
    <xf numFmtId="0" fontId="13" fillId="43" borderId="44" xfId="1034" applyNumberFormat="1" applyFont="1" applyFill="1" applyBorder="1" applyAlignment="1">
      <alignment horizontal="center" vertical="center" wrapText="1"/>
    </xf>
    <xf numFmtId="0" fontId="13" fillId="43" borderId="87" xfId="1034" applyNumberFormat="1" applyFont="1" applyFill="1" applyBorder="1" applyAlignment="1">
      <alignment horizontal="center" vertical="center" wrapText="1"/>
    </xf>
    <xf numFmtId="0" fontId="13" fillId="43" borderId="71" xfId="1034" applyNumberFormat="1" applyFont="1" applyFill="1" applyBorder="1" applyAlignment="1">
      <alignment horizontal="center" vertical="center" wrapText="1"/>
    </xf>
    <xf numFmtId="0" fontId="13" fillId="43" borderId="90" xfId="1034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43" borderId="85" xfId="1056" applyNumberFormat="1" applyFont="1" applyFill="1" applyBorder="1" applyAlignment="1">
      <alignment horizontal="center" vertical="center" wrapText="1"/>
    </xf>
    <xf numFmtId="0" fontId="6" fillId="43" borderId="44" xfId="1056" applyNumberFormat="1" applyFont="1" applyFill="1" applyBorder="1" applyAlignment="1">
      <alignment horizontal="center" vertical="center" wrapText="1"/>
    </xf>
    <xf numFmtId="0" fontId="6" fillId="43" borderId="87" xfId="1056" applyNumberFormat="1" applyFont="1" applyFill="1" applyBorder="1" applyAlignment="1">
      <alignment horizontal="center" vertical="center" wrapText="1"/>
    </xf>
    <xf numFmtId="0" fontId="6" fillId="43" borderId="90" xfId="1056" applyNumberFormat="1" applyFont="1" applyFill="1" applyBorder="1" applyAlignment="1">
      <alignment horizontal="center" vertical="center" wrapText="1"/>
    </xf>
    <xf numFmtId="0" fontId="6" fillId="43" borderId="54" xfId="1056" applyNumberFormat="1" applyFont="1" applyFill="1" applyBorder="1" applyAlignment="1">
      <alignment horizontal="center" vertical="center" wrapText="1"/>
    </xf>
    <xf numFmtId="0" fontId="6" fillId="43" borderId="62" xfId="1056" applyNumberFormat="1" applyFont="1" applyFill="1" applyBorder="1" applyAlignment="1">
      <alignment horizontal="center" vertical="center" wrapText="1"/>
    </xf>
    <xf numFmtId="0" fontId="0" fillId="52" borderId="74" xfId="0" applyFill="1" applyBorder="1" applyAlignment="1">
      <alignment horizontal="center" vertical="center"/>
    </xf>
    <xf numFmtId="0" fontId="0" fillId="52" borderId="75" xfId="0" applyFill="1" applyBorder="1" applyAlignment="1">
      <alignment horizontal="center" vertical="center"/>
    </xf>
    <xf numFmtId="0" fontId="0" fillId="52" borderId="11" xfId="0" applyFill="1" applyBorder="1" applyAlignment="1">
      <alignment horizontal="center"/>
    </xf>
    <xf numFmtId="0" fontId="0" fillId="0" borderId="66" xfId="0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13" fillId="53" borderId="79" xfId="0" applyFont="1" applyFill="1" applyBorder="1" applyAlignment="1">
      <alignment horizontal="center"/>
    </xf>
    <xf numFmtId="0" fontId="13" fillId="53" borderId="86" xfId="0" applyFont="1" applyFill="1" applyBorder="1" applyAlignment="1">
      <alignment horizontal="center"/>
    </xf>
    <xf numFmtId="0" fontId="0" fillId="0" borderId="85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13" fillId="53" borderId="66" xfId="0" applyFont="1" applyFill="1" applyBorder="1" applyAlignment="1">
      <alignment horizontal="center"/>
    </xf>
    <xf numFmtId="0" fontId="14" fillId="0" borderId="79" xfId="0" applyFont="1" applyBorder="1" applyAlignment="1">
      <alignment horizontal="left" vertical="center"/>
    </xf>
    <xf numFmtId="0" fontId="14" fillId="0" borderId="86" xfId="0" applyFont="1" applyBorder="1" applyAlignment="1">
      <alignment horizontal="left" vertical="center"/>
    </xf>
    <xf numFmtId="0" fontId="0" fillId="0" borderId="79" xfId="0" applyBorder="1" applyAlignment="1">
      <alignment horizontal="left"/>
    </xf>
    <xf numFmtId="0" fontId="0" fillId="0" borderId="86" xfId="0" applyBorder="1" applyAlignment="1">
      <alignment horizontal="left"/>
    </xf>
    <xf numFmtId="0" fontId="14" fillId="88" borderId="79" xfId="0" applyFont="1" applyFill="1" applyBorder="1" applyAlignment="1">
      <alignment horizontal="left" vertical="center"/>
    </xf>
    <xf numFmtId="0" fontId="14" fillId="88" borderId="86" xfId="0" applyFont="1" applyFill="1" applyBorder="1" applyAlignment="1">
      <alignment horizontal="left" vertical="center"/>
    </xf>
    <xf numFmtId="0" fontId="0" fillId="54" borderId="79" xfId="0" applyFill="1" applyBorder="1" applyAlignment="1">
      <alignment horizontal="left"/>
    </xf>
    <xf numFmtId="0" fontId="0" fillId="54" borderId="86" xfId="0" applyFill="1" applyBorder="1" applyAlignment="1">
      <alignment horizontal="left"/>
    </xf>
    <xf numFmtId="0" fontId="0" fillId="0" borderId="87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79" xfId="0" applyBorder="1" applyAlignment="1">
      <alignment horizontal="left" vertical="center"/>
    </xf>
    <xf numFmtId="0" fontId="0" fillId="0" borderId="86" xfId="0" applyBorder="1" applyAlignment="1">
      <alignment horizontal="left" vertical="center"/>
    </xf>
    <xf numFmtId="0" fontId="0" fillId="0" borderId="85" xfId="0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40" borderId="87" xfId="0" applyFill="1" applyBorder="1" applyAlignment="1">
      <alignment horizontal="center" vertical="center"/>
    </xf>
    <xf numFmtId="0" fontId="0" fillId="40" borderId="60" xfId="0" applyFill="1" applyBorder="1" applyAlignment="1">
      <alignment horizontal="center" vertical="center"/>
    </xf>
    <xf numFmtId="0" fontId="0" fillId="40" borderId="54" xfId="0" applyFill="1" applyBorder="1" applyAlignment="1">
      <alignment horizontal="center" vertical="center"/>
    </xf>
    <xf numFmtId="0" fontId="0" fillId="54" borderId="87" xfId="0" applyFill="1" applyBorder="1" applyAlignment="1">
      <alignment horizontal="center" vertical="center"/>
    </xf>
    <xf numFmtId="0" fontId="0" fillId="54" borderId="60" xfId="0" applyFill="1" applyBorder="1" applyAlignment="1">
      <alignment horizontal="center" vertical="center"/>
    </xf>
    <xf numFmtId="0" fontId="0" fillId="54" borderId="54" xfId="0" applyFill="1" applyBorder="1" applyAlignment="1">
      <alignment horizontal="center" vertical="center"/>
    </xf>
    <xf numFmtId="0" fontId="14" fillId="0" borderId="85" xfId="0" applyFont="1" applyBorder="1" applyAlignment="1">
      <alignment vertical="center"/>
    </xf>
    <xf numFmtId="0" fontId="14" fillId="0" borderId="61" xfId="0" applyFont="1" applyBorder="1" applyAlignment="1">
      <alignment vertical="center"/>
    </xf>
    <xf numFmtId="0" fontId="14" fillId="0" borderId="44" xfId="0" applyFont="1" applyBorder="1" applyAlignment="1">
      <alignment vertical="center"/>
    </xf>
    <xf numFmtId="0" fontId="14" fillId="0" borderId="66" xfId="0" applyFont="1" applyBorder="1" applyAlignment="1">
      <alignment vertical="center"/>
    </xf>
    <xf numFmtId="0" fontId="6" fillId="2" borderId="85" xfId="3" applyNumberFormat="1" applyFont="1" applyFill="1" applyBorder="1" applyAlignment="1">
      <alignment horizontal="center" vertical="center" wrapText="1"/>
    </xf>
    <xf numFmtId="0" fontId="6" fillId="2" borderId="44" xfId="3" applyNumberFormat="1" applyFont="1" applyFill="1" applyBorder="1" applyAlignment="1">
      <alignment horizontal="center" vertical="center" wrapText="1"/>
    </xf>
    <xf numFmtId="0" fontId="13" fillId="2" borderId="66" xfId="3" applyNumberFormat="1" applyFont="1" applyFill="1" applyBorder="1" applyAlignment="1">
      <alignment horizontal="center" vertical="center" wrapText="1"/>
    </xf>
    <xf numFmtId="0" fontId="6" fillId="2" borderId="87" xfId="3" applyNumberFormat="1" applyFont="1" applyFill="1" applyBorder="1" applyAlignment="1">
      <alignment horizontal="center" vertical="center" wrapText="1"/>
    </xf>
    <xf numFmtId="0" fontId="6" fillId="2" borderId="54" xfId="3" applyNumberFormat="1" applyFont="1" applyFill="1" applyBorder="1" applyAlignment="1">
      <alignment horizontal="center" vertical="center" wrapText="1"/>
    </xf>
    <xf numFmtId="0" fontId="6" fillId="2" borderId="85" xfId="3" applyNumberFormat="1" applyFont="1" applyFill="1" applyBorder="1" applyAlignment="1">
      <alignment horizontal="center" vertical="center"/>
    </xf>
    <xf numFmtId="0" fontId="6" fillId="2" borderId="44" xfId="3" applyNumberFormat="1" applyFont="1" applyFill="1" applyBorder="1" applyAlignment="1">
      <alignment horizontal="center" vertical="center"/>
    </xf>
    <xf numFmtId="0" fontId="13" fillId="2" borderId="66" xfId="1051" applyNumberFormat="1" applyFont="1" applyFill="1" applyBorder="1" applyAlignment="1">
      <alignment horizontal="center" vertical="center" wrapText="1"/>
    </xf>
    <xf numFmtId="0" fontId="13" fillId="2" borderId="79" xfId="1005" applyNumberFormat="1" applyFont="1" applyFill="1" applyBorder="1" applyAlignment="1">
      <alignment horizontal="center" vertical="center" wrapText="1"/>
    </xf>
    <xf numFmtId="0" fontId="13" fillId="2" borderId="73" xfId="1005" applyNumberFormat="1" applyFont="1" applyFill="1" applyBorder="1" applyAlignment="1">
      <alignment horizontal="center" vertical="center" wrapText="1"/>
    </xf>
    <xf numFmtId="0" fontId="13" fillId="2" borderId="86" xfId="1005" applyNumberFormat="1" applyFont="1" applyFill="1" applyBorder="1" applyAlignment="1">
      <alignment horizontal="center" vertical="center" wrapText="1"/>
    </xf>
    <xf numFmtId="0" fontId="13" fillId="2" borderId="85" xfId="1051" applyNumberFormat="1" applyFont="1" applyFill="1" applyBorder="1" applyAlignment="1">
      <alignment horizontal="center" vertical="center" wrapText="1"/>
    </xf>
    <xf numFmtId="0" fontId="13" fillId="2" borderId="44" xfId="1051" applyNumberFormat="1" applyFont="1" applyFill="1" applyBorder="1" applyAlignment="1">
      <alignment horizontal="center" vertical="center" wrapText="1"/>
    </xf>
    <xf numFmtId="0" fontId="13" fillId="2" borderId="87" xfId="1051" applyNumberFormat="1" applyFont="1" applyFill="1" applyBorder="1" applyAlignment="1">
      <alignment horizontal="center" vertical="center" wrapText="1"/>
    </xf>
    <xf numFmtId="0" fontId="13" fillId="2" borderId="90" xfId="1051" applyNumberFormat="1" applyFont="1" applyFill="1" applyBorder="1" applyAlignment="1">
      <alignment horizontal="center" vertical="center" wrapText="1"/>
    </xf>
    <xf numFmtId="0" fontId="13" fillId="2" borderId="54" xfId="1051" applyNumberFormat="1" applyFont="1" applyFill="1" applyBorder="1" applyAlignment="1">
      <alignment horizontal="center" vertical="center" wrapText="1"/>
    </xf>
    <xf numFmtId="0" fontId="13" fillId="2" borderId="62" xfId="1051" applyNumberFormat="1" applyFont="1" applyFill="1" applyBorder="1" applyAlignment="1">
      <alignment horizontal="center" vertical="center" wrapText="1"/>
    </xf>
    <xf numFmtId="0" fontId="6" fillId="2" borderId="79" xfId="1005" applyNumberFormat="1" applyFont="1" applyFill="1" applyBorder="1" applyAlignment="1">
      <alignment horizontal="center" vertical="center" wrapText="1"/>
    </xf>
    <xf numFmtId="0" fontId="6" fillId="2" borderId="73" xfId="1005" applyNumberFormat="1" applyFont="1" applyFill="1" applyBorder="1" applyAlignment="1">
      <alignment horizontal="center" vertical="center" wrapText="1"/>
    </xf>
    <xf numFmtId="0" fontId="6" fillId="2" borderId="86" xfId="1005" applyNumberFormat="1" applyFont="1" applyFill="1" applyBorder="1" applyAlignment="1">
      <alignment horizontal="center" vertical="center" wrapText="1"/>
    </xf>
    <xf numFmtId="0" fontId="6" fillId="2" borderId="79" xfId="2" applyNumberFormat="1" applyFont="1" applyFill="1" applyBorder="1" applyAlignment="1">
      <alignment horizontal="center" vertical="center" wrapText="1"/>
    </xf>
    <xf numFmtId="0" fontId="6" fillId="2" borderId="86" xfId="2" applyNumberFormat="1" applyFont="1" applyFill="1" applyBorder="1" applyAlignment="1">
      <alignment horizontal="center" vertical="center" wrapText="1"/>
    </xf>
    <xf numFmtId="0" fontId="6" fillId="2" borderId="85" xfId="2" applyNumberFormat="1" applyFont="1" applyFill="1" applyBorder="1" applyAlignment="1">
      <alignment horizontal="center" vertical="center" wrapText="1"/>
    </xf>
    <xf numFmtId="0" fontId="6" fillId="2" borderId="44" xfId="2" applyNumberFormat="1" applyFont="1" applyFill="1" applyBorder="1" applyAlignment="1">
      <alignment horizontal="center" vertical="center" wrapText="1"/>
    </xf>
    <xf numFmtId="0" fontId="6" fillId="2" borderId="87" xfId="2" applyNumberFormat="1" applyFont="1" applyFill="1" applyBorder="1" applyAlignment="1">
      <alignment horizontal="center" vertical="center" wrapText="1"/>
    </xf>
    <xf numFmtId="0" fontId="6" fillId="2" borderId="90" xfId="2" applyNumberFormat="1" applyFont="1" applyFill="1" applyBorder="1" applyAlignment="1">
      <alignment horizontal="center" vertical="center" wrapText="1"/>
    </xf>
    <xf numFmtId="0" fontId="6" fillId="2" borderId="54" xfId="2" applyNumberFormat="1" applyFont="1" applyFill="1" applyBorder="1" applyAlignment="1">
      <alignment horizontal="center" vertical="center" wrapText="1"/>
    </xf>
    <xf numFmtId="0" fontId="6" fillId="2" borderId="62" xfId="2" applyNumberFormat="1" applyFont="1" applyFill="1" applyBorder="1" applyAlignment="1">
      <alignment horizontal="center" vertical="center" wrapText="1"/>
    </xf>
    <xf numFmtId="0" fontId="6" fillId="2" borderId="85" xfId="1051" applyNumberFormat="1" applyFont="1" applyFill="1" applyBorder="1" applyAlignment="1">
      <alignment horizontal="center" vertical="center" wrapText="1"/>
    </xf>
    <xf numFmtId="0" fontId="6" fillId="2" borderId="44" xfId="1051" applyNumberFormat="1" applyFont="1" applyFill="1" applyBorder="1" applyAlignment="1">
      <alignment horizontal="center" vertical="center" wrapText="1"/>
    </xf>
    <xf numFmtId="0" fontId="6" fillId="2" borderId="87" xfId="1051" applyNumberFormat="1" applyFont="1" applyFill="1" applyBorder="1" applyAlignment="1">
      <alignment horizontal="center" vertical="center" wrapText="1"/>
    </xf>
    <xf numFmtId="0" fontId="6" fillId="2" borderId="90" xfId="1051" applyNumberFormat="1" applyFont="1" applyFill="1" applyBorder="1" applyAlignment="1">
      <alignment horizontal="center" vertical="center" wrapText="1"/>
    </xf>
    <xf numFmtId="0" fontId="6" fillId="2" borderId="54" xfId="1051" applyNumberFormat="1" applyFont="1" applyFill="1" applyBorder="1" applyAlignment="1">
      <alignment horizontal="center" vertical="center" wrapText="1"/>
    </xf>
    <xf numFmtId="0" fontId="6" fillId="2" borderId="62" xfId="1051" applyNumberFormat="1" applyFont="1" applyFill="1" applyBorder="1" applyAlignment="1">
      <alignment horizontal="center" vertical="center" wrapText="1"/>
    </xf>
    <xf numFmtId="0" fontId="6" fillId="2" borderId="79" xfId="1051" applyNumberFormat="1" applyFont="1" applyFill="1" applyBorder="1" applyAlignment="1">
      <alignment horizontal="center" vertical="center" wrapText="1"/>
    </xf>
    <xf numFmtId="0" fontId="6" fillId="2" borderId="86" xfId="1051" applyNumberFormat="1" applyFont="1" applyFill="1" applyBorder="1" applyAlignment="1">
      <alignment horizontal="center" vertical="center" wrapText="1"/>
    </xf>
    <xf numFmtId="0" fontId="18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90" borderId="0" xfId="0" applyFont="1" applyFill="1" applyAlignment="1">
      <alignment horizontal="center"/>
    </xf>
    <xf numFmtId="0" fontId="0" fillId="90" borderId="0" xfId="0" applyFill="1" applyAlignment="1">
      <alignment horizontal="center"/>
    </xf>
    <xf numFmtId="0" fontId="180" fillId="0" borderId="0" xfId="0" applyFont="1" applyAlignment="1">
      <alignment horizontal="left"/>
    </xf>
    <xf numFmtId="0" fontId="185" fillId="0" borderId="0" xfId="0" applyFont="1" applyAlignment="1">
      <alignment horizontal="center" vertical="center"/>
    </xf>
    <xf numFmtId="0" fontId="184" fillId="0" borderId="27" xfId="0" applyFont="1" applyBorder="1" applyAlignment="1">
      <alignment horizontal="center" vertical="center"/>
    </xf>
    <xf numFmtId="0" fontId="184" fillId="0" borderId="92" xfId="0" applyFont="1" applyBorder="1" applyAlignment="1">
      <alignment horizontal="center" vertical="center"/>
    </xf>
    <xf numFmtId="0" fontId="184" fillId="0" borderId="0" xfId="0" applyFont="1" applyAlignment="1">
      <alignment horizontal="center" vertical="center"/>
    </xf>
    <xf numFmtId="0" fontId="184" fillId="0" borderId="94" xfId="0" applyFont="1" applyBorder="1" applyAlignment="1">
      <alignment horizontal="center" vertical="center"/>
    </xf>
    <xf numFmtId="0" fontId="184" fillId="0" borderId="96" xfId="0" applyFont="1" applyBorder="1" applyAlignment="1">
      <alignment horizontal="center" vertical="center"/>
    </xf>
    <xf numFmtId="0" fontId="184" fillId="0" borderId="97" xfId="0" applyFont="1" applyBorder="1" applyAlignment="1">
      <alignment horizontal="center" vertical="center"/>
    </xf>
    <xf numFmtId="0" fontId="187" fillId="0" borderId="0" xfId="0" applyFont="1" applyAlignment="1">
      <alignment horizontal="right" vertical="center"/>
    </xf>
    <xf numFmtId="243" fontId="83" fillId="89" borderId="0" xfId="0" applyNumberFormat="1" applyFont="1" applyFill="1" applyAlignment="1">
      <alignment horizontal="center" vertical="center"/>
    </xf>
    <xf numFmtId="0" fontId="83" fillId="89" borderId="0" xfId="0" applyFont="1" applyFill="1" applyAlignment="1">
      <alignment horizontal="center" vertical="center"/>
    </xf>
    <xf numFmtId="0" fontId="183" fillId="0" borderId="91" xfId="0" applyFont="1" applyBorder="1" applyAlignment="1">
      <alignment horizontal="center" vertical="center"/>
    </xf>
    <xf numFmtId="0" fontId="183" fillId="0" borderId="27" xfId="0" applyFont="1" applyBorder="1" applyAlignment="1">
      <alignment horizontal="center" vertical="center"/>
    </xf>
    <xf numFmtId="0" fontId="183" fillId="0" borderId="93" xfId="0" applyFont="1" applyBorder="1" applyAlignment="1">
      <alignment horizontal="center" vertical="center"/>
    </xf>
    <xf numFmtId="0" fontId="183" fillId="0" borderId="0" xfId="0" applyFont="1" applyAlignment="1">
      <alignment horizontal="center" vertical="center"/>
    </xf>
    <xf numFmtId="0" fontId="183" fillId="0" borderId="95" xfId="0" applyFont="1" applyBorder="1" applyAlignment="1">
      <alignment horizontal="center" vertical="center"/>
    </xf>
    <xf numFmtId="0" fontId="183" fillId="0" borderId="96" xfId="0" applyFont="1" applyBorder="1" applyAlignment="1">
      <alignment horizontal="center" vertical="center"/>
    </xf>
    <xf numFmtId="0" fontId="83" fillId="0" borderId="91" xfId="0" applyFont="1" applyBorder="1" applyAlignment="1">
      <alignment horizontal="left" vertical="center" wrapText="1"/>
    </xf>
    <xf numFmtId="0" fontId="83" fillId="0" borderId="27" xfId="0" applyFont="1" applyBorder="1" applyAlignment="1">
      <alignment horizontal="left" vertical="center"/>
    </xf>
    <xf numFmtId="0" fontId="83" fillId="0" borderId="93" xfId="0" applyFont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0" fillId="0" borderId="27" xfId="0" applyBorder="1" applyAlignment="1">
      <alignment horizontal="left"/>
    </xf>
    <xf numFmtId="0" fontId="0" fillId="0" borderId="9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94" xfId="0" applyBorder="1" applyAlignment="1">
      <alignment horizontal="left"/>
    </xf>
    <xf numFmtId="0" fontId="83" fillId="0" borderId="27" xfId="0" applyFont="1" applyBorder="1" applyAlignment="1">
      <alignment horizontal="left" vertical="center" wrapText="1"/>
    </xf>
    <xf numFmtId="0" fontId="83" fillId="0" borderId="93" xfId="0" applyFont="1" applyBorder="1" applyAlignment="1">
      <alignment horizontal="left" vertical="center" wrapText="1"/>
    </xf>
    <xf numFmtId="0" fontId="83" fillId="0" borderId="0" xfId="0" applyFont="1" applyAlignment="1">
      <alignment horizontal="left" vertical="center" wrapText="1"/>
    </xf>
  </cellXfs>
  <cellStyles count="7191">
    <cellStyle name="_CF-STET" xfId="1059" xr:uid="{00000000-0005-0000-0000-000000000000}"/>
    <cellStyle name="_CF-STET_1" xfId="1060" xr:uid="{00000000-0005-0000-0000-000001000000}"/>
    <cellStyle name="_CF-STET_2" xfId="1061" xr:uid="{00000000-0005-0000-0000-000002000000}"/>
    <cellStyle name="_CF-STET_3" xfId="1062" xr:uid="{00000000-0005-0000-0000-000003000000}"/>
    <cellStyle name="_CF-STET_4" xfId="1063" xr:uid="{00000000-0005-0000-0000-000004000000}"/>
    <cellStyle name="_CF-STET_5" xfId="1064" xr:uid="{00000000-0005-0000-0000-000005000000}"/>
    <cellStyle name="_CF-STET_6" xfId="1065" xr:uid="{00000000-0005-0000-0000-000006000000}"/>
    <cellStyle name="_CF-STET_7" xfId="1066" xr:uid="{00000000-0005-0000-0000-000007000000}"/>
    <cellStyle name="_CF-STET_8" xfId="1067" xr:uid="{00000000-0005-0000-0000-000008000000}"/>
    <cellStyle name="_CF-STET_9" xfId="1068" xr:uid="{00000000-0005-0000-0000-000009000000}"/>
    <cellStyle name="_CF-STET_A" xfId="1069" xr:uid="{00000000-0005-0000-0000-00000A000000}"/>
    <cellStyle name="¹éºÐÀ² - Style1" xfId="1070" xr:uid="{00000000-0005-0000-0000-00000B000000}"/>
    <cellStyle name="¹éºÐÀ² - Style2" xfId="1071" xr:uid="{00000000-0005-0000-0000-00000C000000}"/>
    <cellStyle name="¹éºÐÀ² - Style3" xfId="1072" xr:uid="{00000000-0005-0000-0000-00000D000000}"/>
    <cellStyle name="¹éºÐÀ² - Style4" xfId="1073" xr:uid="{00000000-0005-0000-0000-00000E000000}"/>
    <cellStyle name="¹éºÐÀ² - Style5" xfId="1074" xr:uid="{00000000-0005-0000-0000-00000F000000}"/>
    <cellStyle name="¹éºÐÀ² - Style6" xfId="1075" xr:uid="{00000000-0005-0000-0000-000010000000}"/>
    <cellStyle name="¹éºÐÀ² - Style7" xfId="1076" xr:uid="{00000000-0005-0000-0000-000011000000}"/>
    <cellStyle name="¹éºÐÀ² - Style8" xfId="1077" xr:uid="{00000000-0005-0000-0000-000012000000}"/>
    <cellStyle name="¹éºÐÀ²_±âÅ¸" xfId="1078" xr:uid="{00000000-0005-0000-0000-000013000000}"/>
    <cellStyle name="20% - Accent1 10" xfId="13" xr:uid="{00000000-0005-0000-0000-000014000000}"/>
    <cellStyle name="20% - Accent1 10 2" xfId="1079" xr:uid="{00000000-0005-0000-0000-000015000000}"/>
    <cellStyle name="20% - Accent1 10 2 2" xfId="1080" xr:uid="{00000000-0005-0000-0000-000016000000}"/>
    <cellStyle name="20% - Accent1 10 2 3" xfId="2343" xr:uid="{00000000-0005-0000-0000-000017000000}"/>
    <cellStyle name="20% - Accent1 10 3" xfId="1081" xr:uid="{00000000-0005-0000-0000-000018000000}"/>
    <cellStyle name="20% - Accent1 10 3 2" xfId="1082" xr:uid="{00000000-0005-0000-0000-000019000000}"/>
    <cellStyle name="20% - Accent1 10 3 3" xfId="2344" xr:uid="{00000000-0005-0000-0000-00001A000000}"/>
    <cellStyle name="20% - Accent1 10 4" xfId="1083" xr:uid="{00000000-0005-0000-0000-00001B000000}"/>
    <cellStyle name="20% - Accent1 10_BukuBesar" xfId="2345" xr:uid="{00000000-0005-0000-0000-00001C000000}"/>
    <cellStyle name="20% - Accent1 11" xfId="14" xr:uid="{00000000-0005-0000-0000-00001D000000}"/>
    <cellStyle name="20% - Accent1 11 2" xfId="1084" xr:uid="{00000000-0005-0000-0000-00001E000000}"/>
    <cellStyle name="20% - Accent1 11 2 2" xfId="1085" xr:uid="{00000000-0005-0000-0000-00001F000000}"/>
    <cellStyle name="20% - Accent1 11 2 3" xfId="2346" xr:uid="{00000000-0005-0000-0000-000020000000}"/>
    <cellStyle name="20% - Accent1 11 3" xfId="1086" xr:uid="{00000000-0005-0000-0000-000021000000}"/>
    <cellStyle name="20% - Accent1 11 3 2" xfId="1087" xr:uid="{00000000-0005-0000-0000-000022000000}"/>
    <cellStyle name="20% - Accent1 11 3 3" xfId="2347" xr:uid="{00000000-0005-0000-0000-000023000000}"/>
    <cellStyle name="20% - Accent1 11 4" xfId="1088" xr:uid="{00000000-0005-0000-0000-000024000000}"/>
    <cellStyle name="20% - Accent1 11_BukuBesar" xfId="2348" xr:uid="{00000000-0005-0000-0000-000025000000}"/>
    <cellStyle name="20% - Accent1 12" xfId="15" xr:uid="{00000000-0005-0000-0000-000026000000}"/>
    <cellStyle name="20% - Accent1 12 2" xfId="1089" xr:uid="{00000000-0005-0000-0000-000027000000}"/>
    <cellStyle name="20% - Accent1 12 2 2" xfId="1090" xr:uid="{00000000-0005-0000-0000-000028000000}"/>
    <cellStyle name="20% - Accent1 12 2 3" xfId="2349" xr:uid="{00000000-0005-0000-0000-000029000000}"/>
    <cellStyle name="20% - Accent1 12 3" xfId="1091" xr:uid="{00000000-0005-0000-0000-00002A000000}"/>
    <cellStyle name="20% - Accent1 12 3 2" xfId="1092" xr:uid="{00000000-0005-0000-0000-00002B000000}"/>
    <cellStyle name="20% - Accent1 12 3 3" xfId="2350" xr:uid="{00000000-0005-0000-0000-00002C000000}"/>
    <cellStyle name="20% - Accent1 12 4" xfId="1093" xr:uid="{00000000-0005-0000-0000-00002D000000}"/>
    <cellStyle name="20% - Accent1 12_BukuBesar" xfId="2351" xr:uid="{00000000-0005-0000-0000-00002E000000}"/>
    <cellStyle name="20% - Accent1 13" xfId="16" xr:uid="{00000000-0005-0000-0000-00002F000000}"/>
    <cellStyle name="20% - Accent1 13 2" xfId="1094" xr:uid="{00000000-0005-0000-0000-000030000000}"/>
    <cellStyle name="20% - Accent1 13 2 2" xfId="1095" xr:uid="{00000000-0005-0000-0000-000031000000}"/>
    <cellStyle name="20% - Accent1 13 2 3" xfId="2352" xr:uid="{00000000-0005-0000-0000-000032000000}"/>
    <cellStyle name="20% - Accent1 13 3" xfId="1096" xr:uid="{00000000-0005-0000-0000-000033000000}"/>
    <cellStyle name="20% - Accent1 13 3 2" xfId="1097" xr:uid="{00000000-0005-0000-0000-000034000000}"/>
    <cellStyle name="20% - Accent1 13 3 3" xfId="2353" xr:uid="{00000000-0005-0000-0000-000035000000}"/>
    <cellStyle name="20% - Accent1 13 4" xfId="1098" xr:uid="{00000000-0005-0000-0000-000036000000}"/>
    <cellStyle name="20% - Accent1 13_BukuBesar" xfId="2354" xr:uid="{00000000-0005-0000-0000-000037000000}"/>
    <cellStyle name="20% - Accent1 14" xfId="2355" xr:uid="{00000000-0005-0000-0000-000038000000}"/>
    <cellStyle name="20% - Accent1 14 2" xfId="2356" xr:uid="{00000000-0005-0000-0000-000039000000}"/>
    <cellStyle name="20% - Accent1 14 3" xfId="2357" xr:uid="{00000000-0005-0000-0000-00003A000000}"/>
    <cellStyle name="20% - Accent1 14_BukuBesar" xfId="2358" xr:uid="{00000000-0005-0000-0000-00003B000000}"/>
    <cellStyle name="20% - Accent1 15" xfId="2359" xr:uid="{00000000-0005-0000-0000-00003C000000}"/>
    <cellStyle name="20% - Accent1 15 2" xfId="2360" xr:uid="{00000000-0005-0000-0000-00003D000000}"/>
    <cellStyle name="20% - Accent1 15 3" xfId="2361" xr:uid="{00000000-0005-0000-0000-00003E000000}"/>
    <cellStyle name="20% - Accent1 15_BukuBesar" xfId="2362" xr:uid="{00000000-0005-0000-0000-00003F000000}"/>
    <cellStyle name="20% - Accent1 16" xfId="2363" xr:uid="{00000000-0005-0000-0000-000040000000}"/>
    <cellStyle name="20% - Accent1 16 2" xfId="2364" xr:uid="{00000000-0005-0000-0000-000041000000}"/>
    <cellStyle name="20% - Accent1 16 3" xfId="2365" xr:uid="{00000000-0005-0000-0000-000042000000}"/>
    <cellStyle name="20% - Accent1 16_BukuBesar" xfId="2366" xr:uid="{00000000-0005-0000-0000-000043000000}"/>
    <cellStyle name="20% - Accent1 17" xfId="2367" xr:uid="{00000000-0005-0000-0000-000044000000}"/>
    <cellStyle name="20% - Accent1 17 2" xfId="2368" xr:uid="{00000000-0005-0000-0000-000045000000}"/>
    <cellStyle name="20% - Accent1 17 3" xfId="2369" xr:uid="{00000000-0005-0000-0000-000046000000}"/>
    <cellStyle name="20% - Accent1 17_BukuBesar" xfId="2370" xr:uid="{00000000-0005-0000-0000-000047000000}"/>
    <cellStyle name="20% - Accent1 18" xfId="2371" xr:uid="{00000000-0005-0000-0000-000048000000}"/>
    <cellStyle name="20% - Accent1 18 2" xfId="2372" xr:uid="{00000000-0005-0000-0000-000049000000}"/>
    <cellStyle name="20% - Accent1 18 3" xfId="2373" xr:uid="{00000000-0005-0000-0000-00004A000000}"/>
    <cellStyle name="20% - Accent1 18_BukuBesar" xfId="2374" xr:uid="{00000000-0005-0000-0000-00004B000000}"/>
    <cellStyle name="20% - Accent1 19" xfId="2375" xr:uid="{00000000-0005-0000-0000-00004C000000}"/>
    <cellStyle name="20% - Accent1 19 2" xfId="2376" xr:uid="{00000000-0005-0000-0000-00004D000000}"/>
    <cellStyle name="20% - Accent1 19_BukuBesar" xfId="2377" xr:uid="{00000000-0005-0000-0000-00004E000000}"/>
    <cellStyle name="20% - Accent1 2" xfId="17" xr:uid="{00000000-0005-0000-0000-00004F000000}"/>
    <cellStyle name="20% - Accent1 2 2" xfId="1099" xr:uid="{00000000-0005-0000-0000-000050000000}"/>
    <cellStyle name="20% - Accent1 2 2 2" xfId="1100" xr:uid="{00000000-0005-0000-0000-000051000000}"/>
    <cellStyle name="20% - Accent1 2 2 2 2" xfId="2378" xr:uid="{00000000-0005-0000-0000-000052000000}"/>
    <cellStyle name="20% - Accent1 2 2 3" xfId="2379" xr:uid="{00000000-0005-0000-0000-000053000000}"/>
    <cellStyle name="20% - Accent1 2 2_BukuBesar" xfId="2380" xr:uid="{00000000-0005-0000-0000-000054000000}"/>
    <cellStyle name="20% - Accent1 2 3" xfId="1101" xr:uid="{00000000-0005-0000-0000-000055000000}"/>
    <cellStyle name="20% - Accent1 2 3 2" xfId="1102" xr:uid="{00000000-0005-0000-0000-000056000000}"/>
    <cellStyle name="20% - Accent1 2 4" xfId="1103" xr:uid="{00000000-0005-0000-0000-000057000000}"/>
    <cellStyle name="20% - Accent1 2 4 2" xfId="2381" xr:uid="{00000000-0005-0000-0000-000058000000}"/>
    <cellStyle name="20% - Accent1 2 5" xfId="2382" xr:uid="{00000000-0005-0000-0000-000059000000}"/>
    <cellStyle name="20% - Accent1 2 6" xfId="2383" xr:uid="{00000000-0005-0000-0000-00005A000000}"/>
    <cellStyle name="20% - Accent1 2 7" xfId="2384" xr:uid="{00000000-0005-0000-0000-00005B000000}"/>
    <cellStyle name="20% - Accent1 2 8" xfId="6486" xr:uid="{FDE33E5E-CAC1-44C9-91C5-2FFF026CE112}"/>
    <cellStyle name="20% - Accent1 2_BukuBesar" xfId="2385" xr:uid="{00000000-0005-0000-0000-00005C000000}"/>
    <cellStyle name="20% - Accent1 20" xfId="2386" xr:uid="{00000000-0005-0000-0000-00005D000000}"/>
    <cellStyle name="20% - Accent1 20 2" xfId="2387" xr:uid="{00000000-0005-0000-0000-00005E000000}"/>
    <cellStyle name="20% - Accent1 20 3" xfId="2388" xr:uid="{00000000-0005-0000-0000-00005F000000}"/>
    <cellStyle name="20% - Accent1 20_BukuBesar" xfId="2389" xr:uid="{00000000-0005-0000-0000-000060000000}"/>
    <cellStyle name="20% - Accent1 21" xfId="2390" xr:uid="{00000000-0005-0000-0000-000061000000}"/>
    <cellStyle name="20% - Accent1 21 2" xfId="2391" xr:uid="{00000000-0005-0000-0000-000062000000}"/>
    <cellStyle name="20% - Accent1 21_BukuBesar" xfId="2392" xr:uid="{00000000-0005-0000-0000-000063000000}"/>
    <cellStyle name="20% - Accent1 22" xfId="2393" xr:uid="{00000000-0005-0000-0000-000064000000}"/>
    <cellStyle name="20% - Accent1 22 2" xfId="2394" xr:uid="{00000000-0005-0000-0000-000065000000}"/>
    <cellStyle name="20% - Accent1 22_BukuBesar" xfId="2395" xr:uid="{00000000-0005-0000-0000-000066000000}"/>
    <cellStyle name="20% - Accent1 23" xfId="2396" xr:uid="{00000000-0005-0000-0000-000067000000}"/>
    <cellStyle name="20% - Accent1 23 2" xfId="2397" xr:uid="{00000000-0005-0000-0000-000068000000}"/>
    <cellStyle name="20% - Accent1 23_BukuBesar" xfId="2398" xr:uid="{00000000-0005-0000-0000-000069000000}"/>
    <cellStyle name="20% - Accent1 24" xfId="2399" xr:uid="{00000000-0005-0000-0000-00006A000000}"/>
    <cellStyle name="20% - Accent1 24 2" xfId="2400" xr:uid="{00000000-0005-0000-0000-00006B000000}"/>
    <cellStyle name="20% - Accent1 24_BukuBesar" xfId="2401" xr:uid="{00000000-0005-0000-0000-00006C000000}"/>
    <cellStyle name="20% - Accent1 25" xfId="2402" xr:uid="{00000000-0005-0000-0000-00006D000000}"/>
    <cellStyle name="20% - Accent1 25 2" xfId="2403" xr:uid="{00000000-0005-0000-0000-00006E000000}"/>
    <cellStyle name="20% - Accent1 25_BukuBesar" xfId="2404" xr:uid="{00000000-0005-0000-0000-00006F000000}"/>
    <cellStyle name="20% - Accent1 26" xfId="2405" xr:uid="{00000000-0005-0000-0000-000070000000}"/>
    <cellStyle name="20% - Accent1 26 2" xfId="2406" xr:uid="{00000000-0005-0000-0000-000071000000}"/>
    <cellStyle name="20% - Accent1 26_BukuBesar" xfId="2407" xr:uid="{00000000-0005-0000-0000-000072000000}"/>
    <cellStyle name="20% - Accent1 27" xfId="2408" xr:uid="{00000000-0005-0000-0000-000073000000}"/>
    <cellStyle name="20% - Accent1 27 2" xfId="2409" xr:uid="{00000000-0005-0000-0000-000074000000}"/>
    <cellStyle name="20% - Accent1 27_BukuBesar" xfId="2410" xr:uid="{00000000-0005-0000-0000-000075000000}"/>
    <cellStyle name="20% - Accent1 28" xfId="2411" xr:uid="{00000000-0005-0000-0000-000076000000}"/>
    <cellStyle name="20% - Accent1 28 2" xfId="2412" xr:uid="{00000000-0005-0000-0000-000077000000}"/>
    <cellStyle name="20% - Accent1 28_BukuBesar" xfId="2413" xr:uid="{00000000-0005-0000-0000-000078000000}"/>
    <cellStyle name="20% - Accent1 29" xfId="2414" xr:uid="{00000000-0005-0000-0000-000079000000}"/>
    <cellStyle name="20% - Accent1 29 2" xfId="2415" xr:uid="{00000000-0005-0000-0000-00007A000000}"/>
    <cellStyle name="20% - Accent1 29_BukuBesar" xfId="2416" xr:uid="{00000000-0005-0000-0000-00007B000000}"/>
    <cellStyle name="20% - Accent1 3" xfId="18" xr:uid="{00000000-0005-0000-0000-00007C000000}"/>
    <cellStyle name="20% - Accent1 3 2" xfId="1104" xr:uid="{00000000-0005-0000-0000-00007D000000}"/>
    <cellStyle name="20% - Accent1 3 2 2" xfId="1105" xr:uid="{00000000-0005-0000-0000-00007E000000}"/>
    <cellStyle name="20% - Accent1 3 2 2 2" xfId="2417" xr:uid="{00000000-0005-0000-0000-00007F000000}"/>
    <cellStyle name="20% - Accent1 3 2 3" xfId="2418" xr:uid="{00000000-0005-0000-0000-000080000000}"/>
    <cellStyle name="20% - Accent1 3 2_BukuBesar" xfId="2419" xr:uid="{00000000-0005-0000-0000-000081000000}"/>
    <cellStyle name="20% - Accent1 3 3" xfId="1106" xr:uid="{00000000-0005-0000-0000-000082000000}"/>
    <cellStyle name="20% - Accent1 3 3 2" xfId="1107" xr:uid="{00000000-0005-0000-0000-000083000000}"/>
    <cellStyle name="20% - Accent1 3 4" xfId="1108" xr:uid="{00000000-0005-0000-0000-000084000000}"/>
    <cellStyle name="20% - Accent1 3 4 2" xfId="2420" xr:uid="{00000000-0005-0000-0000-000085000000}"/>
    <cellStyle name="20% - Accent1 3 5" xfId="2421" xr:uid="{00000000-0005-0000-0000-000086000000}"/>
    <cellStyle name="20% - Accent1 3 6" xfId="2422" xr:uid="{00000000-0005-0000-0000-000087000000}"/>
    <cellStyle name="20% - Accent1 3 7" xfId="2423" xr:uid="{00000000-0005-0000-0000-000088000000}"/>
    <cellStyle name="20% - Accent1 3 8" xfId="2424" xr:uid="{00000000-0005-0000-0000-000089000000}"/>
    <cellStyle name="20% - Accent1 3_BukuBesar" xfId="2425" xr:uid="{00000000-0005-0000-0000-00008A000000}"/>
    <cellStyle name="20% - Accent1 30" xfId="2426" xr:uid="{00000000-0005-0000-0000-00008B000000}"/>
    <cellStyle name="20% - Accent1 4" xfId="19" xr:uid="{00000000-0005-0000-0000-00008C000000}"/>
    <cellStyle name="20% - Accent1 4 2" xfId="1109" xr:uid="{00000000-0005-0000-0000-00008D000000}"/>
    <cellStyle name="20% - Accent1 4 2 2" xfId="1110" xr:uid="{00000000-0005-0000-0000-00008E000000}"/>
    <cellStyle name="20% - Accent1 4 2 2 2" xfId="2427" xr:uid="{00000000-0005-0000-0000-00008F000000}"/>
    <cellStyle name="20% - Accent1 4 2 3" xfId="2428" xr:uid="{00000000-0005-0000-0000-000090000000}"/>
    <cellStyle name="20% - Accent1 4 2_BukuBesar" xfId="2429" xr:uid="{00000000-0005-0000-0000-000091000000}"/>
    <cellStyle name="20% - Accent1 4 3" xfId="1111" xr:uid="{00000000-0005-0000-0000-000092000000}"/>
    <cellStyle name="20% - Accent1 4 3 2" xfId="1112" xr:uid="{00000000-0005-0000-0000-000093000000}"/>
    <cellStyle name="20% - Accent1 4 4" xfId="1113" xr:uid="{00000000-0005-0000-0000-000094000000}"/>
    <cellStyle name="20% - Accent1 4 4 2" xfId="2430" xr:uid="{00000000-0005-0000-0000-000095000000}"/>
    <cellStyle name="20% - Accent1 4 5" xfId="2431" xr:uid="{00000000-0005-0000-0000-000096000000}"/>
    <cellStyle name="20% - Accent1 4 6" xfId="2432" xr:uid="{00000000-0005-0000-0000-000097000000}"/>
    <cellStyle name="20% - Accent1 4 7" xfId="2433" xr:uid="{00000000-0005-0000-0000-000098000000}"/>
    <cellStyle name="20% - Accent1 4 8" xfId="2434" xr:uid="{00000000-0005-0000-0000-000099000000}"/>
    <cellStyle name="20% - Accent1 4_BukuBesar" xfId="2435" xr:uid="{00000000-0005-0000-0000-00009A000000}"/>
    <cellStyle name="20% - Accent1 5" xfId="20" xr:uid="{00000000-0005-0000-0000-00009B000000}"/>
    <cellStyle name="20% - Accent1 5 2" xfId="1114" xr:uid="{00000000-0005-0000-0000-00009C000000}"/>
    <cellStyle name="20% - Accent1 5 2 2" xfId="1115" xr:uid="{00000000-0005-0000-0000-00009D000000}"/>
    <cellStyle name="20% - Accent1 5 2 2 2" xfId="2436" xr:uid="{00000000-0005-0000-0000-00009E000000}"/>
    <cellStyle name="20% - Accent1 5 2 3" xfId="2437" xr:uid="{00000000-0005-0000-0000-00009F000000}"/>
    <cellStyle name="20% - Accent1 5 2_BukuBesar" xfId="2438" xr:uid="{00000000-0005-0000-0000-0000A0000000}"/>
    <cellStyle name="20% - Accent1 5 3" xfId="1116" xr:uid="{00000000-0005-0000-0000-0000A1000000}"/>
    <cellStyle name="20% - Accent1 5 3 2" xfId="1117" xr:uid="{00000000-0005-0000-0000-0000A2000000}"/>
    <cellStyle name="20% - Accent1 5 4" xfId="1118" xr:uid="{00000000-0005-0000-0000-0000A3000000}"/>
    <cellStyle name="20% - Accent1 5 4 2" xfId="2439" xr:uid="{00000000-0005-0000-0000-0000A4000000}"/>
    <cellStyle name="20% - Accent1 5 5" xfId="2440" xr:uid="{00000000-0005-0000-0000-0000A5000000}"/>
    <cellStyle name="20% - Accent1 5 6" xfId="2441" xr:uid="{00000000-0005-0000-0000-0000A6000000}"/>
    <cellStyle name="20% - Accent1 5 7" xfId="2442" xr:uid="{00000000-0005-0000-0000-0000A7000000}"/>
    <cellStyle name="20% - Accent1 5 8" xfId="2443" xr:uid="{00000000-0005-0000-0000-0000A8000000}"/>
    <cellStyle name="20% - Accent1 5_BukuBesar" xfId="2444" xr:uid="{00000000-0005-0000-0000-0000A9000000}"/>
    <cellStyle name="20% - Accent1 6" xfId="21" xr:uid="{00000000-0005-0000-0000-0000AA000000}"/>
    <cellStyle name="20% - Accent1 6 2" xfId="1119" xr:uid="{00000000-0005-0000-0000-0000AB000000}"/>
    <cellStyle name="20% - Accent1 6 2 2" xfId="1120" xr:uid="{00000000-0005-0000-0000-0000AC000000}"/>
    <cellStyle name="20% - Accent1 6 2 2 2" xfId="2445" xr:uid="{00000000-0005-0000-0000-0000AD000000}"/>
    <cellStyle name="20% - Accent1 6 2 3" xfId="2446" xr:uid="{00000000-0005-0000-0000-0000AE000000}"/>
    <cellStyle name="20% - Accent1 6 2_BukuBesar" xfId="2447" xr:uid="{00000000-0005-0000-0000-0000AF000000}"/>
    <cellStyle name="20% - Accent1 6 3" xfId="1121" xr:uid="{00000000-0005-0000-0000-0000B0000000}"/>
    <cellStyle name="20% - Accent1 6 3 2" xfId="1122" xr:uid="{00000000-0005-0000-0000-0000B1000000}"/>
    <cellStyle name="20% - Accent1 6 4" xfId="1123" xr:uid="{00000000-0005-0000-0000-0000B2000000}"/>
    <cellStyle name="20% - Accent1 6 4 2" xfId="2448" xr:uid="{00000000-0005-0000-0000-0000B3000000}"/>
    <cellStyle name="20% - Accent1 6 5" xfId="2449" xr:uid="{00000000-0005-0000-0000-0000B4000000}"/>
    <cellStyle name="20% - Accent1 6 6" xfId="2450" xr:uid="{00000000-0005-0000-0000-0000B5000000}"/>
    <cellStyle name="20% - Accent1 6 7" xfId="2451" xr:uid="{00000000-0005-0000-0000-0000B6000000}"/>
    <cellStyle name="20% - Accent1 6 8" xfId="2452" xr:uid="{00000000-0005-0000-0000-0000B7000000}"/>
    <cellStyle name="20% - Accent1 6_BukuBesar" xfId="2453" xr:uid="{00000000-0005-0000-0000-0000B8000000}"/>
    <cellStyle name="20% - Accent1 7" xfId="22" xr:uid="{00000000-0005-0000-0000-0000B9000000}"/>
    <cellStyle name="20% - Accent1 7 2" xfId="1124" xr:uid="{00000000-0005-0000-0000-0000BA000000}"/>
    <cellStyle name="20% - Accent1 7 2 2" xfId="1125" xr:uid="{00000000-0005-0000-0000-0000BB000000}"/>
    <cellStyle name="20% - Accent1 7 2 3" xfId="2454" xr:uid="{00000000-0005-0000-0000-0000BC000000}"/>
    <cellStyle name="20% - Accent1 7 3" xfId="1126" xr:uid="{00000000-0005-0000-0000-0000BD000000}"/>
    <cellStyle name="20% - Accent1 7 3 2" xfId="1127" xr:uid="{00000000-0005-0000-0000-0000BE000000}"/>
    <cellStyle name="20% - Accent1 7 3 3" xfId="2455" xr:uid="{00000000-0005-0000-0000-0000BF000000}"/>
    <cellStyle name="20% - Accent1 7 4" xfId="1128" xr:uid="{00000000-0005-0000-0000-0000C0000000}"/>
    <cellStyle name="20% - Accent1 7_BukuBesar" xfId="2456" xr:uid="{00000000-0005-0000-0000-0000C1000000}"/>
    <cellStyle name="20% - Accent1 8" xfId="23" xr:uid="{00000000-0005-0000-0000-0000C2000000}"/>
    <cellStyle name="20% - Accent1 8 2" xfId="1129" xr:uid="{00000000-0005-0000-0000-0000C3000000}"/>
    <cellStyle name="20% - Accent1 8 2 2" xfId="1130" xr:uid="{00000000-0005-0000-0000-0000C4000000}"/>
    <cellStyle name="20% - Accent1 8 2 3" xfId="2457" xr:uid="{00000000-0005-0000-0000-0000C5000000}"/>
    <cellStyle name="20% - Accent1 8 3" xfId="1131" xr:uid="{00000000-0005-0000-0000-0000C6000000}"/>
    <cellStyle name="20% - Accent1 8 3 2" xfId="1132" xr:uid="{00000000-0005-0000-0000-0000C7000000}"/>
    <cellStyle name="20% - Accent1 8 3 3" xfId="2458" xr:uid="{00000000-0005-0000-0000-0000C8000000}"/>
    <cellStyle name="20% - Accent1 8 4" xfId="1133" xr:uid="{00000000-0005-0000-0000-0000C9000000}"/>
    <cellStyle name="20% - Accent1 8_BukuBesar" xfId="2459" xr:uid="{00000000-0005-0000-0000-0000CA000000}"/>
    <cellStyle name="20% - Accent1 9" xfId="24" xr:uid="{00000000-0005-0000-0000-0000CB000000}"/>
    <cellStyle name="20% - Accent1 9 2" xfId="1134" xr:uid="{00000000-0005-0000-0000-0000CC000000}"/>
    <cellStyle name="20% - Accent1 9 2 2" xfId="1135" xr:uid="{00000000-0005-0000-0000-0000CD000000}"/>
    <cellStyle name="20% - Accent1 9 2 3" xfId="2460" xr:uid="{00000000-0005-0000-0000-0000CE000000}"/>
    <cellStyle name="20% - Accent1 9 3" xfId="1136" xr:uid="{00000000-0005-0000-0000-0000CF000000}"/>
    <cellStyle name="20% - Accent1 9 3 2" xfId="1137" xr:uid="{00000000-0005-0000-0000-0000D0000000}"/>
    <cellStyle name="20% - Accent1 9 3 3" xfId="2461" xr:uid="{00000000-0005-0000-0000-0000D1000000}"/>
    <cellStyle name="20% - Accent1 9 4" xfId="1138" xr:uid="{00000000-0005-0000-0000-0000D2000000}"/>
    <cellStyle name="20% - Accent1 9_BukuBesar" xfId="2462" xr:uid="{00000000-0005-0000-0000-0000D3000000}"/>
    <cellStyle name="20% - Accent2 10" xfId="25" xr:uid="{00000000-0005-0000-0000-0000D4000000}"/>
    <cellStyle name="20% - Accent2 10 2" xfId="1139" xr:uid="{00000000-0005-0000-0000-0000D5000000}"/>
    <cellStyle name="20% - Accent2 10 2 2" xfId="1140" xr:uid="{00000000-0005-0000-0000-0000D6000000}"/>
    <cellStyle name="20% - Accent2 10 2 3" xfId="2463" xr:uid="{00000000-0005-0000-0000-0000D7000000}"/>
    <cellStyle name="20% - Accent2 10 3" xfId="1141" xr:uid="{00000000-0005-0000-0000-0000D8000000}"/>
    <cellStyle name="20% - Accent2 10 3 2" xfId="1142" xr:uid="{00000000-0005-0000-0000-0000D9000000}"/>
    <cellStyle name="20% - Accent2 10 3 3" xfId="2464" xr:uid="{00000000-0005-0000-0000-0000DA000000}"/>
    <cellStyle name="20% - Accent2 10 4" xfId="1143" xr:uid="{00000000-0005-0000-0000-0000DB000000}"/>
    <cellStyle name="20% - Accent2 10_BukuBesar" xfId="2465" xr:uid="{00000000-0005-0000-0000-0000DC000000}"/>
    <cellStyle name="20% - Accent2 11" xfId="26" xr:uid="{00000000-0005-0000-0000-0000DD000000}"/>
    <cellStyle name="20% - Accent2 11 2" xfId="1144" xr:uid="{00000000-0005-0000-0000-0000DE000000}"/>
    <cellStyle name="20% - Accent2 11 2 2" xfId="1145" xr:uid="{00000000-0005-0000-0000-0000DF000000}"/>
    <cellStyle name="20% - Accent2 11 2 3" xfId="2466" xr:uid="{00000000-0005-0000-0000-0000E0000000}"/>
    <cellStyle name="20% - Accent2 11 3" xfId="1146" xr:uid="{00000000-0005-0000-0000-0000E1000000}"/>
    <cellStyle name="20% - Accent2 11 3 2" xfId="1147" xr:uid="{00000000-0005-0000-0000-0000E2000000}"/>
    <cellStyle name="20% - Accent2 11 3 3" xfId="2467" xr:uid="{00000000-0005-0000-0000-0000E3000000}"/>
    <cellStyle name="20% - Accent2 11 4" xfId="1148" xr:uid="{00000000-0005-0000-0000-0000E4000000}"/>
    <cellStyle name="20% - Accent2 11_BukuBesar" xfId="2468" xr:uid="{00000000-0005-0000-0000-0000E5000000}"/>
    <cellStyle name="20% - Accent2 12" xfId="27" xr:uid="{00000000-0005-0000-0000-0000E6000000}"/>
    <cellStyle name="20% - Accent2 12 2" xfId="1149" xr:uid="{00000000-0005-0000-0000-0000E7000000}"/>
    <cellStyle name="20% - Accent2 12 2 2" xfId="1150" xr:uid="{00000000-0005-0000-0000-0000E8000000}"/>
    <cellStyle name="20% - Accent2 12 2 3" xfId="2469" xr:uid="{00000000-0005-0000-0000-0000E9000000}"/>
    <cellStyle name="20% - Accent2 12 3" xfId="1151" xr:uid="{00000000-0005-0000-0000-0000EA000000}"/>
    <cellStyle name="20% - Accent2 12 3 2" xfId="1152" xr:uid="{00000000-0005-0000-0000-0000EB000000}"/>
    <cellStyle name="20% - Accent2 12 3 3" xfId="2470" xr:uid="{00000000-0005-0000-0000-0000EC000000}"/>
    <cellStyle name="20% - Accent2 12 4" xfId="1153" xr:uid="{00000000-0005-0000-0000-0000ED000000}"/>
    <cellStyle name="20% - Accent2 12_BukuBesar" xfId="2471" xr:uid="{00000000-0005-0000-0000-0000EE000000}"/>
    <cellStyle name="20% - Accent2 13" xfId="28" xr:uid="{00000000-0005-0000-0000-0000EF000000}"/>
    <cellStyle name="20% - Accent2 13 2" xfId="1154" xr:uid="{00000000-0005-0000-0000-0000F0000000}"/>
    <cellStyle name="20% - Accent2 13 2 2" xfId="1155" xr:uid="{00000000-0005-0000-0000-0000F1000000}"/>
    <cellStyle name="20% - Accent2 13 2 3" xfId="2472" xr:uid="{00000000-0005-0000-0000-0000F2000000}"/>
    <cellStyle name="20% - Accent2 13 3" xfId="1156" xr:uid="{00000000-0005-0000-0000-0000F3000000}"/>
    <cellStyle name="20% - Accent2 13 3 2" xfId="1157" xr:uid="{00000000-0005-0000-0000-0000F4000000}"/>
    <cellStyle name="20% - Accent2 13 3 3" xfId="2473" xr:uid="{00000000-0005-0000-0000-0000F5000000}"/>
    <cellStyle name="20% - Accent2 13 4" xfId="1158" xr:uid="{00000000-0005-0000-0000-0000F6000000}"/>
    <cellStyle name="20% - Accent2 13_BukuBesar" xfId="2474" xr:uid="{00000000-0005-0000-0000-0000F7000000}"/>
    <cellStyle name="20% - Accent2 14" xfId="2475" xr:uid="{00000000-0005-0000-0000-0000F8000000}"/>
    <cellStyle name="20% - Accent2 14 2" xfId="2476" xr:uid="{00000000-0005-0000-0000-0000F9000000}"/>
    <cellStyle name="20% - Accent2 14 3" xfId="2477" xr:uid="{00000000-0005-0000-0000-0000FA000000}"/>
    <cellStyle name="20% - Accent2 14_BukuBesar" xfId="2478" xr:uid="{00000000-0005-0000-0000-0000FB000000}"/>
    <cellStyle name="20% - Accent2 15" xfId="2479" xr:uid="{00000000-0005-0000-0000-0000FC000000}"/>
    <cellStyle name="20% - Accent2 15 2" xfId="2480" xr:uid="{00000000-0005-0000-0000-0000FD000000}"/>
    <cellStyle name="20% - Accent2 15 3" xfId="2481" xr:uid="{00000000-0005-0000-0000-0000FE000000}"/>
    <cellStyle name="20% - Accent2 15_BukuBesar" xfId="2482" xr:uid="{00000000-0005-0000-0000-0000FF000000}"/>
    <cellStyle name="20% - Accent2 16" xfId="2483" xr:uid="{00000000-0005-0000-0000-000000010000}"/>
    <cellStyle name="20% - Accent2 16 2" xfId="2484" xr:uid="{00000000-0005-0000-0000-000001010000}"/>
    <cellStyle name="20% - Accent2 16 3" xfId="2485" xr:uid="{00000000-0005-0000-0000-000002010000}"/>
    <cellStyle name="20% - Accent2 16_BukuBesar" xfId="2486" xr:uid="{00000000-0005-0000-0000-000003010000}"/>
    <cellStyle name="20% - Accent2 17" xfId="2487" xr:uid="{00000000-0005-0000-0000-000004010000}"/>
    <cellStyle name="20% - Accent2 17 2" xfId="2488" xr:uid="{00000000-0005-0000-0000-000005010000}"/>
    <cellStyle name="20% - Accent2 17 3" xfId="2489" xr:uid="{00000000-0005-0000-0000-000006010000}"/>
    <cellStyle name="20% - Accent2 17_BukuBesar" xfId="2490" xr:uid="{00000000-0005-0000-0000-000007010000}"/>
    <cellStyle name="20% - Accent2 18" xfId="2491" xr:uid="{00000000-0005-0000-0000-000008010000}"/>
    <cellStyle name="20% - Accent2 18 2" xfId="2492" xr:uid="{00000000-0005-0000-0000-000009010000}"/>
    <cellStyle name="20% - Accent2 18 3" xfId="2493" xr:uid="{00000000-0005-0000-0000-00000A010000}"/>
    <cellStyle name="20% - Accent2 18_BukuBesar" xfId="2494" xr:uid="{00000000-0005-0000-0000-00000B010000}"/>
    <cellStyle name="20% - Accent2 19" xfId="2495" xr:uid="{00000000-0005-0000-0000-00000C010000}"/>
    <cellStyle name="20% - Accent2 19 2" xfId="2496" xr:uid="{00000000-0005-0000-0000-00000D010000}"/>
    <cellStyle name="20% - Accent2 19_BukuBesar" xfId="2497" xr:uid="{00000000-0005-0000-0000-00000E010000}"/>
    <cellStyle name="20% - Accent2 2" xfId="29" xr:uid="{00000000-0005-0000-0000-00000F010000}"/>
    <cellStyle name="20% - Accent2 2 10" xfId="2498" xr:uid="{00000000-0005-0000-0000-000010010000}"/>
    <cellStyle name="20% - Accent2 2 11" xfId="2499" xr:uid="{00000000-0005-0000-0000-000011010000}"/>
    <cellStyle name="20% - Accent2 2 12" xfId="6489" xr:uid="{F440C8D7-62B5-40C2-BD98-D4C2C13D6D62}"/>
    <cellStyle name="20% - Accent2 2 2" xfId="30" xr:uid="{00000000-0005-0000-0000-000012010000}"/>
    <cellStyle name="20% - Accent2 2 2 2" xfId="1159" xr:uid="{00000000-0005-0000-0000-000013010000}"/>
    <cellStyle name="20% - Accent2 2 2 2 2" xfId="2500" xr:uid="{00000000-0005-0000-0000-000014010000}"/>
    <cellStyle name="20% - Accent2 2 2 3" xfId="2501" xr:uid="{00000000-0005-0000-0000-000015010000}"/>
    <cellStyle name="20% - Accent2 2 2 3 2" xfId="2502" xr:uid="{00000000-0005-0000-0000-000016010000}"/>
    <cellStyle name="20% - Accent2 2 2 4" xfId="5654" xr:uid="{00000000-0005-0000-0000-000017010000}"/>
    <cellStyle name="20% - Accent2 2 2 5" xfId="6490" xr:uid="{E57B5415-E94D-4628-91F0-C35508B87584}"/>
    <cellStyle name="20% - Accent2 2 2_BukuBesar" xfId="2503" xr:uid="{00000000-0005-0000-0000-000018010000}"/>
    <cellStyle name="20% - Accent2 2 3" xfId="1160" xr:uid="{00000000-0005-0000-0000-000019010000}"/>
    <cellStyle name="20% - Accent2 2 3 2" xfId="1161" xr:uid="{00000000-0005-0000-0000-00001A010000}"/>
    <cellStyle name="20% - Accent2 2 3 3" xfId="2504" xr:uid="{00000000-0005-0000-0000-00001B010000}"/>
    <cellStyle name="20% - Accent2 2 3 4" xfId="6491" xr:uid="{2738BD3C-D804-4489-98EA-239AF5684B20}"/>
    <cellStyle name="20% - Accent2 2 4" xfId="1162" xr:uid="{00000000-0005-0000-0000-00001C010000}"/>
    <cellStyle name="20% - Accent2 2 4 2" xfId="1163" xr:uid="{00000000-0005-0000-0000-00001D010000}"/>
    <cellStyle name="20% - Accent2 2 4 2 2" xfId="2505" xr:uid="{00000000-0005-0000-0000-00001E010000}"/>
    <cellStyle name="20% - Accent2 2 4 3" xfId="2506" xr:uid="{00000000-0005-0000-0000-00001F010000}"/>
    <cellStyle name="20% - Accent2 2 5" xfId="1164" xr:uid="{00000000-0005-0000-0000-000020010000}"/>
    <cellStyle name="20% - Accent2 2 5 2" xfId="2507" xr:uid="{00000000-0005-0000-0000-000021010000}"/>
    <cellStyle name="20% - Accent2 2 5 3" xfId="2508" xr:uid="{00000000-0005-0000-0000-000022010000}"/>
    <cellStyle name="20% - Accent2 2 6" xfId="2509" xr:uid="{00000000-0005-0000-0000-000023010000}"/>
    <cellStyle name="20% - Accent2 2 6 2" xfId="2510" xr:uid="{00000000-0005-0000-0000-000024010000}"/>
    <cellStyle name="20% - Accent2 2 7" xfId="2511" xr:uid="{00000000-0005-0000-0000-000025010000}"/>
    <cellStyle name="20% - Accent2 2 7 2" xfId="2512" xr:uid="{00000000-0005-0000-0000-000026010000}"/>
    <cellStyle name="20% - Accent2 2 8" xfId="2513" xr:uid="{00000000-0005-0000-0000-000027010000}"/>
    <cellStyle name="20% - Accent2 2 8 2" xfId="2514" xr:uid="{00000000-0005-0000-0000-000028010000}"/>
    <cellStyle name="20% - Accent2 2 9" xfId="2515" xr:uid="{00000000-0005-0000-0000-000029010000}"/>
    <cellStyle name="20% - Accent2 2_BukuBesar" xfId="2516" xr:uid="{00000000-0005-0000-0000-00002A010000}"/>
    <cellStyle name="20% - Accent2 20" xfId="2517" xr:uid="{00000000-0005-0000-0000-00002B010000}"/>
    <cellStyle name="20% - Accent2 20 2" xfId="2518" xr:uid="{00000000-0005-0000-0000-00002C010000}"/>
    <cellStyle name="20% - Accent2 20 3" xfId="2519" xr:uid="{00000000-0005-0000-0000-00002D010000}"/>
    <cellStyle name="20% - Accent2 20_BukuBesar" xfId="2520" xr:uid="{00000000-0005-0000-0000-00002E010000}"/>
    <cellStyle name="20% - Accent2 21" xfId="2521" xr:uid="{00000000-0005-0000-0000-00002F010000}"/>
    <cellStyle name="20% - Accent2 21 2" xfId="2522" xr:uid="{00000000-0005-0000-0000-000030010000}"/>
    <cellStyle name="20% - Accent2 21_BukuBesar" xfId="2523" xr:uid="{00000000-0005-0000-0000-000031010000}"/>
    <cellStyle name="20% - Accent2 22" xfId="2524" xr:uid="{00000000-0005-0000-0000-000032010000}"/>
    <cellStyle name="20% - Accent2 22 2" xfId="2525" xr:uid="{00000000-0005-0000-0000-000033010000}"/>
    <cellStyle name="20% - Accent2 22_BukuBesar" xfId="2526" xr:uid="{00000000-0005-0000-0000-000034010000}"/>
    <cellStyle name="20% - Accent2 23" xfId="2527" xr:uid="{00000000-0005-0000-0000-000035010000}"/>
    <cellStyle name="20% - Accent2 23 2" xfId="2528" xr:uid="{00000000-0005-0000-0000-000036010000}"/>
    <cellStyle name="20% - Accent2 23_BukuBesar" xfId="2529" xr:uid="{00000000-0005-0000-0000-000037010000}"/>
    <cellStyle name="20% - Accent2 24" xfId="2530" xr:uid="{00000000-0005-0000-0000-000038010000}"/>
    <cellStyle name="20% - Accent2 24 2" xfId="2531" xr:uid="{00000000-0005-0000-0000-000039010000}"/>
    <cellStyle name="20% - Accent2 24_BukuBesar" xfId="2532" xr:uid="{00000000-0005-0000-0000-00003A010000}"/>
    <cellStyle name="20% - Accent2 25" xfId="2533" xr:uid="{00000000-0005-0000-0000-00003B010000}"/>
    <cellStyle name="20% - Accent2 25 2" xfId="2534" xr:uid="{00000000-0005-0000-0000-00003C010000}"/>
    <cellStyle name="20% - Accent2 25_BukuBesar" xfId="2535" xr:uid="{00000000-0005-0000-0000-00003D010000}"/>
    <cellStyle name="20% - Accent2 26" xfId="2536" xr:uid="{00000000-0005-0000-0000-00003E010000}"/>
    <cellStyle name="20% - Accent2 26 2" xfId="2537" xr:uid="{00000000-0005-0000-0000-00003F010000}"/>
    <cellStyle name="20% - Accent2 26_BukuBesar" xfId="2538" xr:uid="{00000000-0005-0000-0000-000040010000}"/>
    <cellStyle name="20% - Accent2 27" xfId="2539" xr:uid="{00000000-0005-0000-0000-000041010000}"/>
    <cellStyle name="20% - Accent2 27 2" xfId="2540" xr:uid="{00000000-0005-0000-0000-000042010000}"/>
    <cellStyle name="20% - Accent2 27_BukuBesar" xfId="2541" xr:uid="{00000000-0005-0000-0000-000043010000}"/>
    <cellStyle name="20% - Accent2 28" xfId="2542" xr:uid="{00000000-0005-0000-0000-000044010000}"/>
    <cellStyle name="20% - Accent2 28 2" xfId="2543" xr:uid="{00000000-0005-0000-0000-000045010000}"/>
    <cellStyle name="20% - Accent2 28_BukuBesar" xfId="2544" xr:uid="{00000000-0005-0000-0000-000046010000}"/>
    <cellStyle name="20% - Accent2 29" xfId="2545" xr:uid="{00000000-0005-0000-0000-000047010000}"/>
    <cellStyle name="20% - Accent2 29 2" xfId="2546" xr:uid="{00000000-0005-0000-0000-000048010000}"/>
    <cellStyle name="20% - Accent2 29_BukuBesar" xfId="2547" xr:uid="{00000000-0005-0000-0000-000049010000}"/>
    <cellStyle name="20% - Accent2 3" xfId="31" xr:uid="{00000000-0005-0000-0000-00004A010000}"/>
    <cellStyle name="20% - Accent2 3 2" xfId="1165" xr:uid="{00000000-0005-0000-0000-00004B010000}"/>
    <cellStyle name="20% - Accent2 3 2 2" xfId="1166" xr:uid="{00000000-0005-0000-0000-00004C010000}"/>
    <cellStyle name="20% - Accent2 3 2 2 2" xfId="2548" xr:uid="{00000000-0005-0000-0000-00004D010000}"/>
    <cellStyle name="20% - Accent2 3 2 3" xfId="2549" xr:uid="{00000000-0005-0000-0000-00004E010000}"/>
    <cellStyle name="20% - Accent2 3 2_BukuBesar" xfId="2550" xr:uid="{00000000-0005-0000-0000-00004F010000}"/>
    <cellStyle name="20% - Accent2 3 3" xfId="1167" xr:uid="{00000000-0005-0000-0000-000050010000}"/>
    <cellStyle name="20% - Accent2 3 3 2" xfId="1168" xr:uid="{00000000-0005-0000-0000-000051010000}"/>
    <cellStyle name="20% - Accent2 3 4" xfId="1169" xr:uid="{00000000-0005-0000-0000-000052010000}"/>
    <cellStyle name="20% - Accent2 3_BukuBesar" xfId="2551" xr:uid="{00000000-0005-0000-0000-000053010000}"/>
    <cellStyle name="20% - Accent2 30" xfId="2552" xr:uid="{00000000-0005-0000-0000-000054010000}"/>
    <cellStyle name="20% - Accent2 4" xfId="32" xr:uid="{00000000-0005-0000-0000-000055010000}"/>
    <cellStyle name="20% - Accent2 4 2" xfId="1170" xr:uid="{00000000-0005-0000-0000-000056010000}"/>
    <cellStyle name="20% - Accent2 4 2 2" xfId="1171" xr:uid="{00000000-0005-0000-0000-000057010000}"/>
    <cellStyle name="20% - Accent2 4 2 2 2" xfId="2553" xr:uid="{00000000-0005-0000-0000-000058010000}"/>
    <cellStyle name="20% - Accent2 4 2 3" xfId="2554" xr:uid="{00000000-0005-0000-0000-000059010000}"/>
    <cellStyle name="20% - Accent2 4 2_BukuBesar" xfId="2555" xr:uid="{00000000-0005-0000-0000-00005A010000}"/>
    <cellStyle name="20% - Accent2 4 3" xfId="1172" xr:uid="{00000000-0005-0000-0000-00005B010000}"/>
    <cellStyle name="20% - Accent2 4 3 2" xfId="1173" xr:uid="{00000000-0005-0000-0000-00005C010000}"/>
    <cellStyle name="20% - Accent2 4 4" xfId="1174" xr:uid="{00000000-0005-0000-0000-00005D010000}"/>
    <cellStyle name="20% - Accent2 4 4 2" xfId="2556" xr:uid="{00000000-0005-0000-0000-00005E010000}"/>
    <cellStyle name="20% - Accent2 4 5" xfId="2557" xr:uid="{00000000-0005-0000-0000-00005F010000}"/>
    <cellStyle name="20% - Accent2 4 6" xfId="2558" xr:uid="{00000000-0005-0000-0000-000060010000}"/>
    <cellStyle name="20% - Accent2 4 7" xfId="2559" xr:uid="{00000000-0005-0000-0000-000061010000}"/>
    <cellStyle name="20% - Accent2 4 8" xfId="2560" xr:uid="{00000000-0005-0000-0000-000062010000}"/>
    <cellStyle name="20% - Accent2 4_BukuBesar" xfId="2561" xr:uid="{00000000-0005-0000-0000-000063010000}"/>
    <cellStyle name="20% - Accent2 5" xfId="33" xr:uid="{00000000-0005-0000-0000-000064010000}"/>
    <cellStyle name="20% - Accent2 5 2" xfId="1175" xr:uid="{00000000-0005-0000-0000-000065010000}"/>
    <cellStyle name="20% - Accent2 5 2 2" xfId="1176" xr:uid="{00000000-0005-0000-0000-000066010000}"/>
    <cellStyle name="20% - Accent2 5 2 2 2" xfId="2562" xr:uid="{00000000-0005-0000-0000-000067010000}"/>
    <cellStyle name="20% - Accent2 5 2 3" xfId="2563" xr:uid="{00000000-0005-0000-0000-000068010000}"/>
    <cellStyle name="20% - Accent2 5 2_BukuBesar" xfId="2564" xr:uid="{00000000-0005-0000-0000-000069010000}"/>
    <cellStyle name="20% - Accent2 5 3" xfId="1177" xr:uid="{00000000-0005-0000-0000-00006A010000}"/>
    <cellStyle name="20% - Accent2 5 3 2" xfId="1178" xr:uid="{00000000-0005-0000-0000-00006B010000}"/>
    <cellStyle name="20% - Accent2 5 4" xfId="1179" xr:uid="{00000000-0005-0000-0000-00006C010000}"/>
    <cellStyle name="20% - Accent2 5 4 2" xfId="2565" xr:uid="{00000000-0005-0000-0000-00006D010000}"/>
    <cellStyle name="20% - Accent2 5 5" xfId="2566" xr:uid="{00000000-0005-0000-0000-00006E010000}"/>
    <cellStyle name="20% - Accent2 5 6" xfId="2567" xr:uid="{00000000-0005-0000-0000-00006F010000}"/>
    <cellStyle name="20% - Accent2 5 7" xfId="2568" xr:uid="{00000000-0005-0000-0000-000070010000}"/>
    <cellStyle name="20% - Accent2 5 8" xfId="2569" xr:uid="{00000000-0005-0000-0000-000071010000}"/>
    <cellStyle name="20% - Accent2 5_BukuBesar" xfId="2570" xr:uid="{00000000-0005-0000-0000-000072010000}"/>
    <cellStyle name="20% - Accent2 6" xfId="34" xr:uid="{00000000-0005-0000-0000-000073010000}"/>
    <cellStyle name="20% - Accent2 6 2" xfId="1180" xr:uid="{00000000-0005-0000-0000-000074010000}"/>
    <cellStyle name="20% - Accent2 6 2 2" xfId="1181" xr:uid="{00000000-0005-0000-0000-000075010000}"/>
    <cellStyle name="20% - Accent2 6 2 2 2" xfId="2571" xr:uid="{00000000-0005-0000-0000-000076010000}"/>
    <cellStyle name="20% - Accent2 6 2 3" xfId="2572" xr:uid="{00000000-0005-0000-0000-000077010000}"/>
    <cellStyle name="20% - Accent2 6 2_BukuBesar" xfId="2573" xr:uid="{00000000-0005-0000-0000-000078010000}"/>
    <cellStyle name="20% - Accent2 6 3" xfId="1182" xr:uid="{00000000-0005-0000-0000-000079010000}"/>
    <cellStyle name="20% - Accent2 6 3 2" xfId="1183" xr:uid="{00000000-0005-0000-0000-00007A010000}"/>
    <cellStyle name="20% - Accent2 6 4" xfId="1184" xr:uid="{00000000-0005-0000-0000-00007B010000}"/>
    <cellStyle name="20% - Accent2 6 4 2" xfId="2574" xr:uid="{00000000-0005-0000-0000-00007C010000}"/>
    <cellStyle name="20% - Accent2 6 5" xfId="2575" xr:uid="{00000000-0005-0000-0000-00007D010000}"/>
    <cellStyle name="20% - Accent2 6 6" xfId="2576" xr:uid="{00000000-0005-0000-0000-00007E010000}"/>
    <cellStyle name="20% - Accent2 6 7" xfId="2577" xr:uid="{00000000-0005-0000-0000-00007F010000}"/>
    <cellStyle name="20% - Accent2 6 8" xfId="2578" xr:uid="{00000000-0005-0000-0000-000080010000}"/>
    <cellStyle name="20% - Accent2 6_BukuBesar" xfId="2579" xr:uid="{00000000-0005-0000-0000-000081010000}"/>
    <cellStyle name="20% - Accent2 7" xfId="35" xr:uid="{00000000-0005-0000-0000-000082010000}"/>
    <cellStyle name="20% - Accent2 7 2" xfId="1185" xr:uid="{00000000-0005-0000-0000-000083010000}"/>
    <cellStyle name="20% - Accent2 7 2 2" xfId="1186" xr:uid="{00000000-0005-0000-0000-000084010000}"/>
    <cellStyle name="20% - Accent2 7 2 3" xfId="2580" xr:uid="{00000000-0005-0000-0000-000085010000}"/>
    <cellStyle name="20% - Accent2 7 3" xfId="1187" xr:uid="{00000000-0005-0000-0000-000086010000}"/>
    <cellStyle name="20% - Accent2 7 3 2" xfId="1188" xr:uid="{00000000-0005-0000-0000-000087010000}"/>
    <cellStyle name="20% - Accent2 7 3 3" xfId="2581" xr:uid="{00000000-0005-0000-0000-000088010000}"/>
    <cellStyle name="20% - Accent2 7 4" xfId="1189" xr:uid="{00000000-0005-0000-0000-000089010000}"/>
    <cellStyle name="20% - Accent2 7_BukuBesar" xfId="2582" xr:uid="{00000000-0005-0000-0000-00008A010000}"/>
    <cellStyle name="20% - Accent2 8" xfId="36" xr:uid="{00000000-0005-0000-0000-00008B010000}"/>
    <cellStyle name="20% - Accent2 8 2" xfId="1190" xr:uid="{00000000-0005-0000-0000-00008C010000}"/>
    <cellStyle name="20% - Accent2 8 2 2" xfId="1191" xr:uid="{00000000-0005-0000-0000-00008D010000}"/>
    <cellStyle name="20% - Accent2 8 2 3" xfId="2583" xr:uid="{00000000-0005-0000-0000-00008E010000}"/>
    <cellStyle name="20% - Accent2 8 3" xfId="1192" xr:uid="{00000000-0005-0000-0000-00008F010000}"/>
    <cellStyle name="20% - Accent2 8 3 2" xfId="1193" xr:uid="{00000000-0005-0000-0000-000090010000}"/>
    <cellStyle name="20% - Accent2 8 3 3" xfId="2584" xr:uid="{00000000-0005-0000-0000-000091010000}"/>
    <cellStyle name="20% - Accent2 8 4" xfId="1194" xr:uid="{00000000-0005-0000-0000-000092010000}"/>
    <cellStyle name="20% - Accent2 8_BukuBesar" xfId="2585" xr:uid="{00000000-0005-0000-0000-000093010000}"/>
    <cellStyle name="20% - Accent2 9" xfId="37" xr:uid="{00000000-0005-0000-0000-000094010000}"/>
    <cellStyle name="20% - Accent2 9 2" xfId="1195" xr:uid="{00000000-0005-0000-0000-000095010000}"/>
    <cellStyle name="20% - Accent2 9 2 2" xfId="1196" xr:uid="{00000000-0005-0000-0000-000096010000}"/>
    <cellStyle name="20% - Accent2 9 2 3" xfId="2586" xr:uid="{00000000-0005-0000-0000-000097010000}"/>
    <cellStyle name="20% - Accent2 9 3" xfId="1197" xr:uid="{00000000-0005-0000-0000-000098010000}"/>
    <cellStyle name="20% - Accent2 9 3 2" xfId="1198" xr:uid="{00000000-0005-0000-0000-000099010000}"/>
    <cellStyle name="20% - Accent2 9 3 3" xfId="2587" xr:uid="{00000000-0005-0000-0000-00009A010000}"/>
    <cellStyle name="20% - Accent2 9 4" xfId="1199" xr:uid="{00000000-0005-0000-0000-00009B010000}"/>
    <cellStyle name="20% - Accent2 9_BukuBesar" xfId="2588" xr:uid="{00000000-0005-0000-0000-00009C010000}"/>
    <cellStyle name="20% - Accent3 10" xfId="38" xr:uid="{00000000-0005-0000-0000-00009D010000}"/>
    <cellStyle name="20% - Accent3 10 2" xfId="1200" xr:uid="{00000000-0005-0000-0000-00009E010000}"/>
    <cellStyle name="20% - Accent3 10 2 2" xfId="1201" xr:uid="{00000000-0005-0000-0000-00009F010000}"/>
    <cellStyle name="20% - Accent3 10 2 3" xfId="2589" xr:uid="{00000000-0005-0000-0000-0000A0010000}"/>
    <cellStyle name="20% - Accent3 10 3" xfId="1202" xr:uid="{00000000-0005-0000-0000-0000A1010000}"/>
    <cellStyle name="20% - Accent3 10 3 2" xfId="1203" xr:uid="{00000000-0005-0000-0000-0000A2010000}"/>
    <cellStyle name="20% - Accent3 10 3 3" xfId="2590" xr:uid="{00000000-0005-0000-0000-0000A3010000}"/>
    <cellStyle name="20% - Accent3 10 4" xfId="1204" xr:uid="{00000000-0005-0000-0000-0000A4010000}"/>
    <cellStyle name="20% - Accent3 10_BukuBesar" xfId="2591" xr:uid="{00000000-0005-0000-0000-0000A5010000}"/>
    <cellStyle name="20% - Accent3 11" xfId="39" xr:uid="{00000000-0005-0000-0000-0000A6010000}"/>
    <cellStyle name="20% - Accent3 11 2" xfId="1205" xr:uid="{00000000-0005-0000-0000-0000A7010000}"/>
    <cellStyle name="20% - Accent3 11 2 2" xfId="1206" xr:uid="{00000000-0005-0000-0000-0000A8010000}"/>
    <cellStyle name="20% - Accent3 11 2 3" xfId="2592" xr:uid="{00000000-0005-0000-0000-0000A9010000}"/>
    <cellStyle name="20% - Accent3 11 3" xfId="1207" xr:uid="{00000000-0005-0000-0000-0000AA010000}"/>
    <cellStyle name="20% - Accent3 11 3 2" xfId="1208" xr:uid="{00000000-0005-0000-0000-0000AB010000}"/>
    <cellStyle name="20% - Accent3 11 3 3" xfId="2593" xr:uid="{00000000-0005-0000-0000-0000AC010000}"/>
    <cellStyle name="20% - Accent3 11 4" xfId="1209" xr:uid="{00000000-0005-0000-0000-0000AD010000}"/>
    <cellStyle name="20% - Accent3 11_BukuBesar" xfId="2594" xr:uid="{00000000-0005-0000-0000-0000AE010000}"/>
    <cellStyle name="20% - Accent3 12" xfId="40" xr:uid="{00000000-0005-0000-0000-0000AF010000}"/>
    <cellStyle name="20% - Accent3 12 2" xfId="1210" xr:uid="{00000000-0005-0000-0000-0000B0010000}"/>
    <cellStyle name="20% - Accent3 12 2 2" xfId="1211" xr:uid="{00000000-0005-0000-0000-0000B1010000}"/>
    <cellStyle name="20% - Accent3 12 2 3" xfId="2595" xr:uid="{00000000-0005-0000-0000-0000B2010000}"/>
    <cellStyle name="20% - Accent3 12 3" xfId="1212" xr:uid="{00000000-0005-0000-0000-0000B3010000}"/>
    <cellStyle name="20% - Accent3 12 3 2" xfId="1213" xr:uid="{00000000-0005-0000-0000-0000B4010000}"/>
    <cellStyle name="20% - Accent3 12 3 3" xfId="2596" xr:uid="{00000000-0005-0000-0000-0000B5010000}"/>
    <cellStyle name="20% - Accent3 12 4" xfId="1214" xr:uid="{00000000-0005-0000-0000-0000B6010000}"/>
    <cellStyle name="20% - Accent3 12_BukuBesar" xfId="2597" xr:uid="{00000000-0005-0000-0000-0000B7010000}"/>
    <cellStyle name="20% - Accent3 13" xfId="41" xr:uid="{00000000-0005-0000-0000-0000B8010000}"/>
    <cellStyle name="20% - Accent3 13 2" xfId="1215" xr:uid="{00000000-0005-0000-0000-0000B9010000}"/>
    <cellStyle name="20% - Accent3 13 2 2" xfId="1216" xr:uid="{00000000-0005-0000-0000-0000BA010000}"/>
    <cellStyle name="20% - Accent3 13 2 3" xfId="2598" xr:uid="{00000000-0005-0000-0000-0000BB010000}"/>
    <cellStyle name="20% - Accent3 13 3" xfId="1217" xr:uid="{00000000-0005-0000-0000-0000BC010000}"/>
    <cellStyle name="20% - Accent3 13 3 2" xfId="1218" xr:uid="{00000000-0005-0000-0000-0000BD010000}"/>
    <cellStyle name="20% - Accent3 13 3 3" xfId="2599" xr:uid="{00000000-0005-0000-0000-0000BE010000}"/>
    <cellStyle name="20% - Accent3 13 4" xfId="1219" xr:uid="{00000000-0005-0000-0000-0000BF010000}"/>
    <cellStyle name="20% - Accent3 13_BukuBesar" xfId="2600" xr:uid="{00000000-0005-0000-0000-0000C0010000}"/>
    <cellStyle name="20% - Accent3 14" xfId="2601" xr:uid="{00000000-0005-0000-0000-0000C1010000}"/>
    <cellStyle name="20% - Accent3 14 2" xfId="2602" xr:uid="{00000000-0005-0000-0000-0000C2010000}"/>
    <cellStyle name="20% - Accent3 14 3" xfId="2603" xr:uid="{00000000-0005-0000-0000-0000C3010000}"/>
    <cellStyle name="20% - Accent3 14_BukuBesar" xfId="2604" xr:uid="{00000000-0005-0000-0000-0000C4010000}"/>
    <cellStyle name="20% - Accent3 15" xfId="2605" xr:uid="{00000000-0005-0000-0000-0000C5010000}"/>
    <cellStyle name="20% - Accent3 15 2" xfId="2606" xr:uid="{00000000-0005-0000-0000-0000C6010000}"/>
    <cellStyle name="20% - Accent3 15 3" xfId="2607" xr:uid="{00000000-0005-0000-0000-0000C7010000}"/>
    <cellStyle name="20% - Accent3 15_BukuBesar" xfId="2608" xr:uid="{00000000-0005-0000-0000-0000C8010000}"/>
    <cellStyle name="20% - Accent3 16" xfId="2609" xr:uid="{00000000-0005-0000-0000-0000C9010000}"/>
    <cellStyle name="20% - Accent3 16 2" xfId="2610" xr:uid="{00000000-0005-0000-0000-0000CA010000}"/>
    <cellStyle name="20% - Accent3 16 3" xfId="2611" xr:uid="{00000000-0005-0000-0000-0000CB010000}"/>
    <cellStyle name="20% - Accent3 16_BukuBesar" xfId="2612" xr:uid="{00000000-0005-0000-0000-0000CC010000}"/>
    <cellStyle name="20% - Accent3 17" xfId="2613" xr:uid="{00000000-0005-0000-0000-0000CD010000}"/>
    <cellStyle name="20% - Accent3 17 2" xfId="2614" xr:uid="{00000000-0005-0000-0000-0000CE010000}"/>
    <cellStyle name="20% - Accent3 17 3" xfId="2615" xr:uid="{00000000-0005-0000-0000-0000CF010000}"/>
    <cellStyle name="20% - Accent3 17_BukuBesar" xfId="2616" xr:uid="{00000000-0005-0000-0000-0000D0010000}"/>
    <cellStyle name="20% - Accent3 18" xfId="2617" xr:uid="{00000000-0005-0000-0000-0000D1010000}"/>
    <cellStyle name="20% - Accent3 18 2" xfId="2618" xr:uid="{00000000-0005-0000-0000-0000D2010000}"/>
    <cellStyle name="20% - Accent3 18 3" xfId="2619" xr:uid="{00000000-0005-0000-0000-0000D3010000}"/>
    <cellStyle name="20% - Accent3 18_BukuBesar" xfId="2620" xr:uid="{00000000-0005-0000-0000-0000D4010000}"/>
    <cellStyle name="20% - Accent3 19" xfId="2621" xr:uid="{00000000-0005-0000-0000-0000D5010000}"/>
    <cellStyle name="20% - Accent3 19 2" xfId="2622" xr:uid="{00000000-0005-0000-0000-0000D6010000}"/>
    <cellStyle name="20% - Accent3 19_BukuBesar" xfId="2623" xr:uid="{00000000-0005-0000-0000-0000D7010000}"/>
    <cellStyle name="20% - Accent3 2" xfId="42" xr:uid="{00000000-0005-0000-0000-0000D8010000}"/>
    <cellStyle name="20% - Accent3 2 2" xfId="1220" xr:uid="{00000000-0005-0000-0000-0000D9010000}"/>
    <cellStyle name="20% - Accent3 2 2 2" xfId="1221" xr:uid="{00000000-0005-0000-0000-0000DA010000}"/>
    <cellStyle name="20% - Accent3 2 2 2 2" xfId="2624" xr:uid="{00000000-0005-0000-0000-0000DB010000}"/>
    <cellStyle name="20% - Accent3 2 2 3" xfId="2625" xr:uid="{00000000-0005-0000-0000-0000DC010000}"/>
    <cellStyle name="20% - Accent3 2 2_BukuBesar" xfId="2626" xr:uid="{00000000-0005-0000-0000-0000DD010000}"/>
    <cellStyle name="20% - Accent3 2 3" xfId="1222" xr:uid="{00000000-0005-0000-0000-0000DE010000}"/>
    <cellStyle name="20% - Accent3 2 3 2" xfId="1223" xr:uid="{00000000-0005-0000-0000-0000DF010000}"/>
    <cellStyle name="20% - Accent3 2 4" xfId="1224" xr:uid="{00000000-0005-0000-0000-0000E0010000}"/>
    <cellStyle name="20% - Accent3 2 4 2" xfId="2627" xr:uid="{00000000-0005-0000-0000-0000E1010000}"/>
    <cellStyle name="20% - Accent3 2 5" xfId="2628" xr:uid="{00000000-0005-0000-0000-0000E2010000}"/>
    <cellStyle name="20% - Accent3 2 6" xfId="2629" xr:uid="{00000000-0005-0000-0000-0000E3010000}"/>
    <cellStyle name="20% - Accent3 2 7" xfId="2630" xr:uid="{00000000-0005-0000-0000-0000E4010000}"/>
    <cellStyle name="20% - Accent3 2 8" xfId="6428" xr:uid="{D45B01E0-7052-431E-9988-5B72EFA4950D}"/>
    <cellStyle name="20% - Accent3 2_BukuBesar" xfId="2631" xr:uid="{00000000-0005-0000-0000-0000E5010000}"/>
    <cellStyle name="20% - Accent3 20" xfId="2632" xr:uid="{00000000-0005-0000-0000-0000E6010000}"/>
    <cellStyle name="20% - Accent3 20 2" xfId="2633" xr:uid="{00000000-0005-0000-0000-0000E7010000}"/>
    <cellStyle name="20% - Accent3 20 3" xfId="2634" xr:uid="{00000000-0005-0000-0000-0000E8010000}"/>
    <cellStyle name="20% - Accent3 20_BukuBesar" xfId="2635" xr:uid="{00000000-0005-0000-0000-0000E9010000}"/>
    <cellStyle name="20% - Accent3 21" xfId="2636" xr:uid="{00000000-0005-0000-0000-0000EA010000}"/>
    <cellStyle name="20% - Accent3 21 2" xfId="2637" xr:uid="{00000000-0005-0000-0000-0000EB010000}"/>
    <cellStyle name="20% - Accent3 21_BukuBesar" xfId="2638" xr:uid="{00000000-0005-0000-0000-0000EC010000}"/>
    <cellStyle name="20% - Accent3 22" xfId="2639" xr:uid="{00000000-0005-0000-0000-0000ED010000}"/>
    <cellStyle name="20% - Accent3 22 2" xfId="2640" xr:uid="{00000000-0005-0000-0000-0000EE010000}"/>
    <cellStyle name="20% - Accent3 22_BukuBesar" xfId="2641" xr:uid="{00000000-0005-0000-0000-0000EF010000}"/>
    <cellStyle name="20% - Accent3 23" xfId="2642" xr:uid="{00000000-0005-0000-0000-0000F0010000}"/>
    <cellStyle name="20% - Accent3 23 2" xfId="2643" xr:uid="{00000000-0005-0000-0000-0000F1010000}"/>
    <cellStyle name="20% - Accent3 23_BukuBesar" xfId="2644" xr:uid="{00000000-0005-0000-0000-0000F2010000}"/>
    <cellStyle name="20% - Accent3 24" xfId="2645" xr:uid="{00000000-0005-0000-0000-0000F3010000}"/>
    <cellStyle name="20% - Accent3 24 2" xfId="2646" xr:uid="{00000000-0005-0000-0000-0000F4010000}"/>
    <cellStyle name="20% - Accent3 24_BukuBesar" xfId="2647" xr:uid="{00000000-0005-0000-0000-0000F5010000}"/>
    <cellStyle name="20% - Accent3 25" xfId="2648" xr:uid="{00000000-0005-0000-0000-0000F6010000}"/>
    <cellStyle name="20% - Accent3 25 2" xfId="2649" xr:uid="{00000000-0005-0000-0000-0000F7010000}"/>
    <cellStyle name="20% - Accent3 25_BukuBesar" xfId="2650" xr:uid="{00000000-0005-0000-0000-0000F8010000}"/>
    <cellStyle name="20% - Accent3 26" xfId="2651" xr:uid="{00000000-0005-0000-0000-0000F9010000}"/>
    <cellStyle name="20% - Accent3 26 2" xfId="2652" xr:uid="{00000000-0005-0000-0000-0000FA010000}"/>
    <cellStyle name="20% - Accent3 26_BukuBesar" xfId="2653" xr:uid="{00000000-0005-0000-0000-0000FB010000}"/>
    <cellStyle name="20% - Accent3 27" xfId="2654" xr:uid="{00000000-0005-0000-0000-0000FC010000}"/>
    <cellStyle name="20% - Accent3 27 2" xfId="2655" xr:uid="{00000000-0005-0000-0000-0000FD010000}"/>
    <cellStyle name="20% - Accent3 27_BukuBesar" xfId="2656" xr:uid="{00000000-0005-0000-0000-0000FE010000}"/>
    <cellStyle name="20% - Accent3 28" xfId="2657" xr:uid="{00000000-0005-0000-0000-0000FF010000}"/>
    <cellStyle name="20% - Accent3 28 2" xfId="2658" xr:uid="{00000000-0005-0000-0000-000000020000}"/>
    <cellStyle name="20% - Accent3 28_BukuBesar" xfId="2659" xr:uid="{00000000-0005-0000-0000-000001020000}"/>
    <cellStyle name="20% - Accent3 29" xfId="2660" xr:uid="{00000000-0005-0000-0000-000002020000}"/>
    <cellStyle name="20% - Accent3 29 2" xfId="2661" xr:uid="{00000000-0005-0000-0000-000003020000}"/>
    <cellStyle name="20% - Accent3 29_BukuBesar" xfId="2662" xr:uid="{00000000-0005-0000-0000-000004020000}"/>
    <cellStyle name="20% - Accent3 3" xfId="43" xr:uid="{00000000-0005-0000-0000-000005020000}"/>
    <cellStyle name="20% - Accent3 3 2" xfId="1225" xr:uid="{00000000-0005-0000-0000-000006020000}"/>
    <cellStyle name="20% - Accent3 3 2 2" xfId="1226" xr:uid="{00000000-0005-0000-0000-000007020000}"/>
    <cellStyle name="20% - Accent3 3 2 2 2" xfId="2663" xr:uid="{00000000-0005-0000-0000-000008020000}"/>
    <cellStyle name="20% - Accent3 3 2 3" xfId="2664" xr:uid="{00000000-0005-0000-0000-000009020000}"/>
    <cellStyle name="20% - Accent3 3 2_BukuBesar" xfId="2665" xr:uid="{00000000-0005-0000-0000-00000A020000}"/>
    <cellStyle name="20% - Accent3 3 3" xfId="1227" xr:uid="{00000000-0005-0000-0000-00000B020000}"/>
    <cellStyle name="20% - Accent3 3 3 2" xfId="1228" xr:uid="{00000000-0005-0000-0000-00000C020000}"/>
    <cellStyle name="20% - Accent3 3 4" xfId="1229" xr:uid="{00000000-0005-0000-0000-00000D020000}"/>
    <cellStyle name="20% - Accent3 3 4 2" xfId="2666" xr:uid="{00000000-0005-0000-0000-00000E020000}"/>
    <cellStyle name="20% - Accent3 3 5" xfId="2667" xr:uid="{00000000-0005-0000-0000-00000F020000}"/>
    <cellStyle name="20% - Accent3 3 6" xfId="2668" xr:uid="{00000000-0005-0000-0000-000010020000}"/>
    <cellStyle name="20% - Accent3 3 7" xfId="2669" xr:uid="{00000000-0005-0000-0000-000011020000}"/>
    <cellStyle name="20% - Accent3 3 8" xfId="2670" xr:uid="{00000000-0005-0000-0000-000012020000}"/>
    <cellStyle name="20% - Accent3 3_BukuBesar" xfId="2671" xr:uid="{00000000-0005-0000-0000-000013020000}"/>
    <cellStyle name="20% - Accent3 30" xfId="2672" xr:uid="{00000000-0005-0000-0000-000014020000}"/>
    <cellStyle name="20% - Accent3 4" xfId="44" xr:uid="{00000000-0005-0000-0000-000015020000}"/>
    <cellStyle name="20% - Accent3 4 2" xfId="1230" xr:uid="{00000000-0005-0000-0000-000016020000}"/>
    <cellStyle name="20% - Accent3 4 2 2" xfId="1231" xr:uid="{00000000-0005-0000-0000-000017020000}"/>
    <cellStyle name="20% - Accent3 4 2 2 2" xfId="2673" xr:uid="{00000000-0005-0000-0000-000018020000}"/>
    <cellStyle name="20% - Accent3 4 2 3" xfId="2674" xr:uid="{00000000-0005-0000-0000-000019020000}"/>
    <cellStyle name="20% - Accent3 4 2_BukuBesar" xfId="2675" xr:uid="{00000000-0005-0000-0000-00001A020000}"/>
    <cellStyle name="20% - Accent3 4 3" xfId="1232" xr:uid="{00000000-0005-0000-0000-00001B020000}"/>
    <cellStyle name="20% - Accent3 4 3 2" xfId="1233" xr:uid="{00000000-0005-0000-0000-00001C020000}"/>
    <cellStyle name="20% - Accent3 4 4" xfId="1234" xr:uid="{00000000-0005-0000-0000-00001D020000}"/>
    <cellStyle name="20% - Accent3 4 4 2" xfId="2676" xr:uid="{00000000-0005-0000-0000-00001E020000}"/>
    <cellStyle name="20% - Accent3 4 5" xfId="2677" xr:uid="{00000000-0005-0000-0000-00001F020000}"/>
    <cellStyle name="20% - Accent3 4 6" xfId="2678" xr:uid="{00000000-0005-0000-0000-000020020000}"/>
    <cellStyle name="20% - Accent3 4 7" xfId="2679" xr:uid="{00000000-0005-0000-0000-000021020000}"/>
    <cellStyle name="20% - Accent3 4 8" xfId="2680" xr:uid="{00000000-0005-0000-0000-000022020000}"/>
    <cellStyle name="20% - Accent3 4_BukuBesar" xfId="2681" xr:uid="{00000000-0005-0000-0000-000023020000}"/>
    <cellStyle name="20% - Accent3 5" xfId="45" xr:uid="{00000000-0005-0000-0000-000024020000}"/>
    <cellStyle name="20% - Accent3 5 2" xfId="1235" xr:uid="{00000000-0005-0000-0000-000025020000}"/>
    <cellStyle name="20% - Accent3 5 2 2" xfId="1236" xr:uid="{00000000-0005-0000-0000-000026020000}"/>
    <cellStyle name="20% - Accent3 5 2 2 2" xfId="2682" xr:uid="{00000000-0005-0000-0000-000027020000}"/>
    <cellStyle name="20% - Accent3 5 2 3" xfId="2683" xr:uid="{00000000-0005-0000-0000-000028020000}"/>
    <cellStyle name="20% - Accent3 5 2_BukuBesar" xfId="2684" xr:uid="{00000000-0005-0000-0000-000029020000}"/>
    <cellStyle name="20% - Accent3 5 3" xfId="1237" xr:uid="{00000000-0005-0000-0000-00002A020000}"/>
    <cellStyle name="20% - Accent3 5 3 2" xfId="1238" xr:uid="{00000000-0005-0000-0000-00002B020000}"/>
    <cellStyle name="20% - Accent3 5 4" xfId="1239" xr:uid="{00000000-0005-0000-0000-00002C020000}"/>
    <cellStyle name="20% - Accent3 5 4 2" xfId="2685" xr:uid="{00000000-0005-0000-0000-00002D020000}"/>
    <cellStyle name="20% - Accent3 5 5" xfId="2686" xr:uid="{00000000-0005-0000-0000-00002E020000}"/>
    <cellStyle name="20% - Accent3 5 6" xfId="2687" xr:uid="{00000000-0005-0000-0000-00002F020000}"/>
    <cellStyle name="20% - Accent3 5 7" xfId="2688" xr:uid="{00000000-0005-0000-0000-000030020000}"/>
    <cellStyle name="20% - Accent3 5 8" xfId="2689" xr:uid="{00000000-0005-0000-0000-000031020000}"/>
    <cellStyle name="20% - Accent3 5_BukuBesar" xfId="2690" xr:uid="{00000000-0005-0000-0000-000032020000}"/>
    <cellStyle name="20% - Accent3 6" xfId="46" xr:uid="{00000000-0005-0000-0000-000033020000}"/>
    <cellStyle name="20% - Accent3 6 2" xfId="1240" xr:uid="{00000000-0005-0000-0000-000034020000}"/>
    <cellStyle name="20% - Accent3 6 2 2" xfId="1241" xr:uid="{00000000-0005-0000-0000-000035020000}"/>
    <cellStyle name="20% - Accent3 6 2 2 2" xfId="2691" xr:uid="{00000000-0005-0000-0000-000036020000}"/>
    <cellStyle name="20% - Accent3 6 2 3" xfId="2692" xr:uid="{00000000-0005-0000-0000-000037020000}"/>
    <cellStyle name="20% - Accent3 6 2_BukuBesar" xfId="2693" xr:uid="{00000000-0005-0000-0000-000038020000}"/>
    <cellStyle name="20% - Accent3 6 3" xfId="1242" xr:uid="{00000000-0005-0000-0000-000039020000}"/>
    <cellStyle name="20% - Accent3 6 3 2" xfId="1243" xr:uid="{00000000-0005-0000-0000-00003A020000}"/>
    <cellStyle name="20% - Accent3 6 4" xfId="1244" xr:uid="{00000000-0005-0000-0000-00003B020000}"/>
    <cellStyle name="20% - Accent3 6 4 2" xfId="2694" xr:uid="{00000000-0005-0000-0000-00003C020000}"/>
    <cellStyle name="20% - Accent3 6 5" xfId="2695" xr:uid="{00000000-0005-0000-0000-00003D020000}"/>
    <cellStyle name="20% - Accent3 6 6" xfId="2696" xr:uid="{00000000-0005-0000-0000-00003E020000}"/>
    <cellStyle name="20% - Accent3 6 7" xfId="2697" xr:uid="{00000000-0005-0000-0000-00003F020000}"/>
    <cellStyle name="20% - Accent3 6 8" xfId="2698" xr:uid="{00000000-0005-0000-0000-000040020000}"/>
    <cellStyle name="20% - Accent3 6_BukuBesar" xfId="2699" xr:uid="{00000000-0005-0000-0000-000041020000}"/>
    <cellStyle name="20% - Accent3 7" xfId="47" xr:uid="{00000000-0005-0000-0000-000042020000}"/>
    <cellStyle name="20% - Accent3 7 2" xfId="1245" xr:uid="{00000000-0005-0000-0000-000043020000}"/>
    <cellStyle name="20% - Accent3 7 2 2" xfId="1246" xr:uid="{00000000-0005-0000-0000-000044020000}"/>
    <cellStyle name="20% - Accent3 7 2 3" xfId="2700" xr:uid="{00000000-0005-0000-0000-000045020000}"/>
    <cellStyle name="20% - Accent3 7 3" xfId="1247" xr:uid="{00000000-0005-0000-0000-000046020000}"/>
    <cellStyle name="20% - Accent3 7 3 2" xfId="1248" xr:uid="{00000000-0005-0000-0000-000047020000}"/>
    <cellStyle name="20% - Accent3 7 3 3" xfId="2701" xr:uid="{00000000-0005-0000-0000-000048020000}"/>
    <cellStyle name="20% - Accent3 7 4" xfId="1249" xr:uid="{00000000-0005-0000-0000-000049020000}"/>
    <cellStyle name="20% - Accent3 7_BukuBesar" xfId="2702" xr:uid="{00000000-0005-0000-0000-00004A020000}"/>
    <cellStyle name="20% - Accent3 8" xfId="48" xr:uid="{00000000-0005-0000-0000-00004B020000}"/>
    <cellStyle name="20% - Accent3 8 2" xfId="1250" xr:uid="{00000000-0005-0000-0000-00004C020000}"/>
    <cellStyle name="20% - Accent3 8 2 2" xfId="1251" xr:uid="{00000000-0005-0000-0000-00004D020000}"/>
    <cellStyle name="20% - Accent3 8 2 3" xfId="2703" xr:uid="{00000000-0005-0000-0000-00004E020000}"/>
    <cellStyle name="20% - Accent3 8 3" xfId="1252" xr:uid="{00000000-0005-0000-0000-00004F020000}"/>
    <cellStyle name="20% - Accent3 8 3 2" xfId="1253" xr:uid="{00000000-0005-0000-0000-000050020000}"/>
    <cellStyle name="20% - Accent3 8 3 3" xfId="2704" xr:uid="{00000000-0005-0000-0000-000051020000}"/>
    <cellStyle name="20% - Accent3 8 4" xfId="1254" xr:uid="{00000000-0005-0000-0000-000052020000}"/>
    <cellStyle name="20% - Accent3 8_BukuBesar" xfId="2705" xr:uid="{00000000-0005-0000-0000-000053020000}"/>
    <cellStyle name="20% - Accent3 9" xfId="49" xr:uid="{00000000-0005-0000-0000-000054020000}"/>
    <cellStyle name="20% - Accent3 9 2" xfId="1255" xr:uid="{00000000-0005-0000-0000-000055020000}"/>
    <cellStyle name="20% - Accent3 9 2 2" xfId="1256" xr:uid="{00000000-0005-0000-0000-000056020000}"/>
    <cellStyle name="20% - Accent3 9 2 3" xfId="2706" xr:uid="{00000000-0005-0000-0000-000057020000}"/>
    <cellStyle name="20% - Accent3 9 3" xfId="1257" xr:uid="{00000000-0005-0000-0000-000058020000}"/>
    <cellStyle name="20% - Accent3 9 3 2" xfId="1258" xr:uid="{00000000-0005-0000-0000-000059020000}"/>
    <cellStyle name="20% - Accent3 9 3 3" xfId="2707" xr:uid="{00000000-0005-0000-0000-00005A020000}"/>
    <cellStyle name="20% - Accent3 9 4" xfId="1259" xr:uid="{00000000-0005-0000-0000-00005B020000}"/>
    <cellStyle name="20% - Accent3 9_BukuBesar" xfId="2708" xr:uid="{00000000-0005-0000-0000-00005C020000}"/>
    <cellStyle name="20% - Accent4 10" xfId="50" xr:uid="{00000000-0005-0000-0000-00005D020000}"/>
    <cellStyle name="20% - Accent4 10 2" xfId="1260" xr:uid="{00000000-0005-0000-0000-00005E020000}"/>
    <cellStyle name="20% - Accent4 10 2 2" xfId="1261" xr:uid="{00000000-0005-0000-0000-00005F020000}"/>
    <cellStyle name="20% - Accent4 10 2 3" xfId="2709" xr:uid="{00000000-0005-0000-0000-000060020000}"/>
    <cellStyle name="20% - Accent4 10 3" xfId="1262" xr:uid="{00000000-0005-0000-0000-000061020000}"/>
    <cellStyle name="20% - Accent4 10 3 2" xfId="1263" xr:uid="{00000000-0005-0000-0000-000062020000}"/>
    <cellStyle name="20% - Accent4 10 3 3" xfId="2710" xr:uid="{00000000-0005-0000-0000-000063020000}"/>
    <cellStyle name="20% - Accent4 10 4" xfId="1264" xr:uid="{00000000-0005-0000-0000-000064020000}"/>
    <cellStyle name="20% - Accent4 10_BukuBesar" xfId="2711" xr:uid="{00000000-0005-0000-0000-000065020000}"/>
    <cellStyle name="20% - Accent4 11" xfId="51" xr:uid="{00000000-0005-0000-0000-000066020000}"/>
    <cellStyle name="20% - Accent4 11 2" xfId="1265" xr:uid="{00000000-0005-0000-0000-000067020000}"/>
    <cellStyle name="20% - Accent4 11 2 2" xfId="1266" xr:uid="{00000000-0005-0000-0000-000068020000}"/>
    <cellStyle name="20% - Accent4 11 2 3" xfId="2712" xr:uid="{00000000-0005-0000-0000-000069020000}"/>
    <cellStyle name="20% - Accent4 11 3" xfId="1267" xr:uid="{00000000-0005-0000-0000-00006A020000}"/>
    <cellStyle name="20% - Accent4 11 3 2" xfId="1268" xr:uid="{00000000-0005-0000-0000-00006B020000}"/>
    <cellStyle name="20% - Accent4 11 3 3" xfId="2713" xr:uid="{00000000-0005-0000-0000-00006C020000}"/>
    <cellStyle name="20% - Accent4 11 4" xfId="1269" xr:uid="{00000000-0005-0000-0000-00006D020000}"/>
    <cellStyle name="20% - Accent4 11_BukuBesar" xfId="2714" xr:uid="{00000000-0005-0000-0000-00006E020000}"/>
    <cellStyle name="20% - Accent4 12" xfId="52" xr:uid="{00000000-0005-0000-0000-00006F020000}"/>
    <cellStyle name="20% - Accent4 12 2" xfId="1270" xr:uid="{00000000-0005-0000-0000-000070020000}"/>
    <cellStyle name="20% - Accent4 12 2 2" xfId="1271" xr:uid="{00000000-0005-0000-0000-000071020000}"/>
    <cellStyle name="20% - Accent4 12 2 3" xfId="2715" xr:uid="{00000000-0005-0000-0000-000072020000}"/>
    <cellStyle name="20% - Accent4 12 3" xfId="1272" xr:uid="{00000000-0005-0000-0000-000073020000}"/>
    <cellStyle name="20% - Accent4 12 3 2" xfId="1273" xr:uid="{00000000-0005-0000-0000-000074020000}"/>
    <cellStyle name="20% - Accent4 12 3 3" xfId="2716" xr:uid="{00000000-0005-0000-0000-000075020000}"/>
    <cellStyle name="20% - Accent4 12 4" xfId="1274" xr:uid="{00000000-0005-0000-0000-000076020000}"/>
    <cellStyle name="20% - Accent4 12_BukuBesar" xfId="2717" xr:uid="{00000000-0005-0000-0000-000077020000}"/>
    <cellStyle name="20% - Accent4 13" xfId="53" xr:uid="{00000000-0005-0000-0000-000078020000}"/>
    <cellStyle name="20% - Accent4 13 2" xfId="1275" xr:uid="{00000000-0005-0000-0000-000079020000}"/>
    <cellStyle name="20% - Accent4 13 2 2" xfId="1276" xr:uid="{00000000-0005-0000-0000-00007A020000}"/>
    <cellStyle name="20% - Accent4 13 2 3" xfId="2718" xr:uid="{00000000-0005-0000-0000-00007B020000}"/>
    <cellStyle name="20% - Accent4 13 3" xfId="1277" xr:uid="{00000000-0005-0000-0000-00007C020000}"/>
    <cellStyle name="20% - Accent4 13 3 2" xfId="1278" xr:uid="{00000000-0005-0000-0000-00007D020000}"/>
    <cellStyle name="20% - Accent4 13 3 3" xfId="2719" xr:uid="{00000000-0005-0000-0000-00007E020000}"/>
    <cellStyle name="20% - Accent4 13 4" xfId="1279" xr:uid="{00000000-0005-0000-0000-00007F020000}"/>
    <cellStyle name="20% - Accent4 13_BukuBesar" xfId="2720" xr:uid="{00000000-0005-0000-0000-000080020000}"/>
    <cellStyle name="20% - Accent4 14" xfId="2721" xr:uid="{00000000-0005-0000-0000-000081020000}"/>
    <cellStyle name="20% - Accent4 14 2" xfId="2722" xr:uid="{00000000-0005-0000-0000-000082020000}"/>
    <cellStyle name="20% - Accent4 14 3" xfId="2723" xr:uid="{00000000-0005-0000-0000-000083020000}"/>
    <cellStyle name="20% - Accent4 14_BukuBesar" xfId="2724" xr:uid="{00000000-0005-0000-0000-000084020000}"/>
    <cellStyle name="20% - Accent4 15" xfId="2725" xr:uid="{00000000-0005-0000-0000-000085020000}"/>
    <cellStyle name="20% - Accent4 15 2" xfId="2726" xr:uid="{00000000-0005-0000-0000-000086020000}"/>
    <cellStyle name="20% - Accent4 15 3" xfId="2727" xr:uid="{00000000-0005-0000-0000-000087020000}"/>
    <cellStyle name="20% - Accent4 15_BukuBesar" xfId="2728" xr:uid="{00000000-0005-0000-0000-000088020000}"/>
    <cellStyle name="20% - Accent4 16" xfId="2729" xr:uid="{00000000-0005-0000-0000-000089020000}"/>
    <cellStyle name="20% - Accent4 16 2" xfId="2730" xr:uid="{00000000-0005-0000-0000-00008A020000}"/>
    <cellStyle name="20% - Accent4 16 3" xfId="2731" xr:uid="{00000000-0005-0000-0000-00008B020000}"/>
    <cellStyle name="20% - Accent4 16_BukuBesar" xfId="2732" xr:uid="{00000000-0005-0000-0000-00008C020000}"/>
    <cellStyle name="20% - Accent4 17" xfId="2733" xr:uid="{00000000-0005-0000-0000-00008D020000}"/>
    <cellStyle name="20% - Accent4 17 2" xfId="2734" xr:uid="{00000000-0005-0000-0000-00008E020000}"/>
    <cellStyle name="20% - Accent4 17 3" xfId="2735" xr:uid="{00000000-0005-0000-0000-00008F020000}"/>
    <cellStyle name="20% - Accent4 17_BukuBesar" xfId="2736" xr:uid="{00000000-0005-0000-0000-000090020000}"/>
    <cellStyle name="20% - Accent4 18" xfId="2737" xr:uid="{00000000-0005-0000-0000-000091020000}"/>
    <cellStyle name="20% - Accent4 18 2" xfId="2738" xr:uid="{00000000-0005-0000-0000-000092020000}"/>
    <cellStyle name="20% - Accent4 18 3" xfId="2739" xr:uid="{00000000-0005-0000-0000-000093020000}"/>
    <cellStyle name="20% - Accent4 18_BukuBesar" xfId="2740" xr:uid="{00000000-0005-0000-0000-000094020000}"/>
    <cellStyle name="20% - Accent4 19" xfId="2741" xr:uid="{00000000-0005-0000-0000-000095020000}"/>
    <cellStyle name="20% - Accent4 19 2" xfId="2742" xr:uid="{00000000-0005-0000-0000-000096020000}"/>
    <cellStyle name="20% - Accent4 19_BukuBesar" xfId="2743" xr:uid="{00000000-0005-0000-0000-000097020000}"/>
    <cellStyle name="20% - Accent4 2" xfId="54" xr:uid="{00000000-0005-0000-0000-000098020000}"/>
    <cellStyle name="20% - Accent4 2 2" xfId="1280" xr:uid="{00000000-0005-0000-0000-000099020000}"/>
    <cellStyle name="20% - Accent4 2 2 2" xfId="1281" xr:uid="{00000000-0005-0000-0000-00009A020000}"/>
    <cellStyle name="20% - Accent4 2 2 2 2" xfId="2744" xr:uid="{00000000-0005-0000-0000-00009B020000}"/>
    <cellStyle name="20% - Accent4 2 2 3" xfId="2745" xr:uid="{00000000-0005-0000-0000-00009C020000}"/>
    <cellStyle name="20% - Accent4 2 2_BukuBesar" xfId="2746" xr:uid="{00000000-0005-0000-0000-00009D020000}"/>
    <cellStyle name="20% - Accent4 2 3" xfId="1282" xr:uid="{00000000-0005-0000-0000-00009E020000}"/>
    <cellStyle name="20% - Accent4 2 3 2" xfId="1283" xr:uid="{00000000-0005-0000-0000-00009F020000}"/>
    <cellStyle name="20% - Accent4 2 4" xfId="1284" xr:uid="{00000000-0005-0000-0000-0000A0020000}"/>
    <cellStyle name="20% - Accent4 2 4 2" xfId="2747" xr:uid="{00000000-0005-0000-0000-0000A1020000}"/>
    <cellStyle name="20% - Accent4 2 5" xfId="2748" xr:uid="{00000000-0005-0000-0000-0000A2020000}"/>
    <cellStyle name="20% - Accent4 2 6" xfId="2749" xr:uid="{00000000-0005-0000-0000-0000A3020000}"/>
    <cellStyle name="20% - Accent4 2 7" xfId="2750" xr:uid="{00000000-0005-0000-0000-0000A4020000}"/>
    <cellStyle name="20% - Accent4 2 8" xfId="6471" xr:uid="{C2615314-22C8-42FE-ADCE-D30A4149007C}"/>
    <cellStyle name="20% - Accent4 2_BukuBesar" xfId="2751" xr:uid="{00000000-0005-0000-0000-0000A5020000}"/>
    <cellStyle name="20% - Accent4 20" xfId="2752" xr:uid="{00000000-0005-0000-0000-0000A6020000}"/>
    <cellStyle name="20% - Accent4 20 2" xfId="2753" xr:uid="{00000000-0005-0000-0000-0000A7020000}"/>
    <cellStyle name="20% - Accent4 20 3" xfId="2754" xr:uid="{00000000-0005-0000-0000-0000A8020000}"/>
    <cellStyle name="20% - Accent4 20_BukuBesar" xfId="2755" xr:uid="{00000000-0005-0000-0000-0000A9020000}"/>
    <cellStyle name="20% - Accent4 21" xfId="2756" xr:uid="{00000000-0005-0000-0000-0000AA020000}"/>
    <cellStyle name="20% - Accent4 21 2" xfId="2757" xr:uid="{00000000-0005-0000-0000-0000AB020000}"/>
    <cellStyle name="20% - Accent4 21_BukuBesar" xfId="2758" xr:uid="{00000000-0005-0000-0000-0000AC020000}"/>
    <cellStyle name="20% - Accent4 22" xfId="2759" xr:uid="{00000000-0005-0000-0000-0000AD020000}"/>
    <cellStyle name="20% - Accent4 22 2" xfId="2760" xr:uid="{00000000-0005-0000-0000-0000AE020000}"/>
    <cellStyle name="20% - Accent4 22_BukuBesar" xfId="2761" xr:uid="{00000000-0005-0000-0000-0000AF020000}"/>
    <cellStyle name="20% - Accent4 23" xfId="2762" xr:uid="{00000000-0005-0000-0000-0000B0020000}"/>
    <cellStyle name="20% - Accent4 23 2" xfId="2763" xr:uid="{00000000-0005-0000-0000-0000B1020000}"/>
    <cellStyle name="20% - Accent4 23_BukuBesar" xfId="2764" xr:uid="{00000000-0005-0000-0000-0000B2020000}"/>
    <cellStyle name="20% - Accent4 24" xfId="2765" xr:uid="{00000000-0005-0000-0000-0000B3020000}"/>
    <cellStyle name="20% - Accent4 24 2" xfId="2766" xr:uid="{00000000-0005-0000-0000-0000B4020000}"/>
    <cellStyle name="20% - Accent4 24_BukuBesar" xfId="2767" xr:uid="{00000000-0005-0000-0000-0000B5020000}"/>
    <cellStyle name="20% - Accent4 25" xfId="2768" xr:uid="{00000000-0005-0000-0000-0000B6020000}"/>
    <cellStyle name="20% - Accent4 25 2" xfId="2769" xr:uid="{00000000-0005-0000-0000-0000B7020000}"/>
    <cellStyle name="20% - Accent4 25_BukuBesar" xfId="2770" xr:uid="{00000000-0005-0000-0000-0000B8020000}"/>
    <cellStyle name="20% - Accent4 26" xfId="2771" xr:uid="{00000000-0005-0000-0000-0000B9020000}"/>
    <cellStyle name="20% - Accent4 26 2" xfId="2772" xr:uid="{00000000-0005-0000-0000-0000BA020000}"/>
    <cellStyle name="20% - Accent4 26_BukuBesar" xfId="2773" xr:uid="{00000000-0005-0000-0000-0000BB020000}"/>
    <cellStyle name="20% - Accent4 27" xfId="2774" xr:uid="{00000000-0005-0000-0000-0000BC020000}"/>
    <cellStyle name="20% - Accent4 27 2" xfId="2775" xr:uid="{00000000-0005-0000-0000-0000BD020000}"/>
    <cellStyle name="20% - Accent4 27_BukuBesar" xfId="2776" xr:uid="{00000000-0005-0000-0000-0000BE020000}"/>
    <cellStyle name="20% - Accent4 28" xfId="2777" xr:uid="{00000000-0005-0000-0000-0000BF020000}"/>
    <cellStyle name="20% - Accent4 28 2" xfId="2778" xr:uid="{00000000-0005-0000-0000-0000C0020000}"/>
    <cellStyle name="20% - Accent4 28_BukuBesar" xfId="2779" xr:uid="{00000000-0005-0000-0000-0000C1020000}"/>
    <cellStyle name="20% - Accent4 29" xfId="2780" xr:uid="{00000000-0005-0000-0000-0000C2020000}"/>
    <cellStyle name="20% - Accent4 29 2" xfId="2781" xr:uid="{00000000-0005-0000-0000-0000C3020000}"/>
    <cellStyle name="20% - Accent4 29_BukuBesar" xfId="2782" xr:uid="{00000000-0005-0000-0000-0000C4020000}"/>
    <cellStyle name="20% - Accent4 3" xfId="55" xr:uid="{00000000-0005-0000-0000-0000C5020000}"/>
    <cellStyle name="20% - Accent4 3 2" xfId="1285" xr:uid="{00000000-0005-0000-0000-0000C6020000}"/>
    <cellStyle name="20% - Accent4 3 2 2" xfId="1286" xr:uid="{00000000-0005-0000-0000-0000C7020000}"/>
    <cellStyle name="20% - Accent4 3 2 2 2" xfId="2783" xr:uid="{00000000-0005-0000-0000-0000C8020000}"/>
    <cellStyle name="20% - Accent4 3 2 3" xfId="2784" xr:uid="{00000000-0005-0000-0000-0000C9020000}"/>
    <cellStyle name="20% - Accent4 3 2_BukuBesar" xfId="2785" xr:uid="{00000000-0005-0000-0000-0000CA020000}"/>
    <cellStyle name="20% - Accent4 3 3" xfId="1287" xr:uid="{00000000-0005-0000-0000-0000CB020000}"/>
    <cellStyle name="20% - Accent4 3 3 2" xfId="1288" xr:uid="{00000000-0005-0000-0000-0000CC020000}"/>
    <cellStyle name="20% - Accent4 3 4" xfId="1289" xr:uid="{00000000-0005-0000-0000-0000CD020000}"/>
    <cellStyle name="20% - Accent4 3 4 2" xfId="2786" xr:uid="{00000000-0005-0000-0000-0000CE020000}"/>
    <cellStyle name="20% - Accent4 3 5" xfId="2787" xr:uid="{00000000-0005-0000-0000-0000CF020000}"/>
    <cellStyle name="20% - Accent4 3 6" xfId="2788" xr:uid="{00000000-0005-0000-0000-0000D0020000}"/>
    <cellStyle name="20% - Accent4 3 7" xfId="2789" xr:uid="{00000000-0005-0000-0000-0000D1020000}"/>
    <cellStyle name="20% - Accent4 3 8" xfId="2790" xr:uid="{00000000-0005-0000-0000-0000D2020000}"/>
    <cellStyle name="20% - Accent4 3_BukuBesar" xfId="2791" xr:uid="{00000000-0005-0000-0000-0000D3020000}"/>
    <cellStyle name="20% - Accent4 30" xfId="2792" xr:uid="{00000000-0005-0000-0000-0000D4020000}"/>
    <cellStyle name="20% - Accent4 4" xfId="56" xr:uid="{00000000-0005-0000-0000-0000D5020000}"/>
    <cellStyle name="20% - Accent4 4 2" xfId="1290" xr:uid="{00000000-0005-0000-0000-0000D6020000}"/>
    <cellStyle name="20% - Accent4 4 2 2" xfId="1291" xr:uid="{00000000-0005-0000-0000-0000D7020000}"/>
    <cellStyle name="20% - Accent4 4 2 2 2" xfId="2793" xr:uid="{00000000-0005-0000-0000-0000D8020000}"/>
    <cellStyle name="20% - Accent4 4 2 3" xfId="2794" xr:uid="{00000000-0005-0000-0000-0000D9020000}"/>
    <cellStyle name="20% - Accent4 4 2_BukuBesar" xfId="2795" xr:uid="{00000000-0005-0000-0000-0000DA020000}"/>
    <cellStyle name="20% - Accent4 4 3" xfId="1292" xr:uid="{00000000-0005-0000-0000-0000DB020000}"/>
    <cellStyle name="20% - Accent4 4 3 2" xfId="1293" xr:uid="{00000000-0005-0000-0000-0000DC020000}"/>
    <cellStyle name="20% - Accent4 4 4" xfId="1294" xr:uid="{00000000-0005-0000-0000-0000DD020000}"/>
    <cellStyle name="20% - Accent4 4 4 2" xfId="2796" xr:uid="{00000000-0005-0000-0000-0000DE020000}"/>
    <cellStyle name="20% - Accent4 4 5" xfId="2797" xr:uid="{00000000-0005-0000-0000-0000DF020000}"/>
    <cellStyle name="20% - Accent4 4 6" xfId="2798" xr:uid="{00000000-0005-0000-0000-0000E0020000}"/>
    <cellStyle name="20% - Accent4 4 7" xfId="2799" xr:uid="{00000000-0005-0000-0000-0000E1020000}"/>
    <cellStyle name="20% - Accent4 4 8" xfId="2800" xr:uid="{00000000-0005-0000-0000-0000E2020000}"/>
    <cellStyle name="20% - Accent4 4_BukuBesar" xfId="2801" xr:uid="{00000000-0005-0000-0000-0000E3020000}"/>
    <cellStyle name="20% - Accent4 5" xfId="57" xr:uid="{00000000-0005-0000-0000-0000E4020000}"/>
    <cellStyle name="20% - Accent4 5 2" xfId="1295" xr:uid="{00000000-0005-0000-0000-0000E5020000}"/>
    <cellStyle name="20% - Accent4 5 2 2" xfId="1296" xr:uid="{00000000-0005-0000-0000-0000E6020000}"/>
    <cellStyle name="20% - Accent4 5 2 2 2" xfId="2802" xr:uid="{00000000-0005-0000-0000-0000E7020000}"/>
    <cellStyle name="20% - Accent4 5 2 3" xfId="2803" xr:uid="{00000000-0005-0000-0000-0000E8020000}"/>
    <cellStyle name="20% - Accent4 5 2_BukuBesar" xfId="2804" xr:uid="{00000000-0005-0000-0000-0000E9020000}"/>
    <cellStyle name="20% - Accent4 5 3" xfId="1297" xr:uid="{00000000-0005-0000-0000-0000EA020000}"/>
    <cellStyle name="20% - Accent4 5 3 2" xfId="1298" xr:uid="{00000000-0005-0000-0000-0000EB020000}"/>
    <cellStyle name="20% - Accent4 5 4" xfId="1299" xr:uid="{00000000-0005-0000-0000-0000EC020000}"/>
    <cellStyle name="20% - Accent4 5 4 2" xfId="2805" xr:uid="{00000000-0005-0000-0000-0000ED020000}"/>
    <cellStyle name="20% - Accent4 5 5" xfId="2806" xr:uid="{00000000-0005-0000-0000-0000EE020000}"/>
    <cellStyle name="20% - Accent4 5 6" xfId="2807" xr:uid="{00000000-0005-0000-0000-0000EF020000}"/>
    <cellStyle name="20% - Accent4 5 7" xfId="2808" xr:uid="{00000000-0005-0000-0000-0000F0020000}"/>
    <cellStyle name="20% - Accent4 5 8" xfId="2809" xr:uid="{00000000-0005-0000-0000-0000F1020000}"/>
    <cellStyle name="20% - Accent4 5_BukuBesar" xfId="2810" xr:uid="{00000000-0005-0000-0000-0000F2020000}"/>
    <cellStyle name="20% - Accent4 6" xfId="58" xr:uid="{00000000-0005-0000-0000-0000F3020000}"/>
    <cellStyle name="20% - Accent4 6 2" xfId="1300" xr:uid="{00000000-0005-0000-0000-0000F4020000}"/>
    <cellStyle name="20% - Accent4 6 2 2" xfId="1301" xr:uid="{00000000-0005-0000-0000-0000F5020000}"/>
    <cellStyle name="20% - Accent4 6 2 2 2" xfId="2811" xr:uid="{00000000-0005-0000-0000-0000F6020000}"/>
    <cellStyle name="20% - Accent4 6 2 3" xfId="2812" xr:uid="{00000000-0005-0000-0000-0000F7020000}"/>
    <cellStyle name="20% - Accent4 6 2_BukuBesar" xfId="2813" xr:uid="{00000000-0005-0000-0000-0000F8020000}"/>
    <cellStyle name="20% - Accent4 6 3" xfId="1302" xr:uid="{00000000-0005-0000-0000-0000F9020000}"/>
    <cellStyle name="20% - Accent4 6 3 2" xfId="1303" xr:uid="{00000000-0005-0000-0000-0000FA020000}"/>
    <cellStyle name="20% - Accent4 6 4" xfId="1304" xr:uid="{00000000-0005-0000-0000-0000FB020000}"/>
    <cellStyle name="20% - Accent4 6 4 2" xfId="2814" xr:uid="{00000000-0005-0000-0000-0000FC020000}"/>
    <cellStyle name="20% - Accent4 6 5" xfId="2815" xr:uid="{00000000-0005-0000-0000-0000FD020000}"/>
    <cellStyle name="20% - Accent4 6 6" xfId="2816" xr:uid="{00000000-0005-0000-0000-0000FE020000}"/>
    <cellStyle name="20% - Accent4 6 7" xfId="2817" xr:uid="{00000000-0005-0000-0000-0000FF020000}"/>
    <cellStyle name="20% - Accent4 6 8" xfId="2818" xr:uid="{00000000-0005-0000-0000-000000030000}"/>
    <cellStyle name="20% - Accent4 6_BukuBesar" xfId="2819" xr:uid="{00000000-0005-0000-0000-000001030000}"/>
    <cellStyle name="20% - Accent4 7" xfId="59" xr:uid="{00000000-0005-0000-0000-000002030000}"/>
    <cellStyle name="20% - Accent4 7 2" xfId="1305" xr:uid="{00000000-0005-0000-0000-000003030000}"/>
    <cellStyle name="20% - Accent4 7 2 2" xfId="1306" xr:uid="{00000000-0005-0000-0000-000004030000}"/>
    <cellStyle name="20% - Accent4 7 2 3" xfId="2820" xr:uid="{00000000-0005-0000-0000-000005030000}"/>
    <cellStyle name="20% - Accent4 7 3" xfId="1307" xr:uid="{00000000-0005-0000-0000-000006030000}"/>
    <cellStyle name="20% - Accent4 7 3 2" xfId="1308" xr:uid="{00000000-0005-0000-0000-000007030000}"/>
    <cellStyle name="20% - Accent4 7 3 3" xfId="2821" xr:uid="{00000000-0005-0000-0000-000008030000}"/>
    <cellStyle name="20% - Accent4 7 4" xfId="1309" xr:uid="{00000000-0005-0000-0000-000009030000}"/>
    <cellStyle name="20% - Accent4 7_BukuBesar" xfId="2822" xr:uid="{00000000-0005-0000-0000-00000A030000}"/>
    <cellStyle name="20% - Accent4 8" xfId="60" xr:uid="{00000000-0005-0000-0000-00000B030000}"/>
    <cellStyle name="20% - Accent4 8 2" xfId="1310" xr:uid="{00000000-0005-0000-0000-00000C030000}"/>
    <cellStyle name="20% - Accent4 8 2 2" xfId="1311" xr:uid="{00000000-0005-0000-0000-00000D030000}"/>
    <cellStyle name="20% - Accent4 8 2 3" xfId="2823" xr:uid="{00000000-0005-0000-0000-00000E030000}"/>
    <cellStyle name="20% - Accent4 8 3" xfId="1312" xr:uid="{00000000-0005-0000-0000-00000F030000}"/>
    <cellStyle name="20% - Accent4 8 3 2" xfId="1313" xr:uid="{00000000-0005-0000-0000-000010030000}"/>
    <cellStyle name="20% - Accent4 8 3 3" xfId="2824" xr:uid="{00000000-0005-0000-0000-000011030000}"/>
    <cellStyle name="20% - Accent4 8 4" xfId="1314" xr:uid="{00000000-0005-0000-0000-000012030000}"/>
    <cellStyle name="20% - Accent4 8_BukuBesar" xfId="2825" xr:uid="{00000000-0005-0000-0000-000013030000}"/>
    <cellStyle name="20% - Accent4 9" xfId="61" xr:uid="{00000000-0005-0000-0000-000014030000}"/>
    <cellStyle name="20% - Accent4 9 2" xfId="1315" xr:uid="{00000000-0005-0000-0000-000015030000}"/>
    <cellStyle name="20% - Accent4 9 2 2" xfId="1316" xr:uid="{00000000-0005-0000-0000-000016030000}"/>
    <cellStyle name="20% - Accent4 9 2 3" xfId="2826" xr:uid="{00000000-0005-0000-0000-000017030000}"/>
    <cellStyle name="20% - Accent4 9 3" xfId="1317" xr:uid="{00000000-0005-0000-0000-000018030000}"/>
    <cellStyle name="20% - Accent4 9 3 2" xfId="1318" xr:uid="{00000000-0005-0000-0000-000019030000}"/>
    <cellStyle name="20% - Accent4 9 3 3" xfId="2827" xr:uid="{00000000-0005-0000-0000-00001A030000}"/>
    <cellStyle name="20% - Accent4 9 4" xfId="1319" xr:uid="{00000000-0005-0000-0000-00001B030000}"/>
    <cellStyle name="20% - Accent4 9_BukuBesar" xfId="2828" xr:uid="{00000000-0005-0000-0000-00001C030000}"/>
    <cellStyle name="20% - Accent5 10" xfId="62" xr:uid="{00000000-0005-0000-0000-00001D030000}"/>
    <cellStyle name="20% - Accent5 10 2" xfId="1320" xr:uid="{00000000-0005-0000-0000-00001E030000}"/>
    <cellStyle name="20% - Accent5 10 2 2" xfId="1321" xr:uid="{00000000-0005-0000-0000-00001F030000}"/>
    <cellStyle name="20% - Accent5 10 2 3" xfId="2829" xr:uid="{00000000-0005-0000-0000-000020030000}"/>
    <cellStyle name="20% - Accent5 10 3" xfId="1322" xr:uid="{00000000-0005-0000-0000-000021030000}"/>
    <cellStyle name="20% - Accent5 10 3 2" xfId="1323" xr:uid="{00000000-0005-0000-0000-000022030000}"/>
    <cellStyle name="20% - Accent5 10 3 3" xfId="2830" xr:uid="{00000000-0005-0000-0000-000023030000}"/>
    <cellStyle name="20% - Accent5 10 4" xfId="1324" xr:uid="{00000000-0005-0000-0000-000024030000}"/>
    <cellStyle name="20% - Accent5 10_BukuBesar" xfId="2831" xr:uid="{00000000-0005-0000-0000-000025030000}"/>
    <cellStyle name="20% - Accent5 11" xfId="63" xr:uid="{00000000-0005-0000-0000-000026030000}"/>
    <cellStyle name="20% - Accent5 11 2" xfId="1325" xr:uid="{00000000-0005-0000-0000-000027030000}"/>
    <cellStyle name="20% - Accent5 11 2 2" xfId="1326" xr:uid="{00000000-0005-0000-0000-000028030000}"/>
    <cellStyle name="20% - Accent5 11 2 3" xfId="2832" xr:uid="{00000000-0005-0000-0000-000029030000}"/>
    <cellStyle name="20% - Accent5 11 3" xfId="1327" xr:uid="{00000000-0005-0000-0000-00002A030000}"/>
    <cellStyle name="20% - Accent5 11 3 2" xfId="1328" xr:uid="{00000000-0005-0000-0000-00002B030000}"/>
    <cellStyle name="20% - Accent5 11 3 3" xfId="2833" xr:uid="{00000000-0005-0000-0000-00002C030000}"/>
    <cellStyle name="20% - Accent5 11 4" xfId="1329" xr:uid="{00000000-0005-0000-0000-00002D030000}"/>
    <cellStyle name="20% - Accent5 11_BukuBesar" xfId="2834" xr:uid="{00000000-0005-0000-0000-00002E030000}"/>
    <cellStyle name="20% - Accent5 12" xfId="64" xr:uid="{00000000-0005-0000-0000-00002F030000}"/>
    <cellStyle name="20% - Accent5 12 2" xfId="1330" xr:uid="{00000000-0005-0000-0000-000030030000}"/>
    <cellStyle name="20% - Accent5 12 2 2" xfId="1331" xr:uid="{00000000-0005-0000-0000-000031030000}"/>
    <cellStyle name="20% - Accent5 12 2 3" xfId="2835" xr:uid="{00000000-0005-0000-0000-000032030000}"/>
    <cellStyle name="20% - Accent5 12 3" xfId="1332" xr:uid="{00000000-0005-0000-0000-000033030000}"/>
    <cellStyle name="20% - Accent5 12 3 2" xfId="1333" xr:uid="{00000000-0005-0000-0000-000034030000}"/>
    <cellStyle name="20% - Accent5 12 3 3" xfId="2836" xr:uid="{00000000-0005-0000-0000-000035030000}"/>
    <cellStyle name="20% - Accent5 12 4" xfId="1334" xr:uid="{00000000-0005-0000-0000-000036030000}"/>
    <cellStyle name="20% - Accent5 12_BukuBesar" xfId="2837" xr:uid="{00000000-0005-0000-0000-000037030000}"/>
    <cellStyle name="20% - Accent5 13" xfId="65" xr:uid="{00000000-0005-0000-0000-000038030000}"/>
    <cellStyle name="20% - Accent5 13 2" xfId="1335" xr:uid="{00000000-0005-0000-0000-000039030000}"/>
    <cellStyle name="20% - Accent5 13 2 2" xfId="1336" xr:uid="{00000000-0005-0000-0000-00003A030000}"/>
    <cellStyle name="20% - Accent5 13 2 3" xfId="2838" xr:uid="{00000000-0005-0000-0000-00003B030000}"/>
    <cellStyle name="20% - Accent5 13 3" xfId="1337" xr:uid="{00000000-0005-0000-0000-00003C030000}"/>
    <cellStyle name="20% - Accent5 13 3 2" xfId="1338" xr:uid="{00000000-0005-0000-0000-00003D030000}"/>
    <cellStyle name="20% - Accent5 13 3 3" xfId="2839" xr:uid="{00000000-0005-0000-0000-00003E030000}"/>
    <cellStyle name="20% - Accent5 13 4" xfId="1339" xr:uid="{00000000-0005-0000-0000-00003F030000}"/>
    <cellStyle name="20% - Accent5 13_BukuBesar" xfId="2840" xr:uid="{00000000-0005-0000-0000-000040030000}"/>
    <cellStyle name="20% - Accent5 14" xfId="2841" xr:uid="{00000000-0005-0000-0000-000041030000}"/>
    <cellStyle name="20% - Accent5 14 2" xfId="2842" xr:uid="{00000000-0005-0000-0000-000042030000}"/>
    <cellStyle name="20% - Accent5 14 3" xfId="2843" xr:uid="{00000000-0005-0000-0000-000043030000}"/>
    <cellStyle name="20% - Accent5 14_BukuBesar" xfId="2844" xr:uid="{00000000-0005-0000-0000-000044030000}"/>
    <cellStyle name="20% - Accent5 15" xfId="2845" xr:uid="{00000000-0005-0000-0000-000045030000}"/>
    <cellStyle name="20% - Accent5 15 2" xfId="2846" xr:uid="{00000000-0005-0000-0000-000046030000}"/>
    <cellStyle name="20% - Accent5 15 3" xfId="2847" xr:uid="{00000000-0005-0000-0000-000047030000}"/>
    <cellStyle name="20% - Accent5 15_BukuBesar" xfId="2848" xr:uid="{00000000-0005-0000-0000-000048030000}"/>
    <cellStyle name="20% - Accent5 16" xfId="2849" xr:uid="{00000000-0005-0000-0000-000049030000}"/>
    <cellStyle name="20% - Accent5 16 2" xfId="2850" xr:uid="{00000000-0005-0000-0000-00004A030000}"/>
    <cellStyle name="20% - Accent5 16 3" xfId="2851" xr:uid="{00000000-0005-0000-0000-00004B030000}"/>
    <cellStyle name="20% - Accent5 16_BukuBesar" xfId="2852" xr:uid="{00000000-0005-0000-0000-00004C030000}"/>
    <cellStyle name="20% - Accent5 17" xfId="2853" xr:uid="{00000000-0005-0000-0000-00004D030000}"/>
    <cellStyle name="20% - Accent5 17 2" xfId="2854" xr:uid="{00000000-0005-0000-0000-00004E030000}"/>
    <cellStyle name="20% - Accent5 17 3" xfId="2855" xr:uid="{00000000-0005-0000-0000-00004F030000}"/>
    <cellStyle name="20% - Accent5 17_BukuBesar" xfId="2856" xr:uid="{00000000-0005-0000-0000-000050030000}"/>
    <cellStyle name="20% - Accent5 18" xfId="2857" xr:uid="{00000000-0005-0000-0000-000051030000}"/>
    <cellStyle name="20% - Accent5 18 2" xfId="2858" xr:uid="{00000000-0005-0000-0000-000052030000}"/>
    <cellStyle name="20% - Accent5 18 3" xfId="2859" xr:uid="{00000000-0005-0000-0000-000053030000}"/>
    <cellStyle name="20% - Accent5 18_BukuBesar" xfId="2860" xr:uid="{00000000-0005-0000-0000-000054030000}"/>
    <cellStyle name="20% - Accent5 19" xfId="2861" xr:uid="{00000000-0005-0000-0000-000055030000}"/>
    <cellStyle name="20% - Accent5 19 2" xfId="2862" xr:uid="{00000000-0005-0000-0000-000056030000}"/>
    <cellStyle name="20% - Accent5 19_BukuBesar" xfId="2863" xr:uid="{00000000-0005-0000-0000-000057030000}"/>
    <cellStyle name="20% - Accent5 2" xfId="66" xr:uid="{00000000-0005-0000-0000-000058030000}"/>
    <cellStyle name="20% - Accent5 2 2" xfId="1340" xr:uid="{00000000-0005-0000-0000-000059030000}"/>
    <cellStyle name="20% - Accent5 2 2 2" xfId="1341" xr:uid="{00000000-0005-0000-0000-00005A030000}"/>
    <cellStyle name="20% - Accent5 2 2 2 2" xfId="2864" xr:uid="{00000000-0005-0000-0000-00005B030000}"/>
    <cellStyle name="20% - Accent5 2 2 3" xfId="2865" xr:uid="{00000000-0005-0000-0000-00005C030000}"/>
    <cellStyle name="20% - Accent5 2 2_BukuBesar" xfId="2866" xr:uid="{00000000-0005-0000-0000-00005D030000}"/>
    <cellStyle name="20% - Accent5 2 3" xfId="1342" xr:uid="{00000000-0005-0000-0000-00005E030000}"/>
    <cellStyle name="20% - Accent5 2 3 2" xfId="1343" xr:uid="{00000000-0005-0000-0000-00005F030000}"/>
    <cellStyle name="20% - Accent5 2 4" xfId="1344" xr:uid="{00000000-0005-0000-0000-000060030000}"/>
    <cellStyle name="20% - Accent5 2 4 2" xfId="2867" xr:uid="{00000000-0005-0000-0000-000061030000}"/>
    <cellStyle name="20% - Accent5 2 5" xfId="2868" xr:uid="{00000000-0005-0000-0000-000062030000}"/>
    <cellStyle name="20% - Accent5 2 6" xfId="2869" xr:uid="{00000000-0005-0000-0000-000063030000}"/>
    <cellStyle name="20% - Accent5 2 7" xfId="2870" xr:uid="{00000000-0005-0000-0000-000064030000}"/>
    <cellStyle name="20% - Accent5 2 8" xfId="6494" xr:uid="{E3F67820-17AC-40F6-8CC6-B4C29743466D}"/>
    <cellStyle name="20% - Accent5 2_BukuBesar" xfId="2871" xr:uid="{00000000-0005-0000-0000-000065030000}"/>
    <cellStyle name="20% - Accent5 20" xfId="2872" xr:uid="{00000000-0005-0000-0000-000066030000}"/>
    <cellStyle name="20% - Accent5 20 2" xfId="2873" xr:uid="{00000000-0005-0000-0000-000067030000}"/>
    <cellStyle name="20% - Accent5 20 3" xfId="2874" xr:uid="{00000000-0005-0000-0000-000068030000}"/>
    <cellStyle name="20% - Accent5 20_BukuBesar" xfId="2875" xr:uid="{00000000-0005-0000-0000-000069030000}"/>
    <cellStyle name="20% - Accent5 21" xfId="2876" xr:uid="{00000000-0005-0000-0000-00006A030000}"/>
    <cellStyle name="20% - Accent5 21 2" xfId="2877" xr:uid="{00000000-0005-0000-0000-00006B030000}"/>
    <cellStyle name="20% - Accent5 21_BukuBesar" xfId="2878" xr:uid="{00000000-0005-0000-0000-00006C030000}"/>
    <cellStyle name="20% - Accent5 22" xfId="2879" xr:uid="{00000000-0005-0000-0000-00006D030000}"/>
    <cellStyle name="20% - Accent5 22 2" xfId="2880" xr:uid="{00000000-0005-0000-0000-00006E030000}"/>
    <cellStyle name="20% - Accent5 22_BukuBesar" xfId="2881" xr:uid="{00000000-0005-0000-0000-00006F030000}"/>
    <cellStyle name="20% - Accent5 23" xfId="2882" xr:uid="{00000000-0005-0000-0000-000070030000}"/>
    <cellStyle name="20% - Accent5 23 2" xfId="2883" xr:uid="{00000000-0005-0000-0000-000071030000}"/>
    <cellStyle name="20% - Accent5 23_BukuBesar" xfId="2884" xr:uid="{00000000-0005-0000-0000-000072030000}"/>
    <cellStyle name="20% - Accent5 24" xfId="2885" xr:uid="{00000000-0005-0000-0000-000073030000}"/>
    <cellStyle name="20% - Accent5 24 2" xfId="2886" xr:uid="{00000000-0005-0000-0000-000074030000}"/>
    <cellStyle name="20% - Accent5 24_BukuBesar" xfId="2887" xr:uid="{00000000-0005-0000-0000-000075030000}"/>
    <cellStyle name="20% - Accent5 25" xfId="2888" xr:uid="{00000000-0005-0000-0000-000076030000}"/>
    <cellStyle name="20% - Accent5 25 2" xfId="2889" xr:uid="{00000000-0005-0000-0000-000077030000}"/>
    <cellStyle name="20% - Accent5 25_BukuBesar" xfId="2890" xr:uid="{00000000-0005-0000-0000-000078030000}"/>
    <cellStyle name="20% - Accent5 26" xfId="2891" xr:uid="{00000000-0005-0000-0000-000079030000}"/>
    <cellStyle name="20% - Accent5 26 2" xfId="2892" xr:uid="{00000000-0005-0000-0000-00007A030000}"/>
    <cellStyle name="20% - Accent5 26_BukuBesar" xfId="2893" xr:uid="{00000000-0005-0000-0000-00007B030000}"/>
    <cellStyle name="20% - Accent5 27" xfId="2894" xr:uid="{00000000-0005-0000-0000-00007C030000}"/>
    <cellStyle name="20% - Accent5 27 2" xfId="2895" xr:uid="{00000000-0005-0000-0000-00007D030000}"/>
    <cellStyle name="20% - Accent5 27_BukuBesar" xfId="2896" xr:uid="{00000000-0005-0000-0000-00007E030000}"/>
    <cellStyle name="20% - Accent5 28" xfId="2897" xr:uid="{00000000-0005-0000-0000-00007F030000}"/>
    <cellStyle name="20% - Accent5 28 2" xfId="2898" xr:uid="{00000000-0005-0000-0000-000080030000}"/>
    <cellStyle name="20% - Accent5 28_BukuBesar" xfId="2899" xr:uid="{00000000-0005-0000-0000-000081030000}"/>
    <cellStyle name="20% - Accent5 29" xfId="2900" xr:uid="{00000000-0005-0000-0000-000082030000}"/>
    <cellStyle name="20% - Accent5 29 2" xfId="2901" xr:uid="{00000000-0005-0000-0000-000083030000}"/>
    <cellStyle name="20% - Accent5 29_BukuBesar" xfId="2902" xr:uid="{00000000-0005-0000-0000-000084030000}"/>
    <cellStyle name="20% - Accent5 3" xfId="67" xr:uid="{00000000-0005-0000-0000-000085030000}"/>
    <cellStyle name="20% - Accent5 3 2" xfId="1345" xr:uid="{00000000-0005-0000-0000-000086030000}"/>
    <cellStyle name="20% - Accent5 3 2 2" xfId="1346" xr:uid="{00000000-0005-0000-0000-000087030000}"/>
    <cellStyle name="20% - Accent5 3 2 2 2" xfId="2903" xr:uid="{00000000-0005-0000-0000-000088030000}"/>
    <cellStyle name="20% - Accent5 3 2 3" xfId="2904" xr:uid="{00000000-0005-0000-0000-000089030000}"/>
    <cellStyle name="20% - Accent5 3 2_BukuBesar" xfId="2905" xr:uid="{00000000-0005-0000-0000-00008A030000}"/>
    <cellStyle name="20% - Accent5 3 3" xfId="1347" xr:uid="{00000000-0005-0000-0000-00008B030000}"/>
    <cellStyle name="20% - Accent5 3 3 2" xfId="1348" xr:uid="{00000000-0005-0000-0000-00008C030000}"/>
    <cellStyle name="20% - Accent5 3 4" xfId="1349" xr:uid="{00000000-0005-0000-0000-00008D030000}"/>
    <cellStyle name="20% - Accent5 3 4 2" xfId="2906" xr:uid="{00000000-0005-0000-0000-00008E030000}"/>
    <cellStyle name="20% - Accent5 3 5" xfId="2907" xr:uid="{00000000-0005-0000-0000-00008F030000}"/>
    <cellStyle name="20% - Accent5 3 6" xfId="2908" xr:uid="{00000000-0005-0000-0000-000090030000}"/>
    <cellStyle name="20% - Accent5 3 7" xfId="2909" xr:uid="{00000000-0005-0000-0000-000091030000}"/>
    <cellStyle name="20% - Accent5 3 8" xfId="2910" xr:uid="{00000000-0005-0000-0000-000092030000}"/>
    <cellStyle name="20% - Accent5 3_BukuBesar" xfId="2911" xr:uid="{00000000-0005-0000-0000-000093030000}"/>
    <cellStyle name="20% - Accent5 30" xfId="2912" xr:uid="{00000000-0005-0000-0000-000094030000}"/>
    <cellStyle name="20% - Accent5 4" xfId="68" xr:uid="{00000000-0005-0000-0000-000095030000}"/>
    <cellStyle name="20% - Accent5 4 2" xfId="1350" xr:uid="{00000000-0005-0000-0000-000096030000}"/>
    <cellStyle name="20% - Accent5 4 2 2" xfId="1351" xr:uid="{00000000-0005-0000-0000-000097030000}"/>
    <cellStyle name="20% - Accent5 4 2 2 2" xfId="2913" xr:uid="{00000000-0005-0000-0000-000098030000}"/>
    <cellStyle name="20% - Accent5 4 2 3" xfId="2914" xr:uid="{00000000-0005-0000-0000-000099030000}"/>
    <cellStyle name="20% - Accent5 4 2_BukuBesar" xfId="2915" xr:uid="{00000000-0005-0000-0000-00009A030000}"/>
    <cellStyle name="20% - Accent5 4 3" xfId="1352" xr:uid="{00000000-0005-0000-0000-00009B030000}"/>
    <cellStyle name="20% - Accent5 4 3 2" xfId="1353" xr:uid="{00000000-0005-0000-0000-00009C030000}"/>
    <cellStyle name="20% - Accent5 4 4" xfId="1354" xr:uid="{00000000-0005-0000-0000-00009D030000}"/>
    <cellStyle name="20% - Accent5 4 4 2" xfId="2916" xr:uid="{00000000-0005-0000-0000-00009E030000}"/>
    <cellStyle name="20% - Accent5 4 5" xfId="2917" xr:uid="{00000000-0005-0000-0000-00009F030000}"/>
    <cellStyle name="20% - Accent5 4 6" xfId="2918" xr:uid="{00000000-0005-0000-0000-0000A0030000}"/>
    <cellStyle name="20% - Accent5 4 7" xfId="2919" xr:uid="{00000000-0005-0000-0000-0000A1030000}"/>
    <cellStyle name="20% - Accent5 4 8" xfId="2920" xr:uid="{00000000-0005-0000-0000-0000A2030000}"/>
    <cellStyle name="20% - Accent5 4_BukuBesar" xfId="2921" xr:uid="{00000000-0005-0000-0000-0000A3030000}"/>
    <cellStyle name="20% - Accent5 5" xfId="69" xr:uid="{00000000-0005-0000-0000-0000A4030000}"/>
    <cellStyle name="20% - Accent5 5 2" xfId="1355" xr:uid="{00000000-0005-0000-0000-0000A5030000}"/>
    <cellStyle name="20% - Accent5 5 2 2" xfId="1356" xr:uid="{00000000-0005-0000-0000-0000A6030000}"/>
    <cellStyle name="20% - Accent5 5 2 2 2" xfId="2922" xr:uid="{00000000-0005-0000-0000-0000A7030000}"/>
    <cellStyle name="20% - Accent5 5 2 3" xfId="2923" xr:uid="{00000000-0005-0000-0000-0000A8030000}"/>
    <cellStyle name="20% - Accent5 5 2_BukuBesar" xfId="2924" xr:uid="{00000000-0005-0000-0000-0000A9030000}"/>
    <cellStyle name="20% - Accent5 5 3" xfId="1357" xr:uid="{00000000-0005-0000-0000-0000AA030000}"/>
    <cellStyle name="20% - Accent5 5 3 2" xfId="1358" xr:uid="{00000000-0005-0000-0000-0000AB030000}"/>
    <cellStyle name="20% - Accent5 5 4" xfId="1359" xr:uid="{00000000-0005-0000-0000-0000AC030000}"/>
    <cellStyle name="20% - Accent5 5 4 2" xfId="2925" xr:uid="{00000000-0005-0000-0000-0000AD030000}"/>
    <cellStyle name="20% - Accent5 5 5" xfId="2926" xr:uid="{00000000-0005-0000-0000-0000AE030000}"/>
    <cellStyle name="20% - Accent5 5 6" xfId="2927" xr:uid="{00000000-0005-0000-0000-0000AF030000}"/>
    <cellStyle name="20% - Accent5 5 7" xfId="2928" xr:uid="{00000000-0005-0000-0000-0000B0030000}"/>
    <cellStyle name="20% - Accent5 5 8" xfId="2929" xr:uid="{00000000-0005-0000-0000-0000B1030000}"/>
    <cellStyle name="20% - Accent5 5_BukuBesar" xfId="2930" xr:uid="{00000000-0005-0000-0000-0000B2030000}"/>
    <cellStyle name="20% - Accent5 6" xfId="70" xr:uid="{00000000-0005-0000-0000-0000B3030000}"/>
    <cellStyle name="20% - Accent5 6 2" xfId="1360" xr:uid="{00000000-0005-0000-0000-0000B4030000}"/>
    <cellStyle name="20% - Accent5 6 2 2" xfId="1361" xr:uid="{00000000-0005-0000-0000-0000B5030000}"/>
    <cellStyle name="20% - Accent5 6 2 2 2" xfId="2931" xr:uid="{00000000-0005-0000-0000-0000B6030000}"/>
    <cellStyle name="20% - Accent5 6 2 3" xfId="2932" xr:uid="{00000000-0005-0000-0000-0000B7030000}"/>
    <cellStyle name="20% - Accent5 6 2_BukuBesar" xfId="2933" xr:uid="{00000000-0005-0000-0000-0000B8030000}"/>
    <cellStyle name="20% - Accent5 6 3" xfId="1362" xr:uid="{00000000-0005-0000-0000-0000B9030000}"/>
    <cellStyle name="20% - Accent5 6 3 2" xfId="1363" xr:uid="{00000000-0005-0000-0000-0000BA030000}"/>
    <cellStyle name="20% - Accent5 6 4" xfId="1364" xr:uid="{00000000-0005-0000-0000-0000BB030000}"/>
    <cellStyle name="20% - Accent5 6 4 2" xfId="2934" xr:uid="{00000000-0005-0000-0000-0000BC030000}"/>
    <cellStyle name="20% - Accent5 6 5" xfId="2935" xr:uid="{00000000-0005-0000-0000-0000BD030000}"/>
    <cellStyle name="20% - Accent5 6 6" xfId="2936" xr:uid="{00000000-0005-0000-0000-0000BE030000}"/>
    <cellStyle name="20% - Accent5 6 7" xfId="2937" xr:uid="{00000000-0005-0000-0000-0000BF030000}"/>
    <cellStyle name="20% - Accent5 6 8" xfId="2938" xr:uid="{00000000-0005-0000-0000-0000C0030000}"/>
    <cellStyle name="20% - Accent5 6_BukuBesar" xfId="2939" xr:uid="{00000000-0005-0000-0000-0000C1030000}"/>
    <cellStyle name="20% - Accent5 7" xfId="71" xr:uid="{00000000-0005-0000-0000-0000C2030000}"/>
    <cellStyle name="20% - Accent5 7 2" xfId="1365" xr:uid="{00000000-0005-0000-0000-0000C3030000}"/>
    <cellStyle name="20% - Accent5 7 2 2" xfId="1366" xr:uid="{00000000-0005-0000-0000-0000C4030000}"/>
    <cellStyle name="20% - Accent5 7 2 3" xfId="2940" xr:uid="{00000000-0005-0000-0000-0000C5030000}"/>
    <cellStyle name="20% - Accent5 7 3" xfId="1367" xr:uid="{00000000-0005-0000-0000-0000C6030000}"/>
    <cellStyle name="20% - Accent5 7 3 2" xfId="1368" xr:uid="{00000000-0005-0000-0000-0000C7030000}"/>
    <cellStyle name="20% - Accent5 7 3 3" xfId="2941" xr:uid="{00000000-0005-0000-0000-0000C8030000}"/>
    <cellStyle name="20% - Accent5 7 4" xfId="1369" xr:uid="{00000000-0005-0000-0000-0000C9030000}"/>
    <cellStyle name="20% - Accent5 7_BukuBesar" xfId="2942" xr:uid="{00000000-0005-0000-0000-0000CA030000}"/>
    <cellStyle name="20% - Accent5 8" xfId="72" xr:uid="{00000000-0005-0000-0000-0000CB030000}"/>
    <cellStyle name="20% - Accent5 8 2" xfId="1370" xr:uid="{00000000-0005-0000-0000-0000CC030000}"/>
    <cellStyle name="20% - Accent5 8 2 2" xfId="1371" xr:uid="{00000000-0005-0000-0000-0000CD030000}"/>
    <cellStyle name="20% - Accent5 8 2 3" xfId="2943" xr:uid="{00000000-0005-0000-0000-0000CE030000}"/>
    <cellStyle name="20% - Accent5 8 3" xfId="1372" xr:uid="{00000000-0005-0000-0000-0000CF030000}"/>
    <cellStyle name="20% - Accent5 8 3 2" xfId="1373" xr:uid="{00000000-0005-0000-0000-0000D0030000}"/>
    <cellStyle name="20% - Accent5 8 3 3" xfId="2944" xr:uid="{00000000-0005-0000-0000-0000D1030000}"/>
    <cellStyle name="20% - Accent5 8 4" xfId="1374" xr:uid="{00000000-0005-0000-0000-0000D2030000}"/>
    <cellStyle name="20% - Accent5 8_BukuBesar" xfId="2945" xr:uid="{00000000-0005-0000-0000-0000D3030000}"/>
    <cellStyle name="20% - Accent5 9" xfId="73" xr:uid="{00000000-0005-0000-0000-0000D4030000}"/>
    <cellStyle name="20% - Accent5 9 2" xfId="1375" xr:uid="{00000000-0005-0000-0000-0000D5030000}"/>
    <cellStyle name="20% - Accent5 9 2 2" xfId="1376" xr:uid="{00000000-0005-0000-0000-0000D6030000}"/>
    <cellStyle name="20% - Accent5 9 2 3" xfId="2946" xr:uid="{00000000-0005-0000-0000-0000D7030000}"/>
    <cellStyle name="20% - Accent5 9 3" xfId="1377" xr:uid="{00000000-0005-0000-0000-0000D8030000}"/>
    <cellStyle name="20% - Accent5 9 3 2" xfId="1378" xr:uid="{00000000-0005-0000-0000-0000D9030000}"/>
    <cellStyle name="20% - Accent5 9 3 3" xfId="2947" xr:uid="{00000000-0005-0000-0000-0000DA030000}"/>
    <cellStyle name="20% - Accent5 9 4" xfId="1379" xr:uid="{00000000-0005-0000-0000-0000DB030000}"/>
    <cellStyle name="20% - Accent5 9_BukuBesar" xfId="2948" xr:uid="{00000000-0005-0000-0000-0000DC030000}"/>
    <cellStyle name="20% - Accent6 10" xfId="74" xr:uid="{00000000-0005-0000-0000-0000DD030000}"/>
    <cellStyle name="20% - Accent6 10 2" xfId="1380" xr:uid="{00000000-0005-0000-0000-0000DE030000}"/>
    <cellStyle name="20% - Accent6 10 2 2" xfId="1381" xr:uid="{00000000-0005-0000-0000-0000DF030000}"/>
    <cellStyle name="20% - Accent6 10 2 3" xfId="2949" xr:uid="{00000000-0005-0000-0000-0000E0030000}"/>
    <cellStyle name="20% - Accent6 10 3" xfId="1382" xr:uid="{00000000-0005-0000-0000-0000E1030000}"/>
    <cellStyle name="20% - Accent6 10 3 2" xfId="1383" xr:uid="{00000000-0005-0000-0000-0000E2030000}"/>
    <cellStyle name="20% - Accent6 10 3 3" xfId="2950" xr:uid="{00000000-0005-0000-0000-0000E3030000}"/>
    <cellStyle name="20% - Accent6 10 4" xfId="1384" xr:uid="{00000000-0005-0000-0000-0000E4030000}"/>
    <cellStyle name="20% - Accent6 10_BukuBesar" xfId="2951" xr:uid="{00000000-0005-0000-0000-0000E5030000}"/>
    <cellStyle name="20% - Accent6 11" xfId="75" xr:uid="{00000000-0005-0000-0000-0000E6030000}"/>
    <cellStyle name="20% - Accent6 11 2" xfId="1385" xr:uid="{00000000-0005-0000-0000-0000E7030000}"/>
    <cellStyle name="20% - Accent6 11 2 2" xfId="1386" xr:uid="{00000000-0005-0000-0000-0000E8030000}"/>
    <cellStyle name="20% - Accent6 11 2 3" xfId="2952" xr:uid="{00000000-0005-0000-0000-0000E9030000}"/>
    <cellStyle name="20% - Accent6 11 3" xfId="1387" xr:uid="{00000000-0005-0000-0000-0000EA030000}"/>
    <cellStyle name="20% - Accent6 11 3 2" xfId="1388" xr:uid="{00000000-0005-0000-0000-0000EB030000}"/>
    <cellStyle name="20% - Accent6 11 3 3" xfId="2953" xr:uid="{00000000-0005-0000-0000-0000EC030000}"/>
    <cellStyle name="20% - Accent6 11 4" xfId="1389" xr:uid="{00000000-0005-0000-0000-0000ED030000}"/>
    <cellStyle name="20% - Accent6 11_BukuBesar" xfId="2954" xr:uid="{00000000-0005-0000-0000-0000EE030000}"/>
    <cellStyle name="20% - Accent6 12" xfId="76" xr:uid="{00000000-0005-0000-0000-0000EF030000}"/>
    <cellStyle name="20% - Accent6 12 2" xfId="1390" xr:uid="{00000000-0005-0000-0000-0000F0030000}"/>
    <cellStyle name="20% - Accent6 12 2 2" xfId="1391" xr:uid="{00000000-0005-0000-0000-0000F1030000}"/>
    <cellStyle name="20% - Accent6 12 2 3" xfId="2955" xr:uid="{00000000-0005-0000-0000-0000F2030000}"/>
    <cellStyle name="20% - Accent6 12 3" xfId="1392" xr:uid="{00000000-0005-0000-0000-0000F3030000}"/>
    <cellStyle name="20% - Accent6 12 3 2" xfId="1393" xr:uid="{00000000-0005-0000-0000-0000F4030000}"/>
    <cellStyle name="20% - Accent6 12 3 3" xfId="2956" xr:uid="{00000000-0005-0000-0000-0000F5030000}"/>
    <cellStyle name="20% - Accent6 12 4" xfId="1394" xr:uid="{00000000-0005-0000-0000-0000F6030000}"/>
    <cellStyle name="20% - Accent6 12_BukuBesar" xfId="2957" xr:uid="{00000000-0005-0000-0000-0000F7030000}"/>
    <cellStyle name="20% - Accent6 13" xfId="77" xr:uid="{00000000-0005-0000-0000-0000F8030000}"/>
    <cellStyle name="20% - Accent6 13 2" xfId="1395" xr:uid="{00000000-0005-0000-0000-0000F9030000}"/>
    <cellStyle name="20% - Accent6 13 2 2" xfId="1396" xr:uid="{00000000-0005-0000-0000-0000FA030000}"/>
    <cellStyle name="20% - Accent6 13 2 3" xfId="2958" xr:uid="{00000000-0005-0000-0000-0000FB030000}"/>
    <cellStyle name="20% - Accent6 13 3" xfId="1397" xr:uid="{00000000-0005-0000-0000-0000FC030000}"/>
    <cellStyle name="20% - Accent6 13 3 2" xfId="1398" xr:uid="{00000000-0005-0000-0000-0000FD030000}"/>
    <cellStyle name="20% - Accent6 13 3 3" xfId="2959" xr:uid="{00000000-0005-0000-0000-0000FE030000}"/>
    <cellStyle name="20% - Accent6 13 4" xfId="1399" xr:uid="{00000000-0005-0000-0000-0000FF030000}"/>
    <cellStyle name="20% - Accent6 13_BukuBesar" xfId="2960" xr:uid="{00000000-0005-0000-0000-000000040000}"/>
    <cellStyle name="20% - Accent6 14" xfId="2961" xr:uid="{00000000-0005-0000-0000-000001040000}"/>
    <cellStyle name="20% - Accent6 14 2" xfId="2962" xr:uid="{00000000-0005-0000-0000-000002040000}"/>
    <cellStyle name="20% - Accent6 14 3" xfId="2963" xr:uid="{00000000-0005-0000-0000-000003040000}"/>
    <cellStyle name="20% - Accent6 14_BukuBesar" xfId="2964" xr:uid="{00000000-0005-0000-0000-000004040000}"/>
    <cellStyle name="20% - Accent6 15" xfId="2965" xr:uid="{00000000-0005-0000-0000-000005040000}"/>
    <cellStyle name="20% - Accent6 15 2" xfId="2966" xr:uid="{00000000-0005-0000-0000-000006040000}"/>
    <cellStyle name="20% - Accent6 15 3" xfId="2967" xr:uid="{00000000-0005-0000-0000-000007040000}"/>
    <cellStyle name="20% - Accent6 15_BukuBesar" xfId="2968" xr:uid="{00000000-0005-0000-0000-000008040000}"/>
    <cellStyle name="20% - Accent6 16" xfId="2969" xr:uid="{00000000-0005-0000-0000-000009040000}"/>
    <cellStyle name="20% - Accent6 16 2" xfId="2970" xr:uid="{00000000-0005-0000-0000-00000A040000}"/>
    <cellStyle name="20% - Accent6 16 3" xfId="2971" xr:uid="{00000000-0005-0000-0000-00000B040000}"/>
    <cellStyle name="20% - Accent6 16_BukuBesar" xfId="2972" xr:uid="{00000000-0005-0000-0000-00000C040000}"/>
    <cellStyle name="20% - Accent6 17" xfId="2973" xr:uid="{00000000-0005-0000-0000-00000D040000}"/>
    <cellStyle name="20% - Accent6 17 2" xfId="2974" xr:uid="{00000000-0005-0000-0000-00000E040000}"/>
    <cellStyle name="20% - Accent6 17 3" xfId="2975" xr:uid="{00000000-0005-0000-0000-00000F040000}"/>
    <cellStyle name="20% - Accent6 17_BukuBesar" xfId="2976" xr:uid="{00000000-0005-0000-0000-000010040000}"/>
    <cellStyle name="20% - Accent6 18" xfId="2977" xr:uid="{00000000-0005-0000-0000-000011040000}"/>
    <cellStyle name="20% - Accent6 18 2" xfId="2978" xr:uid="{00000000-0005-0000-0000-000012040000}"/>
    <cellStyle name="20% - Accent6 18 3" xfId="2979" xr:uid="{00000000-0005-0000-0000-000013040000}"/>
    <cellStyle name="20% - Accent6 18_BukuBesar" xfId="2980" xr:uid="{00000000-0005-0000-0000-000014040000}"/>
    <cellStyle name="20% - Accent6 19" xfId="2981" xr:uid="{00000000-0005-0000-0000-000015040000}"/>
    <cellStyle name="20% - Accent6 19 2" xfId="2982" xr:uid="{00000000-0005-0000-0000-000016040000}"/>
    <cellStyle name="20% - Accent6 19_BukuBesar" xfId="2983" xr:uid="{00000000-0005-0000-0000-000017040000}"/>
    <cellStyle name="20% - Accent6 2" xfId="78" xr:uid="{00000000-0005-0000-0000-000018040000}"/>
    <cellStyle name="20% - Accent6 2 10" xfId="2984" xr:uid="{00000000-0005-0000-0000-000019040000}"/>
    <cellStyle name="20% - Accent6 2 11" xfId="6498" xr:uid="{9BF3C907-8382-4DB5-B41F-F7D83C687254}"/>
    <cellStyle name="20% - Accent6 2 2" xfId="79" xr:uid="{00000000-0005-0000-0000-00001A040000}"/>
    <cellStyle name="20% - Accent6 2 2 2" xfId="1400" xr:uid="{00000000-0005-0000-0000-00001B040000}"/>
    <cellStyle name="20% - Accent6 2 2 2 2" xfId="2985" xr:uid="{00000000-0005-0000-0000-00001C040000}"/>
    <cellStyle name="20% - Accent6 2 2 3" xfId="2986" xr:uid="{00000000-0005-0000-0000-00001D040000}"/>
    <cellStyle name="20% - Accent6 2 2 3 2" xfId="2987" xr:uid="{00000000-0005-0000-0000-00001E040000}"/>
    <cellStyle name="20% - Accent6 2 2 4" xfId="5655" xr:uid="{00000000-0005-0000-0000-00001F040000}"/>
    <cellStyle name="20% - Accent6 2 2 5" xfId="6500" xr:uid="{9E43C9FC-ED6C-43D8-BFEF-742CDD4B8C96}"/>
    <cellStyle name="20% - Accent6 2 2_BukuBesar" xfId="2988" xr:uid="{00000000-0005-0000-0000-000020040000}"/>
    <cellStyle name="20% - Accent6 2 3" xfId="1401" xr:uid="{00000000-0005-0000-0000-000021040000}"/>
    <cellStyle name="20% - Accent6 2 3 2" xfId="1402" xr:uid="{00000000-0005-0000-0000-000022040000}"/>
    <cellStyle name="20% - Accent6 2 3 3" xfId="2989" xr:uid="{00000000-0005-0000-0000-000023040000}"/>
    <cellStyle name="20% - Accent6 2 3 4" xfId="6483" xr:uid="{ECAF3706-1685-4ECF-9152-8FAEA09E95F2}"/>
    <cellStyle name="20% - Accent6 2 4" xfId="1403" xr:uid="{00000000-0005-0000-0000-000024040000}"/>
    <cellStyle name="20% - Accent6 2 4 2" xfId="1404" xr:uid="{00000000-0005-0000-0000-000025040000}"/>
    <cellStyle name="20% - Accent6 2 4 2 2" xfId="2990" xr:uid="{00000000-0005-0000-0000-000026040000}"/>
    <cellStyle name="20% - Accent6 2 4 3" xfId="2991" xr:uid="{00000000-0005-0000-0000-000027040000}"/>
    <cellStyle name="20% - Accent6 2 5" xfId="1405" xr:uid="{00000000-0005-0000-0000-000028040000}"/>
    <cellStyle name="20% - Accent6 2 5 2" xfId="2992" xr:uid="{00000000-0005-0000-0000-000029040000}"/>
    <cellStyle name="20% - Accent6 2 5 3" xfId="2993" xr:uid="{00000000-0005-0000-0000-00002A040000}"/>
    <cellStyle name="20% - Accent6 2 6" xfId="2994" xr:uid="{00000000-0005-0000-0000-00002B040000}"/>
    <cellStyle name="20% - Accent6 2 6 2" xfId="2995" xr:uid="{00000000-0005-0000-0000-00002C040000}"/>
    <cellStyle name="20% - Accent6 2 7" xfId="2996" xr:uid="{00000000-0005-0000-0000-00002D040000}"/>
    <cellStyle name="20% - Accent6 2 7 2" xfId="2997" xr:uid="{00000000-0005-0000-0000-00002E040000}"/>
    <cellStyle name="20% - Accent6 2 8" xfId="2998" xr:uid="{00000000-0005-0000-0000-00002F040000}"/>
    <cellStyle name="20% - Accent6 2 8 2" xfId="2999" xr:uid="{00000000-0005-0000-0000-000030040000}"/>
    <cellStyle name="20% - Accent6 2 9" xfId="3000" xr:uid="{00000000-0005-0000-0000-000031040000}"/>
    <cellStyle name="20% - Accent6 2_BukuBesar" xfId="3001" xr:uid="{00000000-0005-0000-0000-000032040000}"/>
    <cellStyle name="20% - Accent6 20" xfId="3002" xr:uid="{00000000-0005-0000-0000-000033040000}"/>
    <cellStyle name="20% - Accent6 20 2" xfId="3003" xr:uid="{00000000-0005-0000-0000-000034040000}"/>
    <cellStyle name="20% - Accent6 20 3" xfId="3004" xr:uid="{00000000-0005-0000-0000-000035040000}"/>
    <cellStyle name="20% - Accent6 20_BukuBesar" xfId="3005" xr:uid="{00000000-0005-0000-0000-000036040000}"/>
    <cellStyle name="20% - Accent6 21" xfId="3006" xr:uid="{00000000-0005-0000-0000-000037040000}"/>
    <cellStyle name="20% - Accent6 21 2" xfId="3007" xr:uid="{00000000-0005-0000-0000-000038040000}"/>
    <cellStyle name="20% - Accent6 21_BukuBesar" xfId="3008" xr:uid="{00000000-0005-0000-0000-000039040000}"/>
    <cellStyle name="20% - Accent6 22" xfId="3009" xr:uid="{00000000-0005-0000-0000-00003A040000}"/>
    <cellStyle name="20% - Accent6 22 2" xfId="3010" xr:uid="{00000000-0005-0000-0000-00003B040000}"/>
    <cellStyle name="20% - Accent6 22_BukuBesar" xfId="3011" xr:uid="{00000000-0005-0000-0000-00003C040000}"/>
    <cellStyle name="20% - Accent6 23" xfId="3012" xr:uid="{00000000-0005-0000-0000-00003D040000}"/>
    <cellStyle name="20% - Accent6 23 2" xfId="3013" xr:uid="{00000000-0005-0000-0000-00003E040000}"/>
    <cellStyle name="20% - Accent6 23_BukuBesar" xfId="3014" xr:uid="{00000000-0005-0000-0000-00003F040000}"/>
    <cellStyle name="20% - Accent6 24" xfId="3015" xr:uid="{00000000-0005-0000-0000-000040040000}"/>
    <cellStyle name="20% - Accent6 24 2" xfId="3016" xr:uid="{00000000-0005-0000-0000-000041040000}"/>
    <cellStyle name="20% - Accent6 24_BukuBesar" xfId="3017" xr:uid="{00000000-0005-0000-0000-000042040000}"/>
    <cellStyle name="20% - Accent6 25" xfId="3018" xr:uid="{00000000-0005-0000-0000-000043040000}"/>
    <cellStyle name="20% - Accent6 25 2" xfId="3019" xr:uid="{00000000-0005-0000-0000-000044040000}"/>
    <cellStyle name="20% - Accent6 25_BukuBesar" xfId="3020" xr:uid="{00000000-0005-0000-0000-000045040000}"/>
    <cellStyle name="20% - Accent6 26" xfId="3021" xr:uid="{00000000-0005-0000-0000-000046040000}"/>
    <cellStyle name="20% - Accent6 26 2" xfId="3022" xr:uid="{00000000-0005-0000-0000-000047040000}"/>
    <cellStyle name="20% - Accent6 26_BukuBesar" xfId="3023" xr:uid="{00000000-0005-0000-0000-000048040000}"/>
    <cellStyle name="20% - Accent6 27" xfId="3024" xr:uid="{00000000-0005-0000-0000-000049040000}"/>
    <cellStyle name="20% - Accent6 27 2" xfId="3025" xr:uid="{00000000-0005-0000-0000-00004A040000}"/>
    <cellStyle name="20% - Accent6 27_BukuBesar" xfId="3026" xr:uid="{00000000-0005-0000-0000-00004B040000}"/>
    <cellStyle name="20% - Accent6 28" xfId="3027" xr:uid="{00000000-0005-0000-0000-00004C040000}"/>
    <cellStyle name="20% - Accent6 28 2" xfId="3028" xr:uid="{00000000-0005-0000-0000-00004D040000}"/>
    <cellStyle name="20% - Accent6 28_BukuBesar" xfId="3029" xr:uid="{00000000-0005-0000-0000-00004E040000}"/>
    <cellStyle name="20% - Accent6 29" xfId="3030" xr:uid="{00000000-0005-0000-0000-00004F040000}"/>
    <cellStyle name="20% - Accent6 29 2" xfId="3031" xr:uid="{00000000-0005-0000-0000-000050040000}"/>
    <cellStyle name="20% - Accent6 29_BukuBesar" xfId="3032" xr:uid="{00000000-0005-0000-0000-000051040000}"/>
    <cellStyle name="20% - Accent6 3" xfId="80" xr:uid="{00000000-0005-0000-0000-000052040000}"/>
    <cellStyle name="20% - Accent6 3 2" xfId="1406" xr:uid="{00000000-0005-0000-0000-000053040000}"/>
    <cellStyle name="20% - Accent6 3 2 2" xfId="1407" xr:uid="{00000000-0005-0000-0000-000054040000}"/>
    <cellStyle name="20% - Accent6 3 2 2 2" xfId="3033" xr:uid="{00000000-0005-0000-0000-000055040000}"/>
    <cellStyle name="20% - Accent6 3 2 3" xfId="3034" xr:uid="{00000000-0005-0000-0000-000056040000}"/>
    <cellStyle name="20% - Accent6 3 2_BukuBesar" xfId="3035" xr:uid="{00000000-0005-0000-0000-000057040000}"/>
    <cellStyle name="20% - Accent6 3 3" xfId="1408" xr:uid="{00000000-0005-0000-0000-000058040000}"/>
    <cellStyle name="20% - Accent6 3 3 2" xfId="1409" xr:uid="{00000000-0005-0000-0000-000059040000}"/>
    <cellStyle name="20% - Accent6 3 4" xfId="1410" xr:uid="{00000000-0005-0000-0000-00005A040000}"/>
    <cellStyle name="20% - Accent6 3_BukuBesar" xfId="3036" xr:uid="{00000000-0005-0000-0000-00005B040000}"/>
    <cellStyle name="20% - Accent6 30" xfId="3037" xr:uid="{00000000-0005-0000-0000-00005C040000}"/>
    <cellStyle name="20% - Accent6 4" xfId="81" xr:uid="{00000000-0005-0000-0000-00005D040000}"/>
    <cellStyle name="20% - Accent6 4 2" xfId="1411" xr:uid="{00000000-0005-0000-0000-00005E040000}"/>
    <cellStyle name="20% - Accent6 4 2 2" xfId="1412" xr:uid="{00000000-0005-0000-0000-00005F040000}"/>
    <cellStyle name="20% - Accent6 4 2 2 2" xfId="3038" xr:uid="{00000000-0005-0000-0000-000060040000}"/>
    <cellStyle name="20% - Accent6 4 2 3" xfId="3039" xr:uid="{00000000-0005-0000-0000-000061040000}"/>
    <cellStyle name="20% - Accent6 4 2_BukuBesar" xfId="3040" xr:uid="{00000000-0005-0000-0000-000062040000}"/>
    <cellStyle name="20% - Accent6 4 3" xfId="1413" xr:uid="{00000000-0005-0000-0000-000063040000}"/>
    <cellStyle name="20% - Accent6 4 3 2" xfId="1414" xr:uid="{00000000-0005-0000-0000-000064040000}"/>
    <cellStyle name="20% - Accent6 4 4" xfId="1415" xr:uid="{00000000-0005-0000-0000-000065040000}"/>
    <cellStyle name="20% - Accent6 4 4 2" xfId="3041" xr:uid="{00000000-0005-0000-0000-000066040000}"/>
    <cellStyle name="20% - Accent6 4 5" xfId="3042" xr:uid="{00000000-0005-0000-0000-000067040000}"/>
    <cellStyle name="20% - Accent6 4 6" xfId="3043" xr:uid="{00000000-0005-0000-0000-000068040000}"/>
    <cellStyle name="20% - Accent6 4 7" xfId="3044" xr:uid="{00000000-0005-0000-0000-000069040000}"/>
    <cellStyle name="20% - Accent6 4 8" xfId="3045" xr:uid="{00000000-0005-0000-0000-00006A040000}"/>
    <cellStyle name="20% - Accent6 4_BukuBesar" xfId="3046" xr:uid="{00000000-0005-0000-0000-00006B040000}"/>
    <cellStyle name="20% - Accent6 5" xfId="82" xr:uid="{00000000-0005-0000-0000-00006C040000}"/>
    <cellStyle name="20% - Accent6 5 2" xfId="1416" xr:uid="{00000000-0005-0000-0000-00006D040000}"/>
    <cellStyle name="20% - Accent6 5 2 2" xfId="1417" xr:uid="{00000000-0005-0000-0000-00006E040000}"/>
    <cellStyle name="20% - Accent6 5 2 2 2" xfId="3047" xr:uid="{00000000-0005-0000-0000-00006F040000}"/>
    <cellStyle name="20% - Accent6 5 2 3" xfId="3048" xr:uid="{00000000-0005-0000-0000-000070040000}"/>
    <cellStyle name="20% - Accent6 5 2_BukuBesar" xfId="3049" xr:uid="{00000000-0005-0000-0000-000071040000}"/>
    <cellStyle name="20% - Accent6 5 3" xfId="1418" xr:uid="{00000000-0005-0000-0000-000072040000}"/>
    <cellStyle name="20% - Accent6 5 3 2" xfId="1419" xr:uid="{00000000-0005-0000-0000-000073040000}"/>
    <cellStyle name="20% - Accent6 5 4" xfId="1420" xr:uid="{00000000-0005-0000-0000-000074040000}"/>
    <cellStyle name="20% - Accent6 5 4 2" xfId="3050" xr:uid="{00000000-0005-0000-0000-000075040000}"/>
    <cellStyle name="20% - Accent6 5 5" xfId="3051" xr:uid="{00000000-0005-0000-0000-000076040000}"/>
    <cellStyle name="20% - Accent6 5 6" xfId="3052" xr:uid="{00000000-0005-0000-0000-000077040000}"/>
    <cellStyle name="20% - Accent6 5 7" xfId="3053" xr:uid="{00000000-0005-0000-0000-000078040000}"/>
    <cellStyle name="20% - Accent6 5 8" xfId="3054" xr:uid="{00000000-0005-0000-0000-000079040000}"/>
    <cellStyle name="20% - Accent6 5_BukuBesar" xfId="3055" xr:uid="{00000000-0005-0000-0000-00007A040000}"/>
    <cellStyle name="20% - Accent6 6" xfId="83" xr:uid="{00000000-0005-0000-0000-00007B040000}"/>
    <cellStyle name="20% - Accent6 6 2" xfId="1421" xr:uid="{00000000-0005-0000-0000-00007C040000}"/>
    <cellStyle name="20% - Accent6 6 2 2" xfId="1422" xr:uid="{00000000-0005-0000-0000-00007D040000}"/>
    <cellStyle name="20% - Accent6 6 2 2 2" xfId="3056" xr:uid="{00000000-0005-0000-0000-00007E040000}"/>
    <cellStyle name="20% - Accent6 6 2 3" xfId="3057" xr:uid="{00000000-0005-0000-0000-00007F040000}"/>
    <cellStyle name="20% - Accent6 6 2_BukuBesar" xfId="3058" xr:uid="{00000000-0005-0000-0000-000080040000}"/>
    <cellStyle name="20% - Accent6 6 3" xfId="1423" xr:uid="{00000000-0005-0000-0000-000081040000}"/>
    <cellStyle name="20% - Accent6 6 3 2" xfId="1424" xr:uid="{00000000-0005-0000-0000-000082040000}"/>
    <cellStyle name="20% - Accent6 6 4" xfId="1425" xr:uid="{00000000-0005-0000-0000-000083040000}"/>
    <cellStyle name="20% - Accent6 6 4 2" xfId="3059" xr:uid="{00000000-0005-0000-0000-000084040000}"/>
    <cellStyle name="20% - Accent6 6 5" xfId="3060" xr:uid="{00000000-0005-0000-0000-000085040000}"/>
    <cellStyle name="20% - Accent6 6 6" xfId="3061" xr:uid="{00000000-0005-0000-0000-000086040000}"/>
    <cellStyle name="20% - Accent6 6 7" xfId="3062" xr:uid="{00000000-0005-0000-0000-000087040000}"/>
    <cellStyle name="20% - Accent6 6 8" xfId="3063" xr:uid="{00000000-0005-0000-0000-000088040000}"/>
    <cellStyle name="20% - Accent6 6_BukuBesar" xfId="3064" xr:uid="{00000000-0005-0000-0000-000089040000}"/>
    <cellStyle name="20% - Accent6 7" xfId="84" xr:uid="{00000000-0005-0000-0000-00008A040000}"/>
    <cellStyle name="20% - Accent6 7 2" xfId="1426" xr:uid="{00000000-0005-0000-0000-00008B040000}"/>
    <cellStyle name="20% - Accent6 7 2 2" xfId="1427" xr:uid="{00000000-0005-0000-0000-00008C040000}"/>
    <cellStyle name="20% - Accent6 7 2 3" xfId="3065" xr:uid="{00000000-0005-0000-0000-00008D040000}"/>
    <cellStyle name="20% - Accent6 7 3" xfId="1428" xr:uid="{00000000-0005-0000-0000-00008E040000}"/>
    <cellStyle name="20% - Accent6 7 3 2" xfId="1429" xr:uid="{00000000-0005-0000-0000-00008F040000}"/>
    <cellStyle name="20% - Accent6 7 3 3" xfId="3066" xr:uid="{00000000-0005-0000-0000-000090040000}"/>
    <cellStyle name="20% - Accent6 7 4" xfId="1430" xr:uid="{00000000-0005-0000-0000-000091040000}"/>
    <cellStyle name="20% - Accent6 7_BukuBesar" xfId="3067" xr:uid="{00000000-0005-0000-0000-000092040000}"/>
    <cellStyle name="20% - Accent6 8" xfId="85" xr:uid="{00000000-0005-0000-0000-000093040000}"/>
    <cellStyle name="20% - Accent6 8 2" xfId="1431" xr:uid="{00000000-0005-0000-0000-000094040000}"/>
    <cellStyle name="20% - Accent6 8 2 2" xfId="1432" xr:uid="{00000000-0005-0000-0000-000095040000}"/>
    <cellStyle name="20% - Accent6 8 2 3" xfId="3068" xr:uid="{00000000-0005-0000-0000-000096040000}"/>
    <cellStyle name="20% - Accent6 8 3" xfId="1433" xr:uid="{00000000-0005-0000-0000-000097040000}"/>
    <cellStyle name="20% - Accent6 8 3 2" xfId="1434" xr:uid="{00000000-0005-0000-0000-000098040000}"/>
    <cellStyle name="20% - Accent6 8 3 3" xfId="3069" xr:uid="{00000000-0005-0000-0000-000099040000}"/>
    <cellStyle name="20% - Accent6 8 4" xfId="1435" xr:uid="{00000000-0005-0000-0000-00009A040000}"/>
    <cellStyle name="20% - Accent6 8_BukuBesar" xfId="3070" xr:uid="{00000000-0005-0000-0000-00009B040000}"/>
    <cellStyle name="20% - Accent6 9" xfId="86" xr:uid="{00000000-0005-0000-0000-00009C040000}"/>
    <cellStyle name="20% - Accent6 9 2" xfId="1436" xr:uid="{00000000-0005-0000-0000-00009D040000}"/>
    <cellStyle name="20% - Accent6 9 2 2" xfId="1437" xr:uid="{00000000-0005-0000-0000-00009E040000}"/>
    <cellStyle name="20% - Accent6 9 2 3" xfId="3071" xr:uid="{00000000-0005-0000-0000-00009F040000}"/>
    <cellStyle name="20% - Accent6 9 3" xfId="1438" xr:uid="{00000000-0005-0000-0000-0000A0040000}"/>
    <cellStyle name="20% - Accent6 9 3 2" xfId="1439" xr:uid="{00000000-0005-0000-0000-0000A1040000}"/>
    <cellStyle name="20% - Accent6 9 3 3" xfId="3072" xr:uid="{00000000-0005-0000-0000-0000A2040000}"/>
    <cellStyle name="20% - Accent6 9 4" xfId="1440" xr:uid="{00000000-0005-0000-0000-0000A3040000}"/>
    <cellStyle name="20% - Accent6 9_BukuBesar" xfId="3073" xr:uid="{00000000-0005-0000-0000-0000A4040000}"/>
    <cellStyle name="40% - Accent1 10" xfId="87" xr:uid="{00000000-0005-0000-0000-0000A5040000}"/>
    <cellStyle name="40% - Accent1 10 2" xfId="1441" xr:uid="{00000000-0005-0000-0000-0000A6040000}"/>
    <cellStyle name="40% - Accent1 10 2 2" xfId="1442" xr:uid="{00000000-0005-0000-0000-0000A7040000}"/>
    <cellStyle name="40% - Accent1 10 2 3" xfId="3074" xr:uid="{00000000-0005-0000-0000-0000A8040000}"/>
    <cellStyle name="40% - Accent1 10 3" xfId="1443" xr:uid="{00000000-0005-0000-0000-0000A9040000}"/>
    <cellStyle name="40% - Accent1 10 3 2" xfId="1444" xr:uid="{00000000-0005-0000-0000-0000AA040000}"/>
    <cellStyle name="40% - Accent1 10 3 3" xfId="3075" xr:uid="{00000000-0005-0000-0000-0000AB040000}"/>
    <cellStyle name="40% - Accent1 10 4" xfId="1445" xr:uid="{00000000-0005-0000-0000-0000AC040000}"/>
    <cellStyle name="40% - Accent1 10_BukuBesar" xfId="3076" xr:uid="{00000000-0005-0000-0000-0000AD040000}"/>
    <cellStyle name="40% - Accent1 11" xfId="88" xr:uid="{00000000-0005-0000-0000-0000AE040000}"/>
    <cellStyle name="40% - Accent1 11 2" xfId="1446" xr:uid="{00000000-0005-0000-0000-0000AF040000}"/>
    <cellStyle name="40% - Accent1 11 2 2" xfId="1447" xr:uid="{00000000-0005-0000-0000-0000B0040000}"/>
    <cellStyle name="40% - Accent1 11 2 3" xfId="3077" xr:uid="{00000000-0005-0000-0000-0000B1040000}"/>
    <cellStyle name="40% - Accent1 11 3" xfId="1448" xr:uid="{00000000-0005-0000-0000-0000B2040000}"/>
    <cellStyle name="40% - Accent1 11 3 2" xfId="1449" xr:uid="{00000000-0005-0000-0000-0000B3040000}"/>
    <cellStyle name="40% - Accent1 11 3 3" xfId="3078" xr:uid="{00000000-0005-0000-0000-0000B4040000}"/>
    <cellStyle name="40% - Accent1 11 4" xfId="1450" xr:uid="{00000000-0005-0000-0000-0000B5040000}"/>
    <cellStyle name="40% - Accent1 11_BukuBesar" xfId="3079" xr:uid="{00000000-0005-0000-0000-0000B6040000}"/>
    <cellStyle name="40% - Accent1 12" xfId="89" xr:uid="{00000000-0005-0000-0000-0000B7040000}"/>
    <cellStyle name="40% - Accent1 12 2" xfId="1451" xr:uid="{00000000-0005-0000-0000-0000B8040000}"/>
    <cellStyle name="40% - Accent1 12 2 2" xfId="1452" xr:uid="{00000000-0005-0000-0000-0000B9040000}"/>
    <cellStyle name="40% - Accent1 12 2 3" xfId="3080" xr:uid="{00000000-0005-0000-0000-0000BA040000}"/>
    <cellStyle name="40% - Accent1 12 3" xfId="1453" xr:uid="{00000000-0005-0000-0000-0000BB040000}"/>
    <cellStyle name="40% - Accent1 12 3 2" xfId="1454" xr:uid="{00000000-0005-0000-0000-0000BC040000}"/>
    <cellStyle name="40% - Accent1 12 3 3" xfId="3081" xr:uid="{00000000-0005-0000-0000-0000BD040000}"/>
    <cellStyle name="40% - Accent1 12 4" xfId="1455" xr:uid="{00000000-0005-0000-0000-0000BE040000}"/>
    <cellStyle name="40% - Accent1 12_BukuBesar" xfId="3082" xr:uid="{00000000-0005-0000-0000-0000BF040000}"/>
    <cellStyle name="40% - Accent1 13" xfId="90" xr:uid="{00000000-0005-0000-0000-0000C0040000}"/>
    <cellStyle name="40% - Accent1 13 2" xfId="1456" xr:uid="{00000000-0005-0000-0000-0000C1040000}"/>
    <cellStyle name="40% - Accent1 13 2 2" xfId="1457" xr:uid="{00000000-0005-0000-0000-0000C2040000}"/>
    <cellStyle name="40% - Accent1 13 2 3" xfId="3083" xr:uid="{00000000-0005-0000-0000-0000C3040000}"/>
    <cellStyle name="40% - Accent1 13 3" xfId="1458" xr:uid="{00000000-0005-0000-0000-0000C4040000}"/>
    <cellStyle name="40% - Accent1 13 3 2" xfId="1459" xr:uid="{00000000-0005-0000-0000-0000C5040000}"/>
    <cellStyle name="40% - Accent1 13 3 3" xfId="3084" xr:uid="{00000000-0005-0000-0000-0000C6040000}"/>
    <cellStyle name="40% - Accent1 13 4" xfId="1460" xr:uid="{00000000-0005-0000-0000-0000C7040000}"/>
    <cellStyle name="40% - Accent1 13_BukuBesar" xfId="3085" xr:uid="{00000000-0005-0000-0000-0000C8040000}"/>
    <cellStyle name="40% - Accent1 14" xfId="3086" xr:uid="{00000000-0005-0000-0000-0000C9040000}"/>
    <cellStyle name="40% - Accent1 14 2" xfId="3087" xr:uid="{00000000-0005-0000-0000-0000CA040000}"/>
    <cellStyle name="40% - Accent1 14 3" xfId="3088" xr:uid="{00000000-0005-0000-0000-0000CB040000}"/>
    <cellStyle name="40% - Accent1 14_BukuBesar" xfId="3089" xr:uid="{00000000-0005-0000-0000-0000CC040000}"/>
    <cellStyle name="40% - Accent1 15" xfId="3090" xr:uid="{00000000-0005-0000-0000-0000CD040000}"/>
    <cellStyle name="40% - Accent1 15 2" xfId="3091" xr:uid="{00000000-0005-0000-0000-0000CE040000}"/>
    <cellStyle name="40% - Accent1 15 3" xfId="3092" xr:uid="{00000000-0005-0000-0000-0000CF040000}"/>
    <cellStyle name="40% - Accent1 15_BukuBesar" xfId="3093" xr:uid="{00000000-0005-0000-0000-0000D0040000}"/>
    <cellStyle name="40% - Accent1 16" xfId="3094" xr:uid="{00000000-0005-0000-0000-0000D1040000}"/>
    <cellStyle name="40% - Accent1 16 2" xfId="3095" xr:uid="{00000000-0005-0000-0000-0000D2040000}"/>
    <cellStyle name="40% - Accent1 16 3" xfId="3096" xr:uid="{00000000-0005-0000-0000-0000D3040000}"/>
    <cellStyle name="40% - Accent1 16_BukuBesar" xfId="3097" xr:uid="{00000000-0005-0000-0000-0000D4040000}"/>
    <cellStyle name="40% - Accent1 17" xfId="3098" xr:uid="{00000000-0005-0000-0000-0000D5040000}"/>
    <cellStyle name="40% - Accent1 17 2" xfId="3099" xr:uid="{00000000-0005-0000-0000-0000D6040000}"/>
    <cellStyle name="40% - Accent1 17 3" xfId="3100" xr:uid="{00000000-0005-0000-0000-0000D7040000}"/>
    <cellStyle name="40% - Accent1 17_BukuBesar" xfId="3101" xr:uid="{00000000-0005-0000-0000-0000D8040000}"/>
    <cellStyle name="40% - Accent1 18" xfId="3102" xr:uid="{00000000-0005-0000-0000-0000D9040000}"/>
    <cellStyle name="40% - Accent1 18 2" xfId="3103" xr:uid="{00000000-0005-0000-0000-0000DA040000}"/>
    <cellStyle name="40% - Accent1 18 3" xfId="3104" xr:uid="{00000000-0005-0000-0000-0000DB040000}"/>
    <cellStyle name="40% - Accent1 18_BukuBesar" xfId="3105" xr:uid="{00000000-0005-0000-0000-0000DC040000}"/>
    <cellStyle name="40% - Accent1 19" xfId="3106" xr:uid="{00000000-0005-0000-0000-0000DD040000}"/>
    <cellStyle name="40% - Accent1 19 2" xfId="3107" xr:uid="{00000000-0005-0000-0000-0000DE040000}"/>
    <cellStyle name="40% - Accent1 19_BukuBesar" xfId="3108" xr:uid="{00000000-0005-0000-0000-0000DF040000}"/>
    <cellStyle name="40% - Accent1 2" xfId="91" xr:uid="{00000000-0005-0000-0000-0000E0040000}"/>
    <cellStyle name="40% - Accent1 2 2" xfId="1461" xr:uid="{00000000-0005-0000-0000-0000E1040000}"/>
    <cellStyle name="40% - Accent1 2 2 2" xfId="1462" xr:uid="{00000000-0005-0000-0000-0000E2040000}"/>
    <cellStyle name="40% - Accent1 2 2 2 2" xfId="3109" xr:uid="{00000000-0005-0000-0000-0000E3040000}"/>
    <cellStyle name="40% - Accent1 2 2 3" xfId="3110" xr:uid="{00000000-0005-0000-0000-0000E4040000}"/>
    <cellStyle name="40% - Accent1 2 2_BukuBesar" xfId="3111" xr:uid="{00000000-0005-0000-0000-0000E5040000}"/>
    <cellStyle name="40% - Accent1 2 3" xfId="1463" xr:uid="{00000000-0005-0000-0000-0000E6040000}"/>
    <cellStyle name="40% - Accent1 2 3 2" xfId="1464" xr:uid="{00000000-0005-0000-0000-0000E7040000}"/>
    <cellStyle name="40% - Accent1 2 4" xfId="1465" xr:uid="{00000000-0005-0000-0000-0000E8040000}"/>
    <cellStyle name="40% - Accent1 2 4 2" xfId="3112" xr:uid="{00000000-0005-0000-0000-0000E9040000}"/>
    <cellStyle name="40% - Accent1 2 5" xfId="3113" xr:uid="{00000000-0005-0000-0000-0000EA040000}"/>
    <cellStyle name="40% - Accent1 2 6" xfId="3114" xr:uid="{00000000-0005-0000-0000-0000EB040000}"/>
    <cellStyle name="40% - Accent1 2 7" xfId="3115" xr:uid="{00000000-0005-0000-0000-0000EC040000}"/>
    <cellStyle name="40% - Accent1 2 8" xfId="6501" xr:uid="{03A255E1-B6F0-4D71-9751-4B282EEAE7E1}"/>
    <cellStyle name="40% - Accent1 2_BukuBesar" xfId="3116" xr:uid="{00000000-0005-0000-0000-0000ED040000}"/>
    <cellStyle name="40% - Accent1 20" xfId="3117" xr:uid="{00000000-0005-0000-0000-0000EE040000}"/>
    <cellStyle name="40% - Accent1 20 2" xfId="3118" xr:uid="{00000000-0005-0000-0000-0000EF040000}"/>
    <cellStyle name="40% - Accent1 20 3" xfId="3119" xr:uid="{00000000-0005-0000-0000-0000F0040000}"/>
    <cellStyle name="40% - Accent1 20_BukuBesar" xfId="3120" xr:uid="{00000000-0005-0000-0000-0000F1040000}"/>
    <cellStyle name="40% - Accent1 21" xfId="3121" xr:uid="{00000000-0005-0000-0000-0000F2040000}"/>
    <cellStyle name="40% - Accent1 21 2" xfId="3122" xr:uid="{00000000-0005-0000-0000-0000F3040000}"/>
    <cellStyle name="40% - Accent1 21_BukuBesar" xfId="3123" xr:uid="{00000000-0005-0000-0000-0000F4040000}"/>
    <cellStyle name="40% - Accent1 22" xfId="3124" xr:uid="{00000000-0005-0000-0000-0000F5040000}"/>
    <cellStyle name="40% - Accent1 22 2" xfId="3125" xr:uid="{00000000-0005-0000-0000-0000F6040000}"/>
    <cellStyle name="40% - Accent1 22_BukuBesar" xfId="3126" xr:uid="{00000000-0005-0000-0000-0000F7040000}"/>
    <cellStyle name="40% - Accent1 23" xfId="3127" xr:uid="{00000000-0005-0000-0000-0000F8040000}"/>
    <cellStyle name="40% - Accent1 23 2" xfId="3128" xr:uid="{00000000-0005-0000-0000-0000F9040000}"/>
    <cellStyle name="40% - Accent1 23_BukuBesar" xfId="3129" xr:uid="{00000000-0005-0000-0000-0000FA040000}"/>
    <cellStyle name="40% - Accent1 24" xfId="3130" xr:uid="{00000000-0005-0000-0000-0000FB040000}"/>
    <cellStyle name="40% - Accent1 24 2" xfId="3131" xr:uid="{00000000-0005-0000-0000-0000FC040000}"/>
    <cellStyle name="40% - Accent1 24_BukuBesar" xfId="3132" xr:uid="{00000000-0005-0000-0000-0000FD040000}"/>
    <cellStyle name="40% - Accent1 25" xfId="3133" xr:uid="{00000000-0005-0000-0000-0000FE040000}"/>
    <cellStyle name="40% - Accent1 25 2" xfId="3134" xr:uid="{00000000-0005-0000-0000-0000FF040000}"/>
    <cellStyle name="40% - Accent1 25_BukuBesar" xfId="3135" xr:uid="{00000000-0005-0000-0000-000000050000}"/>
    <cellStyle name="40% - Accent1 26" xfId="3136" xr:uid="{00000000-0005-0000-0000-000001050000}"/>
    <cellStyle name="40% - Accent1 26 2" xfId="3137" xr:uid="{00000000-0005-0000-0000-000002050000}"/>
    <cellStyle name="40% - Accent1 26_BukuBesar" xfId="3138" xr:uid="{00000000-0005-0000-0000-000003050000}"/>
    <cellStyle name="40% - Accent1 27" xfId="3139" xr:uid="{00000000-0005-0000-0000-000004050000}"/>
    <cellStyle name="40% - Accent1 27 2" xfId="3140" xr:uid="{00000000-0005-0000-0000-000005050000}"/>
    <cellStyle name="40% - Accent1 27_BukuBesar" xfId="3141" xr:uid="{00000000-0005-0000-0000-000006050000}"/>
    <cellStyle name="40% - Accent1 28" xfId="3142" xr:uid="{00000000-0005-0000-0000-000007050000}"/>
    <cellStyle name="40% - Accent1 28 2" xfId="3143" xr:uid="{00000000-0005-0000-0000-000008050000}"/>
    <cellStyle name="40% - Accent1 28_BukuBesar" xfId="3144" xr:uid="{00000000-0005-0000-0000-000009050000}"/>
    <cellStyle name="40% - Accent1 29" xfId="3145" xr:uid="{00000000-0005-0000-0000-00000A050000}"/>
    <cellStyle name="40% - Accent1 29 2" xfId="3146" xr:uid="{00000000-0005-0000-0000-00000B050000}"/>
    <cellStyle name="40% - Accent1 29_BukuBesar" xfId="3147" xr:uid="{00000000-0005-0000-0000-00000C050000}"/>
    <cellStyle name="40% - Accent1 3" xfId="92" xr:uid="{00000000-0005-0000-0000-00000D050000}"/>
    <cellStyle name="40% - Accent1 3 2" xfId="1466" xr:uid="{00000000-0005-0000-0000-00000E050000}"/>
    <cellStyle name="40% - Accent1 3 2 2" xfId="1467" xr:uid="{00000000-0005-0000-0000-00000F050000}"/>
    <cellStyle name="40% - Accent1 3 2 2 2" xfId="3148" xr:uid="{00000000-0005-0000-0000-000010050000}"/>
    <cellStyle name="40% - Accent1 3 2 3" xfId="3149" xr:uid="{00000000-0005-0000-0000-000011050000}"/>
    <cellStyle name="40% - Accent1 3 2_BukuBesar" xfId="3150" xr:uid="{00000000-0005-0000-0000-000012050000}"/>
    <cellStyle name="40% - Accent1 3 3" xfId="1468" xr:uid="{00000000-0005-0000-0000-000013050000}"/>
    <cellStyle name="40% - Accent1 3 3 2" xfId="1469" xr:uid="{00000000-0005-0000-0000-000014050000}"/>
    <cellStyle name="40% - Accent1 3 4" xfId="1470" xr:uid="{00000000-0005-0000-0000-000015050000}"/>
    <cellStyle name="40% - Accent1 3 4 2" xfId="3151" xr:uid="{00000000-0005-0000-0000-000016050000}"/>
    <cellStyle name="40% - Accent1 3 5" xfId="3152" xr:uid="{00000000-0005-0000-0000-000017050000}"/>
    <cellStyle name="40% - Accent1 3 6" xfId="3153" xr:uid="{00000000-0005-0000-0000-000018050000}"/>
    <cellStyle name="40% - Accent1 3 7" xfId="3154" xr:uid="{00000000-0005-0000-0000-000019050000}"/>
    <cellStyle name="40% - Accent1 3 8" xfId="3155" xr:uid="{00000000-0005-0000-0000-00001A050000}"/>
    <cellStyle name="40% - Accent1 3_BukuBesar" xfId="3156" xr:uid="{00000000-0005-0000-0000-00001B050000}"/>
    <cellStyle name="40% - Accent1 30" xfId="3157" xr:uid="{00000000-0005-0000-0000-00001C050000}"/>
    <cellStyle name="40% - Accent1 4" xfId="93" xr:uid="{00000000-0005-0000-0000-00001D050000}"/>
    <cellStyle name="40% - Accent1 4 2" xfId="1471" xr:uid="{00000000-0005-0000-0000-00001E050000}"/>
    <cellStyle name="40% - Accent1 4 2 2" xfId="1472" xr:uid="{00000000-0005-0000-0000-00001F050000}"/>
    <cellStyle name="40% - Accent1 4 2 2 2" xfId="3158" xr:uid="{00000000-0005-0000-0000-000020050000}"/>
    <cellStyle name="40% - Accent1 4 2 3" xfId="3159" xr:uid="{00000000-0005-0000-0000-000021050000}"/>
    <cellStyle name="40% - Accent1 4 2_BukuBesar" xfId="3160" xr:uid="{00000000-0005-0000-0000-000022050000}"/>
    <cellStyle name="40% - Accent1 4 3" xfId="1473" xr:uid="{00000000-0005-0000-0000-000023050000}"/>
    <cellStyle name="40% - Accent1 4 3 2" xfId="1474" xr:uid="{00000000-0005-0000-0000-000024050000}"/>
    <cellStyle name="40% - Accent1 4 4" xfId="1475" xr:uid="{00000000-0005-0000-0000-000025050000}"/>
    <cellStyle name="40% - Accent1 4 4 2" xfId="3161" xr:uid="{00000000-0005-0000-0000-000026050000}"/>
    <cellStyle name="40% - Accent1 4 5" xfId="3162" xr:uid="{00000000-0005-0000-0000-000027050000}"/>
    <cellStyle name="40% - Accent1 4 6" xfId="3163" xr:uid="{00000000-0005-0000-0000-000028050000}"/>
    <cellStyle name="40% - Accent1 4 7" xfId="3164" xr:uid="{00000000-0005-0000-0000-000029050000}"/>
    <cellStyle name="40% - Accent1 4 8" xfId="3165" xr:uid="{00000000-0005-0000-0000-00002A050000}"/>
    <cellStyle name="40% - Accent1 4_BukuBesar" xfId="3166" xr:uid="{00000000-0005-0000-0000-00002B050000}"/>
    <cellStyle name="40% - Accent1 5" xfId="94" xr:uid="{00000000-0005-0000-0000-00002C050000}"/>
    <cellStyle name="40% - Accent1 5 2" xfId="1476" xr:uid="{00000000-0005-0000-0000-00002D050000}"/>
    <cellStyle name="40% - Accent1 5 2 2" xfId="1477" xr:uid="{00000000-0005-0000-0000-00002E050000}"/>
    <cellStyle name="40% - Accent1 5 2 2 2" xfId="3167" xr:uid="{00000000-0005-0000-0000-00002F050000}"/>
    <cellStyle name="40% - Accent1 5 2 3" xfId="3168" xr:uid="{00000000-0005-0000-0000-000030050000}"/>
    <cellStyle name="40% - Accent1 5 2_BukuBesar" xfId="3169" xr:uid="{00000000-0005-0000-0000-000031050000}"/>
    <cellStyle name="40% - Accent1 5 3" xfId="1478" xr:uid="{00000000-0005-0000-0000-000032050000}"/>
    <cellStyle name="40% - Accent1 5 3 2" xfId="1479" xr:uid="{00000000-0005-0000-0000-000033050000}"/>
    <cellStyle name="40% - Accent1 5 4" xfId="1480" xr:uid="{00000000-0005-0000-0000-000034050000}"/>
    <cellStyle name="40% - Accent1 5 4 2" xfId="3170" xr:uid="{00000000-0005-0000-0000-000035050000}"/>
    <cellStyle name="40% - Accent1 5 5" xfId="3171" xr:uid="{00000000-0005-0000-0000-000036050000}"/>
    <cellStyle name="40% - Accent1 5 6" xfId="3172" xr:uid="{00000000-0005-0000-0000-000037050000}"/>
    <cellStyle name="40% - Accent1 5 7" xfId="3173" xr:uid="{00000000-0005-0000-0000-000038050000}"/>
    <cellStyle name="40% - Accent1 5 8" xfId="3174" xr:uid="{00000000-0005-0000-0000-000039050000}"/>
    <cellStyle name="40% - Accent1 5_BukuBesar" xfId="3175" xr:uid="{00000000-0005-0000-0000-00003A050000}"/>
    <cellStyle name="40% - Accent1 6" xfId="95" xr:uid="{00000000-0005-0000-0000-00003B050000}"/>
    <cellStyle name="40% - Accent1 6 2" xfId="1481" xr:uid="{00000000-0005-0000-0000-00003C050000}"/>
    <cellStyle name="40% - Accent1 6 2 2" xfId="1482" xr:uid="{00000000-0005-0000-0000-00003D050000}"/>
    <cellStyle name="40% - Accent1 6 2 2 2" xfId="3176" xr:uid="{00000000-0005-0000-0000-00003E050000}"/>
    <cellStyle name="40% - Accent1 6 2 3" xfId="3177" xr:uid="{00000000-0005-0000-0000-00003F050000}"/>
    <cellStyle name="40% - Accent1 6 2_BukuBesar" xfId="3178" xr:uid="{00000000-0005-0000-0000-000040050000}"/>
    <cellStyle name="40% - Accent1 6 3" xfId="1483" xr:uid="{00000000-0005-0000-0000-000041050000}"/>
    <cellStyle name="40% - Accent1 6 3 2" xfId="1484" xr:uid="{00000000-0005-0000-0000-000042050000}"/>
    <cellStyle name="40% - Accent1 6 4" xfId="1485" xr:uid="{00000000-0005-0000-0000-000043050000}"/>
    <cellStyle name="40% - Accent1 6 4 2" xfId="3179" xr:uid="{00000000-0005-0000-0000-000044050000}"/>
    <cellStyle name="40% - Accent1 6 5" xfId="3180" xr:uid="{00000000-0005-0000-0000-000045050000}"/>
    <cellStyle name="40% - Accent1 6 6" xfId="3181" xr:uid="{00000000-0005-0000-0000-000046050000}"/>
    <cellStyle name="40% - Accent1 6 7" xfId="3182" xr:uid="{00000000-0005-0000-0000-000047050000}"/>
    <cellStyle name="40% - Accent1 6 8" xfId="3183" xr:uid="{00000000-0005-0000-0000-000048050000}"/>
    <cellStyle name="40% - Accent1 6_BukuBesar" xfId="3184" xr:uid="{00000000-0005-0000-0000-000049050000}"/>
    <cellStyle name="40% - Accent1 7" xfId="96" xr:uid="{00000000-0005-0000-0000-00004A050000}"/>
    <cellStyle name="40% - Accent1 7 2" xfId="1486" xr:uid="{00000000-0005-0000-0000-00004B050000}"/>
    <cellStyle name="40% - Accent1 7 2 2" xfId="1487" xr:uid="{00000000-0005-0000-0000-00004C050000}"/>
    <cellStyle name="40% - Accent1 7 2 3" xfId="3185" xr:uid="{00000000-0005-0000-0000-00004D050000}"/>
    <cellStyle name="40% - Accent1 7 3" xfId="1488" xr:uid="{00000000-0005-0000-0000-00004E050000}"/>
    <cellStyle name="40% - Accent1 7 3 2" xfId="1489" xr:uid="{00000000-0005-0000-0000-00004F050000}"/>
    <cellStyle name="40% - Accent1 7 3 3" xfId="3186" xr:uid="{00000000-0005-0000-0000-000050050000}"/>
    <cellStyle name="40% - Accent1 7 4" xfId="1490" xr:uid="{00000000-0005-0000-0000-000051050000}"/>
    <cellStyle name="40% - Accent1 7_BukuBesar" xfId="3187" xr:uid="{00000000-0005-0000-0000-000052050000}"/>
    <cellStyle name="40% - Accent1 8" xfId="97" xr:uid="{00000000-0005-0000-0000-000053050000}"/>
    <cellStyle name="40% - Accent1 8 2" xfId="1491" xr:uid="{00000000-0005-0000-0000-000054050000}"/>
    <cellStyle name="40% - Accent1 8 2 2" xfId="1492" xr:uid="{00000000-0005-0000-0000-000055050000}"/>
    <cellStyle name="40% - Accent1 8 2 3" xfId="3188" xr:uid="{00000000-0005-0000-0000-000056050000}"/>
    <cellStyle name="40% - Accent1 8 3" xfId="1493" xr:uid="{00000000-0005-0000-0000-000057050000}"/>
    <cellStyle name="40% - Accent1 8 3 2" xfId="1494" xr:uid="{00000000-0005-0000-0000-000058050000}"/>
    <cellStyle name="40% - Accent1 8 3 3" xfId="3189" xr:uid="{00000000-0005-0000-0000-000059050000}"/>
    <cellStyle name="40% - Accent1 8 4" xfId="1495" xr:uid="{00000000-0005-0000-0000-00005A050000}"/>
    <cellStyle name="40% - Accent1 8_BukuBesar" xfId="3190" xr:uid="{00000000-0005-0000-0000-00005B050000}"/>
    <cellStyle name="40% - Accent1 9" xfId="98" xr:uid="{00000000-0005-0000-0000-00005C050000}"/>
    <cellStyle name="40% - Accent1 9 2" xfId="1496" xr:uid="{00000000-0005-0000-0000-00005D050000}"/>
    <cellStyle name="40% - Accent1 9 2 2" xfId="1497" xr:uid="{00000000-0005-0000-0000-00005E050000}"/>
    <cellStyle name="40% - Accent1 9 2 3" xfId="3191" xr:uid="{00000000-0005-0000-0000-00005F050000}"/>
    <cellStyle name="40% - Accent1 9 3" xfId="1498" xr:uid="{00000000-0005-0000-0000-000060050000}"/>
    <cellStyle name="40% - Accent1 9 3 2" xfId="1499" xr:uid="{00000000-0005-0000-0000-000061050000}"/>
    <cellStyle name="40% - Accent1 9 3 3" xfId="3192" xr:uid="{00000000-0005-0000-0000-000062050000}"/>
    <cellStyle name="40% - Accent1 9 4" xfId="1500" xr:uid="{00000000-0005-0000-0000-000063050000}"/>
    <cellStyle name="40% - Accent1 9_BukuBesar" xfId="3193" xr:uid="{00000000-0005-0000-0000-000064050000}"/>
    <cellStyle name="40% - Accent2 10" xfId="99" xr:uid="{00000000-0005-0000-0000-000065050000}"/>
    <cellStyle name="40% - Accent2 10 2" xfId="1501" xr:uid="{00000000-0005-0000-0000-000066050000}"/>
    <cellStyle name="40% - Accent2 10 2 2" xfId="1502" xr:uid="{00000000-0005-0000-0000-000067050000}"/>
    <cellStyle name="40% - Accent2 10 2 3" xfId="3194" xr:uid="{00000000-0005-0000-0000-000068050000}"/>
    <cellStyle name="40% - Accent2 10 3" xfId="1503" xr:uid="{00000000-0005-0000-0000-000069050000}"/>
    <cellStyle name="40% - Accent2 10 3 2" xfId="1504" xr:uid="{00000000-0005-0000-0000-00006A050000}"/>
    <cellStyle name="40% - Accent2 10 3 3" xfId="3195" xr:uid="{00000000-0005-0000-0000-00006B050000}"/>
    <cellStyle name="40% - Accent2 10 4" xfId="1505" xr:uid="{00000000-0005-0000-0000-00006C050000}"/>
    <cellStyle name="40% - Accent2 10_BukuBesar" xfId="3196" xr:uid="{00000000-0005-0000-0000-00006D050000}"/>
    <cellStyle name="40% - Accent2 11" xfId="100" xr:uid="{00000000-0005-0000-0000-00006E050000}"/>
    <cellStyle name="40% - Accent2 11 2" xfId="1506" xr:uid="{00000000-0005-0000-0000-00006F050000}"/>
    <cellStyle name="40% - Accent2 11 2 2" xfId="1507" xr:uid="{00000000-0005-0000-0000-000070050000}"/>
    <cellStyle name="40% - Accent2 11 2 3" xfId="3197" xr:uid="{00000000-0005-0000-0000-000071050000}"/>
    <cellStyle name="40% - Accent2 11 3" xfId="1508" xr:uid="{00000000-0005-0000-0000-000072050000}"/>
    <cellStyle name="40% - Accent2 11 3 2" xfId="1509" xr:uid="{00000000-0005-0000-0000-000073050000}"/>
    <cellStyle name="40% - Accent2 11 3 3" xfId="3198" xr:uid="{00000000-0005-0000-0000-000074050000}"/>
    <cellStyle name="40% - Accent2 11 4" xfId="1510" xr:uid="{00000000-0005-0000-0000-000075050000}"/>
    <cellStyle name="40% - Accent2 11_BukuBesar" xfId="3199" xr:uid="{00000000-0005-0000-0000-000076050000}"/>
    <cellStyle name="40% - Accent2 12" xfId="101" xr:uid="{00000000-0005-0000-0000-000077050000}"/>
    <cellStyle name="40% - Accent2 12 2" xfId="1511" xr:uid="{00000000-0005-0000-0000-000078050000}"/>
    <cellStyle name="40% - Accent2 12 2 2" xfId="1512" xr:uid="{00000000-0005-0000-0000-000079050000}"/>
    <cellStyle name="40% - Accent2 12 2 3" xfId="3200" xr:uid="{00000000-0005-0000-0000-00007A050000}"/>
    <cellStyle name="40% - Accent2 12 3" xfId="1513" xr:uid="{00000000-0005-0000-0000-00007B050000}"/>
    <cellStyle name="40% - Accent2 12 3 2" xfId="1514" xr:uid="{00000000-0005-0000-0000-00007C050000}"/>
    <cellStyle name="40% - Accent2 12 3 3" xfId="3201" xr:uid="{00000000-0005-0000-0000-00007D050000}"/>
    <cellStyle name="40% - Accent2 12 4" xfId="1515" xr:uid="{00000000-0005-0000-0000-00007E050000}"/>
    <cellStyle name="40% - Accent2 12_BukuBesar" xfId="3202" xr:uid="{00000000-0005-0000-0000-00007F050000}"/>
    <cellStyle name="40% - Accent2 13" xfId="102" xr:uid="{00000000-0005-0000-0000-000080050000}"/>
    <cellStyle name="40% - Accent2 13 2" xfId="1516" xr:uid="{00000000-0005-0000-0000-000081050000}"/>
    <cellStyle name="40% - Accent2 13 2 2" xfId="1517" xr:uid="{00000000-0005-0000-0000-000082050000}"/>
    <cellStyle name="40% - Accent2 13 2 3" xfId="3203" xr:uid="{00000000-0005-0000-0000-000083050000}"/>
    <cellStyle name="40% - Accent2 13 3" xfId="1518" xr:uid="{00000000-0005-0000-0000-000084050000}"/>
    <cellStyle name="40% - Accent2 13 3 2" xfId="1519" xr:uid="{00000000-0005-0000-0000-000085050000}"/>
    <cellStyle name="40% - Accent2 13 3 3" xfId="3204" xr:uid="{00000000-0005-0000-0000-000086050000}"/>
    <cellStyle name="40% - Accent2 13 4" xfId="1520" xr:uid="{00000000-0005-0000-0000-000087050000}"/>
    <cellStyle name="40% - Accent2 13_BukuBesar" xfId="3205" xr:uid="{00000000-0005-0000-0000-000088050000}"/>
    <cellStyle name="40% - Accent2 14" xfId="3206" xr:uid="{00000000-0005-0000-0000-000089050000}"/>
    <cellStyle name="40% - Accent2 14 2" xfId="3207" xr:uid="{00000000-0005-0000-0000-00008A050000}"/>
    <cellStyle name="40% - Accent2 14 3" xfId="3208" xr:uid="{00000000-0005-0000-0000-00008B050000}"/>
    <cellStyle name="40% - Accent2 14_BukuBesar" xfId="3209" xr:uid="{00000000-0005-0000-0000-00008C050000}"/>
    <cellStyle name="40% - Accent2 15" xfId="3210" xr:uid="{00000000-0005-0000-0000-00008D050000}"/>
    <cellStyle name="40% - Accent2 15 2" xfId="3211" xr:uid="{00000000-0005-0000-0000-00008E050000}"/>
    <cellStyle name="40% - Accent2 15 3" xfId="3212" xr:uid="{00000000-0005-0000-0000-00008F050000}"/>
    <cellStyle name="40% - Accent2 15_BukuBesar" xfId="3213" xr:uid="{00000000-0005-0000-0000-000090050000}"/>
    <cellStyle name="40% - Accent2 16" xfId="3214" xr:uid="{00000000-0005-0000-0000-000091050000}"/>
    <cellStyle name="40% - Accent2 16 2" xfId="3215" xr:uid="{00000000-0005-0000-0000-000092050000}"/>
    <cellStyle name="40% - Accent2 16 3" xfId="3216" xr:uid="{00000000-0005-0000-0000-000093050000}"/>
    <cellStyle name="40% - Accent2 16_BukuBesar" xfId="3217" xr:uid="{00000000-0005-0000-0000-000094050000}"/>
    <cellStyle name="40% - Accent2 17" xfId="3218" xr:uid="{00000000-0005-0000-0000-000095050000}"/>
    <cellStyle name="40% - Accent2 17 2" xfId="3219" xr:uid="{00000000-0005-0000-0000-000096050000}"/>
    <cellStyle name="40% - Accent2 17 3" xfId="3220" xr:uid="{00000000-0005-0000-0000-000097050000}"/>
    <cellStyle name="40% - Accent2 17_BukuBesar" xfId="3221" xr:uid="{00000000-0005-0000-0000-000098050000}"/>
    <cellStyle name="40% - Accent2 18" xfId="3222" xr:uid="{00000000-0005-0000-0000-000099050000}"/>
    <cellStyle name="40% - Accent2 18 2" xfId="3223" xr:uid="{00000000-0005-0000-0000-00009A050000}"/>
    <cellStyle name="40% - Accent2 18 3" xfId="3224" xr:uid="{00000000-0005-0000-0000-00009B050000}"/>
    <cellStyle name="40% - Accent2 18_BukuBesar" xfId="3225" xr:uid="{00000000-0005-0000-0000-00009C050000}"/>
    <cellStyle name="40% - Accent2 19" xfId="3226" xr:uid="{00000000-0005-0000-0000-00009D050000}"/>
    <cellStyle name="40% - Accent2 19 2" xfId="3227" xr:uid="{00000000-0005-0000-0000-00009E050000}"/>
    <cellStyle name="40% - Accent2 19_BukuBesar" xfId="3228" xr:uid="{00000000-0005-0000-0000-00009F050000}"/>
    <cellStyle name="40% - Accent2 2" xfId="103" xr:uid="{00000000-0005-0000-0000-0000A0050000}"/>
    <cellStyle name="40% - Accent2 2 2" xfId="1521" xr:uid="{00000000-0005-0000-0000-0000A1050000}"/>
    <cellStyle name="40% - Accent2 2 2 2" xfId="1522" xr:uid="{00000000-0005-0000-0000-0000A2050000}"/>
    <cellStyle name="40% - Accent2 2 2 2 2" xfId="3229" xr:uid="{00000000-0005-0000-0000-0000A3050000}"/>
    <cellStyle name="40% - Accent2 2 2 3" xfId="3230" xr:uid="{00000000-0005-0000-0000-0000A4050000}"/>
    <cellStyle name="40% - Accent2 2 2_BukuBesar" xfId="3231" xr:uid="{00000000-0005-0000-0000-0000A5050000}"/>
    <cellStyle name="40% - Accent2 2 3" xfId="1523" xr:uid="{00000000-0005-0000-0000-0000A6050000}"/>
    <cellStyle name="40% - Accent2 2 3 2" xfId="1524" xr:uid="{00000000-0005-0000-0000-0000A7050000}"/>
    <cellStyle name="40% - Accent2 2 4" xfId="1525" xr:uid="{00000000-0005-0000-0000-0000A8050000}"/>
    <cellStyle name="40% - Accent2 2 4 2" xfId="3232" xr:uid="{00000000-0005-0000-0000-0000A9050000}"/>
    <cellStyle name="40% - Accent2 2 5" xfId="3233" xr:uid="{00000000-0005-0000-0000-0000AA050000}"/>
    <cellStyle name="40% - Accent2 2 6" xfId="3234" xr:uid="{00000000-0005-0000-0000-0000AB050000}"/>
    <cellStyle name="40% - Accent2 2 7" xfId="3235" xr:uid="{00000000-0005-0000-0000-0000AC050000}"/>
    <cellStyle name="40% - Accent2 2 8" xfId="6451" xr:uid="{C7787C75-9103-41EE-B527-58F6419E4020}"/>
    <cellStyle name="40% - Accent2 2_BukuBesar" xfId="3236" xr:uid="{00000000-0005-0000-0000-0000AD050000}"/>
    <cellStyle name="40% - Accent2 20" xfId="3237" xr:uid="{00000000-0005-0000-0000-0000AE050000}"/>
    <cellStyle name="40% - Accent2 20 2" xfId="3238" xr:uid="{00000000-0005-0000-0000-0000AF050000}"/>
    <cellStyle name="40% - Accent2 20 3" xfId="3239" xr:uid="{00000000-0005-0000-0000-0000B0050000}"/>
    <cellStyle name="40% - Accent2 20_BukuBesar" xfId="3240" xr:uid="{00000000-0005-0000-0000-0000B1050000}"/>
    <cellStyle name="40% - Accent2 21" xfId="3241" xr:uid="{00000000-0005-0000-0000-0000B2050000}"/>
    <cellStyle name="40% - Accent2 21 2" xfId="3242" xr:uid="{00000000-0005-0000-0000-0000B3050000}"/>
    <cellStyle name="40% - Accent2 21_BukuBesar" xfId="3243" xr:uid="{00000000-0005-0000-0000-0000B4050000}"/>
    <cellStyle name="40% - Accent2 22" xfId="3244" xr:uid="{00000000-0005-0000-0000-0000B5050000}"/>
    <cellStyle name="40% - Accent2 22 2" xfId="3245" xr:uid="{00000000-0005-0000-0000-0000B6050000}"/>
    <cellStyle name="40% - Accent2 22_BukuBesar" xfId="3246" xr:uid="{00000000-0005-0000-0000-0000B7050000}"/>
    <cellStyle name="40% - Accent2 23" xfId="3247" xr:uid="{00000000-0005-0000-0000-0000B8050000}"/>
    <cellStyle name="40% - Accent2 23 2" xfId="3248" xr:uid="{00000000-0005-0000-0000-0000B9050000}"/>
    <cellStyle name="40% - Accent2 23_BukuBesar" xfId="3249" xr:uid="{00000000-0005-0000-0000-0000BA050000}"/>
    <cellStyle name="40% - Accent2 24" xfId="3250" xr:uid="{00000000-0005-0000-0000-0000BB050000}"/>
    <cellStyle name="40% - Accent2 24 2" xfId="3251" xr:uid="{00000000-0005-0000-0000-0000BC050000}"/>
    <cellStyle name="40% - Accent2 24_BukuBesar" xfId="3252" xr:uid="{00000000-0005-0000-0000-0000BD050000}"/>
    <cellStyle name="40% - Accent2 25" xfId="3253" xr:uid="{00000000-0005-0000-0000-0000BE050000}"/>
    <cellStyle name="40% - Accent2 25 2" xfId="3254" xr:uid="{00000000-0005-0000-0000-0000BF050000}"/>
    <cellStyle name="40% - Accent2 25_BukuBesar" xfId="3255" xr:uid="{00000000-0005-0000-0000-0000C0050000}"/>
    <cellStyle name="40% - Accent2 26" xfId="3256" xr:uid="{00000000-0005-0000-0000-0000C1050000}"/>
    <cellStyle name="40% - Accent2 26 2" xfId="3257" xr:uid="{00000000-0005-0000-0000-0000C2050000}"/>
    <cellStyle name="40% - Accent2 26_BukuBesar" xfId="3258" xr:uid="{00000000-0005-0000-0000-0000C3050000}"/>
    <cellStyle name="40% - Accent2 27" xfId="3259" xr:uid="{00000000-0005-0000-0000-0000C4050000}"/>
    <cellStyle name="40% - Accent2 27 2" xfId="3260" xr:uid="{00000000-0005-0000-0000-0000C5050000}"/>
    <cellStyle name="40% - Accent2 27_BukuBesar" xfId="3261" xr:uid="{00000000-0005-0000-0000-0000C6050000}"/>
    <cellStyle name="40% - Accent2 28" xfId="3262" xr:uid="{00000000-0005-0000-0000-0000C7050000}"/>
    <cellStyle name="40% - Accent2 28 2" xfId="3263" xr:uid="{00000000-0005-0000-0000-0000C8050000}"/>
    <cellStyle name="40% - Accent2 28_BukuBesar" xfId="3264" xr:uid="{00000000-0005-0000-0000-0000C9050000}"/>
    <cellStyle name="40% - Accent2 29" xfId="3265" xr:uid="{00000000-0005-0000-0000-0000CA050000}"/>
    <cellStyle name="40% - Accent2 29 2" xfId="3266" xr:uid="{00000000-0005-0000-0000-0000CB050000}"/>
    <cellStyle name="40% - Accent2 29_BukuBesar" xfId="3267" xr:uid="{00000000-0005-0000-0000-0000CC050000}"/>
    <cellStyle name="40% - Accent2 3" xfId="104" xr:uid="{00000000-0005-0000-0000-0000CD050000}"/>
    <cellStyle name="40% - Accent2 3 2" xfId="1526" xr:uid="{00000000-0005-0000-0000-0000CE050000}"/>
    <cellStyle name="40% - Accent2 3 2 2" xfId="1527" xr:uid="{00000000-0005-0000-0000-0000CF050000}"/>
    <cellStyle name="40% - Accent2 3 2 2 2" xfId="3268" xr:uid="{00000000-0005-0000-0000-0000D0050000}"/>
    <cellStyle name="40% - Accent2 3 2 3" xfId="3269" xr:uid="{00000000-0005-0000-0000-0000D1050000}"/>
    <cellStyle name="40% - Accent2 3 2_BukuBesar" xfId="3270" xr:uid="{00000000-0005-0000-0000-0000D2050000}"/>
    <cellStyle name="40% - Accent2 3 3" xfId="1528" xr:uid="{00000000-0005-0000-0000-0000D3050000}"/>
    <cellStyle name="40% - Accent2 3 3 2" xfId="1529" xr:uid="{00000000-0005-0000-0000-0000D4050000}"/>
    <cellStyle name="40% - Accent2 3 4" xfId="1530" xr:uid="{00000000-0005-0000-0000-0000D5050000}"/>
    <cellStyle name="40% - Accent2 3 4 2" xfId="3271" xr:uid="{00000000-0005-0000-0000-0000D6050000}"/>
    <cellStyle name="40% - Accent2 3 5" xfId="3272" xr:uid="{00000000-0005-0000-0000-0000D7050000}"/>
    <cellStyle name="40% - Accent2 3 6" xfId="3273" xr:uid="{00000000-0005-0000-0000-0000D8050000}"/>
    <cellStyle name="40% - Accent2 3 7" xfId="3274" xr:uid="{00000000-0005-0000-0000-0000D9050000}"/>
    <cellStyle name="40% - Accent2 3 8" xfId="3275" xr:uid="{00000000-0005-0000-0000-0000DA050000}"/>
    <cellStyle name="40% - Accent2 3_BukuBesar" xfId="3276" xr:uid="{00000000-0005-0000-0000-0000DB050000}"/>
    <cellStyle name="40% - Accent2 30" xfId="3277" xr:uid="{00000000-0005-0000-0000-0000DC050000}"/>
    <cellStyle name="40% - Accent2 4" xfId="105" xr:uid="{00000000-0005-0000-0000-0000DD050000}"/>
    <cellStyle name="40% - Accent2 4 2" xfId="1531" xr:uid="{00000000-0005-0000-0000-0000DE050000}"/>
    <cellStyle name="40% - Accent2 4 2 2" xfId="1532" xr:uid="{00000000-0005-0000-0000-0000DF050000}"/>
    <cellStyle name="40% - Accent2 4 2 2 2" xfId="3278" xr:uid="{00000000-0005-0000-0000-0000E0050000}"/>
    <cellStyle name="40% - Accent2 4 2 3" xfId="3279" xr:uid="{00000000-0005-0000-0000-0000E1050000}"/>
    <cellStyle name="40% - Accent2 4 2_BukuBesar" xfId="3280" xr:uid="{00000000-0005-0000-0000-0000E2050000}"/>
    <cellStyle name="40% - Accent2 4 3" xfId="1533" xr:uid="{00000000-0005-0000-0000-0000E3050000}"/>
    <cellStyle name="40% - Accent2 4 3 2" xfId="1534" xr:uid="{00000000-0005-0000-0000-0000E4050000}"/>
    <cellStyle name="40% - Accent2 4 4" xfId="1535" xr:uid="{00000000-0005-0000-0000-0000E5050000}"/>
    <cellStyle name="40% - Accent2 4 4 2" xfId="3281" xr:uid="{00000000-0005-0000-0000-0000E6050000}"/>
    <cellStyle name="40% - Accent2 4 5" xfId="3282" xr:uid="{00000000-0005-0000-0000-0000E7050000}"/>
    <cellStyle name="40% - Accent2 4 6" xfId="3283" xr:uid="{00000000-0005-0000-0000-0000E8050000}"/>
    <cellStyle name="40% - Accent2 4 7" xfId="3284" xr:uid="{00000000-0005-0000-0000-0000E9050000}"/>
    <cellStyle name="40% - Accent2 4 8" xfId="3285" xr:uid="{00000000-0005-0000-0000-0000EA050000}"/>
    <cellStyle name="40% - Accent2 4_BukuBesar" xfId="3286" xr:uid="{00000000-0005-0000-0000-0000EB050000}"/>
    <cellStyle name="40% - Accent2 5" xfId="106" xr:uid="{00000000-0005-0000-0000-0000EC050000}"/>
    <cellStyle name="40% - Accent2 5 2" xfId="1536" xr:uid="{00000000-0005-0000-0000-0000ED050000}"/>
    <cellStyle name="40% - Accent2 5 2 2" xfId="1537" xr:uid="{00000000-0005-0000-0000-0000EE050000}"/>
    <cellStyle name="40% - Accent2 5 2 2 2" xfId="3287" xr:uid="{00000000-0005-0000-0000-0000EF050000}"/>
    <cellStyle name="40% - Accent2 5 2 3" xfId="3288" xr:uid="{00000000-0005-0000-0000-0000F0050000}"/>
    <cellStyle name="40% - Accent2 5 2_BukuBesar" xfId="3289" xr:uid="{00000000-0005-0000-0000-0000F1050000}"/>
    <cellStyle name="40% - Accent2 5 3" xfId="1538" xr:uid="{00000000-0005-0000-0000-0000F2050000}"/>
    <cellStyle name="40% - Accent2 5 3 2" xfId="1539" xr:uid="{00000000-0005-0000-0000-0000F3050000}"/>
    <cellStyle name="40% - Accent2 5 4" xfId="1540" xr:uid="{00000000-0005-0000-0000-0000F4050000}"/>
    <cellStyle name="40% - Accent2 5 4 2" xfId="3290" xr:uid="{00000000-0005-0000-0000-0000F5050000}"/>
    <cellStyle name="40% - Accent2 5 5" xfId="3291" xr:uid="{00000000-0005-0000-0000-0000F6050000}"/>
    <cellStyle name="40% - Accent2 5 6" xfId="3292" xr:uid="{00000000-0005-0000-0000-0000F7050000}"/>
    <cellStyle name="40% - Accent2 5 7" xfId="3293" xr:uid="{00000000-0005-0000-0000-0000F8050000}"/>
    <cellStyle name="40% - Accent2 5 8" xfId="3294" xr:uid="{00000000-0005-0000-0000-0000F9050000}"/>
    <cellStyle name="40% - Accent2 5_BukuBesar" xfId="3295" xr:uid="{00000000-0005-0000-0000-0000FA050000}"/>
    <cellStyle name="40% - Accent2 6" xfId="107" xr:uid="{00000000-0005-0000-0000-0000FB050000}"/>
    <cellStyle name="40% - Accent2 6 2" xfId="1541" xr:uid="{00000000-0005-0000-0000-0000FC050000}"/>
    <cellStyle name="40% - Accent2 6 2 2" xfId="1542" xr:uid="{00000000-0005-0000-0000-0000FD050000}"/>
    <cellStyle name="40% - Accent2 6 2 2 2" xfId="3296" xr:uid="{00000000-0005-0000-0000-0000FE050000}"/>
    <cellStyle name="40% - Accent2 6 2 3" xfId="3297" xr:uid="{00000000-0005-0000-0000-0000FF050000}"/>
    <cellStyle name="40% - Accent2 6 2_BukuBesar" xfId="3298" xr:uid="{00000000-0005-0000-0000-000000060000}"/>
    <cellStyle name="40% - Accent2 6 3" xfId="1543" xr:uid="{00000000-0005-0000-0000-000001060000}"/>
    <cellStyle name="40% - Accent2 6 3 2" xfId="1544" xr:uid="{00000000-0005-0000-0000-000002060000}"/>
    <cellStyle name="40% - Accent2 6 4" xfId="1545" xr:uid="{00000000-0005-0000-0000-000003060000}"/>
    <cellStyle name="40% - Accent2 6 4 2" xfId="3299" xr:uid="{00000000-0005-0000-0000-000004060000}"/>
    <cellStyle name="40% - Accent2 6 5" xfId="3300" xr:uid="{00000000-0005-0000-0000-000005060000}"/>
    <cellStyle name="40% - Accent2 6 6" xfId="3301" xr:uid="{00000000-0005-0000-0000-000006060000}"/>
    <cellStyle name="40% - Accent2 6 7" xfId="3302" xr:uid="{00000000-0005-0000-0000-000007060000}"/>
    <cellStyle name="40% - Accent2 6 8" xfId="3303" xr:uid="{00000000-0005-0000-0000-000008060000}"/>
    <cellStyle name="40% - Accent2 6_BukuBesar" xfId="3304" xr:uid="{00000000-0005-0000-0000-000009060000}"/>
    <cellStyle name="40% - Accent2 7" xfId="108" xr:uid="{00000000-0005-0000-0000-00000A060000}"/>
    <cellStyle name="40% - Accent2 7 2" xfId="1546" xr:uid="{00000000-0005-0000-0000-00000B060000}"/>
    <cellStyle name="40% - Accent2 7 2 2" xfId="1547" xr:uid="{00000000-0005-0000-0000-00000C060000}"/>
    <cellStyle name="40% - Accent2 7 2 3" xfId="3305" xr:uid="{00000000-0005-0000-0000-00000D060000}"/>
    <cellStyle name="40% - Accent2 7 3" xfId="1548" xr:uid="{00000000-0005-0000-0000-00000E060000}"/>
    <cellStyle name="40% - Accent2 7 3 2" xfId="1549" xr:uid="{00000000-0005-0000-0000-00000F060000}"/>
    <cellStyle name="40% - Accent2 7 3 3" xfId="3306" xr:uid="{00000000-0005-0000-0000-000010060000}"/>
    <cellStyle name="40% - Accent2 7 4" xfId="1550" xr:uid="{00000000-0005-0000-0000-000011060000}"/>
    <cellStyle name="40% - Accent2 7_BukuBesar" xfId="3307" xr:uid="{00000000-0005-0000-0000-000012060000}"/>
    <cellStyle name="40% - Accent2 8" xfId="109" xr:uid="{00000000-0005-0000-0000-000013060000}"/>
    <cellStyle name="40% - Accent2 8 2" xfId="1551" xr:uid="{00000000-0005-0000-0000-000014060000}"/>
    <cellStyle name="40% - Accent2 8 2 2" xfId="1552" xr:uid="{00000000-0005-0000-0000-000015060000}"/>
    <cellStyle name="40% - Accent2 8 2 3" xfId="3308" xr:uid="{00000000-0005-0000-0000-000016060000}"/>
    <cellStyle name="40% - Accent2 8 3" xfId="1553" xr:uid="{00000000-0005-0000-0000-000017060000}"/>
    <cellStyle name="40% - Accent2 8 3 2" xfId="1554" xr:uid="{00000000-0005-0000-0000-000018060000}"/>
    <cellStyle name="40% - Accent2 8 3 3" xfId="3309" xr:uid="{00000000-0005-0000-0000-000019060000}"/>
    <cellStyle name="40% - Accent2 8 4" xfId="1555" xr:uid="{00000000-0005-0000-0000-00001A060000}"/>
    <cellStyle name="40% - Accent2 8_BukuBesar" xfId="3310" xr:uid="{00000000-0005-0000-0000-00001B060000}"/>
    <cellStyle name="40% - Accent2 9" xfId="110" xr:uid="{00000000-0005-0000-0000-00001C060000}"/>
    <cellStyle name="40% - Accent2 9 2" xfId="1556" xr:uid="{00000000-0005-0000-0000-00001D060000}"/>
    <cellStyle name="40% - Accent2 9 2 2" xfId="1557" xr:uid="{00000000-0005-0000-0000-00001E060000}"/>
    <cellStyle name="40% - Accent2 9 2 3" xfId="3311" xr:uid="{00000000-0005-0000-0000-00001F060000}"/>
    <cellStyle name="40% - Accent2 9 3" xfId="1558" xr:uid="{00000000-0005-0000-0000-000020060000}"/>
    <cellStyle name="40% - Accent2 9 3 2" xfId="1559" xr:uid="{00000000-0005-0000-0000-000021060000}"/>
    <cellStyle name="40% - Accent2 9 3 3" xfId="3312" xr:uid="{00000000-0005-0000-0000-000022060000}"/>
    <cellStyle name="40% - Accent2 9 4" xfId="1560" xr:uid="{00000000-0005-0000-0000-000023060000}"/>
    <cellStyle name="40% - Accent2 9_BukuBesar" xfId="3313" xr:uid="{00000000-0005-0000-0000-000024060000}"/>
    <cellStyle name="40% - Accent3 10" xfId="111" xr:uid="{00000000-0005-0000-0000-000025060000}"/>
    <cellStyle name="40% - Accent3 10 2" xfId="1561" xr:uid="{00000000-0005-0000-0000-000026060000}"/>
    <cellStyle name="40% - Accent3 10 2 2" xfId="1562" xr:uid="{00000000-0005-0000-0000-000027060000}"/>
    <cellStyle name="40% - Accent3 10 2 3" xfId="3314" xr:uid="{00000000-0005-0000-0000-000028060000}"/>
    <cellStyle name="40% - Accent3 10 3" xfId="1563" xr:uid="{00000000-0005-0000-0000-000029060000}"/>
    <cellStyle name="40% - Accent3 10 3 2" xfId="1564" xr:uid="{00000000-0005-0000-0000-00002A060000}"/>
    <cellStyle name="40% - Accent3 10 3 3" xfId="3315" xr:uid="{00000000-0005-0000-0000-00002B060000}"/>
    <cellStyle name="40% - Accent3 10 4" xfId="1565" xr:uid="{00000000-0005-0000-0000-00002C060000}"/>
    <cellStyle name="40% - Accent3 10_BukuBesar" xfId="3316" xr:uid="{00000000-0005-0000-0000-00002D060000}"/>
    <cellStyle name="40% - Accent3 11" xfId="112" xr:uid="{00000000-0005-0000-0000-00002E060000}"/>
    <cellStyle name="40% - Accent3 11 2" xfId="1566" xr:uid="{00000000-0005-0000-0000-00002F060000}"/>
    <cellStyle name="40% - Accent3 11 2 2" xfId="1567" xr:uid="{00000000-0005-0000-0000-000030060000}"/>
    <cellStyle name="40% - Accent3 11 2 3" xfId="3317" xr:uid="{00000000-0005-0000-0000-000031060000}"/>
    <cellStyle name="40% - Accent3 11 3" xfId="1568" xr:uid="{00000000-0005-0000-0000-000032060000}"/>
    <cellStyle name="40% - Accent3 11 3 2" xfId="1569" xr:uid="{00000000-0005-0000-0000-000033060000}"/>
    <cellStyle name="40% - Accent3 11 3 3" xfId="3318" xr:uid="{00000000-0005-0000-0000-000034060000}"/>
    <cellStyle name="40% - Accent3 11 4" xfId="1570" xr:uid="{00000000-0005-0000-0000-000035060000}"/>
    <cellStyle name="40% - Accent3 11_BukuBesar" xfId="3319" xr:uid="{00000000-0005-0000-0000-000036060000}"/>
    <cellStyle name="40% - Accent3 12" xfId="113" xr:uid="{00000000-0005-0000-0000-000037060000}"/>
    <cellStyle name="40% - Accent3 12 2" xfId="1571" xr:uid="{00000000-0005-0000-0000-000038060000}"/>
    <cellStyle name="40% - Accent3 12 2 2" xfId="1572" xr:uid="{00000000-0005-0000-0000-000039060000}"/>
    <cellStyle name="40% - Accent3 12 2 3" xfId="3320" xr:uid="{00000000-0005-0000-0000-00003A060000}"/>
    <cellStyle name="40% - Accent3 12 3" xfId="1573" xr:uid="{00000000-0005-0000-0000-00003B060000}"/>
    <cellStyle name="40% - Accent3 12 3 2" xfId="1574" xr:uid="{00000000-0005-0000-0000-00003C060000}"/>
    <cellStyle name="40% - Accent3 12 3 3" xfId="3321" xr:uid="{00000000-0005-0000-0000-00003D060000}"/>
    <cellStyle name="40% - Accent3 12 4" xfId="1575" xr:uid="{00000000-0005-0000-0000-00003E060000}"/>
    <cellStyle name="40% - Accent3 12_BukuBesar" xfId="3322" xr:uid="{00000000-0005-0000-0000-00003F060000}"/>
    <cellStyle name="40% - Accent3 13" xfId="114" xr:uid="{00000000-0005-0000-0000-000040060000}"/>
    <cellStyle name="40% - Accent3 13 2" xfId="1576" xr:uid="{00000000-0005-0000-0000-000041060000}"/>
    <cellStyle name="40% - Accent3 13 2 2" xfId="1577" xr:uid="{00000000-0005-0000-0000-000042060000}"/>
    <cellStyle name="40% - Accent3 13 2 3" xfId="3323" xr:uid="{00000000-0005-0000-0000-000043060000}"/>
    <cellStyle name="40% - Accent3 13 3" xfId="1578" xr:uid="{00000000-0005-0000-0000-000044060000}"/>
    <cellStyle name="40% - Accent3 13 3 2" xfId="1579" xr:uid="{00000000-0005-0000-0000-000045060000}"/>
    <cellStyle name="40% - Accent3 13 3 3" xfId="3324" xr:uid="{00000000-0005-0000-0000-000046060000}"/>
    <cellStyle name="40% - Accent3 13 4" xfId="1580" xr:uid="{00000000-0005-0000-0000-000047060000}"/>
    <cellStyle name="40% - Accent3 13_BukuBesar" xfId="3325" xr:uid="{00000000-0005-0000-0000-000048060000}"/>
    <cellStyle name="40% - Accent3 14" xfId="3326" xr:uid="{00000000-0005-0000-0000-000049060000}"/>
    <cellStyle name="40% - Accent3 14 2" xfId="3327" xr:uid="{00000000-0005-0000-0000-00004A060000}"/>
    <cellStyle name="40% - Accent3 14 3" xfId="3328" xr:uid="{00000000-0005-0000-0000-00004B060000}"/>
    <cellStyle name="40% - Accent3 14_BukuBesar" xfId="3329" xr:uid="{00000000-0005-0000-0000-00004C060000}"/>
    <cellStyle name="40% - Accent3 15" xfId="3330" xr:uid="{00000000-0005-0000-0000-00004D060000}"/>
    <cellStyle name="40% - Accent3 15 2" xfId="3331" xr:uid="{00000000-0005-0000-0000-00004E060000}"/>
    <cellStyle name="40% - Accent3 15 3" xfId="3332" xr:uid="{00000000-0005-0000-0000-00004F060000}"/>
    <cellStyle name="40% - Accent3 15_BukuBesar" xfId="3333" xr:uid="{00000000-0005-0000-0000-000050060000}"/>
    <cellStyle name="40% - Accent3 16" xfId="3334" xr:uid="{00000000-0005-0000-0000-000051060000}"/>
    <cellStyle name="40% - Accent3 16 2" xfId="3335" xr:uid="{00000000-0005-0000-0000-000052060000}"/>
    <cellStyle name="40% - Accent3 16 3" xfId="3336" xr:uid="{00000000-0005-0000-0000-000053060000}"/>
    <cellStyle name="40% - Accent3 16_BukuBesar" xfId="3337" xr:uid="{00000000-0005-0000-0000-000054060000}"/>
    <cellStyle name="40% - Accent3 17" xfId="3338" xr:uid="{00000000-0005-0000-0000-000055060000}"/>
    <cellStyle name="40% - Accent3 17 2" xfId="3339" xr:uid="{00000000-0005-0000-0000-000056060000}"/>
    <cellStyle name="40% - Accent3 17 3" xfId="3340" xr:uid="{00000000-0005-0000-0000-000057060000}"/>
    <cellStyle name="40% - Accent3 17_BukuBesar" xfId="3341" xr:uid="{00000000-0005-0000-0000-000058060000}"/>
    <cellStyle name="40% - Accent3 18" xfId="3342" xr:uid="{00000000-0005-0000-0000-000059060000}"/>
    <cellStyle name="40% - Accent3 18 2" xfId="3343" xr:uid="{00000000-0005-0000-0000-00005A060000}"/>
    <cellStyle name="40% - Accent3 18 3" xfId="3344" xr:uid="{00000000-0005-0000-0000-00005B060000}"/>
    <cellStyle name="40% - Accent3 18_BukuBesar" xfId="3345" xr:uid="{00000000-0005-0000-0000-00005C060000}"/>
    <cellStyle name="40% - Accent3 19" xfId="3346" xr:uid="{00000000-0005-0000-0000-00005D060000}"/>
    <cellStyle name="40% - Accent3 19 2" xfId="3347" xr:uid="{00000000-0005-0000-0000-00005E060000}"/>
    <cellStyle name="40% - Accent3 19_BukuBesar" xfId="3348" xr:uid="{00000000-0005-0000-0000-00005F060000}"/>
    <cellStyle name="40% - Accent3 2" xfId="115" xr:uid="{00000000-0005-0000-0000-000060060000}"/>
    <cellStyle name="40% - Accent3 2 2" xfId="1581" xr:uid="{00000000-0005-0000-0000-000061060000}"/>
    <cellStyle name="40% - Accent3 2 2 2" xfId="1582" xr:uid="{00000000-0005-0000-0000-000062060000}"/>
    <cellStyle name="40% - Accent3 2 2 2 2" xfId="3349" xr:uid="{00000000-0005-0000-0000-000063060000}"/>
    <cellStyle name="40% - Accent3 2 2 3" xfId="3350" xr:uid="{00000000-0005-0000-0000-000064060000}"/>
    <cellStyle name="40% - Accent3 2 2_BukuBesar" xfId="3351" xr:uid="{00000000-0005-0000-0000-000065060000}"/>
    <cellStyle name="40% - Accent3 2 3" xfId="1583" xr:uid="{00000000-0005-0000-0000-000066060000}"/>
    <cellStyle name="40% - Accent3 2 3 2" xfId="1584" xr:uid="{00000000-0005-0000-0000-000067060000}"/>
    <cellStyle name="40% - Accent3 2 4" xfId="1585" xr:uid="{00000000-0005-0000-0000-000068060000}"/>
    <cellStyle name="40% - Accent3 2 4 2" xfId="3352" xr:uid="{00000000-0005-0000-0000-000069060000}"/>
    <cellStyle name="40% - Accent3 2 5" xfId="3353" xr:uid="{00000000-0005-0000-0000-00006A060000}"/>
    <cellStyle name="40% - Accent3 2 6" xfId="3354" xr:uid="{00000000-0005-0000-0000-00006B060000}"/>
    <cellStyle name="40% - Accent3 2 7" xfId="3355" xr:uid="{00000000-0005-0000-0000-00006C060000}"/>
    <cellStyle name="40% - Accent3 2 8" xfId="6503" xr:uid="{D464B157-48CC-4BDB-8777-7A3E1F2FEB3E}"/>
    <cellStyle name="40% - Accent3 2_BukuBesar" xfId="3356" xr:uid="{00000000-0005-0000-0000-00006D060000}"/>
    <cellStyle name="40% - Accent3 20" xfId="3357" xr:uid="{00000000-0005-0000-0000-00006E060000}"/>
    <cellStyle name="40% - Accent3 20 2" xfId="3358" xr:uid="{00000000-0005-0000-0000-00006F060000}"/>
    <cellStyle name="40% - Accent3 20 3" xfId="3359" xr:uid="{00000000-0005-0000-0000-000070060000}"/>
    <cellStyle name="40% - Accent3 20_BukuBesar" xfId="3360" xr:uid="{00000000-0005-0000-0000-000071060000}"/>
    <cellStyle name="40% - Accent3 21" xfId="3361" xr:uid="{00000000-0005-0000-0000-000072060000}"/>
    <cellStyle name="40% - Accent3 21 2" xfId="3362" xr:uid="{00000000-0005-0000-0000-000073060000}"/>
    <cellStyle name="40% - Accent3 21_BukuBesar" xfId="3363" xr:uid="{00000000-0005-0000-0000-000074060000}"/>
    <cellStyle name="40% - Accent3 22" xfId="3364" xr:uid="{00000000-0005-0000-0000-000075060000}"/>
    <cellStyle name="40% - Accent3 22 2" xfId="3365" xr:uid="{00000000-0005-0000-0000-000076060000}"/>
    <cellStyle name="40% - Accent3 22_BukuBesar" xfId="3366" xr:uid="{00000000-0005-0000-0000-000077060000}"/>
    <cellStyle name="40% - Accent3 23" xfId="3367" xr:uid="{00000000-0005-0000-0000-000078060000}"/>
    <cellStyle name="40% - Accent3 23 2" xfId="3368" xr:uid="{00000000-0005-0000-0000-000079060000}"/>
    <cellStyle name="40% - Accent3 23_BukuBesar" xfId="3369" xr:uid="{00000000-0005-0000-0000-00007A060000}"/>
    <cellStyle name="40% - Accent3 24" xfId="3370" xr:uid="{00000000-0005-0000-0000-00007B060000}"/>
    <cellStyle name="40% - Accent3 24 2" xfId="3371" xr:uid="{00000000-0005-0000-0000-00007C060000}"/>
    <cellStyle name="40% - Accent3 24_BukuBesar" xfId="3372" xr:uid="{00000000-0005-0000-0000-00007D060000}"/>
    <cellStyle name="40% - Accent3 25" xfId="3373" xr:uid="{00000000-0005-0000-0000-00007E060000}"/>
    <cellStyle name="40% - Accent3 25 2" xfId="3374" xr:uid="{00000000-0005-0000-0000-00007F060000}"/>
    <cellStyle name="40% - Accent3 25_BukuBesar" xfId="3375" xr:uid="{00000000-0005-0000-0000-000080060000}"/>
    <cellStyle name="40% - Accent3 26" xfId="3376" xr:uid="{00000000-0005-0000-0000-000081060000}"/>
    <cellStyle name="40% - Accent3 26 2" xfId="3377" xr:uid="{00000000-0005-0000-0000-000082060000}"/>
    <cellStyle name="40% - Accent3 26_BukuBesar" xfId="3378" xr:uid="{00000000-0005-0000-0000-000083060000}"/>
    <cellStyle name="40% - Accent3 27" xfId="3379" xr:uid="{00000000-0005-0000-0000-000084060000}"/>
    <cellStyle name="40% - Accent3 27 2" xfId="3380" xr:uid="{00000000-0005-0000-0000-000085060000}"/>
    <cellStyle name="40% - Accent3 27_BukuBesar" xfId="3381" xr:uid="{00000000-0005-0000-0000-000086060000}"/>
    <cellStyle name="40% - Accent3 28" xfId="3382" xr:uid="{00000000-0005-0000-0000-000087060000}"/>
    <cellStyle name="40% - Accent3 28 2" xfId="3383" xr:uid="{00000000-0005-0000-0000-000088060000}"/>
    <cellStyle name="40% - Accent3 28_BukuBesar" xfId="3384" xr:uid="{00000000-0005-0000-0000-000089060000}"/>
    <cellStyle name="40% - Accent3 29" xfId="3385" xr:uid="{00000000-0005-0000-0000-00008A060000}"/>
    <cellStyle name="40% - Accent3 29 2" xfId="3386" xr:uid="{00000000-0005-0000-0000-00008B060000}"/>
    <cellStyle name="40% - Accent3 29_BukuBesar" xfId="3387" xr:uid="{00000000-0005-0000-0000-00008C060000}"/>
    <cellStyle name="40% - Accent3 3" xfId="116" xr:uid="{00000000-0005-0000-0000-00008D060000}"/>
    <cellStyle name="40% - Accent3 3 2" xfId="1586" xr:uid="{00000000-0005-0000-0000-00008E060000}"/>
    <cellStyle name="40% - Accent3 3 2 2" xfId="1587" xr:uid="{00000000-0005-0000-0000-00008F060000}"/>
    <cellStyle name="40% - Accent3 3 2 2 2" xfId="3388" xr:uid="{00000000-0005-0000-0000-000090060000}"/>
    <cellStyle name="40% - Accent3 3 2 3" xfId="3389" xr:uid="{00000000-0005-0000-0000-000091060000}"/>
    <cellStyle name="40% - Accent3 3 2_BukuBesar" xfId="3390" xr:uid="{00000000-0005-0000-0000-000092060000}"/>
    <cellStyle name="40% - Accent3 3 3" xfId="1588" xr:uid="{00000000-0005-0000-0000-000093060000}"/>
    <cellStyle name="40% - Accent3 3 3 2" xfId="1589" xr:uid="{00000000-0005-0000-0000-000094060000}"/>
    <cellStyle name="40% - Accent3 3 4" xfId="1590" xr:uid="{00000000-0005-0000-0000-000095060000}"/>
    <cellStyle name="40% - Accent3 3 4 2" xfId="3391" xr:uid="{00000000-0005-0000-0000-000096060000}"/>
    <cellStyle name="40% - Accent3 3 5" xfId="3392" xr:uid="{00000000-0005-0000-0000-000097060000}"/>
    <cellStyle name="40% - Accent3 3 6" xfId="3393" xr:uid="{00000000-0005-0000-0000-000098060000}"/>
    <cellStyle name="40% - Accent3 3 7" xfId="3394" xr:uid="{00000000-0005-0000-0000-000099060000}"/>
    <cellStyle name="40% - Accent3 3 8" xfId="3395" xr:uid="{00000000-0005-0000-0000-00009A060000}"/>
    <cellStyle name="40% - Accent3 3_BukuBesar" xfId="3396" xr:uid="{00000000-0005-0000-0000-00009B060000}"/>
    <cellStyle name="40% - Accent3 30" xfId="3397" xr:uid="{00000000-0005-0000-0000-00009C060000}"/>
    <cellStyle name="40% - Accent3 4" xfId="117" xr:uid="{00000000-0005-0000-0000-00009D060000}"/>
    <cellStyle name="40% - Accent3 4 2" xfId="1591" xr:uid="{00000000-0005-0000-0000-00009E060000}"/>
    <cellStyle name="40% - Accent3 4 2 2" xfId="1592" xr:uid="{00000000-0005-0000-0000-00009F060000}"/>
    <cellStyle name="40% - Accent3 4 2 2 2" xfId="3398" xr:uid="{00000000-0005-0000-0000-0000A0060000}"/>
    <cellStyle name="40% - Accent3 4 2 3" xfId="3399" xr:uid="{00000000-0005-0000-0000-0000A1060000}"/>
    <cellStyle name="40% - Accent3 4 2_BukuBesar" xfId="3400" xr:uid="{00000000-0005-0000-0000-0000A2060000}"/>
    <cellStyle name="40% - Accent3 4 3" xfId="1593" xr:uid="{00000000-0005-0000-0000-0000A3060000}"/>
    <cellStyle name="40% - Accent3 4 3 2" xfId="1594" xr:uid="{00000000-0005-0000-0000-0000A4060000}"/>
    <cellStyle name="40% - Accent3 4 4" xfId="1595" xr:uid="{00000000-0005-0000-0000-0000A5060000}"/>
    <cellStyle name="40% - Accent3 4 4 2" xfId="3401" xr:uid="{00000000-0005-0000-0000-0000A6060000}"/>
    <cellStyle name="40% - Accent3 4 5" xfId="3402" xr:uid="{00000000-0005-0000-0000-0000A7060000}"/>
    <cellStyle name="40% - Accent3 4 6" xfId="3403" xr:uid="{00000000-0005-0000-0000-0000A8060000}"/>
    <cellStyle name="40% - Accent3 4 7" xfId="3404" xr:uid="{00000000-0005-0000-0000-0000A9060000}"/>
    <cellStyle name="40% - Accent3 4 8" xfId="3405" xr:uid="{00000000-0005-0000-0000-0000AA060000}"/>
    <cellStyle name="40% - Accent3 4_BukuBesar" xfId="3406" xr:uid="{00000000-0005-0000-0000-0000AB060000}"/>
    <cellStyle name="40% - Accent3 5" xfId="118" xr:uid="{00000000-0005-0000-0000-0000AC060000}"/>
    <cellStyle name="40% - Accent3 5 2" xfId="1596" xr:uid="{00000000-0005-0000-0000-0000AD060000}"/>
    <cellStyle name="40% - Accent3 5 2 2" xfId="1597" xr:uid="{00000000-0005-0000-0000-0000AE060000}"/>
    <cellStyle name="40% - Accent3 5 2 2 2" xfId="3407" xr:uid="{00000000-0005-0000-0000-0000AF060000}"/>
    <cellStyle name="40% - Accent3 5 2 3" xfId="3408" xr:uid="{00000000-0005-0000-0000-0000B0060000}"/>
    <cellStyle name="40% - Accent3 5 2_BukuBesar" xfId="3409" xr:uid="{00000000-0005-0000-0000-0000B1060000}"/>
    <cellStyle name="40% - Accent3 5 3" xfId="1598" xr:uid="{00000000-0005-0000-0000-0000B2060000}"/>
    <cellStyle name="40% - Accent3 5 3 2" xfId="1599" xr:uid="{00000000-0005-0000-0000-0000B3060000}"/>
    <cellStyle name="40% - Accent3 5 4" xfId="1600" xr:uid="{00000000-0005-0000-0000-0000B4060000}"/>
    <cellStyle name="40% - Accent3 5 4 2" xfId="3410" xr:uid="{00000000-0005-0000-0000-0000B5060000}"/>
    <cellStyle name="40% - Accent3 5 5" xfId="3411" xr:uid="{00000000-0005-0000-0000-0000B6060000}"/>
    <cellStyle name="40% - Accent3 5 6" xfId="3412" xr:uid="{00000000-0005-0000-0000-0000B7060000}"/>
    <cellStyle name="40% - Accent3 5 7" xfId="3413" xr:uid="{00000000-0005-0000-0000-0000B8060000}"/>
    <cellStyle name="40% - Accent3 5 8" xfId="3414" xr:uid="{00000000-0005-0000-0000-0000B9060000}"/>
    <cellStyle name="40% - Accent3 5_BukuBesar" xfId="3415" xr:uid="{00000000-0005-0000-0000-0000BA060000}"/>
    <cellStyle name="40% - Accent3 6" xfId="119" xr:uid="{00000000-0005-0000-0000-0000BB060000}"/>
    <cellStyle name="40% - Accent3 6 2" xfId="1601" xr:uid="{00000000-0005-0000-0000-0000BC060000}"/>
    <cellStyle name="40% - Accent3 6 2 2" xfId="1602" xr:uid="{00000000-0005-0000-0000-0000BD060000}"/>
    <cellStyle name="40% - Accent3 6 2 2 2" xfId="3416" xr:uid="{00000000-0005-0000-0000-0000BE060000}"/>
    <cellStyle name="40% - Accent3 6 2 3" xfId="3417" xr:uid="{00000000-0005-0000-0000-0000BF060000}"/>
    <cellStyle name="40% - Accent3 6 2_BukuBesar" xfId="3418" xr:uid="{00000000-0005-0000-0000-0000C0060000}"/>
    <cellStyle name="40% - Accent3 6 3" xfId="1603" xr:uid="{00000000-0005-0000-0000-0000C1060000}"/>
    <cellStyle name="40% - Accent3 6 3 2" xfId="1604" xr:uid="{00000000-0005-0000-0000-0000C2060000}"/>
    <cellStyle name="40% - Accent3 6 4" xfId="1605" xr:uid="{00000000-0005-0000-0000-0000C3060000}"/>
    <cellStyle name="40% - Accent3 6 4 2" xfId="3419" xr:uid="{00000000-0005-0000-0000-0000C4060000}"/>
    <cellStyle name="40% - Accent3 6 5" xfId="3420" xr:uid="{00000000-0005-0000-0000-0000C5060000}"/>
    <cellStyle name="40% - Accent3 6 6" xfId="3421" xr:uid="{00000000-0005-0000-0000-0000C6060000}"/>
    <cellStyle name="40% - Accent3 6 7" xfId="3422" xr:uid="{00000000-0005-0000-0000-0000C7060000}"/>
    <cellStyle name="40% - Accent3 6 8" xfId="3423" xr:uid="{00000000-0005-0000-0000-0000C8060000}"/>
    <cellStyle name="40% - Accent3 6_BukuBesar" xfId="3424" xr:uid="{00000000-0005-0000-0000-0000C9060000}"/>
    <cellStyle name="40% - Accent3 7" xfId="120" xr:uid="{00000000-0005-0000-0000-0000CA060000}"/>
    <cellStyle name="40% - Accent3 7 2" xfId="1606" xr:uid="{00000000-0005-0000-0000-0000CB060000}"/>
    <cellStyle name="40% - Accent3 7 2 2" xfId="1607" xr:uid="{00000000-0005-0000-0000-0000CC060000}"/>
    <cellStyle name="40% - Accent3 7 2 3" xfId="3425" xr:uid="{00000000-0005-0000-0000-0000CD060000}"/>
    <cellStyle name="40% - Accent3 7 3" xfId="1608" xr:uid="{00000000-0005-0000-0000-0000CE060000}"/>
    <cellStyle name="40% - Accent3 7 3 2" xfId="1609" xr:uid="{00000000-0005-0000-0000-0000CF060000}"/>
    <cellStyle name="40% - Accent3 7 3 3" xfId="3426" xr:uid="{00000000-0005-0000-0000-0000D0060000}"/>
    <cellStyle name="40% - Accent3 7 4" xfId="1610" xr:uid="{00000000-0005-0000-0000-0000D1060000}"/>
    <cellStyle name="40% - Accent3 7_BukuBesar" xfId="3427" xr:uid="{00000000-0005-0000-0000-0000D2060000}"/>
    <cellStyle name="40% - Accent3 8" xfId="121" xr:uid="{00000000-0005-0000-0000-0000D3060000}"/>
    <cellStyle name="40% - Accent3 8 2" xfId="1611" xr:uid="{00000000-0005-0000-0000-0000D4060000}"/>
    <cellStyle name="40% - Accent3 8 2 2" xfId="1612" xr:uid="{00000000-0005-0000-0000-0000D5060000}"/>
    <cellStyle name="40% - Accent3 8 2 3" xfId="3428" xr:uid="{00000000-0005-0000-0000-0000D6060000}"/>
    <cellStyle name="40% - Accent3 8 3" xfId="1613" xr:uid="{00000000-0005-0000-0000-0000D7060000}"/>
    <cellStyle name="40% - Accent3 8 3 2" xfId="1614" xr:uid="{00000000-0005-0000-0000-0000D8060000}"/>
    <cellStyle name="40% - Accent3 8 3 3" xfId="3429" xr:uid="{00000000-0005-0000-0000-0000D9060000}"/>
    <cellStyle name="40% - Accent3 8 4" xfId="1615" xr:uid="{00000000-0005-0000-0000-0000DA060000}"/>
    <cellStyle name="40% - Accent3 8_BukuBesar" xfId="3430" xr:uid="{00000000-0005-0000-0000-0000DB060000}"/>
    <cellStyle name="40% - Accent3 9" xfId="122" xr:uid="{00000000-0005-0000-0000-0000DC060000}"/>
    <cellStyle name="40% - Accent3 9 2" xfId="1616" xr:uid="{00000000-0005-0000-0000-0000DD060000}"/>
    <cellStyle name="40% - Accent3 9 2 2" xfId="1617" xr:uid="{00000000-0005-0000-0000-0000DE060000}"/>
    <cellStyle name="40% - Accent3 9 2 3" xfId="3431" xr:uid="{00000000-0005-0000-0000-0000DF060000}"/>
    <cellStyle name="40% - Accent3 9 3" xfId="1618" xr:uid="{00000000-0005-0000-0000-0000E0060000}"/>
    <cellStyle name="40% - Accent3 9 3 2" xfId="1619" xr:uid="{00000000-0005-0000-0000-0000E1060000}"/>
    <cellStyle name="40% - Accent3 9 3 3" xfId="3432" xr:uid="{00000000-0005-0000-0000-0000E2060000}"/>
    <cellStyle name="40% - Accent3 9 4" xfId="1620" xr:uid="{00000000-0005-0000-0000-0000E3060000}"/>
    <cellStyle name="40% - Accent3 9_BukuBesar" xfId="3433" xr:uid="{00000000-0005-0000-0000-0000E4060000}"/>
    <cellStyle name="40% - Accent4 10" xfId="123" xr:uid="{00000000-0005-0000-0000-0000E5060000}"/>
    <cellStyle name="40% - Accent4 10 2" xfId="1621" xr:uid="{00000000-0005-0000-0000-0000E6060000}"/>
    <cellStyle name="40% - Accent4 10 2 2" xfId="1622" xr:uid="{00000000-0005-0000-0000-0000E7060000}"/>
    <cellStyle name="40% - Accent4 10 2 3" xfId="3434" xr:uid="{00000000-0005-0000-0000-0000E8060000}"/>
    <cellStyle name="40% - Accent4 10 3" xfId="1623" xr:uid="{00000000-0005-0000-0000-0000E9060000}"/>
    <cellStyle name="40% - Accent4 10 3 2" xfId="1624" xr:uid="{00000000-0005-0000-0000-0000EA060000}"/>
    <cellStyle name="40% - Accent4 10 3 3" xfId="3435" xr:uid="{00000000-0005-0000-0000-0000EB060000}"/>
    <cellStyle name="40% - Accent4 10 4" xfId="1625" xr:uid="{00000000-0005-0000-0000-0000EC060000}"/>
    <cellStyle name="40% - Accent4 10_BukuBesar" xfId="3436" xr:uid="{00000000-0005-0000-0000-0000ED060000}"/>
    <cellStyle name="40% - Accent4 11" xfId="124" xr:uid="{00000000-0005-0000-0000-0000EE060000}"/>
    <cellStyle name="40% - Accent4 11 2" xfId="1626" xr:uid="{00000000-0005-0000-0000-0000EF060000}"/>
    <cellStyle name="40% - Accent4 11 2 2" xfId="1627" xr:uid="{00000000-0005-0000-0000-0000F0060000}"/>
    <cellStyle name="40% - Accent4 11 2 3" xfId="3437" xr:uid="{00000000-0005-0000-0000-0000F1060000}"/>
    <cellStyle name="40% - Accent4 11 3" xfId="1628" xr:uid="{00000000-0005-0000-0000-0000F2060000}"/>
    <cellStyle name="40% - Accent4 11 3 2" xfId="1629" xr:uid="{00000000-0005-0000-0000-0000F3060000}"/>
    <cellStyle name="40% - Accent4 11 3 3" xfId="3438" xr:uid="{00000000-0005-0000-0000-0000F4060000}"/>
    <cellStyle name="40% - Accent4 11 4" xfId="1630" xr:uid="{00000000-0005-0000-0000-0000F5060000}"/>
    <cellStyle name="40% - Accent4 11_BukuBesar" xfId="3439" xr:uid="{00000000-0005-0000-0000-0000F6060000}"/>
    <cellStyle name="40% - Accent4 12" xfId="125" xr:uid="{00000000-0005-0000-0000-0000F7060000}"/>
    <cellStyle name="40% - Accent4 12 2" xfId="1631" xr:uid="{00000000-0005-0000-0000-0000F8060000}"/>
    <cellStyle name="40% - Accent4 12 2 2" xfId="1632" xr:uid="{00000000-0005-0000-0000-0000F9060000}"/>
    <cellStyle name="40% - Accent4 12 2 3" xfId="3440" xr:uid="{00000000-0005-0000-0000-0000FA060000}"/>
    <cellStyle name="40% - Accent4 12 3" xfId="1633" xr:uid="{00000000-0005-0000-0000-0000FB060000}"/>
    <cellStyle name="40% - Accent4 12 3 2" xfId="1634" xr:uid="{00000000-0005-0000-0000-0000FC060000}"/>
    <cellStyle name="40% - Accent4 12 3 3" xfId="3441" xr:uid="{00000000-0005-0000-0000-0000FD060000}"/>
    <cellStyle name="40% - Accent4 12 4" xfId="1635" xr:uid="{00000000-0005-0000-0000-0000FE060000}"/>
    <cellStyle name="40% - Accent4 12_BukuBesar" xfId="3442" xr:uid="{00000000-0005-0000-0000-0000FF060000}"/>
    <cellStyle name="40% - Accent4 13" xfId="126" xr:uid="{00000000-0005-0000-0000-000000070000}"/>
    <cellStyle name="40% - Accent4 13 2" xfId="1636" xr:uid="{00000000-0005-0000-0000-000001070000}"/>
    <cellStyle name="40% - Accent4 13 2 2" xfId="1637" xr:uid="{00000000-0005-0000-0000-000002070000}"/>
    <cellStyle name="40% - Accent4 13 2 3" xfId="3443" xr:uid="{00000000-0005-0000-0000-000003070000}"/>
    <cellStyle name="40% - Accent4 13 3" xfId="1638" xr:uid="{00000000-0005-0000-0000-000004070000}"/>
    <cellStyle name="40% - Accent4 13 3 2" xfId="1639" xr:uid="{00000000-0005-0000-0000-000005070000}"/>
    <cellStyle name="40% - Accent4 13 3 3" xfId="3444" xr:uid="{00000000-0005-0000-0000-000006070000}"/>
    <cellStyle name="40% - Accent4 13 4" xfId="1640" xr:uid="{00000000-0005-0000-0000-000007070000}"/>
    <cellStyle name="40% - Accent4 13_BukuBesar" xfId="3445" xr:uid="{00000000-0005-0000-0000-000008070000}"/>
    <cellStyle name="40% - Accent4 14" xfId="3446" xr:uid="{00000000-0005-0000-0000-000009070000}"/>
    <cellStyle name="40% - Accent4 14 2" xfId="3447" xr:uid="{00000000-0005-0000-0000-00000A070000}"/>
    <cellStyle name="40% - Accent4 14 3" xfId="3448" xr:uid="{00000000-0005-0000-0000-00000B070000}"/>
    <cellStyle name="40% - Accent4 14_BukuBesar" xfId="3449" xr:uid="{00000000-0005-0000-0000-00000C070000}"/>
    <cellStyle name="40% - Accent4 15" xfId="3450" xr:uid="{00000000-0005-0000-0000-00000D070000}"/>
    <cellStyle name="40% - Accent4 15 2" xfId="3451" xr:uid="{00000000-0005-0000-0000-00000E070000}"/>
    <cellStyle name="40% - Accent4 15 3" xfId="3452" xr:uid="{00000000-0005-0000-0000-00000F070000}"/>
    <cellStyle name="40% - Accent4 15_BukuBesar" xfId="3453" xr:uid="{00000000-0005-0000-0000-000010070000}"/>
    <cellStyle name="40% - Accent4 16" xfId="3454" xr:uid="{00000000-0005-0000-0000-000011070000}"/>
    <cellStyle name="40% - Accent4 16 2" xfId="3455" xr:uid="{00000000-0005-0000-0000-000012070000}"/>
    <cellStyle name="40% - Accent4 16 3" xfId="3456" xr:uid="{00000000-0005-0000-0000-000013070000}"/>
    <cellStyle name="40% - Accent4 16_BukuBesar" xfId="3457" xr:uid="{00000000-0005-0000-0000-000014070000}"/>
    <cellStyle name="40% - Accent4 17" xfId="3458" xr:uid="{00000000-0005-0000-0000-000015070000}"/>
    <cellStyle name="40% - Accent4 17 2" xfId="3459" xr:uid="{00000000-0005-0000-0000-000016070000}"/>
    <cellStyle name="40% - Accent4 17 3" xfId="3460" xr:uid="{00000000-0005-0000-0000-000017070000}"/>
    <cellStyle name="40% - Accent4 17_BukuBesar" xfId="3461" xr:uid="{00000000-0005-0000-0000-000018070000}"/>
    <cellStyle name="40% - Accent4 18" xfId="3462" xr:uid="{00000000-0005-0000-0000-000019070000}"/>
    <cellStyle name="40% - Accent4 18 2" xfId="3463" xr:uid="{00000000-0005-0000-0000-00001A070000}"/>
    <cellStyle name="40% - Accent4 18 3" xfId="3464" xr:uid="{00000000-0005-0000-0000-00001B070000}"/>
    <cellStyle name="40% - Accent4 18_BukuBesar" xfId="3465" xr:uid="{00000000-0005-0000-0000-00001C070000}"/>
    <cellStyle name="40% - Accent4 19" xfId="3466" xr:uid="{00000000-0005-0000-0000-00001D070000}"/>
    <cellStyle name="40% - Accent4 19 2" xfId="3467" xr:uid="{00000000-0005-0000-0000-00001E070000}"/>
    <cellStyle name="40% - Accent4 19_BukuBesar" xfId="3468" xr:uid="{00000000-0005-0000-0000-00001F070000}"/>
    <cellStyle name="40% - Accent4 2" xfId="127" xr:uid="{00000000-0005-0000-0000-000020070000}"/>
    <cellStyle name="40% - Accent4 2 2" xfId="1641" xr:uid="{00000000-0005-0000-0000-000021070000}"/>
    <cellStyle name="40% - Accent4 2 2 2" xfId="1642" xr:uid="{00000000-0005-0000-0000-000022070000}"/>
    <cellStyle name="40% - Accent4 2 2 2 2" xfId="3469" xr:uid="{00000000-0005-0000-0000-000023070000}"/>
    <cellStyle name="40% - Accent4 2 2 3" xfId="3470" xr:uid="{00000000-0005-0000-0000-000024070000}"/>
    <cellStyle name="40% - Accent4 2 2_BukuBesar" xfId="3471" xr:uid="{00000000-0005-0000-0000-000025070000}"/>
    <cellStyle name="40% - Accent4 2 3" xfId="1643" xr:uid="{00000000-0005-0000-0000-000026070000}"/>
    <cellStyle name="40% - Accent4 2 3 2" xfId="1644" xr:uid="{00000000-0005-0000-0000-000027070000}"/>
    <cellStyle name="40% - Accent4 2 4" xfId="1645" xr:uid="{00000000-0005-0000-0000-000028070000}"/>
    <cellStyle name="40% - Accent4 2 4 2" xfId="3472" xr:uid="{00000000-0005-0000-0000-000029070000}"/>
    <cellStyle name="40% - Accent4 2 5" xfId="3473" xr:uid="{00000000-0005-0000-0000-00002A070000}"/>
    <cellStyle name="40% - Accent4 2 6" xfId="3474" xr:uid="{00000000-0005-0000-0000-00002B070000}"/>
    <cellStyle name="40% - Accent4 2 7" xfId="3475" xr:uid="{00000000-0005-0000-0000-00002C070000}"/>
    <cellStyle name="40% - Accent4 2 8" xfId="6462" xr:uid="{18D6C4E6-290A-4545-8D0D-0F56FC3FD258}"/>
    <cellStyle name="40% - Accent4 2_BukuBesar" xfId="3476" xr:uid="{00000000-0005-0000-0000-00002D070000}"/>
    <cellStyle name="40% - Accent4 20" xfId="3477" xr:uid="{00000000-0005-0000-0000-00002E070000}"/>
    <cellStyle name="40% - Accent4 20 2" xfId="3478" xr:uid="{00000000-0005-0000-0000-00002F070000}"/>
    <cellStyle name="40% - Accent4 20 3" xfId="3479" xr:uid="{00000000-0005-0000-0000-000030070000}"/>
    <cellStyle name="40% - Accent4 20_BukuBesar" xfId="3480" xr:uid="{00000000-0005-0000-0000-000031070000}"/>
    <cellStyle name="40% - Accent4 21" xfId="3481" xr:uid="{00000000-0005-0000-0000-000032070000}"/>
    <cellStyle name="40% - Accent4 21 2" xfId="3482" xr:uid="{00000000-0005-0000-0000-000033070000}"/>
    <cellStyle name="40% - Accent4 21_BukuBesar" xfId="3483" xr:uid="{00000000-0005-0000-0000-000034070000}"/>
    <cellStyle name="40% - Accent4 22" xfId="3484" xr:uid="{00000000-0005-0000-0000-000035070000}"/>
    <cellStyle name="40% - Accent4 22 2" xfId="3485" xr:uid="{00000000-0005-0000-0000-000036070000}"/>
    <cellStyle name="40% - Accent4 22_BukuBesar" xfId="3486" xr:uid="{00000000-0005-0000-0000-000037070000}"/>
    <cellStyle name="40% - Accent4 23" xfId="3487" xr:uid="{00000000-0005-0000-0000-000038070000}"/>
    <cellStyle name="40% - Accent4 23 2" xfId="3488" xr:uid="{00000000-0005-0000-0000-000039070000}"/>
    <cellStyle name="40% - Accent4 23_BukuBesar" xfId="3489" xr:uid="{00000000-0005-0000-0000-00003A070000}"/>
    <cellStyle name="40% - Accent4 24" xfId="3490" xr:uid="{00000000-0005-0000-0000-00003B070000}"/>
    <cellStyle name="40% - Accent4 24 2" xfId="3491" xr:uid="{00000000-0005-0000-0000-00003C070000}"/>
    <cellStyle name="40% - Accent4 24_BukuBesar" xfId="3492" xr:uid="{00000000-0005-0000-0000-00003D070000}"/>
    <cellStyle name="40% - Accent4 25" xfId="3493" xr:uid="{00000000-0005-0000-0000-00003E070000}"/>
    <cellStyle name="40% - Accent4 25 2" xfId="3494" xr:uid="{00000000-0005-0000-0000-00003F070000}"/>
    <cellStyle name="40% - Accent4 25_BukuBesar" xfId="3495" xr:uid="{00000000-0005-0000-0000-000040070000}"/>
    <cellStyle name="40% - Accent4 26" xfId="3496" xr:uid="{00000000-0005-0000-0000-000041070000}"/>
    <cellStyle name="40% - Accent4 26 2" xfId="3497" xr:uid="{00000000-0005-0000-0000-000042070000}"/>
    <cellStyle name="40% - Accent4 26_BukuBesar" xfId="3498" xr:uid="{00000000-0005-0000-0000-000043070000}"/>
    <cellStyle name="40% - Accent4 27" xfId="3499" xr:uid="{00000000-0005-0000-0000-000044070000}"/>
    <cellStyle name="40% - Accent4 27 2" xfId="3500" xr:uid="{00000000-0005-0000-0000-000045070000}"/>
    <cellStyle name="40% - Accent4 27_BukuBesar" xfId="3501" xr:uid="{00000000-0005-0000-0000-000046070000}"/>
    <cellStyle name="40% - Accent4 28" xfId="3502" xr:uid="{00000000-0005-0000-0000-000047070000}"/>
    <cellStyle name="40% - Accent4 28 2" xfId="3503" xr:uid="{00000000-0005-0000-0000-000048070000}"/>
    <cellStyle name="40% - Accent4 28_BukuBesar" xfId="3504" xr:uid="{00000000-0005-0000-0000-000049070000}"/>
    <cellStyle name="40% - Accent4 29" xfId="3505" xr:uid="{00000000-0005-0000-0000-00004A070000}"/>
    <cellStyle name="40% - Accent4 29 2" xfId="3506" xr:uid="{00000000-0005-0000-0000-00004B070000}"/>
    <cellStyle name="40% - Accent4 29_BukuBesar" xfId="3507" xr:uid="{00000000-0005-0000-0000-00004C070000}"/>
    <cellStyle name="40% - Accent4 3" xfId="128" xr:uid="{00000000-0005-0000-0000-00004D070000}"/>
    <cellStyle name="40% - Accent4 3 2" xfId="1646" xr:uid="{00000000-0005-0000-0000-00004E070000}"/>
    <cellStyle name="40% - Accent4 3 2 2" xfId="1647" xr:uid="{00000000-0005-0000-0000-00004F070000}"/>
    <cellStyle name="40% - Accent4 3 2 2 2" xfId="3508" xr:uid="{00000000-0005-0000-0000-000050070000}"/>
    <cellStyle name="40% - Accent4 3 2 3" xfId="3509" xr:uid="{00000000-0005-0000-0000-000051070000}"/>
    <cellStyle name="40% - Accent4 3 2_BukuBesar" xfId="3510" xr:uid="{00000000-0005-0000-0000-000052070000}"/>
    <cellStyle name="40% - Accent4 3 3" xfId="1648" xr:uid="{00000000-0005-0000-0000-000053070000}"/>
    <cellStyle name="40% - Accent4 3 3 2" xfId="1649" xr:uid="{00000000-0005-0000-0000-000054070000}"/>
    <cellStyle name="40% - Accent4 3 4" xfId="1650" xr:uid="{00000000-0005-0000-0000-000055070000}"/>
    <cellStyle name="40% - Accent4 3 4 2" xfId="3511" xr:uid="{00000000-0005-0000-0000-000056070000}"/>
    <cellStyle name="40% - Accent4 3 5" xfId="3512" xr:uid="{00000000-0005-0000-0000-000057070000}"/>
    <cellStyle name="40% - Accent4 3 6" xfId="3513" xr:uid="{00000000-0005-0000-0000-000058070000}"/>
    <cellStyle name="40% - Accent4 3 7" xfId="3514" xr:uid="{00000000-0005-0000-0000-000059070000}"/>
    <cellStyle name="40% - Accent4 3 8" xfId="3515" xr:uid="{00000000-0005-0000-0000-00005A070000}"/>
    <cellStyle name="40% - Accent4 3_BukuBesar" xfId="3516" xr:uid="{00000000-0005-0000-0000-00005B070000}"/>
    <cellStyle name="40% - Accent4 30" xfId="3517" xr:uid="{00000000-0005-0000-0000-00005C070000}"/>
    <cellStyle name="40% - Accent4 4" xfId="129" xr:uid="{00000000-0005-0000-0000-00005D070000}"/>
    <cellStyle name="40% - Accent4 4 2" xfId="1651" xr:uid="{00000000-0005-0000-0000-00005E070000}"/>
    <cellStyle name="40% - Accent4 4 2 2" xfId="1652" xr:uid="{00000000-0005-0000-0000-00005F070000}"/>
    <cellStyle name="40% - Accent4 4 2 2 2" xfId="3518" xr:uid="{00000000-0005-0000-0000-000060070000}"/>
    <cellStyle name="40% - Accent4 4 2 3" xfId="3519" xr:uid="{00000000-0005-0000-0000-000061070000}"/>
    <cellStyle name="40% - Accent4 4 2_BukuBesar" xfId="3520" xr:uid="{00000000-0005-0000-0000-000062070000}"/>
    <cellStyle name="40% - Accent4 4 3" xfId="1653" xr:uid="{00000000-0005-0000-0000-000063070000}"/>
    <cellStyle name="40% - Accent4 4 3 2" xfId="1654" xr:uid="{00000000-0005-0000-0000-000064070000}"/>
    <cellStyle name="40% - Accent4 4 4" xfId="1655" xr:uid="{00000000-0005-0000-0000-000065070000}"/>
    <cellStyle name="40% - Accent4 4 4 2" xfId="3521" xr:uid="{00000000-0005-0000-0000-000066070000}"/>
    <cellStyle name="40% - Accent4 4 5" xfId="3522" xr:uid="{00000000-0005-0000-0000-000067070000}"/>
    <cellStyle name="40% - Accent4 4 6" xfId="3523" xr:uid="{00000000-0005-0000-0000-000068070000}"/>
    <cellStyle name="40% - Accent4 4 7" xfId="3524" xr:uid="{00000000-0005-0000-0000-000069070000}"/>
    <cellStyle name="40% - Accent4 4 8" xfId="3525" xr:uid="{00000000-0005-0000-0000-00006A070000}"/>
    <cellStyle name="40% - Accent4 4_BukuBesar" xfId="3526" xr:uid="{00000000-0005-0000-0000-00006B070000}"/>
    <cellStyle name="40% - Accent4 5" xfId="130" xr:uid="{00000000-0005-0000-0000-00006C070000}"/>
    <cellStyle name="40% - Accent4 5 2" xfId="1656" xr:uid="{00000000-0005-0000-0000-00006D070000}"/>
    <cellStyle name="40% - Accent4 5 2 2" xfId="1657" xr:uid="{00000000-0005-0000-0000-00006E070000}"/>
    <cellStyle name="40% - Accent4 5 2 2 2" xfId="3527" xr:uid="{00000000-0005-0000-0000-00006F070000}"/>
    <cellStyle name="40% - Accent4 5 2 3" xfId="3528" xr:uid="{00000000-0005-0000-0000-000070070000}"/>
    <cellStyle name="40% - Accent4 5 2_BukuBesar" xfId="3529" xr:uid="{00000000-0005-0000-0000-000071070000}"/>
    <cellStyle name="40% - Accent4 5 3" xfId="1658" xr:uid="{00000000-0005-0000-0000-000072070000}"/>
    <cellStyle name="40% - Accent4 5 3 2" xfId="1659" xr:uid="{00000000-0005-0000-0000-000073070000}"/>
    <cellStyle name="40% - Accent4 5 4" xfId="1660" xr:uid="{00000000-0005-0000-0000-000074070000}"/>
    <cellStyle name="40% - Accent4 5 4 2" xfId="3530" xr:uid="{00000000-0005-0000-0000-000075070000}"/>
    <cellStyle name="40% - Accent4 5 5" xfId="3531" xr:uid="{00000000-0005-0000-0000-000076070000}"/>
    <cellStyle name="40% - Accent4 5 6" xfId="3532" xr:uid="{00000000-0005-0000-0000-000077070000}"/>
    <cellStyle name="40% - Accent4 5 7" xfId="3533" xr:uid="{00000000-0005-0000-0000-000078070000}"/>
    <cellStyle name="40% - Accent4 5 8" xfId="3534" xr:uid="{00000000-0005-0000-0000-000079070000}"/>
    <cellStyle name="40% - Accent4 5_BukuBesar" xfId="3535" xr:uid="{00000000-0005-0000-0000-00007A070000}"/>
    <cellStyle name="40% - Accent4 6" xfId="131" xr:uid="{00000000-0005-0000-0000-00007B070000}"/>
    <cellStyle name="40% - Accent4 6 2" xfId="1661" xr:uid="{00000000-0005-0000-0000-00007C070000}"/>
    <cellStyle name="40% - Accent4 6 2 2" xfId="1662" xr:uid="{00000000-0005-0000-0000-00007D070000}"/>
    <cellStyle name="40% - Accent4 6 2 2 2" xfId="3536" xr:uid="{00000000-0005-0000-0000-00007E070000}"/>
    <cellStyle name="40% - Accent4 6 2 3" xfId="3537" xr:uid="{00000000-0005-0000-0000-00007F070000}"/>
    <cellStyle name="40% - Accent4 6 2_BukuBesar" xfId="3538" xr:uid="{00000000-0005-0000-0000-000080070000}"/>
    <cellStyle name="40% - Accent4 6 3" xfId="1663" xr:uid="{00000000-0005-0000-0000-000081070000}"/>
    <cellStyle name="40% - Accent4 6 3 2" xfId="1664" xr:uid="{00000000-0005-0000-0000-000082070000}"/>
    <cellStyle name="40% - Accent4 6 4" xfId="1665" xr:uid="{00000000-0005-0000-0000-000083070000}"/>
    <cellStyle name="40% - Accent4 6 4 2" xfId="3539" xr:uid="{00000000-0005-0000-0000-000084070000}"/>
    <cellStyle name="40% - Accent4 6 5" xfId="3540" xr:uid="{00000000-0005-0000-0000-000085070000}"/>
    <cellStyle name="40% - Accent4 6 6" xfId="3541" xr:uid="{00000000-0005-0000-0000-000086070000}"/>
    <cellStyle name="40% - Accent4 6 7" xfId="3542" xr:uid="{00000000-0005-0000-0000-000087070000}"/>
    <cellStyle name="40% - Accent4 6 8" xfId="3543" xr:uid="{00000000-0005-0000-0000-000088070000}"/>
    <cellStyle name="40% - Accent4 6_BukuBesar" xfId="3544" xr:uid="{00000000-0005-0000-0000-000089070000}"/>
    <cellStyle name="40% - Accent4 7" xfId="132" xr:uid="{00000000-0005-0000-0000-00008A070000}"/>
    <cellStyle name="40% - Accent4 7 2" xfId="1666" xr:uid="{00000000-0005-0000-0000-00008B070000}"/>
    <cellStyle name="40% - Accent4 7 2 2" xfId="1667" xr:uid="{00000000-0005-0000-0000-00008C070000}"/>
    <cellStyle name="40% - Accent4 7 2 3" xfId="3545" xr:uid="{00000000-0005-0000-0000-00008D070000}"/>
    <cellStyle name="40% - Accent4 7 3" xfId="1668" xr:uid="{00000000-0005-0000-0000-00008E070000}"/>
    <cellStyle name="40% - Accent4 7 3 2" xfId="1669" xr:uid="{00000000-0005-0000-0000-00008F070000}"/>
    <cellStyle name="40% - Accent4 7 3 3" xfId="3546" xr:uid="{00000000-0005-0000-0000-000090070000}"/>
    <cellStyle name="40% - Accent4 7 4" xfId="1670" xr:uid="{00000000-0005-0000-0000-000091070000}"/>
    <cellStyle name="40% - Accent4 7_BukuBesar" xfId="3547" xr:uid="{00000000-0005-0000-0000-000092070000}"/>
    <cellStyle name="40% - Accent4 8" xfId="133" xr:uid="{00000000-0005-0000-0000-000093070000}"/>
    <cellStyle name="40% - Accent4 8 2" xfId="1671" xr:uid="{00000000-0005-0000-0000-000094070000}"/>
    <cellStyle name="40% - Accent4 8 2 2" xfId="1672" xr:uid="{00000000-0005-0000-0000-000095070000}"/>
    <cellStyle name="40% - Accent4 8 2 3" xfId="3548" xr:uid="{00000000-0005-0000-0000-000096070000}"/>
    <cellStyle name="40% - Accent4 8 3" xfId="1673" xr:uid="{00000000-0005-0000-0000-000097070000}"/>
    <cellStyle name="40% - Accent4 8 3 2" xfId="1674" xr:uid="{00000000-0005-0000-0000-000098070000}"/>
    <cellStyle name="40% - Accent4 8 3 3" xfId="3549" xr:uid="{00000000-0005-0000-0000-000099070000}"/>
    <cellStyle name="40% - Accent4 8 4" xfId="1675" xr:uid="{00000000-0005-0000-0000-00009A070000}"/>
    <cellStyle name="40% - Accent4 8_BukuBesar" xfId="3550" xr:uid="{00000000-0005-0000-0000-00009B070000}"/>
    <cellStyle name="40% - Accent4 9" xfId="134" xr:uid="{00000000-0005-0000-0000-00009C070000}"/>
    <cellStyle name="40% - Accent4 9 2" xfId="1676" xr:uid="{00000000-0005-0000-0000-00009D070000}"/>
    <cellStyle name="40% - Accent4 9 2 2" xfId="1677" xr:uid="{00000000-0005-0000-0000-00009E070000}"/>
    <cellStyle name="40% - Accent4 9 2 3" xfId="3551" xr:uid="{00000000-0005-0000-0000-00009F070000}"/>
    <cellStyle name="40% - Accent4 9 3" xfId="1678" xr:uid="{00000000-0005-0000-0000-0000A0070000}"/>
    <cellStyle name="40% - Accent4 9 3 2" xfId="1679" xr:uid="{00000000-0005-0000-0000-0000A1070000}"/>
    <cellStyle name="40% - Accent4 9 3 3" xfId="3552" xr:uid="{00000000-0005-0000-0000-0000A2070000}"/>
    <cellStyle name="40% - Accent4 9 4" xfId="1680" xr:uid="{00000000-0005-0000-0000-0000A3070000}"/>
    <cellStyle name="40% - Accent4 9_BukuBesar" xfId="3553" xr:uid="{00000000-0005-0000-0000-0000A4070000}"/>
    <cellStyle name="40% - Accent5 10" xfId="135" xr:uid="{00000000-0005-0000-0000-0000A5070000}"/>
    <cellStyle name="40% - Accent5 10 2" xfId="1681" xr:uid="{00000000-0005-0000-0000-0000A6070000}"/>
    <cellStyle name="40% - Accent5 10 2 2" xfId="1682" xr:uid="{00000000-0005-0000-0000-0000A7070000}"/>
    <cellStyle name="40% - Accent5 10 2 3" xfId="3554" xr:uid="{00000000-0005-0000-0000-0000A8070000}"/>
    <cellStyle name="40% - Accent5 10 3" xfId="1683" xr:uid="{00000000-0005-0000-0000-0000A9070000}"/>
    <cellStyle name="40% - Accent5 10 3 2" xfId="1684" xr:uid="{00000000-0005-0000-0000-0000AA070000}"/>
    <cellStyle name="40% - Accent5 10 3 3" xfId="3555" xr:uid="{00000000-0005-0000-0000-0000AB070000}"/>
    <cellStyle name="40% - Accent5 10 4" xfId="1685" xr:uid="{00000000-0005-0000-0000-0000AC070000}"/>
    <cellStyle name="40% - Accent5 10_BukuBesar" xfId="3556" xr:uid="{00000000-0005-0000-0000-0000AD070000}"/>
    <cellStyle name="40% - Accent5 11" xfId="136" xr:uid="{00000000-0005-0000-0000-0000AE070000}"/>
    <cellStyle name="40% - Accent5 11 2" xfId="1686" xr:uid="{00000000-0005-0000-0000-0000AF070000}"/>
    <cellStyle name="40% - Accent5 11 2 2" xfId="1687" xr:uid="{00000000-0005-0000-0000-0000B0070000}"/>
    <cellStyle name="40% - Accent5 11 2 3" xfId="3557" xr:uid="{00000000-0005-0000-0000-0000B1070000}"/>
    <cellStyle name="40% - Accent5 11 3" xfId="1688" xr:uid="{00000000-0005-0000-0000-0000B2070000}"/>
    <cellStyle name="40% - Accent5 11 3 2" xfId="1689" xr:uid="{00000000-0005-0000-0000-0000B3070000}"/>
    <cellStyle name="40% - Accent5 11 3 3" xfId="3558" xr:uid="{00000000-0005-0000-0000-0000B4070000}"/>
    <cellStyle name="40% - Accent5 11 4" xfId="1690" xr:uid="{00000000-0005-0000-0000-0000B5070000}"/>
    <cellStyle name="40% - Accent5 11_BukuBesar" xfId="3559" xr:uid="{00000000-0005-0000-0000-0000B6070000}"/>
    <cellStyle name="40% - Accent5 12" xfId="137" xr:uid="{00000000-0005-0000-0000-0000B7070000}"/>
    <cellStyle name="40% - Accent5 12 2" xfId="1691" xr:uid="{00000000-0005-0000-0000-0000B8070000}"/>
    <cellStyle name="40% - Accent5 12 2 2" xfId="1692" xr:uid="{00000000-0005-0000-0000-0000B9070000}"/>
    <cellStyle name="40% - Accent5 12 2 3" xfId="3560" xr:uid="{00000000-0005-0000-0000-0000BA070000}"/>
    <cellStyle name="40% - Accent5 12 3" xfId="1693" xr:uid="{00000000-0005-0000-0000-0000BB070000}"/>
    <cellStyle name="40% - Accent5 12 3 2" xfId="1694" xr:uid="{00000000-0005-0000-0000-0000BC070000}"/>
    <cellStyle name="40% - Accent5 12 3 3" xfId="3561" xr:uid="{00000000-0005-0000-0000-0000BD070000}"/>
    <cellStyle name="40% - Accent5 12 4" xfId="1695" xr:uid="{00000000-0005-0000-0000-0000BE070000}"/>
    <cellStyle name="40% - Accent5 12_BukuBesar" xfId="3562" xr:uid="{00000000-0005-0000-0000-0000BF070000}"/>
    <cellStyle name="40% - Accent5 13" xfId="138" xr:uid="{00000000-0005-0000-0000-0000C0070000}"/>
    <cellStyle name="40% - Accent5 13 2" xfId="1696" xr:uid="{00000000-0005-0000-0000-0000C1070000}"/>
    <cellStyle name="40% - Accent5 13 2 2" xfId="1697" xr:uid="{00000000-0005-0000-0000-0000C2070000}"/>
    <cellStyle name="40% - Accent5 13 2 3" xfId="3563" xr:uid="{00000000-0005-0000-0000-0000C3070000}"/>
    <cellStyle name="40% - Accent5 13 3" xfId="1698" xr:uid="{00000000-0005-0000-0000-0000C4070000}"/>
    <cellStyle name="40% - Accent5 13 3 2" xfId="1699" xr:uid="{00000000-0005-0000-0000-0000C5070000}"/>
    <cellStyle name="40% - Accent5 13 3 3" xfId="3564" xr:uid="{00000000-0005-0000-0000-0000C6070000}"/>
    <cellStyle name="40% - Accent5 13 4" xfId="1700" xr:uid="{00000000-0005-0000-0000-0000C7070000}"/>
    <cellStyle name="40% - Accent5 13_BukuBesar" xfId="3565" xr:uid="{00000000-0005-0000-0000-0000C8070000}"/>
    <cellStyle name="40% - Accent5 14" xfId="3566" xr:uid="{00000000-0005-0000-0000-0000C9070000}"/>
    <cellStyle name="40% - Accent5 14 2" xfId="3567" xr:uid="{00000000-0005-0000-0000-0000CA070000}"/>
    <cellStyle name="40% - Accent5 14 3" xfId="3568" xr:uid="{00000000-0005-0000-0000-0000CB070000}"/>
    <cellStyle name="40% - Accent5 14_BukuBesar" xfId="3569" xr:uid="{00000000-0005-0000-0000-0000CC070000}"/>
    <cellStyle name="40% - Accent5 15" xfId="3570" xr:uid="{00000000-0005-0000-0000-0000CD070000}"/>
    <cellStyle name="40% - Accent5 15 2" xfId="3571" xr:uid="{00000000-0005-0000-0000-0000CE070000}"/>
    <cellStyle name="40% - Accent5 15 3" xfId="3572" xr:uid="{00000000-0005-0000-0000-0000CF070000}"/>
    <cellStyle name="40% - Accent5 15_BukuBesar" xfId="3573" xr:uid="{00000000-0005-0000-0000-0000D0070000}"/>
    <cellStyle name="40% - Accent5 16" xfId="3574" xr:uid="{00000000-0005-0000-0000-0000D1070000}"/>
    <cellStyle name="40% - Accent5 16 2" xfId="3575" xr:uid="{00000000-0005-0000-0000-0000D2070000}"/>
    <cellStyle name="40% - Accent5 16 3" xfId="3576" xr:uid="{00000000-0005-0000-0000-0000D3070000}"/>
    <cellStyle name="40% - Accent5 16_BukuBesar" xfId="3577" xr:uid="{00000000-0005-0000-0000-0000D4070000}"/>
    <cellStyle name="40% - Accent5 17" xfId="3578" xr:uid="{00000000-0005-0000-0000-0000D5070000}"/>
    <cellStyle name="40% - Accent5 17 2" xfId="3579" xr:uid="{00000000-0005-0000-0000-0000D6070000}"/>
    <cellStyle name="40% - Accent5 17 3" xfId="3580" xr:uid="{00000000-0005-0000-0000-0000D7070000}"/>
    <cellStyle name="40% - Accent5 17_BukuBesar" xfId="3581" xr:uid="{00000000-0005-0000-0000-0000D8070000}"/>
    <cellStyle name="40% - Accent5 18" xfId="3582" xr:uid="{00000000-0005-0000-0000-0000D9070000}"/>
    <cellStyle name="40% - Accent5 18 2" xfId="3583" xr:uid="{00000000-0005-0000-0000-0000DA070000}"/>
    <cellStyle name="40% - Accent5 18 3" xfId="3584" xr:uid="{00000000-0005-0000-0000-0000DB070000}"/>
    <cellStyle name="40% - Accent5 18_BukuBesar" xfId="3585" xr:uid="{00000000-0005-0000-0000-0000DC070000}"/>
    <cellStyle name="40% - Accent5 19" xfId="3586" xr:uid="{00000000-0005-0000-0000-0000DD070000}"/>
    <cellStyle name="40% - Accent5 19 2" xfId="3587" xr:uid="{00000000-0005-0000-0000-0000DE070000}"/>
    <cellStyle name="40% - Accent5 19_BukuBesar" xfId="3588" xr:uid="{00000000-0005-0000-0000-0000DF070000}"/>
    <cellStyle name="40% - Accent5 2" xfId="139" xr:uid="{00000000-0005-0000-0000-0000E0070000}"/>
    <cellStyle name="40% - Accent5 2 2" xfId="1701" xr:uid="{00000000-0005-0000-0000-0000E1070000}"/>
    <cellStyle name="40% - Accent5 2 2 2" xfId="1702" xr:uid="{00000000-0005-0000-0000-0000E2070000}"/>
    <cellStyle name="40% - Accent5 2 2 2 2" xfId="3589" xr:uid="{00000000-0005-0000-0000-0000E3070000}"/>
    <cellStyle name="40% - Accent5 2 2 3" xfId="3590" xr:uid="{00000000-0005-0000-0000-0000E4070000}"/>
    <cellStyle name="40% - Accent5 2 2_BukuBesar" xfId="3591" xr:uid="{00000000-0005-0000-0000-0000E5070000}"/>
    <cellStyle name="40% - Accent5 2 3" xfId="1703" xr:uid="{00000000-0005-0000-0000-0000E6070000}"/>
    <cellStyle name="40% - Accent5 2 3 2" xfId="1704" xr:uid="{00000000-0005-0000-0000-0000E7070000}"/>
    <cellStyle name="40% - Accent5 2 4" xfId="1705" xr:uid="{00000000-0005-0000-0000-0000E8070000}"/>
    <cellStyle name="40% - Accent5 2 4 2" xfId="3592" xr:uid="{00000000-0005-0000-0000-0000E9070000}"/>
    <cellStyle name="40% - Accent5 2 5" xfId="3593" xr:uid="{00000000-0005-0000-0000-0000EA070000}"/>
    <cellStyle name="40% - Accent5 2 6" xfId="3594" xr:uid="{00000000-0005-0000-0000-0000EB070000}"/>
    <cellStyle name="40% - Accent5 2 7" xfId="3595" xr:uid="{00000000-0005-0000-0000-0000EC070000}"/>
    <cellStyle name="40% - Accent5 2 8" xfId="6506" xr:uid="{2A0A75DC-794C-45C0-8EE0-5B09157FF41E}"/>
    <cellStyle name="40% - Accent5 2_BukuBesar" xfId="3596" xr:uid="{00000000-0005-0000-0000-0000ED070000}"/>
    <cellStyle name="40% - Accent5 20" xfId="3597" xr:uid="{00000000-0005-0000-0000-0000EE070000}"/>
    <cellStyle name="40% - Accent5 20 2" xfId="3598" xr:uid="{00000000-0005-0000-0000-0000EF070000}"/>
    <cellStyle name="40% - Accent5 20 3" xfId="3599" xr:uid="{00000000-0005-0000-0000-0000F0070000}"/>
    <cellStyle name="40% - Accent5 20_BukuBesar" xfId="3600" xr:uid="{00000000-0005-0000-0000-0000F1070000}"/>
    <cellStyle name="40% - Accent5 21" xfId="3601" xr:uid="{00000000-0005-0000-0000-0000F2070000}"/>
    <cellStyle name="40% - Accent5 21 2" xfId="3602" xr:uid="{00000000-0005-0000-0000-0000F3070000}"/>
    <cellStyle name="40% - Accent5 21_BukuBesar" xfId="3603" xr:uid="{00000000-0005-0000-0000-0000F4070000}"/>
    <cellStyle name="40% - Accent5 22" xfId="3604" xr:uid="{00000000-0005-0000-0000-0000F5070000}"/>
    <cellStyle name="40% - Accent5 22 2" xfId="3605" xr:uid="{00000000-0005-0000-0000-0000F6070000}"/>
    <cellStyle name="40% - Accent5 22_BukuBesar" xfId="3606" xr:uid="{00000000-0005-0000-0000-0000F7070000}"/>
    <cellStyle name="40% - Accent5 23" xfId="3607" xr:uid="{00000000-0005-0000-0000-0000F8070000}"/>
    <cellStyle name="40% - Accent5 23 2" xfId="3608" xr:uid="{00000000-0005-0000-0000-0000F9070000}"/>
    <cellStyle name="40% - Accent5 23_BukuBesar" xfId="3609" xr:uid="{00000000-0005-0000-0000-0000FA070000}"/>
    <cellStyle name="40% - Accent5 24" xfId="3610" xr:uid="{00000000-0005-0000-0000-0000FB070000}"/>
    <cellStyle name="40% - Accent5 24 2" xfId="3611" xr:uid="{00000000-0005-0000-0000-0000FC070000}"/>
    <cellStyle name="40% - Accent5 24_BukuBesar" xfId="3612" xr:uid="{00000000-0005-0000-0000-0000FD070000}"/>
    <cellStyle name="40% - Accent5 25" xfId="3613" xr:uid="{00000000-0005-0000-0000-0000FE070000}"/>
    <cellStyle name="40% - Accent5 25 2" xfId="3614" xr:uid="{00000000-0005-0000-0000-0000FF070000}"/>
    <cellStyle name="40% - Accent5 25_BukuBesar" xfId="3615" xr:uid="{00000000-0005-0000-0000-000000080000}"/>
    <cellStyle name="40% - Accent5 26" xfId="3616" xr:uid="{00000000-0005-0000-0000-000001080000}"/>
    <cellStyle name="40% - Accent5 26 2" xfId="3617" xr:uid="{00000000-0005-0000-0000-000002080000}"/>
    <cellStyle name="40% - Accent5 26_BukuBesar" xfId="3618" xr:uid="{00000000-0005-0000-0000-000003080000}"/>
    <cellStyle name="40% - Accent5 27" xfId="3619" xr:uid="{00000000-0005-0000-0000-000004080000}"/>
    <cellStyle name="40% - Accent5 27 2" xfId="3620" xr:uid="{00000000-0005-0000-0000-000005080000}"/>
    <cellStyle name="40% - Accent5 27_BukuBesar" xfId="3621" xr:uid="{00000000-0005-0000-0000-000006080000}"/>
    <cellStyle name="40% - Accent5 28" xfId="3622" xr:uid="{00000000-0005-0000-0000-000007080000}"/>
    <cellStyle name="40% - Accent5 28 2" xfId="3623" xr:uid="{00000000-0005-0000-0000-000008080000}"/>
    <cellStyle name="40% - Accent5 28_BukuBesar" xfId="3624" xr:uid="{00000000-0005-0000-0000-000009080000}"/>
    <cellStyle name="40% - Accent5 29" xfId="3625" xr:uid="{00000000-0005-0000-0000-00000A080000}"/>
    <cellStyle name="40% - Accent5 29 2" xfId="3626" xr:uid="{00000000-0005-0000-0000-00000B080000}"/>
    <cellStyle name="40% - Accent5 29_BukuBesar" xfId="3627" xr:uid="{00000000-0005-0000-0000-00000C080000}"/>
    <cellStyle name="40% - Accent5 3" xfId="140" xr:uid="{00000000-0005-0000-0000-00000D080000}"/>
    <cellStyle name="40% - Accent5 3 2" xfId="1706" xr:uid="{00000000-0005-0000-0000-00000E080000}"/>
    <cellStyle name="40% - Accent5 3 2 2" xfId="1707" xr:uid="{00000000-0005-0000-0000-00000F080000}"/>
    <cellStyle name="40% - Accent5 3 2 2 2" xfId="3628" xr:uid="{00000000-0005-0000-0000-000010080000}"/>
    <cellStyle name="40% - Accent5 3 2 3" xfId="3629" xr:uid="{00000000-0005-0000-0000-000011080000}"/>
    <cellStyle name="40% - Accent5 3 2_BukuBesar" xfId="3630" xr:uid="{00000000-0005-0000-0000-000012080000}"/>
    <cellStyle name="40% - Accent5 3 3" xfId="1708" xr:uid="{00000000-0005-0000-0000-000013080000}"/>
    <cellStyle name="40% - Accent5 3 3 2" xfId="1709" xr:uid="{00000000-0005-0000-0000-000014080000}"/>
    <cellStyle name="40% - Accent5 3 4" xfId="1710" xr:uid="{00000000-0005-0000-0000-000015080000}"/>
    <cellStyle name="40% - Accent5 3 4 2" xfId="3631" xr:uid="{00000000-0005-0000-0000-000016080000}"/>
    <cellStyle name="40% - Accent5 3 5" xfId="3632" xr:uid="{00000000-0005-0000-0000-000017080000}"/>
    <cellStyle name="40% - Accent5 3 6" xfId="3633" xr:uid="{00000000-0005-0000-0000-000018080000}"/>
    <cellStyle name="40% - Accent5 3 7" xfId="3634" xr:uid="{00000000-0005-0000-0000-000019080000}"/>
    <cellStyle name="40% - Accent5 3 8" xfId="3635" xr:uid="{00000000-0005-0000-0000-00001A080000}"/>
    <cellStyle name="40% - Accent5 3_BukuBesar" xfId="3636" xr:uid="{00000000-0005-0000-0000-00001B080000}"/>
    <cellStyle name="40% - Accent5 30" xfId="3637" xr:uid="{00000000-0005-0000-0000-00001C080000}"/>
    <cellStyle name="40% - Accent5 4" xfId="141" xr:uid="{00000000-0005-0000-0000-00001D080000}"/>
    <cellStyle name="40% - Accent5 4 2" xfId="1711" xr:uid="{00000000-0005-0000-0000-00001E080000}"/>
    <cellStyle name="40% - Accent5 4 2 2" xfId="1712" xr:uid="{00000000-0005-0000-0000-00001F080000}"/>
    <cellStyle name="40% - Accent5 4 2 2 2" xfId="3638" xr:uid="{00000000-0005-0000-0000-000020080000}"/>
    <cellStyle name="40% - Accent5 4 2 3" xfId="3639" xr:uid="{00000000-0005-0000-0000-000021080000}"/>
    <cellStyle name="40% - Accent5 4 2_BukuBesar" xfId="3640" xr:uid="{00000000-0005-0000-0000-000022080000}"/>
    <cellStyle name="40% - Accent5 4 3" xfId="1713" xr:uid="{00000000-0005-0000-0000-000023080000}"/>
    <cellStyle name="40% - Accent5 4 3 2" xfId="1714" xr:uid="{00000000-0005-0000-0000-000024080000}"/>
    <cellStyle name="40% - Accent5 4 4" xfId="1715" xr:uid="{00000000-0005-0000-0000-000025080000}"/>
    <cellStyle name="40% - Accent5 4 4 2" xfId="3641" xr:uid="{00000000-0005-0000-0000-000026080000}"/>
    <cellStyle name="40% - Accent5 4 5" xfId="3642" xr:uid="{00000000-0005-0000-0000-000027080000}"/>
    <cellStyle name="40% - Accent5 4 6" xfId="3643" xr:uid="{00000000-0005-0000-0000-000028080000}"/>
    <cellStyle name="40% - Accent5 4 7" xfId="3644" xr:uid="{00000000-0005-0000-0000-000029080000}"/>
    <cellStyle name="40% - Accent5 4 8" xfId="3645" xr:uid="{00000000-0005-0000-0000-00002A080000}"/>
    <cellStyle name="40% - Accent5 4_BukuBesar" xfId="3646" xr:uid="{00000000-0005-0000-0000-00002B080000}"/>
    <cellStyle name="40% - Accent5 5" xfId="142" xr:uid="{00000000-0005-0000-0000-00002C080000}"/>
    <cellStyle name="40% - Accent5 5 2" xfId="1716" xr:uid="{00000000-0005-0000-0000-00002D080000}"/>
    <cellStyle name="40% - Accent5 5 2 2" xfId="1717" xr:uid="{00000000-0005-0000-0000-00002E080000}"/>
    <cellStyle name="40% - Accent5 5 2 2 2" xfId="3647" xr:uid="{00000000-0005-0000-0000-00002F080000}"/>
    <cellStyle name="40% - Accent5 5 2 3" xfId="3648" xr:uid="{00000000-0005-0000-0000-000030080000}"/>
    <cellStyle name="40% - Accent5 5 2_BukuBesar" xfId="3649" xr:uid="{00000000-0005-0000-0000-000031080000}"/>
    <cellStyle name="40% - Accent5 5 3" xfId="1718" xr:uid="{00000000-0005-0000-0000-000032080000}"/>
    <cellStyle name="40% - Accent5 5 3 2" xfId="1719" xr:uid="{00000000-0005-0000-0000-000033080000}"/>
    <cellStyle name="40% - Accent5 5 4" xfId="1720" xr:uid="{00000000-0005-0000-0000-000034080000}"/>
    <cellStyle name="40% - Accent5 5 4 2" xfId="3650" xr:uid="{00000000-0005-0000-0000-000035080000}"/>
    <cellStyle name="40% - Accent5 5 5" xfId="3651" xr:uid="{00000000-0005-0000-0000-000036080000}"/>
    <cellStyle name="40% - Accent5 5 6" xfId="3652" xr:uid="{00000000-0005-0000-0000-000037080000}"/>
    <cellStyle name="40% - Accent5 5 7" xfId="3653" xr:uid="{00000000-0005-0000-0000-000038080000}"/>
    <cellStyle name="40% - Accent5 5 8" xfId="3654" xr:uid="{00000000-0005-0000-0000-000039080000}"/>
    <cellStyle name="40% - Accent5 5_BukuBesar" xfId="3655" xr:uid="{00000000-0005-0000-0000-00003A080000}"/>
    <cellStyle name="40% - Accent5 6" xfId="143" xr:uid="{00000000-0005-0000-0000-00003B080000}"/>
    <cellStyle name="40% - Accent5 6 2" xfId="1721" xr:uid="{00000000-0005-0000-0000-00003C080000}"/>
    <cellStyle name="40% - Accent5 6 2 2" xfId="1722" xr:uid="{00000000-0005-0000-0000-00003D080000}"/>
    <cellStyle name="40% - Accent5 6 2 2 2" xfId="3656" xr:uid="{00000000-0005-0000-0000-00003E080000}"/>
    <cellStyle name="40% - Accent5 6 2 3" xfId="3657" xr:uid="{00000000-0005-0000-0000-00003F080000}"/>
    <cellStyle name="40% - Accent5 6 2_BukuBesar" xfId="3658" xr:uid="{00000000-0005-0000-0000-000040080000}"/>
    <cellStyle name="40% - Accent5 6 3" xfId="1723" xr:uid="{00000000-0005-0000-0000-000041080000}"/>
    <cellStyle name="40% - Accent5 6 3 2" xfId="1724" xr:uid="{00000000-0005-0000-0000-000042080000}"/>
    <cellStyle name="40% - Accent5 6 4" xfId="1725" xr:uid="{00000000-0005-0000-0000-000043080000}"/>
    <cellStyle name="40% - Accent5 6 4 2" xfId="3659" xr:uid="{00000000-0005-0000-0000-000044080000}"/>
    <cellStyle name="40% - Accent5 6 5" xfId="3660" xr:uid="{00000000-0005-0000-0000-000045080000}"/>
    <cellStyle name="40% - Accent5 6 6" xfId="3661" xr:uid="{00000000-0005-0000-0000-000046080000}"/>
    <cellStyle name="40% - Accent5 6 7" xfId="3662" xr:uid="{00000000-0005-0000-0000-000047080000}"/>
    <cellStyle name="40% - Accent5 6 8" xfId="3663" xr:uid="{00000000-0005-0000-0000-000048080000}"/>
    <cellStyle name="40% - Accent5 6_BukuBesar" xfId="3664" xr:uid="{00000000-0005-0000-0000-000049080000}"/>
    <cellStyle name="40% - Accent5 7" xfId="144" xr:uid="{00000000-0005-0000-0000-00004A080000}"/>
    <cellStyle name="40% - Accent5 7 2" xfId="1726" xr:uid="{00000000-0005-0000-0000-00004B080000}"/>
    <cellStyle name="40% - Accent5 7 2 2" xfId="1727" xr:uid="{00000000-0005-0000-0000-00004C080000}"/>
    <cellStyle name="40% - Accent5 7 2 3" xfId="3665" xr:uid="{00000000-0005-0000-0000-00004D080000}"/>
    <cellStyle name="40% - Accent5 7 3" xfId="1728" xr:uid="{00000000-0005-0000-0000-00004E080000}"/>
    <cellStyle name="40% - Accent5 7 3 2" xfId="1729" xr:uid="{00000000-0005-0000-0000-00004F080000}"/>
    <cellStyle name="40% - Accent5 7 3 3" xfId="3666" xr:uid="{00000000-0005-0000-0000-000050080000}"/>
    <cellStyle name="40% - Accent5 7 4" xfId="1730" xr:uid="{00000000-0005-0000-0000-000051080000}"/>
    <cellStyle name="40% - Accent5 7_BukuBesar" xfId="3667" xr:uid="{00000000-0005-0000-0000-000052080000}"/>
    <cellStyle name="40% - Accent5 8" xfId="145" xr:uid="{00000000-0005-0000-0000-000053080000}"/>
    <cellStyle name="40% - Accent5 8 2" xfId="1731" xr:uid="{00000000-0005-0000-0000-000054080000}"/>
    <cellStyle name="40% - Accent5 8 2 2" xfId="1732" xr:uid="{00000000-0005-0000-0000-000055080000}"/>
    <cellStyle name="40% - Accent5 8 2 3" xfId="3668" xr:uid="{00000000-0005-0000-0000-000056080000}"/>
    <cellStyle name="40% - Accent5 8 3" xfId="1733" xr:uid="{00000000-0005-0000-0000-000057080000}"/>
    <cellStyle name="40% - Accent5 8 3 2" xfId="1734" xr:uid="{00000000-0005-0000-0000-000058080000}"/>
    <cellStyle name="40% - Accent5 8 3 3" xfId="3669" xr:uid="{00000000-0005-0000-0000-000059080000}"/>
    <cellStyle name="40% - Accent5 8 4" xfId="1735" xr:uid="{00000000-0005-0000-0000-00005A080000}"/>
    <cellStyle name="40% - Accent5 8_BukuBesar" xfId="3670" xr:uid="{00000000-0005-0000-0000-00005B080000}"/>
    <cellStyle name="40% - Accent5 9" xfId="146" xr:uid="{00000000-0005-0000-0000-00005C080000}"/>
    <cellStyle name="40% - Accent5 9 2" xfId="1736" xr:uid="{00000000-0005-0000-0000-00005D080000}"/>
    <cellStyle name="40% - Accent5 9 2 2" xfId="1737" xr:uid="{00000000-0005-0000-0000-00005E080000}"/>
    <cellStyle name="40% - Accent5 9 2 3" xfId="3671" xr:uid="{00000000-0005-0000-0000-00005F080000}"/>
    <cellStyle name="40% - Accent5 9 3" xfId="1738" xr:uid="{00000000-0005-0000-0000-000060080000}"/>
    <cellStyle name="40% - Accent5 9 3 2" xfId="1739" xr:uid="{00000000-0005-0000-0000-000061080000}"/>
    <cellStyle name="40% - Accent5 9 3 3" xfId="3672" xr:uid="{00000000-0005-0000-0000-000062080000}"/>
    <cellStyle name="40% - Accent5 9 4" xfId="1740" xr:uid="{00000000-0005-0000-0000-000063080000}"/>
    <cellStyle name="40% - Accent5 9_BukuBesar" xfId="3673" xr:uid="{00000000-0005-0000-0000-000064080000}"/>
    <cellStyle name="40% - Accent6 10" xfId="147" xr:uid="{00000000-0005-0000-0000-000065080000}"/>
    <cellStyle name="40% - Accent6 10 2" xfId="1741" xr:uid="{00000000-0005-0000-0000-000066080000}"/>
    <cellStyle name="40% - Accent6 10 2 2" xfId="1742" xr:uid="{00000000-0005-0000-0000-000067080000}"/>
    <cellStyle name="40% - Accent6 10 2 3" xfId="3674" xr:uid="{00000000-0005-0000-0000-000068080000}"/>
    <cellStyle name="40% - Accent6 10 3" xfId="1743" xr:uid="{00000000-0005-0000-0000-000069080000}"/>
    <cellStyle name="40% - Accent6 10 3 2" xfId="1744" xr:uid="{00000000-0005-0000-0000-00006A080000}"/>
    <cellStyle name="40% - Accent6 10 3 3" xfId="3675" xr:uid="{00000000-0005-0000-0000-00006B080000}"/>
    <cellStyle name="40% - Accent6 10 4" xfId="1745" xr:uid="{00000000-0005-0000-0000-00006C080000}"/>
    <cellStyle name="40% - Accent6 10_BukuBesar" xfId="3676" xr:uid="{00000000-0005-0000-0000-00006D080000}"/>
    <cellStyle name="40% - Accent6 11" xfId="148" xr:uid="{00000000-0005-0000-0000-00006E080000}"/>
    <cellStyle name="40% - Accent6 11 2" xfId="1746" xr:uid="{00000000-0005-0000-0000-00006F080000}"/>
    <cellStyle name="40% - Accent6 11 2 2" xfId="1747" xr:uid="{00000000-0005-0000-0000-000070080000}"/>
    <cellStyle name="40% - Accent6 11 2 3" xfId="3677" xr:uid="{00000000-0005-0000-0000-000071080000}"/>
    <cellStyle name="40% - Accent6 11 3" xfId="1748" xr:uid="{00000000-0005-0000-0000-000072080000}"/>
    <cellStyle name="40% - Accent6 11 3 2" xfId="1749" xr:uid="{00000000-0005-0000-0000-000073080000}"/>
    <cellStyle name="40% - Accent6 11 3 3" xfId="3678" xr:uid="{00000000-0005-0000-0000-000074080000}"/>
    <cellStyle name="40% - Accent6 11 4" xfId="1750" xr:uid="{00000000-0005-0000-0000-000075080000}"/>
    <cellStyle name="40% - Accent6 11_BukuBesar" xfId="3679" xr:uid="{00000000-0005-0000-0000-000076080000}"/>
    <cellStyle name="40% - Accent6 12" xfId="149" xr:uid="{00000000-0005-0000-0000-000077080000}"/>
    <cellStyle name="40% - Accent6 12 2" xfId="1751" xr:uid="{00000000-0005-0000-0000-000078080000}"/>
    <cellStyle name="40% - Accent6 12 2 2" xfId="1752" xr:uid="{00000000-0005-0000-0000-000079080000}"/>
    <cellStyle name="40% - Accent6 12 2 3" xfId="3680" xr:uid="{00000000-0005-0000-0000-00007A080000}"/>
    <cellStyle name="40% - Accent6 12 3" xfId="1753" xr:uid="{00000000-0005-0000-0000-00007B080000}"/>
    <cellStyle name="40% - Accent6 12 3 2" xfId="1754" xr:uid="{00000000-0005-0000-0000-00007C080000}"/>
    <cellStyle name="40% - Accent6 12 3 3" xfId="3681" xr:uid="{00000000-0005-0000-0000-00007D080000}"/>
    <cellStyle name="40% - Accent6 12 4" xfId="1755" xr:uid="{00000000-0005-0000-0000-00007E080000}"/>
    <cellStyle name="40% - Accent6 12_BukuBesar" xfId="3682" xr:uid="{00000000-0005-0000-0000-00007F080000}"/>
    <cellStyle name="40% - Accent6 13" xfId="150" xr:uid="{00000000-0005-0000-0000-000080080000}"/>
    <cellStyle name="40% - Accent6 13 2" xfId="1756" xr:uid="{00000000-0005-0000-0000-000081080000}"/>
    <cellStyle name="40% - Accent6 13 2 2" xfId="1757" xr:uid="{00000000-0005-0000-0000-000082080000}"/>
    <cellStyle name="40% - Accent6 13 2 3" xfId="3683" xr:uid="{00000000-0005-0000-0000-000083080000}"/>
    <cellStyle name="40% - Accent6 13 3" xfId="1758" xr:uid="{00000000-0005-0000-0000-000084080000}"/>
    <cellStyle name="40% - Accent6 13 3 2" xfId="1759" xr:uid="{00000000-0005-0000-0000-000085080000}"/>
    <cellStyle name="40% - Accent6 13 3 3" xfId="3684" xr:uid="{00000000-0005-0000-0000-000086080000}"/>
    <cellStyle name="40% - Accent6 13 4" xfId="1760" xr:uid="{00000000-0005-0000-0000-000087080000}"/>
    <cellStyle name="40% - Accent6 13_BukuBesar" xfId="3685" xr:uid="{00000000-0005-0000-0000-000088080000}"/>
    <cellStyle name="40% - Accent6 14" xfId="3686" xr:uid="{00000000-0005-0000-0000-000089080000}"/>
    <cellStyle name="40% - Accent6 14 2" xfId="3687" xr:uid="{00000000-0005-0000-0000-00008A080000}"/>
    <cellStyle name="40% - Accent6 14 3" xfId="3688" xr:uid="{00000000-0005-0000-0000-00008B080000}"/>
    <cellStyle name="40% - Accent6 14_BukuBesar" xfId="3689" xr:uid="{00000000-0005-0000-0000-00008C080000}"/>
    <cellStyle name="40% - Accent6 15" xfId="3690" xr:uid="{00000000-0005-0000-0000-00008D080000}"/>
    <cellStyle name="40% - Accent6 15 2" xfId="3691" xr:uid="{00000000-0005-0000-0000-00008E080000}"/>
    <cellStyle name="40% - Accent6 15 3" xfId="3692" xr:uid="{00000000-0005-0000-0000-00008F080000}"/>
    <cellStyle name="40% - Accent6 15_BukuBesar" xfId="3693" xr:uid="{00000000-0005-0000-0000-000090080000}"/>
    <cellStyle name="40% - Accent6 16" xfId="3694" xr:uid="{00000000-0005-0000-0000-000091080000}"/>
    <cellStyle name="40% - Accent6 16 2" xfId="3695" xr:uid="{00000000-0005-0000-0000-000092080000}"/>
    <cellStyle name="40% - Accent6 16 3" xfId="3696" xr:uid="{00000000-0005-0000-0000-000093080000}"/>
    <cellStyle name="40% - Accent6 16_BukuBesar" xfId="3697" xr:uid="{00000000-0005-0000-0000-000094080000}"/>
    <cellStyle name="40% - Accent6 17" xfId="3698" xr:uid="{00000000-0005-0000-0000-000095080000}"/>
    <cellStyle name="40% - Accent6 17 2" xfId="3699" xr:uid="{00000000-0005-0000-0000-000096080000}"/>
    <cellStyle name="40% - Accent6 17 3" xfId="3700" xr:uid="{00000000-0005-0000-0000-000097080000}"/>
    <cellStyle name="40% - Accent6 17_BukuBesar" xfId="3701" xr:uid="{00000000-0005-0000-0000-000098080000}"/>
    <cellStyle name="40% - Accent6 18" xfId="3702" xr:uid="{00000000-0005-0000-0000-000099080000}"/>
    <cellStyle name="40% - Accent6 18 2" xfId="3703" xr:uid="{00000000-0005-0000-0000-00009A080000}"/>
    <cellStyle name="40% - Accent6 18 3" xfId="3704" xr:uid="{00000000-0005-0000-0000-00009B080000}"/>
    <cellStyle name="40% - Accent6 18_BukuBesar" xfId="3705" xr:uid="{00000000-0005-0000-0000-00009C080000}"/>
    <cellStyle name="40% - Accent6 19" xfId="3706" xr:uid="{00000000-0005-0000-0000-00009D080000}"/>
    <cellStyle name="40% - Accent6 19 2" xfId="3707" xr:uid="{00000000-0005-0000-0000-00009E080000}"/>
    <cellStyle name="40% - Accent6 19_BukuBesar" xfId="3708" xr:uid="{00000000-0005-0000-0000-00009F080000}"/>
    <cellStyle name="40% - Accent6 2" xfId="151" xr:uid="{00000000-0005-0000-0000-0000A0080000}"/>
    <cellStyle name="40% - Accent6 2 2" xfId="1761" xr:uid="{00000000-0005-0000-0000-0000A1080000}"/>
    <cellStyle name="40% - Accent6 2 2 2" xfId="1762" xr:uid="{00000000-0005-0000-0000-0000A2080000}"/>
    <cellStyle name="40% - Accent6 2 2 2 2" xfId="3709" xr:uid="{00000000-0005-0000-0000-0000A3080000}"/>
    <cellStyle name="40% - Accent6 2 2 3" xfId="3710" xr:uid="{00000000-0005-0000-0000-0000A4080000}"/>
    <cellStyle name="40% - Accent6 2 2_BukuBesar" xfId="3711" xr:uid="{00000000-0005-0000-0000-0000A5080000}"/>
    <cellStyle name="40% - Accent6 2 3" xfId="1763" xr:uid="{00000000-0005-0000-0000-0000A6080000}"/>
    <cellStyle name="40% - Accent6 2 3 2" xfId="1764" xr:uid="{00000000-0005-0000-0000-0000A7080000}"/>
    <cellStyle name="40% - Accent6 2 4" xfId="1765" xr:uid="{00000000-0005-0000-0000-0000A8080000}"/>
    <cellStyle name="40% - Accent6 2 4 2" xfId="3712" xr:uid="{00000000-0005-0000-0000-0000A9080000}"/>
    <cellStyle name="40% - Accent6 2 5" xfId="3713" xr:uid="{00000000-0005-0000-0000-0000AA080000}"/>
    <cellStyle name="40% - Accent6 2 6" xfId="3714" xr:uid="{00000000-0005-0000-0000-0000AB080000}"/>
    <cellStyle name="40% - Accent6 2 7" xfId="3715" xr:uid="{00000000-0005-0000-0000-0000AC080000}"/>
    <cellStyle name="40% - Accent6 2 8" xfId="6508" xr:uid="{43C783BA-07A5-4456-9363-BCAE92A888AA}"/>
    <cellStyle name="40% - Accent6 2_BukuBesar" xfId="3716" xr:uid="{00000000-0005-0000-0000-0000AD080000}"/>
    <cellStyle name="40% - Accent6 20" xfId="3717" xr:uid="{00000000-0005-0000-0000-0000AE080000}"/>
    <cellStyle name="40% - Accent6 20 2" xfId="3718" xr:uid="{00000000-0005-0000-0000-0000AF080000}"/>
    <cellStyle name="40% - Accent6 20 3" xfId="3719" xr:uid="{00000000-0005-0000-0000-0000B0080000}"/>
    <cellStyle name="40% - Accent6 20_BukuBesar" xfId="3720" xr:uid="{00000000-0005-0000-0000-0000B1080000}"/>
    <cellStyle name="40% - Accent6 21" xfId="3721" xr:uid="{00000000-0005-0000-0000-0000B2080000}"/>
    <cellStyle name="40% - Accent6 21 2" xfId="3722" xr:uid="{00000000-0005-0000-0000-0000B3080000}"/>
    <cellStyle name="40% - Accent6 21_BukuBesar" xfId="3723" xr:uid="{00000000-0005-0000-0000-0000B4080000}"/>
    <cellStyle name="40% - Accent6 22" xfId="3724" xr:uid="{00000000-0005-0000-0000-0000B5080000}"/>
    <cellStyle name="40% - Accent6 22 2" xfId="3725" xr:uid="{00000000-0005-0000-0000-0000B6080000}"/>
    <cellStyle name="40% - Accent6 22_BukuBesar" xfId="3726" xr:uid="{00000000-0005-0000-0000-0000B7080000}"/>
    <cellStyle name="40% - Accent6 23" xfId="3727" xr:uid="{00000000-0005-0000-0000-0000B8080000}"/>
    <cellStyle name="40% - Accent6 23 2" xfId="3728" xr:uid="{00000000-0005-0000-0000-0000B9080000}"/>
    <cellStyle name="40% - Accent6 23_BukuBesar" xfId="3729" xr:uid="{00000000-0005-0000-0000-0000BA080000}"/>
    <cellStyle name="40% - Accent6 24" xfId="3730" xr:uid="{00000000-0005-0000-0000-0000BB080000}"/>
    <cellStyle name="40% - Accent6 24 2" xfId="3731" xr:uid="{00000000-0005-0000-0000-0000BC080000}"/>
    <cellStyle name="40% - Accent6 24_BukuBesar" xfId="3732" xr:uid="{00000000-0005-0000-0000-0000BD080000}"/>
    <cellStyle name="40% - Accent6 25" xfId="3733" xr:uid="{00000000-0005-0000-0000-0000BE080000}"/>
    <cellStyle name="40% - Accent6 25 2" xfId="3734" xr:uid="{00000000-0005-0000-0000-0000BF080000}"/>
    <cellStyle name="40% - Accent6 25_BukuBesar" xfId="3735" xr:uid="{00000000-0005-0000-0000-0000C0080000}"/>
    <cellStyle name="40% - Accent6 26" xfId="3736" xr:uid="{00000000-0005-0000-0000-0000C1080000}"/>
    <cellStyle name="40% - Accent6 26 2" xfId="3737" xr:uid="{00000000-0005-0000-0000-0000C2080000}"/>
    <cellStyle name="40% - Accent6 26_BukuBesar" xfId="3738" xr:uid="{00000000-0005-0000-0000-0000C3080000}"/>
    <cellStyle name="40% - Accent6 27" xfId="3739" xr:uid="{00000000-0005-0000-0000-0000C4080000}"/>
    <cellStyle name="40% - Accent6 27 2" xfId="3740" xr:uid="{00000000-0005-0000-0000-0000C5080000}"/>
    <cellStyle name="40% - Accent6 27_BukuBesar" xfId="3741" xr:uid="{00000000-0005-0000-0000-0000C6080000}"/>
    <cellStyle name="40% - Accent6 28" xfId="3742" xr:uid="{00000000-0005-0000-0000-0000C7080000}"/>
    <cellStyle name="40% - Accent6 28 2" xfId="3743" xr:uid="{00000000-0005-0000-0000-0000C8080000}"/>
    <cellStyle name="40% - Accent6 28_BukuBesar" xfId="3744" xr:uid="{00000000-0005-0000-0000-0000C9080000}"/>
    <cellStyle name="40% - Accent6 29" xfId="3745" xr:uid="{00000000-0005-0000-0000-0000CA080000}"/>
    <cellStyle name="40% - Accent6 29 2" xfId="3746" xr:uid="{00000000-0005-0000-0000-0000CB080000}"/>
    <cellStyle name="40% - Accent6 29_BukuBesar" xfId="3747" xr:uid="{00000000-0005-0000-0000-0000CC080000}"/>
    <cellStyle name="40% - Accent6 3" xfId="152" xr:uid="{00000000-0005-0000-0000-0000CD080000}"/>
    <cellStyle name="40% - Accent6 3 2" xfId="1766" xr:uid="{00000000-0005-0000-0000-0000CE080000}"/>
    <cellStyle name="40% - Accent6 3 2 2" xfId="1767" xr:uid="{00000000-0005-0000-0000-0000CF080000}"/>
    <cellStyle name="40% - Accent6 3 2 2 2" xfId="3748" xr:uid="{00000000-0005-0000-0000-0000D0080000}"/>
    <cellStyle name="40% - Accent6 3 2 3" xfId="3749" xr:uid="{00000000-0005-0000-0000-0000D1080000}"/>
    <cellStyle name="40% - Accent6 3 2_BukuBesar" xfId="3750" xr:uid="{00000000-0005-0000-0000-0000D2080000}"/>
    <cellStyle name="40% - Accent6 3 3" xfId="1768" xr:uid="{00000000-0005-0000-0000-0000D3080000}"/>
    <cellStyle name="40% - Accent6 3 3 2" xfId="1769" xr:uid="{00000000-0005-0000-0000-0000D4080000}"/>
    <cellStyle name="40% - Accent6 3 4" xfId="1770" xr:uid="{00000000-0005-0000-0000-0000D5080000}"/>
    <cellStyle name="40% - Accent6 3 4 2" xfId="3751" xr:uid="{00000000-0005-0000-0000-0000D6080000}"/>
    <cellStyle name="40% - Accent6 3 5" xfId="3752" xr:uid="{00000000-0005-0000-0000-0000D7080000}"/>
    <cellStyle name="40% - Accent6 3 6" xfId="3753" xr:uid="{00000000-0005-0000-0000-0000D8080000}"/>
    <cellStyle name="40% - Accent6 3 7" xfId="3754" xr:uid="{00000000-0005-0000-0000-0000D9080000}"/>
    <cellStyle name="40% - Accent6 3 8" xfId="3755" xr:uid="{00000000-0005-0000-0000-0000DA080000}"/>
    <cellStyle name="40% - Accent6 3_BukuBesar" xfId="3756" xr:uid="{00000000-0005-0000-0000-0000DB080000}"/>
    <cellStyle name="40% - Accent6 30" xfId="3757" xr:uid="{00000000-0005-0000-0000-0000DC080000}"/>
    <cellStyle name="40% - Accent6 4" xfId="153" xr:uid="{00000000-0005-0000-0000-0000DD080000}"/>
    <cellStyle name="40% - Accent6 4 2" xfId="1771" xr:uid="{00000000-0005-0000-0000-0000DE080000}"/>
    <cellStyle name="40% - Accent6 4 2 2" xfId="1772" xr:uid="{00000000-0005-0000-0000-0000DF080000}"/>
    <cellStyle name="40% - Accent6 4 2 2 2" xfId="3758" xr:uid="{00000000-0005-0000-0000-0000E0080000}"/>
    <cellStyle name="40% - Accent6 4 2 3" xfId="3759" xr:uid="{00000000-0005-0000-0000-0000E1080000}"/>
    <cellStyle name="40% - Accent6 4 2_BukuBesar" xfId="3760" xr:uid="{00000000-0005-0000-0000-0000E2080000}"/>
    <cellStyle name="40% - Accent6 4 3" xfId="1773" xr:uid="{00000000-0005-0000-0000-0000E3080000}"/>
    <cellStyle name="40% - Accent6 4 3 2" xfId="1774" xr:uid="{00000000-0005-0000-0000-0000E4080000}"/>
    <cellStyle name="40% - Accent6 4 4" xfId="1775" xr:uid="{00000000-0005-0000-0000-0000E5080000}"/>
    <cellStyle name="40% - Accent6 4 4 2" xfId="3761" xr:uid="{00000000-0005-0000-0000-0000E6080000}"/>
    <cellStyle name="40% - Accent6 4 5" xfId="3762" xr:uid="{00000000-0005-0000-0000-0000E7080000}"/>
    <cellStyle name="40% - Accent6 4 6" xfId="3763" xr:uid="{00000000-0005-0000-0000-0000E8080000}"/>
    <cellStyle name="40% - Accent6 4 7" xfId="3764" xr:uid="{00000000-0005-0000-0000-0000E9080000}"/>
    <cellStyle name="40% - Accent6 4 8" xfId="3765" xr:uid="{00000000-0005-0000-0000-0000EA080000}"/>
    <cellStyle name="40% - Accent6 4_BukuBesar" xfId="3766" xr:uid="{00000000-0005-0000-0000-0000EB080000}"/>
    <cellStyle name="40% - Accent6 5" xfId="154" xr:uid="{00000000-0005-0000-0000-0000EC080000}"/>
    <cellStyle name="40% - Accent6 5 2" xfId="1776" xr:uid="{00000000-0005-0000-0000-0000ED080000}"/>
    <cellStyle name="40% - Accent6 5 2 2" xfId="1777" xr:uid="{00000000-0005-0000-0000-0000EE080000}"/>
    <cellStyle name="40% - Accent6 5 2 2 2" xfId="3767" xr:uid="{00000000-0005-0000-0000-0000EF080000}"/>
    <cellStyle name="40% - Accent6 5 2 3" xfId="3768" xr:uid="{00000000-0005-0000-0000-0000F0080000}"/>
    <cellStyle name="40% - Accent6 5 2_BukuBesar" xfId="3769" xr:uid="{00000000-0005-0000-0000-0000F1080000}"/>
    <cellStyle name="40% - Accent6 5 3" xfId="1778" xr:uid="{00000000-0005-0000-0000-0000F2080000}"/>
    <cellStyle name="40% - Accent6 5 3 2" xfId="1779" xr:uid="{00000000-0005-0000-0000-0000F3080000}"/>
    <cellStyle name="40% - Accent6 5 4" xfId="1780" xr:uid="{00000000-0005-0000-0000-0000F4080000}"/>
    <cellStyle name="40% - Accent6 5 4 2" xfId="3770" xr:uid="{00000000-0005-0000-0000-0000F5080000}"/>
    <cellStyle name="40% - Accent6 5 5" xfId="3771" xr:uid="{00000000-0005-0000-0000-0000F6080000}"/>
    <cellStyle name="40% - Accent6 5 6" xfId="3772" xr:uid="{00000000-0005-0000-0000-0000F7080000}"/>
    <cellStyle name="40% - Accent6 5 7" xfId="3773" xr:uid="{00000000-0005-0000-0000-0000F8080000}"/>
    <cellStyle name="40% - Accent6 5 8" xfId="3774" xr:uid="{00000000-0005-0000-0000-0000F9080000}"/>
    <cellStyle name="40% - Accent6 5_BukuBesar" xfId="3775" xr:uid="{00000000-0005-0000-0000-0000FA080000}"/>
    <cellStyle name="40% - Accent6 6" xfId="155" xr:uid="{00000000-0005-0000-0000-0000FB080000}"/>
    <cellStyle name="40% - Accent6 6 2" xfId="1781" xr:uid="{00000000-0005-0000-0000-0000FC080000}"/>
    <cellStyle name="40% - Accent6 6 2 2" xfId="1782" xr:uid="{00000000-0005-0000-0000-0000FD080000}"/>
    <cellStyle name="40% - Accent6 6 2 2 2" xfId="3776" xr:uid="{00000000-0005-0000-0000-0000FE080000}"/>
    <cellStyle name="40% - Accent6 6 2 3" xfId="3777" xr:uid="{00000000-0005-0000-0000-0000FF080000}"/>
    <cellStyle name="40% - Accent6 6 2_BukuBesar" xfId="3778" xr:uid="{00000000-0005-0000-0000-000000090000}"/>
    <cellStyle name="40% - Accent6 6 3" xfId="1783" xr:uid="{00000000-0005-0000-0000-000001090000}"/>
    <cellStyle name="40% - Accent6 6 3 2" xfId="1784" xr:uid="{00000000-0005-0000-0000-000002090000}"/>
    <cellStyle name="40% - Accent6 6 4" xfId="1785" xr:uid="{00000000-0005-0000-0000-000003090000}"/>
    <cellStyle name="40% - Accent6 6 4 2" xfId="3779" xr:uid="{00000000-0005-0000-0000-000004090000}"/>
    <cellStyle name="40% - Accent6 6 5" xfId="3780" xr:uid="{00000000-0005-0000-0000-000005090000}"/>
    <cellStyle name="40% - Accent6 6 6" xfId="3781" xr:uid="{00000000-0005-0000-0000-000006090000}"/>
    <cellStyle name="40% - Accent6 6 7" xfId="3782" xr:uid="{00000000-0005-0000-0000-000007090000}"/>
    <cellStyle name="40% - Accent6 6 8" xfId="3783" xr:uid="{00000000-0005-0000-0000-000008090000}"/>
    <cellStyle name="40% - Accent6 6_BukuBesar" xfId="3784" xr:uid="{00000000-0005-0000-0000-000009090000}"/>
    <cellStyle name="40% - Accent6 7" xfId="156" xr:uid="{00000000-0005-0000-0000-00000A090000}"/>
    <cellStyle name="40% - Accent6 7 2" xfId="1786" xr:uid="{00000000-0005-0000-0000-00000B090000}"/>
    <cellStyle name="40% - Accent6 7 2 2" xfId="1787" xr:uid="{00000000-0005-0000-0000-00000C090000}"/>
    <cellStyle name="40% - Accent6 7 2 3" xfId="3785" xr:uid="{00000000-0005-0000-0000-00000D090000}"/>
    <cellStyle name="40% - Accent6 7 3" xfId="1788" xr:uid="{00000000-0005-0000-0000-00000E090000}"/>
    <cellStyle name="40% - Accent6 7 3 2" xfId="1789" xr:uid="{00000000-0005-0000-0000-00000F090000}"/>
    <cellStyle name="40% - Accent6 7 3 3" xfId="3786" xr:uid="{00000000-0005-0000-0000-000010090000}"/>
    <cellStyle name="40% - Accent6 7 4" xfId="1790" xr:uid="{00000000-0005-0000-0000-000011090000}"/>
    <cellStyle name="40% - Accent6 7_BukuBesar" xfId="3787" xr:uid="{00000000-0005-0000-0000-000012090000}"/>
    <cellStyle name="40% - Accent6 8" xfId="157" xr:uid="{00000000-0005-0000-0000-000013090000}"/>
    <cellStyle name="40% - Accent6 8 2" xfId="1791" xr:uid="{00000000-0005-0000-0000-000014090000}"/>
    <cellStyle name="40% - Accent6 8 2 2" xfId="1792" xr:uid="{00000000-0005-0000-0000-000015090000}"/>
    <cellStyle name="40% - Accent6 8 2 3" xfId="3788" xr:uid="{00000000-0005-0000-0000-000016090000}"/>
    <cellStyle name="40% - Accent6 8 3" xfId="1793" xr:uid="{00000000-0005-0000-0000-000017090000}"/>
    <cellStyle name="40% - Accent6 8 3 2" xfId="1794" xr:uid="{00000000-0005-0000-0000-000018090000}"/>
    <cellStyle name="40% - Accent6 8 3 3" xfId="3789" xr:uid="{00000000-0005-0000-0000-000019090000}"/>
    <cellStyle name="40% - Accent6 8 4" xfId="1795" xr:uid="{00000000-0005-0000-0000-00001A090000}"/>
    <cellStyle name="40% - Accent6 8_BukuBesar" xfId="3790" xr:uid="{00000000-0005-0000-0000-00001B090000}"/>
    <cellStyle name="40% - Accent6 9" xfId="158" xr:uid="{00000000-0005-0000-0000-00001C090000}"/>
    <cellStyle name="40% - Accent6 9 2" xfId="1796" xr:uid="{00000000-0005-0000-0000-00001D090000}"/>
    <cellStyle name="40% - Accent6 9 2 2" xfId="1797" xr:uid="{00000000-0005-0000-0000-00001E090000}"/>
    <cellStyle name="40% - Accent6 9 2 3" xfId="3791" xr:uid="{00000000-0005-0000-0000-00001F090000}"/>
    <cellStyle name="40% - Accent6 9 3" xfId="1798" xr:uid="{00000000-0005-0000-0000-000020090000}"/>
    <cellStyle name="40% - Accent6 9 3 2" xfId="1799" xr:uid="{00000000-0005-0000-0000-000021090000}"/>
    <cellStyle name="40% - Accent6 9 3 3" xfId="3792" xr:uid="{00000000-0005-0000-0000-000022090000}"/>
    <cellStyle name="40% - Accent6 9 4" xfId="1800" xr:uid="{00000000-0005-0000-0000-000023090000}"/>
    <cellStyle name="40% - Accent6 9_BukuBesar" xfId="3793" xr:uid="{00000000-0005-0000-0000-000024090000}"/>
    <cellStyle name="60% - Accent1 2" xfId="159" xr:uid="{00000000-0005-0000-0000-000025090000}"/>
    <cellStyle name="60% - Accent1 2 2" xfId="1801" xr:uid="{00000000-0005-0000-0000-000026090000}"/>
    <cellStyle name="60% - Accent1 2 2 2" xfId="3794" xr:uid="{00000000-0005-0000-0000-000027090000}"/>
    <cellStyle name="60% - Accent1 2 3" xfId="6513" xr:uid="{0F5CA2BC-3ECC-4513-85DB-EB7F442ABFC8}"/>
    <cellStyle name="60% - Accent1 3" xfId="5656" xr:uid="{00000000-0005-0000-0000-000028090000}"/>
    <cellStyle name="60% - Accent2 2" xfId="160" xr:uid="{00000000-0005-0000-0000-000029090000}"/>
    <cellStyle name="60% - Accent2 2 2" xfId="1802" xr:uid="{00000000-0005-0000-0000-00002A090000}"/>
    <cellStyle name="60% - Accent2 2 2 2" xfId="3795" xr:uid="{00000000-0005-0000-0000-00002B090000}"/>
    <cellStyle name="60% - Accent2 2 2 3" xfId="5657" xr:uid="{00000000-0005-0000-0000-00002C090000}"/>
    <cellStyle name="60% - Accent2 2 2 4" xfId="6516" xr:uid="{95745750-60BC-417F-AF3F-1A1B077054F2}"/>
    <cellStyle name="60% - Accent2 2 3" xfId="3796" xr:uid="{00000000-0005-0000-0000-00002D090000}"/>
    <cellStyle name="60% - Accent2 2 3 2" xfId="6518" xr:uid="{1C4DFAAE-C31E-4B9A-B380-483AE4A58887}"/>
    <cellStyle name="60% - Accent2 2 4" xfId="6515" xr:uid="{D64548ED-36BC-4225-AA6D-C1CD21094B16}"/>
    <cellStyle name="60% - Accent2 3" xfId="3797" xr:uid="{00000000-0005-0000-0000-00002E090000}"/>
    <cellStyle name="60% - Accent3 2" xfId="161" xr:uid="{00000000-0005-0000-0000-00002F090000}"/>
    <cellStyle name="60% - Accent3 2 2" xfId="1803" xr:uid="{00000000-0005-0000-0000-000030090000}"/>
    <cellStyle name="60% - Accent3 2 2 2" xfId="3798" xr:uid="{00000000-0005-0000-0000-000031090000}"/>
    <cellStyle name="60% - Accent3 2 3" xfId="6441" xr:uid="{1982F32E-54F2-443B-A99F-5D8A643D8A83}"/>
    <cellStyle name="60% - Accent3 3" xfId="5658" xr:uid="{00000000-0005-0000-0000-000032090000}"/>
    <cellStyle name="60% - Accent4 2" xfId="162" xr:uid="{00000000-0005-0000-0000-000033090000}"/>
    <cellStyle name="60% - Accent4 2 2" xfId="1804" xr:uid="{00000000-0005-0000-0000-000034090000}"/>
    <cellStyle name="60% - Accent4 2 2 2" xfId="3799" xr:uid="{00000000-0005-0000-0000-000035090000}"/>
    <cellStyle name="60% - Accent4 2 3" xfId="6519" xr:uid="{38764676-D8EE-4137-AB52-55091147FE13}"/>
    <cellStyle name="60% - Accent4 3" xfId="5659" xr:uid="{00000000-0005-0000-0000-000036090000}"/>
    <cellStyle name="60% - Accent5 2" xfId="163" xr:uid="{00000000-0005-0000-0000-000037090000}"/>
    <cellStyle name="60% - Accent5 2 2" xfId="1805" xr:uid="{00000000-0005-0000-0000-000038090000}"/>
    <cellStyle name="60% - Accent5 2 2 2" xfId="3800" xr:uid="{00000000-0005-0000-0000-000039090000}"/>
    <cellStyle name="60% - Accent5 2 3" xfId="6520" xr:uid="{CBABB87D-0B0D-49AB-979E-95503C928156}"/>
    <cellStyle name="60% - Accent5 3" xfId="5660" xr:uid="{00000000-0005-0000-0000-00003A090000}"/>
    <cellStyle name="60% - Accent6 2" xfId="164" xr:uid="{00000000-0005-0000-0000-00003B090000}"/>
    <cellStyle name="60% - Accent6 2 2" xfId="1806" xr:uid="{00000000-0005-0000-0000-00003C090000}"/>
    <cellStyle name="60% - Accent6 2 2 2" xfId="3801" xr:uid="{00000000-0005-0000-0000-00003D090000}"/>
    <cellStyle name="60% - Accent6 2 2 3" xfId="5661" xr:uid="{00000000-0005-0000-0000-00003E090000}"/>
    <cellStyle name="60% - Accent6 2 2 4" xfId="6524" xr:uid="{CA446130-A11C-44A7-A7B8-92D322B9F107}"/>
    <cellStyle name="60% - Accent6 2 3" xfId="3802" xr:uid="{00000000-0005-0000-0000-00003F090000}"/>
    <cellStyle name="60% - Accent6 2 3 2" xfId="6527" xr:uid="{85636C50-AA17-4CD4-B3A5-B484FE7AF1A4}"/>
    <cellStyle name="60% - Accent6 2 4" xfId="3803" xr:uid="{00000000-0005-0000-0000-000040090000}"/>
    <cellStyle name="60% - Accent6 2 5" xfId="6521" xr:uid="{C76271A8-E6AE-4EDE-B32C-961F75E9B891}"/>
    <cellStyle name="60% - Accent6 3" xfId="3804" xr:uid="{00000000-0005-0000-0000-000041090000}"/>
    <cellStyle name="Accent1 2" xfId="165" xr:uid="{00000000-0005-0000-0000-000042090000}"/>
    <cellStyle name="Accent1 2 2" xfId="1807" xr:uid="{00000000-0005-0000-0000-000043090000}"/>
    <cellStyle name="Accent1 2 2 2" xfId="3805" xr:uid="{00000000-0005-0000-0000-000044090000}"/>
    <cellStyle name="Accent1 2 3" xfId="6528" xr:uid="{4271645B-BE19-4CA1-ABA4-89D7FA483C4A}"/>
    <cellStyle name="Accent1 3" xfId="5662" xr:uid="{00000000-0005-0000-0000-000045090000}"/>
    <cellStyle name="Accent2 2" xfId="166" xr:uid="{00000000-0005-0000-0000-000046090000}"/>
    <cellStyle name="Accent2 2 2" xfId="1808" xr:uid="{00000000-0005-0000-0000-000047090000}"/>
    <cellStyle name="Accent2 2 2 2" xfId="3806" xr:uid="{00000000-0005-0000-0000-000048090000}"/>
    <cellStyle name="Accent2 2 2 3" xfId="5663" xr:uid="{00000000-0005-0000-0000-000049090000}"/>
    <cellStyle name="Accent2 2 2 4" xfId="6481" xr:uid="{3BE287F9-F81B-40F2-9ADC-24A3177FCB4C}"/>
    <cellStyle name="Accent2 2 3" xfId="3807" xr:uid="{00000000-0005-0000-0000-00004A090000}"/>
    <cellStyle name="Accent2 2 3 2" xfId="6531" xr:uid="{2573E093-0039-4410-9B09-EA83018A6DF5}"/>
    <cellStyle name="Accent2 2 4" xfId="6530" xr:uid="{62DB8BEF-15BE-41FF-A01E-FE2A1C2FB50E}"/>
    <cellStyle name="Accent2 3" xfId="3808" xr:uid="{00000000-0005-0000-0000-00004B090000}"/>
    <cellStyle name="Accent3 2" xfId="167" xr:uid="{00000000-0005-0000-0000-00004C090000}"/>
    <cellStyle name="Accent3 2 2" xfId="1809" xr:uid="{00000000-0005-0000-0000-00004D090000}"/>
    <cellStyle name="Accent3 2 2 2" xfId="3809" xr:uid="{00000000-0005-0000-0000-00004E090000}"/>
    <cellStyle name="Accent3 2 3" xfId="6534" xr:uid="{8BF520BC-3EC5-47EF-B2EA-636CFCBD750A}"/>
    <cellStyle name="Accent3 3" xfId="5664" xr:uid="{00000000-0005-0000-0000-00004F090000}"/>
    <cellStyle name="Accent4 2" xfId="168" xr:uid="{00000000-0005-0000-0000-000050090000}"/>
    <cellStyle name="Accent4 2 2" xfId="1810" xr:uid="{00000000-0005-0000-0000-000051090000}"/>
    <cellStyle name="Accent4 2 2 2" xfId="3810" xr:uid="{00000000-0005-0000-0000-000052090000}"/>
    <cellStyle name="Accent4 2 2 3" xfId="5665" xr:uid="{00000000-0005-0000-0000-000053090000}"/>
    <cellStyle name="Accent4 2 2 4" xfId="6538" xr:uid="{1F8B38B6-5F10-4F32-9F60-5999EA55DE98}"/>
    <cellStyle name="Accent4 2 3" xfId="3811" xr:uid="{00000000-0005-0000-0000-000054090000}"/>
    <cellStyle name="Accent4 2 3 2" xfId="6543" xr:uid="{BFDFA916-5755-4834-9FDC-2B90DFB5DAFF}"/>
    <cellStyle name="Accent4 2 4" xfId="6480" xr:uid="{490E1A39-9647-4479-A604-031B098141D2}"/>
    <cellStyle name="Accent4 3" xfId="3812" xr:uid="{00000000-0005-0000-0000-000055090000}"/>
    <cellStyle name="Accent5 2" xfId="169" xr:uid="{00000000-0005-0000-0000-000056090000}"/>
    <cellStyle name="Accent5 2 2" xfId="1811" xr:uid="{00000000-0005-0000-0000-000057090000}"/>
    <cellStyle name="Accent5 2 2 2" xfId="3813" xr:uid="{00000000-0005-0000-0000-000058090000}"/>
    <cellStyle name="Accent5 2 3" xfId="6547" xr:uid="{9180D1D2-B3E0-40EA-91E4-20E1DC531489}"/>
    <cellStyle name="Accent5 3" xfId="5666" xr:uid="{00000000-0005-0000-0000-000059090000}"/>
    <cellStyle name="Accent6 2" xfId="170" xr:uid="{00000000-0005-0000-0000-00005A090000}"/>
    <cellStyle name="Accent6 2 2" xfId="1812" xr:uid="{00000000-0005-0000-0000-00005B090000}"/>
    <cellStyle name="Accent6 2 2 2" xfId="3814" xr:uid="{00000000-0005-0000-0000-00005C090000}"/>
    <cellStyle name="Accent6 2 3" xfId="6539" xr:uid="{64C61139-EAC6-48F6-83C8-551235CD54F3}"/>
    <cellStyle name="Accent6 3" xfId="5667" xr:uid="{00000000-0005-0000-0000-00005D090000}"/>
    <cellStyle name="ÅëÈ­ [0]_±âÅ¸" xfId="1813" xr:uid="{00000000-0005-0000-0000-00005E090000}"/>
    <cellStyle name="AeE­ [0]_INQUIRY ¿μ¾÷AßAø " xfId="3815" xr:uid="{00000000-0005-0000-0000-00005F090000}"/>
    <cellStyle name="ÅëÈ­_±âÅ¸" xfId="1814" xr:uid="{00000000-0005-0000-0000-000060090000}"/>
    <cellStyle name="AeE­_INQUIRY ¿μ¾÷AßAø " xfId="3816" xr:uid="{00000000-0005-0000-0000-000061090000}"/>
    <cellStyle name="args.style" xfId="171" xr:uid="{00000000-0005-0000-0000-000062090000}"/>
    <cellStyle name="args.style 2" xfId="1815" xr:uid="{00000000-0005-0000-0000-000063090000}"/>
    <cellStyle name="args.style 2 2" xfId="3817" xr:uid="{00000000-0005-0000-0000-000064090000}"/>
    <cellStyle name="args.style 3" xfId="6550" xr:uid="{60795A40-641E-4666-BFD7-78B2B6403520}"/>
    <cellStyle name="ÄÞ¸¶ [0]_±âÅ¸" xfId="1816" xr:uid="{00000000-0005-0000-0000-000065090000}"/>
    <cellStyle name="AÞ¸¶ [0]_INQUIRY ¿?¾÷AßAø " xfId="172" xr:uid="{00000000-0005-0000-0000-000066090000}"/>
    <cellStyle name="ÄÞ¸¶_±âÅ¸" xfId="1817" xr:uid="{00000000-0005-0000-0000-000067090000}"/>
    <cellStyle name="AÞ¸¶_INQUIRY ¿?¾÷AßAø " xfId="173" xr:uid="{00000000-0005-0000-0000-000068090000}"/>
    <cellStyle name="Bad 2" xfId="174" xr:uid="{00000000-0005-0000-0000-000069090000}"/>
    <cellStyle name="Bad 2 2" xfId="1818" xr:uid="{00000000-0005-0000-0000-00006A090000}"/>
    <cellStyle name="Bad 2 2 2" xfId="3818" xr:uid="{00000000-0005-0000-0000-00006B090000}"/>
    <cellStyle name="Bad 2 2 3" xfId="6553" xr:uid="{DF97AF17-AC64-4DB3-935B-FF15B9393DDD}"/>
    <cellStyle name="Bad 2 3" xfId="3819" xr:uid="{00000000-0005-0000-0000-00006C090000}"/>
    <cellStyle name="Bad 2 4" xfId="6552" xr:uid="{8403D4F9-C745-4C78-910C-505DE4F80628}"/>
    <cellStyle name="Bad 3" xfId="3820" xr:uid="{00000000-0005-0000-0000-00006D090000}"/>
    <cellStyle name="C?AØ_¿?¾÷CoE² " xfId="175" xr:uid="{00000000-0005-0000-0000-00006E090000}"/>
    <cellStyle name="Ç¥ÁØ_¿¬°£´©°è¿¹»ó" xfId="1819" xr:uid="{00000000-0005-0000-0000-00006F090000}"/>
    <cellStyle name="C￥AØ_¿μ¾÷CoE² " xfId="176" xr:uid="{00000000-0005-0000-0000-000070090000}"/>
    <cellStyle name="Calc Currency (0)" xfId="177" xr:uid="{00000000-0005-0000-0000-000071090000}"/>
    <cellStyle name="Calc Currency (0) 2" xfId="178" xr:uid="{00000000-0005-0000-0000-000072090000}"/>
    <cellStyle name="Calc Currency (0) 2 2" xfId="3821" xr:uid="{00000000-0005-0000-0000-000073090000}"/>
    <cellStyle name="Calc Currency (0) 3" xfId="3822" xr:uid="{00000000-0005-0000-0000-000074090000}"/>
    <cellStyle name="Calc Currency (2)" xfId="179" xr:uid="{00000000-0005-0000-0000-000075090000}"/>
    <cellStyle name="Calc Currency (2) 2" xfId="180" xr:uid="{00000000-0005-0000-0000-000076090000}"/>
    <cellStyle name="Calc Currency (2) 2 2" xfId="6020" xr:uid="{00000000-0005-0000-0000-000077090000}"/>
    <cellStyle name="Calc Currency (2) 3" xfId="5668" xr:uid="{00000000-0005-0000-0000-000078090000}"/>
    <cellStyle name="Calc Currency (2) 3 2" xfId="6021" xr:uid="{00000000-0005-0000-0000-000079090000}"/>
    <cellStyle name="Calc Currency (2) 4" xfId="6019" xr:uid="{00000000-0005-0000-0000-00007A090000}"/>
    <cellStyle name="Calc Percent (0)" xfId="181" xr:uid="{00000000-0005-0000-0000-00007B090000}"/>
    <cellStyle name="Calc Percent (0) 2" xfId="6559" xr:uid="{40C47377-91DA-44AB-B73B-548F56D97467}"/>
    <cellStyle name="Calc Percent (1)" xfId="182" xr:uid="{00000000-0005-0000-0000-00007C090000}"/>
    <cellStyle name="Calc Percent (1) 2" xfId="6562" xr:uid="{0E3A78FB-06F8-4562-99A3-F94802755969}"/>
    <cellStyle name="Calc Percent (2)" xfId="183" xr:uid="{00000000-0005-0000-0000-00007D090000}"/>
    <cellStyle name="Calc Percent (2) 2" xfId="6566" xr:uid="{812128C0-41CC-4C5B-A099-31E1721AA7EA}"/>
    <cellStyle name="Calc Units (0)" xfId="184" xr:uid="{00000000-0005-0000-0000-00007E090000}"/>
    <cellStyle name="Calc Units (0) 2" xfId="185" xr:uid="{00000000-0005-0000-0000-00007F090000}"/>
    <cellStyle name="Calc Units (0) 2 2" xfId="6023" xr:uid="{00000000-0005-0000-0000-000080090000}"/>
    <cellStyle name="Calc Units (0) 3" xfId="5669" xr:uid="{00000000-0005-0000-0000-000081090000}"/>
    <cellStyle name="Calc Units (0) 3 2" xfId="6024" xr:uid="{00000000-0005-0000-0000-000082090000}"/>
    <cellStyle name="Calc Units (0) 4" xfId="6022" xr:uid="{00000000-0005-0000-0000-000083090000}"/>
    <cellStyle name="Calc Units (1)" xfId="186" xr:uid="{00000000-0005-0000-0000-000084090000}"/>
    <cellStyle name="Calc Units (1) 2" xfId="187" xr:uid="{00000000-0005-0000-0000-000085090000}"/>
    <cellStyle name="Calc Units (1) 2 2" xfId="6026" xr:uid="{00000000-0005-0000-0000-000086090000}"/>
    <cellStyle name="Calc Units (1) 3" xfId="5670" xr:uid="{00000000-0005-0000-0000-000087090000}"/>
    <cellStyle name="Calc Units (1) 3 2" xfId="6027" xr:uid="{00000000-0005-0000-0000-000088090000}"/>
    <cellStyle name="Calc Units (1) 4" xfId="6025" xr:uid="{00000000-0005-0000-0000-000089090000}"/>
    <cellStyle name="Calc Units (2)" xfId="188" xr:uid="{00000000-0005-0000-0000-00008A090000}"/>
    <cellStyle name="Calc Units (2) 2" xfId="189" xr:uid="{00000000-0005-0000-0000-00008B090000}"/>
    <cellStyle name="Calc Units (2) 2 2" xfId="6029" xr:uid="{00000000-0005-0000-0000-00008C090000}"/>
    <cellStyle name="Calc Units (2) 3" xfId="5671" xr:uid="{00000000-0005-0000-0000-00008D090000}"/>
    <cellStyle name="Calc Units (2) 3 2" xfId="6030" xr:uid="{00000000-0005-0000-0000-00008E090000}"/>
    <cellStyle name="Calc Units (2) 4" xfId="6028" xr:uid="{00000000-0005-0000-0000-00008F090000}"/>
    <cellStyle name="Calculation 2" xfId="190" xr:uid="{00000000-0005-0000-0000-000090090000}"/>
    <cellStyle name="Calculation 2 2" xfId="1820" xr:uid="{00000000-0005-0000-0000-000091090000}"/>
    <cellStyle name="Calculation 2 2 2" xfId="3823" xr:uid="{00000000-0005-0000-0000-000092090000}"/>
    <cellStyle name="Calculation 2 2 3" xfId="3824" xr:uid="{00000000-0005-0000-0000-000093090000}"/>
    <cellStyle name="Calculation 2 2 4" xfId="6031" xr:uid="{00000000-0005-0000-0000-000094090000}"/>
    <cellStyle name="Calculation 2 3" xfId="1821" xr:uid="{00000000-0005-0000-0000-000095090000}"/>
    <cellStyle name="Calculation 2 3 2" xfId="6032" xr:uid="{00000000-0005-0000-0000-000096090000}"/>
    <cellStyle name="Calculation 2 4" xfId="1822" xr:uid="{00000000-0005-0000-0000-000097090000}"/>
    <cellStyle name="Calculation 2 4 2" xfId="3825" xr:uid="{00000000-0005-0000-0000-000098090000}"/>
    <cellStyle name="Calculation 2 4 3" xfId="6033" xr:uid="{00000000-0005-0000-0000-000099090000}"/>
    <cellStyle name="Calculation 2 5" xfId="5672" xr:uid="{00000000-0005-0000-0000-00009A090000}"/>
    <cellStyle name="Calculation 2 6" xfId="6482" xr:uid="{0068B96C-D6A8-4DCB-8448-ABACA7DA1585}"/>
    <cellStyle name="Calculation 3" xfId="5673" xr:uid="{00000000-0005-0000-0000-00009B090000}"/>
    <cellStyle name="Calculation 3 2" xfId="5918" xr:uid="{00000000-0005-0000-0000-00009C090000}"/>
    <cellStyle name="Calculation 3 2 2" xfId="6034" xr:uid="{00000000-0005-0000-0000-00009D090000}"/>
    <cellStyle name="Calculation 3 3" xfId="6035" xr:uid="{00000000-0005-0000-0000-00009E090000}"/>
    <cellStyle name="Calculation 3 4" xfId="6036" xr:uid="{00000000-0005-0000-0000-00009F090000}"/>
    <cellStyle name="cf" xfId="191" xr:uid="{00000000-0005-0000-0000-0000A0090000}"/>
    <cellStyle name="cf 2" xfId="6574" xr:uid="{766B7FD4-8E04-4D5B-9923-66CD246921CE}"/>
    <cellStyle name="Check Cell 2" xfId="192" xr:uid="{00000000-0005-0000-0000-0000A1090000}"/>
    <cellStyle name="Check Cell 2 2" xfId="1823" xr:uid="{00000000-0005-0000-0000-0000A2090000}"/>
    <cellStyle name="Check Cell 2 2 2" xfId="3826" xr:uid="{00000000-0005-0000-0000-0000A3090000}"/>
    <cellStyle name="Check Cell 2 3" xfId="1824" xr:uid="{00000000-0005-0000-0000-0000A4090000}"/>
    <cellStyle name="Check Cell 2 4" xfId="6577" xr:uid="{544B3AC4-AF60-41B3-9930-B0FE3E8AF62B}"/>
    <cellStyle name="Check Cell 3" xfId="5674" xr:uid="{00000000-0005-0000-0000-0000A5090000}"/>
    <cellStyle name="Comma" xfId="7181" builtinId="3"/>
    <cellStyle name="Comma  - Style1" xfId="193" xr:uid="{00000000-0005-0000-0000-0000A7090000}"/>
    <cellStyle name="Comma  - Style1 2" xfId="1825" xr:uid="{00000000-0005-0000-0000-0000A8090000}"/>
    <cellStyle name="Comma  - Style1 3" xfId="6578" xr:uid="{8F377248-634B-4065-8715-53AA2327C038}"/>
    <cellStyle name="Comma  - Style2" xfId="194" xr:uid="{00000000-0005-0000-0000-0000A9090000}"/>
    <cellStyle name="Comma  - Style2 2" xfId="1826" xr:uid="{00000000-0005-0000-0000-0000AA090000}"/>
    <cellStyle name="Comma  - Style2 3" xfId="6548" xr:uid="{FB012B2D-450A-4247-BF61-D3E1ACACDA0B}"/>
    <cellStyle name="Comma  - Style3" xfId="195" xr:uid="{00000000-0005-0000-0000-0000AB090000}"/>
    <cellStyle name="Comma  - Style3 2" xfId="1827" xr:uid="{00000000-0005-0000-0000-0000AC090000}"/>
    <cellStyle name="Comma  - Style3 3" xfId="6582" xr:uid="{1437A2E2-1220-4699-A468-DE8FD907D059}"/>
    <cellStyle name="Comma  - Style4" xfId="1828" xr:uid="{00000000-0005-0000-0000-0000AD090000}"/>
    <cellStyle name="Comma  - Style5" xfId="1829" xr:uid="{00000000-0005-0000-0000-0000AE090000}"/>
    <cellStyle name="Comma  - Style6" xfId="1830" xr:uid="{00000000-0005-0000-0000-0000AF090000}"/>
    <cellStyle name="Comma  - Style7" xfId="1831" xr:uid="{00000000-0005-0000-0000-0000B0090000}"/>
    <cellStyle name="Comma [0]" xfId="1" builtinId="6"/>
    <cellStyle name="Comma [0] 10" xfId="196" xr:uid="{00000000-0005-0000-0000-0000B2090000}"/>
    <cellStyle name="Comma [0] 10 10" xfId="197" xr:uid="{00000000-0005-0000-0000-0000B3090000}"/>
    <cellStyle name="Comma [0] 10 10 2" xfId="6517" xr:uid="{8F8C9B0A-72E5-49B8-A5C2-D04AA7541A14}"/>
    <cellStyle name="Comma [0] 10 10 3" xfId="6587" xr:uid="{9ABDBB6D-B001-450F-A1CA-3B1E613AAFB6}"/>
    <cellStyle name="Comma [0] 10 2" xfId="198" xr:uid="{00000000-0005-0000-0000-0000B4090000}"/>
    <cellStyle name="Comma [0] 10 2 2" xfId="1832" xr:uid="{00000000-0005-0000-0000-0000B5090000}"/>
    <cellStyle name="Comma [0] 10 2 2 2" xfId="6039" xr:uid="{00000000-0005-0000-0000-0000B6090000}"/>
    <cellStyle name="Comma [0] 10 2 3" xfId="5681" xr:uid="{00000000-0005-0000-0000-0000B7090000}"/>
    <cellStyle name="Comma [0] 10 3" xfId="5680" xr:uid="{00000000-0005-0000-0000-0000B8090000}"/>
    <cellStyle name="Comma [0] 10 3 2" xfId="6040" xr:uid="{00000000-0005-0000-0000-0000B9090000}"/>
    <cellStyle name="Comma [0] 10 5" xfId="1833" xr:uid="{00000000-0005-0000-0000-0000BA090000}"/>
    <cellStyle name="Comma [0] 11" xfId="199" xr:uid="{00000000-0005-0000-0000-0000BB090000}"/>
    <cellStyle name="Comma [0] 11 2" xfId="200" xr:uid="{00000000-0005-0000-0000-0000BC090000}"/>
    <cellStyle name="Comma [0] 11 2 2" xfId="3827" xr:uid="{00000000-0005-0000-0000-0000BD090000}"/>
    <cellStyle name="Comma [0] 11 2 3" xfId="6041" xr:uid="{00000000-0005-0000-0000-0000BE090000}"/>
    <cellStyle name="Comma [0] 11 3" xfId="5682" xr:uid="{00000000-0005-0000-0000-0000BF090000}"/>
    <cellStyle name="Comma [0] 12" xfId="201" xr:uid="{00000000-0005-0000-0000-0000C0090000}"/>
    <cellStyle name="Comma [0] 12 2" xfId="202" xr:uid="{00000000-0005-0000-0000-0000C1090000}"/>
    <cellStyle name="Comma [0] 12 2 2" xfId="5684" xr:uid="{00000000-0005-0000-0000-0000C2090000}"/>
    <cellStyle name="Comma [0] 12 2 2 2" xfId="6042" xr:uid="{00000000-0005-0000-0000-0000C3090000}"/>
    <cellStyle name="Comma [0] 12 3" xfId="203" xr:uid="{00000000-0005-0000-0000-0000C4090000}"/>
    <cellStyle name="Comma [0] 12 3 2" xfId="6043" xr:uid="{00000000-0005-0000-0000-0000C5090000}"/>
    <cellStyle name="Comma [0] 12 3 2 2" xfId="6410" xr:uid="{75574F2B-3DE8-4213-BE81-2AC260926515}"/>
    <cellStyle name="Comma [0] 12 3 3" xfId="6589" xr:uid="{2873BDC9-1460-4FCA-8290-C6B2B7DA3929}"/>
    <cellStyle name="Comma [0] 12 4" xfId="5683" xr:uid="{00000000-0005-0000-0000-0000C6090000}"/>
    <cellStyle name="Comma [0] 13" xfId="204" xr:uid="{00000000-0005-0000-0000-0000C7090000}"/>
    <cellStyle name="Comma [0] 13 2" xfId="205" xr:uid="{00000000-0005-0000-0000-0000C8090000}"/>
    <cellStyle name="Comma [0] 13 2 2" xfId="3828" xr:uid="{00000000-0005-0000-0000-0000C9090000}"/>
    <cellStyle name="Comma [0] 13 2 2 2" xfId="6044" xr:uid="{00000000-0005-0000-0000-0000CA090000}"/>
    <cellStyle name="Comma [0] 13 2 2 3" xfId="6595" xr:uid="{287CCFF9-E8AB-4415-B3AA-B684F2B97D5E}"/>
    <cellStyle name="Comma [0] 13 2 3" xfId="3829" xr:uid="{00000000-0005-0000-0000-0000CB090000}"/>
    <cellStyle name="Comma [0] 13 2 4" xfId="3830" xr:uid="{00000000-0005-0000-0000-0000CC090000}"/>
    <cellStyle name="Comma [0] 13 2 5" xfId="5686" xr:uid="{00000000-0005-0000-0000-0000CD090000}"/>
    <cellStyle name="Comma [0] 13 2 6" xfId="6533" xr:uid="{FB70AB51-DA0C-488E-8412-F4503BDD85A8}"/>
    <cellStyle name="Comma [0] 13 3" xfId="3831" xr:uid="{00000000-0005-0000-0000-0000CE090000}"/>
    <cellStyle name="Comma [0] 13 3 2" xfId="6045" xr:uid="{00000000-0005-0000-0000-0000CF090000}"/>
    <cellStyle name="Comma [0] 13 3 2 2" xfId="6596" xr:uid="{505E0827-2374-4B39-A81B-EF0CEEEE3007}"/>
    <cellStyle name="Comma [0] 13 3 3" xfId="6440" xr:uid="{0E1DF47E-2120-468A-AE04-2C3C6BC2C2B4}"/>
    <cellStyle name="Comma [0] 13 4" xfId="5685" xr:uid="{00000000-0005-0000-0000-0000D0090000}"/>
    <cellStyle name="Comma [0] 13 4 2" xfId="6406" xr:uid="{499B875A-7684-4B44-8A74-6199E50842C7}"/>
    <cellStyle name="Comma [0] 13 5" xfId="6458" xr:uid="{462FD430-5A3F-4EC9-94CB-B5773CF5AF93}"/>
    <cellStyle name="Comma [0] 14" xfId="206" xr:uid="{00000000-0005-0000-0000-0000D1090000}"/>
    <cellStyle name="Comma [0] 14 2" xfId="207" xr:uid="{00000000-0005-0000-0000-0000D2090000}"/>
    <cellStyle name="Comma [0] 14 2 2" xfId="3832" xr:uid="{00000000-0005-0000-0000-0000D3090000}"/>
    <cellStyle name="Comma [0] 14 2 2 2" xfId="6535" xr:uid="{1F4C6054-2A41-42CC-8347-B801AB45993B}"/>
    <cellStyle name="Comma [0] 14 2 3" xfId="6046" xr:uid="{00000000-0005-0000-0000-0000D4090000}"/>
    <cellStyle name="Comma [0] 14 2 4" xfId="6477" xr:uid="{78741D60-642E-46A4-A27D-952BB6658880}"/>
    <cellStyle name="Comma [0] 14 3" xfId="5687" xr:uid="{00000000-0005-0000-0000-0000D5090000}"/>
    <cellStyle name="Comma [0] 14 3 2" xfId="6597" xr:uid="{192CB953-B481-4FB5-98AC-C1A655B07724}"/>
    <cellStyle name="Comma [0] 14 4" xfId="6465" xr:uid="{0F3A889F-E390-412F-8D3E-398C0CA83C68}"/>
    <cellStyle name="Comma [0] 15" xfId="208" xr:uid="{00000000-0005-0000-0000-0000D6090000}"/>
    <cellStyle name="Comma [0] 15 2" xfId="209" xr:uid="{00000000-0005-0000-0000-0000D7090000}"/>
    <cellStyle name="Comma [0] 15 2 2" xfId="3833" xr:uid="{00000000-0005-0000-0000-0000D8090000}"/>
    <cellStyle name="Comma [0] 15 2 2 2" xfId="6601" xr:uid="{C9F458D7-25DC-417B-8C88-9650025E4D5E}"/>
    <cellStyle name="Comma [0] 15 2 3" xfId="6047" xr:uid="{00000000-0005-0000-0000-0000D9090000}"/>
    <cellStyle name="Comma [0] 15 2 4" xfId="6545" xr:uid="{15049A8A-42DE-412F-BFDC-EAD99F7C57C0}"/>
    <cellStyle name="Comma [0] 15 3" xfId="5688" xr:uid="{00000000-0005-0000-0000-0000DA090000}"/>
    <cellStyle name="Comma [0] 15 3 2" xfId="6580" xr:uid="{4E6AA062-86BE-4397-9436-8B1AA13A50EF}"/>
    <cellStyle name="Comma [0] 15 4" xfId="6475" xr:uid="{6663BBE8-2B15-4981-9EEA-AE51A36B1522}"/>
    <cellStyle name="Comma [0] 16" xfId="210" xr:uid="{00000000-0005-0000-0000-0000DB090000}"/>
    <cellStyle name="Comma [0] 16 2" xfId="211" xr:uid="{00000000-0005-0000-0000-0000DC090000}"/>
    <cellStyle name="Comma [0] 16 2 2" xfId="6048" xr:uid="{00000000-0005-0000-0000-0000DD090000}"/>
    <cellStyle name="Comma [0] 16 2 2 2" xfId="6430" xr:uid="{9178CFA4-7F4B-4E90-888B-129A8704D1E3}"/>
    <cellStyle name="Comma [0] 16 2 3" xfId="6537" xr:uid="{59FD089E-2B4D-4CD9-BFA1-D5F41F199709}"/>
    <cellStyle name="Comma [0] 16 3" xfId="5689" xr:uid="{00000000-0005-0000-0000-0000DE090000}"/>
    <cellStyle name="Comma [0] 16 3 2" xfId="6541" xr:uid="{AACC0143-0297-41DA-8F33-C12A11C073FF}"/>
    <cellStyle name="Comma [0] 16 4" xfId="6479" xr:uid="{643EF025-3253-45AB-B4A6-ACC73896E1E0}"/>
    <cellStyle name="Comma [0] 17" xfId="212" xr:uid="{00000000-0005-0000-0000-0000DF090000}"/>
    <cellStyle name="Comma [0] 17 2" xfId="213" xr:uid="{00000000-0005-0000-0000-0000E0090000}"/>
    <cellStyle name="Comma [0] 17 2 2" xfId="6049" xr:uid="{00000000-0005-0000-0000-0000E1090000}"/>
    <cellStyle name="Comma [0] 17 2 2 2" xfId="6604" xr:uid="{D21BB543-B137-43CF-AC04-D7C6B8F68EC5}"/>
    <cellStyle name="Comma [0] 17 2 3" xfId="6602" xr:uid="{F3334845-5945-4472-B3FB-4DD0768E23E0}"/>
    <cellStyle name="Comma [0] 17 3" xfId="5690" xr:uid="{00000000-0005-0000-0000-0000E2090000}"/>
    <cellStyle name="Comma [0] 17 3 2" xfId="6608" xr:uid="{5D5ED107-1F5B-4ED2-946B-C0F10DDF650B}"/>
    <cellStyle name="Comma [0] 17 4" xfId="6598" xr:uid="{7FE85EE8-2F94-4CBC-9268-BB0E15B179E1}"/>
    <cellStyle name="Comma [0] 18" xfId="214" xr:uid="{00000000-0005-0000-0000-0000E3090000}"/>
    <cellStyle name="Comma [0] 18 2" xfId="215" xr:uid="{00000000-0005-0000-0000-0000E4090000}"/>
    <cellStyle name="Comma [0] 18 2 2" xfId="6050" xr:uid="{00000000-0005-0000-0000-0000E5090000}"/>
    <cellStyle name="Comma [0] 18 2 2 2" xfId="6612" xr:uid="{5BD7BCC5-C0F8-4487-82A3-26348F6428D6}"/>
    <cellStyle name="Comma [0] 18 2 3" xfId="6610" xr:uid="{3003750A-2EDA-4118-9124-F4CB57AFA342}"/>
    <cellStyle name="Comma [0] 18 3" xfId="5691" xr:uid="{00000000-0005-0000-0000-0000E6090000}"/>
    <cellStyle name="Comma [0] 18 3 2" xfId="6615" xr:uid="{2C62EBE3-F3C4-4376-A851-2C2B36F0A8C2}"/>
    <cellStyle name="Comma [0] 18 4" xfId="6609" xr:uid="{444207C4-7641-4FAE-9EF1-D84DF8031A7B}"/>
    <cellStyle name="Comma [0] 19" xfId="216" xr:uid="{00000000-0005-0000-0000-0000E7090000}"/>
    <cellStyle name="Comma [0] 19 2" xfId="3834" xr:uid="{00000000-0005-0000-0000-0000E8090000}"/>
    <cellStyle name="Comma [0] 19 2 2" xfId="6051" xr:uid="{00000000-0005-0000-0000-0000E9090000}"/>
    <cellStyle name="Comma [0] 19 2 3" xfId="6619" xr:uid="{8CC02815-B2E6-4BAC-BAF3-4AA693F75728}"/>
    <cellStyle name="Comma [0] 19 3" xfId="5692" xr:uid="{00000000-0005-0000-0000-0000EA090000}"/>
    <cellStyle name="Comma [0] 19 4" xfId="6617" xr:uid="{8478FEAE-4C30-44DF-8BCF-B047BB4F58BE}"/>
    <cellStyle name="Comma [0] 2" xfId="217" xr:uid="{00000000-0005-0000-0000-0000EB090000}"/>
    <cellStyle name="Comma [0] 2 10" xfId="218" xr:uid="{00000000-0005-0000-0000-0000EC090000}"/>
    <cellStyle name="Comma [0] 2 10 2" xfId="6621" xr:uid="{9F762D32-C37B-4A5E-BA1A-7F210ABD12FB}"/>
    <cellStyle name="Comma [0] 2 11" xfId="219" xr:uid="{00000000-0005-0000-0000-0000ED090000}"/>
    <cellStyle name="Comma [0] 2 11 2" xfId="6384" xr:uid="{36B7A189-0CE5-4AF9-8351-B777F8E32E15}"/>
    <cellStyle name="Comma [0] 2 12" xfId="220" xr:uid="{00000000-0005-0000-0000-0000EE090000}"/>
    <cellStyle name="Comma [0] 2 13" xfId="221" xr:uid="{00000000-0005-0000-0000-0000EF090000}"/>
    <cellStyle name="Comma [0] 2 14" xfId="222" xr:uid="{00000000-0005-0000-0000-0000F0090000}"/>
    <cellStyle name="Comma [0] 2 15" xfId="223" xr:uid="{00000000-0005-0000-0000-0000F1090000}"/>
    <cellStyle name="Comma [0] 2 16" xfId="224" xr:uid="{00000000-0005-0000-0000-0000F2090000}"/>
    <cellStyle name="Comma [0] 2 17" xfId="225" xr:uid="{00000000-0005-0000-0000-0000F3090000}"/>
    <cellStyle name="Comma [0] 2 18" xfId="226" xr:uid="{00000000-0005-0000-0000-0000F4090000}"/>
    <cellStyle name="Comma [0] 2 19" xfId="227" xr:uid="{00000000-0005-0000-0000-0000F5090000}"/>
    <cellStyle name="Comma [0] 2 2" xfId="228" xr:uid="{00000000-0005-0000-0000-0000F6090000}"/>
    <cellStyle name="Comma [0] 2 2 2" xfId="229" xr:uid="{00000000-0005-0000-0000-0000F7090000}"/>
    <cellStyle name="Comma [0] 2 2 2 2" xfId="3835" xr:uid="{00000000-0005-0000-0000-0000F8090000}"/>
    <cellStyle name="Comma [0] 2 2 2 2 2" xfId="5696" xr:uid="{00000000-0005-0000-0000-0000F9090000}"/>
    <cellStyle name="Comma [0] 2 2 2 2 2 2" xfId="6053" xr:uid="{00000000-0005-0000-0000-0000FA090000}"/>
    <cellStyle name="Comma [0] 2 2 2 2 3" xfId="6573" xr:uid="{9F3937B0-038F-46B6-AA85-A9818393BE84}"/>
    <cellStyle name="Comma [0] 2 2 2 3" xfId="5695" xr:uid="{00000000-0005-0000-0000-0000FB090000}"/>
    <cellStyle name="Comma [0] 2 2 2 3 2" xfId="6054" xr:uid="{00000000-0005-0000-0000-0000FC090000}"/>
    <cellStyle name="Comma [0] 2 2 3" xfId="3836" xr:uid="{00000000-0005-0000-0000-0000FD090000}"/>
    <cellStyle name="Comma [0] 2 2 3 2" xfId="6055" xr:uid="{00000000-0005-0000-0000-0000FE090000}"/>
    <cellStyle name="Comma [0] 2 2 3 2 2" xfId="6629" xr:uid="{3D342EAB-A772-47C8-BC9D-3BB239607256}"/>
    <cellStyle name="Comma [0] 2 2 3 3" xfId="6626" xr:uid="{7FB31C77-B672-412B-99FD-C7A08B64E4A6}"/>
    <cellStyle name="Comma [0] 2 2 4" xfId="3837" xr:uid="{00000000-0005-0000-0000-0000FF090000}"/>
    <cellStyle name="Comma [0] 2 2 4 2" xfId="6634" xr:uid="{E2F290F7-42A6-4E34-9EAD-FC9F37E995C3}"/>
    <cellStyle name="Comma [0] 2 2 4 3" xfId="6631" xr:uid="{6D92A627-B6DC-484D-B9B8-019B17181D61}"/>
    <cellStyle name="Comma [0] 2 2 5" xfId="5694" xr:uid="{00000000-0005-0000-0000-0000000A0000}"/>
    <cellStyle name="Comma [0] 2 2 5 2" xfId="6636" xr:uid="{059BE175-7AC0-4770-9FBF-49168B6B7A3B}"/>
    <cellStyle name="Comma [0] 2 2 5 3" xfId="6635" xr:uid="{238284EC-ADF2-433A-A3DA-E8F145CA6D29}"/>
    <cellStyle name="Comma [0] 2 2 6" xfId="6637" xr:uid="{1E441767-AEA9-497B-96CD-AA555FC919D3}"/>
    <cellStyle name="Comma [0] 2 2 7" xfId="7185" xr:uid="{DA9D27B7-A2A3-451F-A19E-F1C1242A5059}"/>
    <cellStyle name="Comma [0] 2 20" xfId="230" xr:uid="{00000000-0005-0000-0000-0000010A0000}"/>
    <cellStyle name="Comma [0] 2 21" xfId="231" xr:uid="{00000000-0005-0000-0000-0000020A0000}"/>
    <cellStyle name="Comma [0] 2 22" xfId="232" xr:uid="{00000000-0005-0000-0000-0000030A0000}"/>
    <cellStyle name="Comma [0] 2 23" xfId="233" xr:uid="{00000000-0005-0000-0000-0000040A0000}"/>
    <cellStyle name="Comma [0] 2 24" xfId="234" xr:uid="{00000000-0005-0000-0000-0000050A0000}"/>
    <cellStyle name="Comma [0] 2 25" xfId="235" xr:uid="{00000000-0005-0000-0000-0000060A0000}"/>
    <cellStyle name="Comma [0] 2 26" xfId="236" xr:uid="{00000000-0005-0000-0000-0000070A0000}"/>
    <cellStyle name="Comma [0] 2 27" xfId="1834" xr:uid="{00000000-0005-0000-0000-0000080A0000}"/>
    <cellStyle name="Comma [0] 2 27 2" xfId="1835" xr:uid="{00000000-0005-0000-0000-0000090A0000}"/>
    <cellStyle name="Comma [0] 2 27 3" xfId="3838" xr:uid="{00000000-0005-0000-0000-00000A0A0000}"/>
    <cellStyle name="Comma [0] 2 28" xfId="3839" xr:uid="{00000000-0005-0000-0000-00000B0A0000}"/>
    <cellStyle name="Comma [0] 2 29" xfId="3840" xr:uid="{00000000-0005-0000-0000-00000C0A0000}"/>
    <cellStyle name="Comma [0] 2 3" xfId="237" xr:uid="{00000000-0005-0000-0000-00000D0A0000}"/>
    <cellStyle name="Comma [0] 2 3 2" xfId="238" xr:uid="{00000000-0005-0000-0000-00000E0A0000}"/>
    <cellStyle name="Comma [0] 2 3 2 2" xfId="3841" xr:uid="{00000000-0005-0000-0000-00000F0A0000}"/>
    <cellStyle name="Comma [0] 2 3 2 2 2" xfId="6056" xr:uid="{00000000-0005-0000-0000-0000100A0000}"/>
    <cellStyle name="Comma [0] 2 3 2 2 3" xfId="6642" xr:uid="{29AE7FDD-EE5C-4D8A-BE89-C37CC4B64CEA}"/>
    <cellStyle name="Comma [0] 2 3 2 3" xfId="3842" xr:uid="{00000000-0005-0000-0000-0000110A0000}"/>
    <cellStyle name="Comma [0] 2 3 2 4" xfId="5698" xr:uid="{00000000-0005-0000-0000-0000120A0000}"/>
    <cellStyle name="Comma [0] 2 3 2 5" xfId="6639" xr:uid="{3F912E49-42DD-45D7-B0F6-C6E1F7713272}"/>
    <cellStyle name="Comma [0] 2 3 3" xfId="1836" xr:uid="{00000000-0005-0000-0000-0000130A0000}"/>
    <cellStyle name="Comma [0] 2 3 3 2" xfId="3843" xr:uid="{00000000-0005-0000-0000-0000140A0000}"/>
    <cellStyle name="Comma [0] 2 3 3 2 2" xfId="6648" xr:uid="{EC135B2B-F672-4086-8DA2-426AA3D715B7}"/>
    <cellStyle name="Comma [0] 2 3 3 3" xfId="6057" xr:uid="{00000000-0005-0000-0000-0000150A0000}"/>
    <cellStyle name="Comma [0] 2 3 3 4" xfId="6645" xr:uid="{5088A1BF-F9B0-47DD-908D-9FCFCA46E498}"/>
    <cellStyle name="Comma [0] 2 3 4" xfId="5697" xr:uid="{00000000-0005-0000-0000-0000160A0000}"/>
    <cellStyle name="Comma [0] 2 3 4 2" xfId="6650" xr:uid="{F88C56FD-1386-46D5-82A9-B5AEB6F7AABD}"/>
    <cellStyle name="Comma [0] 2 3 5" xfId="6568" xr:uid="{75E26068-5BB0-411F-AB40-FB7313252B5E}"/>
    <cellStyle name="Comma [0] 2 30" xfId="3844" xr:uid="{00000000-0005-0000-0000-0000170A0000}"/>
    <cellStyle name="Comma [0] 2 31" xfId="3845" xr:uid="{00000000-0005-0000-0000-0000180A0000}"/>
    <cellStyle name="Comma [0] 2 32" xfId="3846" xr:uid="{00000000-0005-0000-0000-0000190A0000}"/>
    <cellStyle name="Comma [0] 2 33" xfId="3847" xr:uid="{00000000-0005-0000-0000-00001A0A0000}"/>
    <cellStyle name="Comma [0] 2 34" xfId="3848" xr:uid="{00000000-0005-0000-0000-00001B0A0000}"/>
    <cellStyle name="Comma [0] 2 35" xfId="3849" xr:uid="{00000000-0005-0000-0000-00001C0A0000}"/>
    <cellStyle name="Comma [0] 2 36" xfId="3850" xr:uid="{00000000-0005-0000-0000-00001D0A0000}"/>
    <cellStyle name="Comma [0] 2 37" xfId="3851" xr:uid="{00000000-0005-0000-0000-00001E0A0000}"/>
    <cellStyle name="Comma [0] 2 38" xfId="3852" xr:uid="{00000000-0005-0000-0000-00001F0A0000}"/>
    <cellStyle name="Comma [0] 2 39" xfId="3853" xr:uid="{00000000-0005-0000-0000-0000200A0000}"/>
    <cellStyle name="Comma [0] 2 4" xfId="239" xr:uid="{00000000-0005-0000-0000-0000210A0000}"/>
    <cellStyle name="Comma [0] 2 4 2" xfId="3854" xr:uid="{00000000-0005-0000-0000-0000220A0000}"/>
    <cellStyle name="Comma [0] 2 4 2 2" xfId="3855" xr:uid="{00000000-0005-0000-0000-0000230A0000}"/>
    <cellStyle name="Comma [0] 2 4 2 2 2" xfId="6654" xr:uid="{0208BFAD-C6E3-476A-9027-85F49501B629}"/>
    <cellStyle name="Comma [0] 2 4 2 3" xfId="6058" xr:uid="{00000000-0005-0000-0000-0000240A0000}"/>
    <cellStyle name="Comma [0] 2 4 2 4" xfId="6652" xr:uid="{FC87B957-F97D-4C75-9BB6-0E324D16EDB9}"/>
    <cellStyle name="Comma [0] 2 4 3" xfId="3856" xr:uid="{00000000-0005-0000-0000-0000250A0000}"/>
    <cellStyle name="Comma [0] 2 4 3 2" xfId="6561" xr:uid="{04E4C9F4-A602-499E-8509-F59F4158E5F9}"/>
    <cellStyle name="Comma [0] 2 4 4" xfId="5699" xr:uid="{00000000-0005-0000-0000-0000260A0000}"/>
    <cellStyle name="Comma [0] 2 4 5" xfId="6651" xr:uid="{8BD81EC9-E15F-40C1-AA0E-7525644BCA8C}"/>
    <cellStyle name="Comma [0] 2 40" xfId="3857" xr:uid="{00000000-0005-0000-0000-0000270A0000}"/>
    <cellStyle name="Comma [0] 2 41" xfId="3858" xr:uid="{00000000-0005-0000-0000-0000280A0000}"/>
    <cellStyle name="Comma [0] 2 42" xfId="3859" xr:uid="{00000000-0005-0000-0000-0000290A0000}"/>
    <cellStyle name="Comma [0] 2 43" xfId="3860" xr:uid="{00000000-0005-0000-0000-00002A0A0000}"/>
    <cellStyle name="Comma [0] 2 44" xfId="3861" xr:uid="{00000000-0005-0000-0000-00002B0A0000}"/>
    <cellStyle name="Comma [0] 2 45" xfId="3862" xr:uid="{00000000-0005-0000-0000-00002C0A0000}"/>
    <cellStyle name="Comma [0] 2 45 2" xfId="3863" xr:uid="{00000000-0005-0000-0000-00002D0A0000}"/>
    <cellStyle name="Comma [0] 2 46" xfId="3864" xr:uid="{00000000-0005-0000-0000-00002E0A0000}"/>
    <cellStyle name="Comma [0] 2 47" xfId="5693" xr:uid="{00000000-0005-0000-0000-00002F0A0000}"/>
    <cellStyle name="Comma [0] 2 48" xfId="6052" xr:uid="{00000000-0005-0000-0000-0000300A0000}"/>
    <cellStyle name="Comma [0] 2 49" xfId="7184" xr:uid="{4F77FB54-D154-458E-BEF6-AF3D3B7D09B1}"/>
    <cellStyle name="Comma [0] 2 5" xfId="240" xr:uid="{00000000-0005-0000-0000-0000310A0000}"/>
    <cellStyle name="Comma [0] 2 5 2" xfId="3865" xr:uid="{00000000-0005-0000-0000-0000320A0000}"/>
    <cellStyle name="Comma [0] 2 5 2 2" xfId="6657" xr:uid="{50061F47-AC0A-41B8-A5BE-EB78832B377E}"/>
    <cellStyle name="Comma [0] 2 5 3" xfId="6059" xr:uid="{00000000-0005-0000-0000-0000330A0000}"/>
    <cellStyle name="Comma [0] 2 50" xfId="7190" xr:uid="{C649B4BD-9E9C-4000-9F00-776C75F16470}"/>
    <cellStyle name="Comma [0] 2 6" xfId="241" xr:uid="{00000000-0005-0000-0000-0000340A0000}"/>
    <cellStyle name="Comma [0] 2 6 2" xfId="1837" xr:uid="{00000000-0005-0000-0000-0000350A0000}"/>
    <cellStyle name="Comma [0] 2 6 2 2" xfId="3866" xr:uid="{00000000-0005-0000-0000-0000360A0000}"/>
    <cellStyle name="Comma [0] 2 6 2 3" xfId="6660" xr:uid="{CCD5A2ED-3781-4D39-A7A5-40EE8027CFC4}"/>
    <cellStyle name="Comma [0] 2 6 3" xfId="3867" xr:uid="{00000000-0005-0000-0000-0000370A0000}"/>
    <cellStyle name="Comma [0] 2 6 4" xfId="3868" xr:uid="{00000000-0005-0000-0000-0000380A0000}"/>
    <cellStyle name="Comma [0] 2 6 5" xfId="3869" xr:uid="{00000000-0005-0000-0000-0000390A0000}"/>
    <cellStyle name="Comma [0] 2 6 6" xfId="6060" xr:uid="{00000000-0005-0000-0000-00003A0A0000}"/>
    <cellStyle name="Comma [0] 2 6 7" xfId="6659" xr:uid="{314C6DCF-23EB-493E-9580-6C99B395C26E}"/>
    <cellStyle name="Comma [0] 2 7" xfId="242" xr:uid="{00000000-0005-0000-0000-00003B0A0000}"/>
    <cellStyle name="Comma [0] 2 7 2" xfId="3870" xr:uid="{00000000-0005-0000-0000-00003C0A0000}"/>
    <cellStyle name="Comma [0] 2 7 2 2" xfId="6664" xr:uid="{581A2F21-5B7D-4227-A086-FA6B458DED83}"/>
    <cellStyle name="Comma [0] 2 7 3" xfId="6663" xr:uid="{4764FF86-7B08-42C6-877D-8B6D701C6EA9}"/>
    <cellStyle name="Comma [0] 2 72" xfId="243" xr:uid="{00000000-0005-0000-0000-00003D0A0000}"/>
    <cellStyle name="Comma [0] 2 72 2" xfId="1838" xr:uid="{00000000-0005-0000-0000-00003E0A0000}"/>
    <cellStyle name="Comma [0] 2 8" xfId="244" xr:uid="{00000000-0005-0000-0000-00003F0A0000}"/>
    <cellStyle name="Comma [0] 2 8 2" xfId="6667" xr:uid="{E0616EAB-E47E-43E0-8B10-8BFC0DCA7E69}"/>
    <cellStyle name="Comma [0] 2 8 3" xfId="6666" xr:uid="{3E1A3BEB-5A26-4250-8EA8-72F581EE210B}"/>
    <cellStyle name="Comma [0] 2 9" xfId="245" xr:uid="{00000000-0005-0000-0000-0000400A0000}"/>
    <cellStyle name="Comma [0] 2 9 2" xfId="6576" xr:uid="{C121ABF3-CC8C-47D8-A91F-A015591654ED}"/>
    <cellStyle name="Comma [0] 2_53 Pelelangan Pengadaan CO &amp; Arrester" xfId="3871" xr:uid="{00000000-0005-0000-0000-0000410A0000}"/>
    <cellStyle name="Comma [0] 20" xfId="246" xr:uid="{00000000-0005-0000-0000-0000420A0000}"/>
    <cellStyle name="Comma [0] 20 2" xfId="247" xr:uid="{00000000-0005-0000-0000-0000430A0000}"/>
    <cellStyle name="Comma [0] 20 2 2" xfId="3872" xr:uid="{00000000-0005-0000-0000-0000440A0000}"/>
    <cellStyle name="Comma [0] 20 2 2 2" xfId="6600" xr:uid="{95384709-981E-4B20-AF16-90026970BA15}"/>
    <cellStyle name="Comma [0] 20 2 3" xfId="6061" xr:uid="{00000000-0005-0000-0000-0000450A0000}"/>
    <cellStyle name="Comma [0] 20 2 4" xfId="6544" xr:uid="{7E358580-D60B-41FF-BAE4-25FBE327C1E5}"/>
    <cellStyle name="Comma [0] 20 3" xfId="5700" xr:uid="{00000000-0005-0000-0000-0000460A0000}"/>
    <cellStyle name="Comma [0] 20 3 2" xfId="6579" xr:uid="{6F116A92-8E59-403F-BACC-049EF42B78C0}"/>
    <cellStyle name="Comma [0] 20 4" xfId="6474" xr:uid="{3B835C4E-A71A-409B-B402-B6ACEE69C874}"/>
    <cellStyle name="Comma [0] 21" xfId="248" xr:uid="{00000000-0005-0000-0000-0000470A0000}"/>
    <cellStyle name="Comma [0] 21 2" xfId="249" xr:uid="{00000000-0005-0000-0000-0000480A0000}"/>
    <cellStyle name="Comma [0] 21 2 2" xfId="3873" xr:uid="{00000000-0005-0000-0000-0000490A0000}"/>
    <cellStyle name="Comma [0] 21 2 2 2" xfId="6429" xr:uid="{4192F4E5-3347-48CA-9105-89D26800B9BB}"/>
    <cellStyle name="Comma [0] 21 2 3" xfId="6062" xr:uid="{00000000-0005-0000-0000-00004A0A0000}"/>
    <cellStyle name="Comma [0] 21 2 4" xfId="6536" xr:uid="{52D49D26-C378-44F3-B2BA-9B3F25609F6E}"/>
    <cellStyle name="Comma [0] 21 3" xfId="5701" xr:uid="{00000000-0005-0000-0000-00004B0A0000}"/>
    <cellStyle name="Comma [0] 21 3 2" xfId="6540" xr:uid="{FA0AA191-ECCB-4859-9C3C-24E45B116B60}"/>
    <cellStyle name="Comma [0] 21 4" xfId="6478" xr:uid="{42AFABFF-DCBA-41BD-84C8-3E00BFABAC86}"/>
    <cellStyle name="Comma [0] 22" xfId="250" xr:uid="{00000000-0005-0000-0000-00004C0A0000}"/>
    <cellStyle name="Comma [0] 22 2" xfId="251" xr:uid="{00000000-0005-0000-0000-00004D0A0000}"/>
    <cellStyle name="Comma [0] 22 2 2" xfId="5703" xr:uid="{00000000-0005-0000-0000-00004E0A0000}"/>
    <cellStyle name="Comma [0] 22 2 2 2" xfId="6063" xr:uid="{00000000-0005-0000-0000-00004F0A0000}"/>
    <cellStyle name="Comma [0] 22 3" xfId="5702" xr:uid="{00000000-0005-0000-0000-0000500A0000}"/>
    <cellStyle name="Comma [0] 22 3 2" xfId="6064" xr:uid="{00000000-0005-0000-0000-0000510A0000}"/>
    <cellStyle name="Comma [0] 22 3 2 2" xfId="6669" xr:uid="{85FD4125-6CD1-466A-B1D1-412B4F30FBBE}"/>
    <cellStyle name="Comma [0] 22 3 3" xfId="6607" xr:uid="{BC3A8668-C214-473D-980E-100BCF9D42E3}"/>
    <cellStyle name="Comma [0] 22 4" xfId="6671" xr:uid="{A5F42ADD-DDF8-43CF-9A9F-F2DA086FF753}"/>
    <cellStyle name="Comma [0] 23" xfId="252" xr:uid="{00000000-0005-0000-0000-0000520A0000}"/>
    <cellStyle name="Comma [0] 23 2" xfId="253" xr:uid="{00000000-0005-0000-0000-0000530A0000}"/>
    <cellStyle name="Comma [0] 23 2 2" xfId="5705" xr:uid="{00000000-0005-0000-0000-0000540A0000}"/>
    <cellStyle name="Comma [0] 23 2 2 2" xfId="6065" xr:uid="{00000000-0005-0000-0000-0000550A0000}"/>
    <cellStyle name="Comma [0] 23 3" xfId="5704" xr:uid="{00000000-0005-0000-0000-0000560A0000}"/>
    <cellStyle name="Comma [0] 23 3 2" xfId="6066" xr:uid="{00000000-0005-0000-0000-0000570A0000}"/>
    <cellStyle name="Comma [0] 23 3 2 2" xfId="6674" xr:uid="{FF671576-5076-41AB-8C94-7FC913811E19}"/>
    <cellStyle name="Comma [0] 23 3 3" xfId="6614" xr:uid="{265CC379-7F00-470F-A4FD-E4EF99A5BE6E}"/>
    <cellStyle name="Comma [0] 23 4" xfId="6675" xr:uid="{A61DA9A1-D050-4DE5-96ED-1FA048B1263E}"/>
    <cellStyle name="Comma [0] 24" xfId="254" xr:uid="{00000000-0005-0000-0000-0000580A0000}"/>
    <cellStyle name="Comma [0] 24 2" xfId="255" xr:uid="{00000000-0005-0000-0000-0000590A0000}"/>
    <cellStyle name="Comma [0] 24 2 2" xfId="3874" xr:uid="{00000000-0005-0000-0000-00005A0A0000}"/>
    <cellStyle name="Comma [0] 24 2 2 2" xfId="6676" xr:uid="{7A0B9A25-EB8E-4B61-9091-B27F284FC8EA}"/>
    <cellStyle name="Comma [0] 24 2 3" xfId="6067" xr:uid="{00000000-0005-0000-0000-00005B0A0000}"/>
    <cellStyle name="Comma [0] 24 2 4" xfId="6618" xr:uid="{CFCCE507-F043-4846-8ED3-81625FCA1A00}"/>
    <cellStyle name="Comma [0] 24 3" xfId="5706" xr:uid="{00000000-0005-0000-0000-00005C0A0000}"/>
    <cellStyle name="Comma [0] 24 3 2" xfId="6678" xr:uid="{3C301D52-A553-4532-94A2-DC10F101049A}"/>
    <cellStyle name="Comma [0] 24 4" xfId="6616" xr:uid="{85666D4B-2A13-4B06-9D0A-B222B1CAB34A}"/>
    <cellStyle name="Comma [0] 25" xfId="256" xr:uid="{00000000-0005-0000-0000-00005D0A0000}"/>
    <cellStyle name="Comma [0] 25 2" xfId="257" xr:uid="{00000000-0005-0000-0000-00005E0A0000}"/>
    <cellStyle name="Comma [0] 25 2 2" xfId="6068" xr:uid="{00000000-0005-0000-0000-00005F0A0000}"/>
    <cellStyle name="Comma [0] 25 2 2 2" xfId="6627" xr:uid="{3BB3EECD-68FB-488B-BC67-34C3DC6ADF6E}"/>
    <cellStyle name="Comma [0] 25 2 3" xfId="6681" xr:uid="{A62FD3E0-0D8A-46C1-B113-1191E89F536F}"/>
    <cellStyle name="Comma [0] 25 3" xfId="5707" xr:uid="{00000000-0005-0000-0000-0000600A0000}"/>
    <cellStyle name="Comma [0] 25 3 2" xfId="6682" xr:uid="{88B920FA-6181-4EAD-A860-AC74B4E2D1B9}"/>
    <cellStyle name="Comma [0] 25 4" xfId="6680" xr:uid="{BA3C05AA-4542-44CD-9693-A965DB8F1136}"/>
    <cellStyle name="Comma [0] 26" xfId="258" xr:uid="{00000000-0005-0000-0000-0000610A0000}"/>
    <cellStyle name="Comma [0] 26 2" xfId="259" xr:uid="{00000000-0005-0000-0000-0000620A0000}"/>
    <cellStyle name="Comma [0] 26 2 2" xfId="1839" xr:uid="{00000000-0005-0000-0000-0000630A0000}"/>
    <cellStyle name="Comma [0] 26 2 2 2" xfId="3875" xr:uid="{00000000-0005-0000-0000-0000640A0000}"/>
    <cellStyle name="Comma [0] 26 2 2 2 2" xfId="6691" xr:uid="{BAA65E76-3834-4982-97F1-AC28CF9DCA5F}"/>
    <cellStyle name="Comma [0] 26 2 2 3" xfId="6689" xr:uid="{EC0F3F4C-8761-4E3E-9AD7-82AA6D70C839}"/>
    <cellStyle name="Comma [0] 26 2 3" xfId="3876" xr:uid="{00000000-0005-0000-0000-0000650A0000}"/>
    <cellStyle name="Comma [0] 26 2 3 2" xfId="6628" xr:uid="{45C6501D-5914-416C-98A6-89AE6049A526}"/>
    <cellStyle name="Comma [0] 26 2 4" xfId="3877" xr:uid="{00000000-0005-0000-0000-0000660A0000}"/>
    <cellStyle name="Comma [0] 26 2 5" xfId="6069" xr:uid="{00000000-0005-0000-0000-0000670A0000}"/>
    <cellStyle name="Comma [0] 26 2 6" xfId="6686" xr:uid="{E499F190-2791-4F12-B201-E1F057FF20D6}"/>
    <cellStyle name="Comma [0] 26 3" xfId="260" xr:uid="{00000000-0005-0000-0000-0000680A0000}"/>
    <cellStyle name="Comma [0] 26 3 2" xfId="6695" xr:uid="{22C513B4-6DCE-4B37-8BAB-BB0E2FC5980C}"/>
    <cellStyle name="Comma [0] 26 3 3" xfId="6692" xr:uid="{7AB99879-CA90-43FE-A072-4253C2466344}"/>
    <cellStyle name="Comma [0] 26 4" xfId="1840" xr:uid="{00000000-0005-0000-0000-0000690A0000}"/>
    <cellStyle name="Comma [0] 26 4 2" xfId="6697" xr:uid="{7852F704-7DF0-4DE7-BC85-6D8ED3C2B375}"/>
    <cellStyle name="Comma [0] 26 4 3" xfId="6696" xr:uid="{DDBE4515-C9F1-4F15-997A-2BF92FE09B0F}"/>
    <cellStyle name="Comma [0] 26 5" xfId="3878" xr:uid="{00000000-0005-0000-0000-00006A0A0000}"/>
    <cellStyle name="Comma [0] 26 5 2" xfId="6699" xr:uid="{47636B25-7A47-4B94-8CFD-EA7C8FE81932}"/>
    <cellStyle name="Comma [0] 26 6" xfId="5708" xr:uid="{00000000-0005-0000-0000-00006B0A0000}"/>
    <cellStyle name="Comma [0] 26 7" xfId="6684" xr:uid="{D4CD057F-3350-46F5-B1BB-34089B5AD224}"/>
    <cellStyle name="Comma [0] 27" xfId="261" xr:uid="{00000000-0005-0000-0000-00006C0A0000}"/>
    <cellStyle name="Comma [0] 27 2" xfId="3879" xr:uid="{00000000-0005-0000-0000-00006D0A0000}"/>
    <cellStyle name="Comma [0] 27 2 2" xfId="6070" xr:uid="{00000000-0005-0000-0000-00006E0A0000}"/>
    <cellStyle name="Comma [0] 27 2 3" xfId="6703" xr:uid="{F69D9A26-3D99-4EEE-AD86-115AFCFA9308}"/>
    <cellStyle name="Comma [0] 27 3" xfId="5709" xr:uid="{00000000-0005-0000-0000-00006F0A0000}"/>
    <cellStyle name="Comma [0] 27 4" xfId="6701" xr:uid="{46B671E3-019C-495E-B5DE-96D2BD5D3B0E}"/>
    <cellStyle name="Comma [0] 28" xfId="262" xr:uid="{00000000-0005-0000-0000-0000700A0000}"/>
    <cellStyle name="Comma [0] 28 2" xfId="3880" xr:uid="{00000000-0005-0000-0000-0000710A0000}"/>
    <cellStyle name="Comma [0] 28 2 2" xfId="6071" xr:uid="{00000000-0005-0000-0000-0000720A0000}"/>
    <cellStyle name="Comma [0] 28 2 3" xfId="6485" xr:uid="{1E376A62-615C-4C00-90F1-322B7F1E9424}"/>
    <cellStyle name="Comma [0] 28 3" xfId="5710" xr:uid="{00000000-0005-0000-0000-0000730A0000}"/>
    <cellStyle name="Comma [0] 28 4" xfId="6435" xr:uid="{9C9D2DDE-3817-4E3A-8974-E0C017556F98}"/>
    <cellStyle name="Comma [0] 29" xfId="263" xr:uid="{00000000-0005-0000-0000-0000740A0000}"/>
    <cellStyle name="Comma [0] 29 2" xfId="1841" xr:uid="{00000000-0005-0000-0000-0000750A0000}"/>
    <cellStyle name="Comma [0] 29 2 2" xfId="1842" xr:uid="{00000000-0005-0000-0000-0000760A0000}"/>
    <cellStyle name="Comma [0] 29 2 3" xfId="6072" xr:uid="{00000000-0005-0000-0000-0000770A0000}"/>
    <cellStyle name="Comma [0] 29 2 4" xfId="6488" xr:uid="{67BC6353-3F5B-4D4B-BF0B-97B9EA6BD61B}"/>
    <cellStyle name="Comma [0] 29 3" xfId="1843" xr:uid="{00000000-0005-0000-0000-0000780A0000}"/>
    <cellStyle name="Comma [0] 29 4" xfId="3881" xr:uid="{00000000-0005-0000-0000-0000790A0000}"/>
    <cellStyle name="Comma [0] 29 5" xfId="5711" xr:uid="{00000000-0005-0000-0000-00007A0A0000}"/>
    <cellStyle name="Comma [0] 29 6" xfId="6450" xr:uid="{824E5966-75D1-4124-833D-D2701960F495}"/>
    <cellStyle name="Comma [0] 3" xfId="264" xr:uid="{00000000-0005-0000-0000-00007B0A0000}"/>
    <cellStyle name="Comma [0] 3 10" xfId="5712" xr:uid="{00000000-0005-0000-0000-00007C0A0000}"/>
    <cellStyle name="Comma [0] 3 11" xfId="7188" xr:uid="{F0309503-29DE-478A-91F4-A03C92418222}"/>
    <cellStyle name="Comma [0] 3 2" xfId="265" xr:uid="{00000000-0005-0000-0000-00007D0A0000}"/>
    <cellStyle name="Comma [0] 3 2 2" xfId="266" xr:uid="{00000000-0005-0000-0000-00007E0A0000}"/>
    <cellStyle name="Comma [0] 3 2 2 2" xfId="5714" xr:uid="{00000000-0005-0000-0000-00007F0A0000}"/>
    <cellStyle name="Comma [0] 3 2 2 2 2" xfId="6073" xr:uid="{00000000-0005-0000-0000-0000800A0000}"/>
    <cellStyle name="Comma [0] 3 2 3" xfId="267" xr:uid="{00000000-0005-0000-0000-0000810A0000}"/>
    <cellStyle name="Comma [0] 3 2 3 2" xfId="6074" xr:uid="{00000000-0005-0000-0000-0000820A0000}"/>
    <cellStyle name="Comma [0] 3 2 4" xfId="268" xr:uid="{00000000-0005-0000-0000-0000830A0000}"/>
    <cellStyle name="Comma [0] 3 2 5" xfId="5713" xr:uid="{00000000-0005-0000-0000-0000840A0000}"/>
    <cellStyle name="Comma [0] 3 3" xfId="269" xr:uid="{00000000-0005-0000-0000-0000850A0000}"/>
    <cellStyle name="Comma [0] 3 3 2" xfId="5716" xr:uid="{00000000-0005-0000-0000-0000860A0000}"/>
    <cellStyle name="Comma [0] 3 3 2 2" xfId="6075" xr:uid="{00000000-0005-0000-0000-0000870A0000}"/>
    <cellStyle name="Comma [0] 3 3 3" xfId="5715" xr:uid="{00000000-0005-0000-0000-0000880A0000}"/>
    <cellStyle name="Comma [0] 3 3 3 2" xfId="6076" xr:uid="{00000000-0005-0000-0000-0000890A0000}"/>
    <cellStyle name="Comma [0] 3 4" xfId="270" xr:uid="{00000000-0005-0000-0000-00008A0A0000}"/>
    <cellStyle name="Comma [0] 3 4 2" xfId="1844" xr:uid="{00000000-0005-0000-0000-00008B0A0000}"/>
    <cellStyle name="Comma [0] 3 4 2 2" xfId="6077" xr:uid="{00000000-0005-0000-0000-00008C0A0000}"/>
    <cellStyle name="Comma [0] 3 4 2 3" xfId="6726" xr:uid="{311130D1-DD59-43B1-AFAE-E84BC08EFFDA}"/>
    <cellStyle name="Comma [0] 3 4 3" xfId="3882" xr:uid="{00000000-0005-0000-0000-00008D0A0000}"/>
    <cellStyle name="Comma [0] 3 4 4" xfId="5717" xr:uid="{00000000-0005-0000-0000-00008E0A0000}"/>
    <cellStyle name="Comma [0] 3 4 5" xfId="6723" xr:uid="{FD4D47D6-2801-4373-B57F-C26129CEA010}"/>
    <cellStyle name="Comma [0] 3 5" xfId="271" xr:uid="{00000000-0005-0000-0000-00008F0A0000}"/>
    <cellStyle name="Comma [0] 3 5 2" xfId="5718" xr:uid="{00000000-0005-0000-0000-0000900A0000}"/>
    <cellStyle name="Comma [0] 3 5 2 2" xfId="6078" xr:uid="{00000000-0005-0000-0000-0000910A0000}"/>
    <cellStyle name="Comma [0] 3 5 2 3" xfId="6734" xr:uid="{63561534-2391-43F7-85B4-123F5BA07758}"/>
    <cellStyle name="Comma [0] 3 5 3" xfId="6731" xr:uid="{D96E1F34-C7E0-41C0-A0FE-92A1C9294FE5}"/>
    <cellStyle name="Comma [0] 3 6" xfId="272" xr:uid="{00000000-0005-0000-0000-0000920A0000}"/>
    <cellStyle name="Comma [0] 3 6 2" xfId="6079" xr:uid="{00000000-0005-0000-0000-0000930A0000}"/>
    <cellStyle name="Comma [0] 3 6 2 2" xfId="6741" xr:uid="{A1CE9C0A-9583-4498-8B84-D98F305F5098}"/>
    <cellStyle name="Comma [0] 3 6 3" xfId="6739" xr:uid="{13498C4E-0B96-4DFF-AAC2-F65BEAE049B7}"/>
    <cellStyle name="Comma [0] 3 7" xfId="273" xr:uid="{00000000-0005-0000-0000-0000940A0000}"/>
    <cellStyle name="Comma [0] 3 7 2" xfId="6747" xr:uid="{D57814B5-348A-4724-BF93-C76A30CA434B}"/>
    <cellStyle name="Comma [0] 3 7 3" xfId="6745" xr:uid="{8CF040CF-8DBA-4B8D-9B49-D4A0905BA08C}"/>
    <cellStyle name="Comma [0] 3 8" xfId="3883" xr:uid="{00000000-0005-0000-0000-0000950A0000}"/>
    <cellStyle name="Comma [0] 3 8 2" xfId="3884" xr:uid="{00000000-0005-0000-0000-0000960A0000}"/>
    <cellStyle name="Comma [0] 3 8 3" xfId="3885" xr:uid="{00000000-0005-0000-0000-0000970A0000}"/>
    <cellStyle name="Comma [0] 3 8 4" xfId="6751" xr:uid="{40A75EE8-2E5B-4B5E-BBCB-1F49642B5012}"/>
    <cellStyle name="Comma [0] 3 9" xfId="3886" xr:uid="{00000000-0005-0000-0000-0000980A0000}"/>
    <cellStyle name="Comma [0] 3 9 2" xfId="6704" xr:uid="{410839AA-F102-471C-96C7-D7E8C186DB03}"/>
    <cellStyle name="Comma [0] 3_JUNI" xfId="5719" xr:uid="{00000000-0005-0000-0000-0000990A0000}"/>
    <cellStyle name="Comma [0] 30" xfId="274" xr:uid="{00000000-0005-0000-0000-00009A0A0000}"/>
    <cellStyle name="Comma [0] 30 2" xfId="1845" xr:uid="{00000000-0005-0000-0000-00009B0A0000}"/>
    <cellStyle name="Comma [0] 30 2 2" xfId="1846" xr:uid="{00000000-0005-0000-0000-00009C0A0000}"/>
    <cellStyle name="Comma [0] 30 2 3" xfId="6080" xr:uid="{00000000-0005-0000-0000-00009D0A0000}"/>
    <cellStyle name="Comma [0] 30 3" xfId="3887" xr:uid="{00000000-0005-0000-0000-00009E0A0000}"/>
    <cellStyle name="Comma [0] 30 4" xfId="5720" xr:uid="{00000000-0005-0000-0000-00009F0A0000}"/>
    <cellStyle name="Comma [0] 31" xfId="275" xr:uid="{00000000-0005-0000-0000-0000A00A0000}"/>
    <cellStyle name="Comma [0] 31 2" xfId="3888" xr:uid="{00000000-0005-0000-0000-0000A10A0000}"/>
    <cellStyle name="Comma [0] 31 2 2" xfId="6081" xr:uid="{00000000-0005-0000-0000-0000A20A0000}"/>
    <cellStyle name="Comma [0] 31 3" xfId="5721" xr:uid="{00000000-0005-0000-0000-0000A30A0000}"/>
    <cellStyle name="Comma [0] 32" xfId="276" xr:uid="{00000000-0005-0000-0000-0000A40A0000}"/>
    <cellStyle name="Comma [0] 32 2" xfId="3889" xr:uid="{00000000-0005-0000-0000-0000A50A0000}"/>
    <cellStyle name="Comma [0] 32 2 2" xfId="6082" xr:uid="{00000000-0005-0000-0000-0000A60A0000}"/>
    <cellStyle name="Comma [0] 32 3" xfId="5722" xr:uid="{00000000-0005-0000-0000-0000A70A0000}"/>
    <cellStyle name="Comma [0] 33" xfId="277" xr:uid="{00000000-0005-0000-0000-0000A80A0000}"/>
    <cellStyle name="Comma [0] 33 2" xfId="3890" xr:uid="{00000000-0005-0000-0000-0000A90A0000}"/>
    <cellStyle name="Comma [0] 33 2 2" xfId="6083" xr:uid="{00000000-0005-0000-0000-0000AA0A0000}"/>
    <cellStyle name="Comma [0] 33 3" xfId="5723" xr:uid="{00000000-0005-0000-0000-0000AB0A0000}"/>
    <cellStyle name="Comma [0] 34" xfId="278" xr:uid="{00000000-0005-0000-0000-0000AC0A0000}"/>
    <cellStyle name="Comma [0] 34 2" xfId="3891" xr:uid="{00000000-0005-0000-0000-0000AD0A0000}"/>
    <cellStyle name="Comma [0] 34 2 2" xfId="6084" xr:uid="{00000000-0005-0000-0000-0000AE0A0000}"/>
    <cellStyle name="Comma [0] 34 2 3" xfId="6487" xr:uid="{610A5E8E-8014-4B1E-AF69-3100BB493410}"/>
    <cellStyle name="Comma [0] 34 3" xfId="3892" xr:uid="{00000000-0005-0000-0000-0000AF0A0000}"/>
    <cellStyle name="Comma [0] 34 4" xfId="5724" xr:uid="{00000000-0005-0000-0000-0000B00A0000}"/>
    <cellStyle name="Comma [0] 34 5" xfId="6449" xr:uid="{B3CFF89E-11FB-4F22-BAB6-E46ED7CB4369}"/>
    <cellStyle name="Comma [0] 35" xfId="279" xr:uid="{00000000-0005-0000-0000-0000B10A0000}"/>
    <cellStyle name="Comma [0] 35 2" xfId="3893" xr:uid="{00000000-0005-0000-0000-0000B20A0000}"/>
    <cellStyle name="Comma [0] 35 2 2" xfId="6085" xr:uid="{00000000-0005-0000-0000-0000B30A0000}"/>
    <cellStyle name="Comma [0] 35 2 3" xfId="6427" xr:uid="{66F8964D-2D01-4965-A059-2CE881DB719B}"/>
    <cellStyle name="Comma [0] 35 3" xfId="3894" xr:uid="{00000000-0005-0000-0000-0000B40A0000}"/>
    <cellStyle name="Comma [0] 35 4" xfId="5725" xr:uid="{00000000-0005-0000-0000-0000B50A0000}"/>
    <cellStyle name="Comma [0] 35 5" xfId="6461" xr:uid="{61CBE636-3F05-4848-89E1-F15EC1C878AD}"/>
    <cellStyle name="Comma [0] 36" xfId="280" xr:uid="{00000000-0005-0000-0000-0000B60A0000}"/>
    <cellStyle name="Comma [0] 36 2" xfId="3895" xr:uid="{00000000-0005-0000-0000-0000B70A0000}"/>
    <cellStyle name="Comma [0] 36 2 2" xfId="6086" xr:uid="{00000000-0005-0000-0000-0000B80A0000}"/>
    <cellStyle name="Comma [0] 36 2 3" xfId="6470" xr:uid="{AC1DA598-621E-450F-A03B-F675AC339E5C}"/>
    <cellStyle name="Comma [0] 36 3" xfId="3896" xr:uid="{00000000-0005-0000-0000-0000B90A0000}"/>
    <cellStyle name="Comma [0] 36 4" xfId="5726" xr:uid="{00000000-0005-0000-0000-0000BA0A0000}"/>
    <cellStyle name="Comma [0] 36 5" xfId="6468" xr:uid="{E6A72773-71A3-4EB8-9A4C-FA40FEC75484}"/>
    <cellStyle name="Comma [0] 37" xfId="281" xr:uid="{00000000-0005-0000-0000-0000BB0A0000}"/>
    <cellStyle name="Comma [0] 37 2" xfId="3897" xr:uid="{00000000-0005-0000-0000-0000BC0A0000}"/>
    <cellStyle name="Comma [0] 37 2 2" xfId="6087" xr:uid="{00000000-0005-0000-0000-0000BD0A0000}"/>
    <cellStyle name="Comma [0] 37 2 3" xfId="6493" xr:uid="{5096D98E-FBF4-491F-BE7B-9FFDAF65F04D}"/>
    <cellStyle name="Comma [0] 37 3" xfId="3898" xr:uid="{00000000-0005-0000-0000-0000BE0A0000}"/>
    <cellStyle name="Comma [0] 37 4" xfId="5727" xr:uid="{00000000-0005-0000-0000-0000BF0A0000}"/>
    <cellStyle name="Comma [0] 37 5" xfId="6446" xr:uid="{84399692-55D5-41D7-A530-66CD8115A67D}"/>
    <cellStyle name="Comma [0] 38" xfId="282" xr:uid="{00000000-0005-0000-0000-0000C00A0000}"/>
    <cellStyle name="Comma [0] 38 2" xfId="3899" xr:uid="{00000000-0005-0000-0000-0000C10A0000}"/>
    <cellStyle name="Comma [0] 38 2 2" xfId="6088" xr:uid="{00000000-0005-0000-0000-0000C20A0000}"/>
    <cellStyle name="Comma [0] 38 2 3" xfId="6497" xr:uid="{7F9274C8-C40A-47A1-900F-62B025D8B810}"/>
    <cellStyle name="Comma [0] 38 3" xfId="3900" xr:uid="{00000000-0005-0000-0000-0000C30A0000}"/>
    <cellStyle name="Comma [0] 38 4" xfId="5728" xr:uid="{00000000-0005-0000-0000-0000C40A0000}"/>
    <cellStyle name="Comma [0] 38 5" xfId="6456" xr:uid="{0A3DF090-ADD2-445B-9D06-B427D835D6E4}"/>
    <cellStyle name="Comma [0] 39" xfId="283" xr:uid="{00000000-0005-0000-0000-0000C50A0000}"/>
    <cellStyle name="Comma [0] 39 2" xfId="5729" xr:uid="{00000000-0005-0000-0000-0000C60A0000}"/>
    <cellStyle name="Comma [0] 39 2 2" xfId="6089" xr:uid="{00000000-0005-0000-0000-0000C70A0000}"/>
    <cellStyle name="Comma [0] 4" xfId="284" xr:uid="{00000000-0005-0000-0000-0000C80A0000}"/>
    <cellStyle name="Comma [0] 4 10" xfId="6400" xr:uid="{935C7B8D-6965-4EC4-9C53-533856E897B3}"/>
    <cellStyle name="Comma [0] 4 2" xfId="285" xr:uid="{00000000-0005-0000-0000-0000C90A0000}"/>
    <cellStyle name="Comma [0] 4 2 2" xfId="286" xr:uid="{00000000-0005-0000-0000-0000CA0A0000}"/>
    <cellStyle name="Comma [0] 4 2 2 2" xfId="287" xr:uid="{00000000-0005-0000-0000-0000CB0A0000}"/>
    <cellStyle name="Comma [0] 4 2 2 2 2" xfId="288" xr:uid="{00000000-0005-0000-0000-0000CC0A0000}"/>
    <cellStyle name="Comma [0] 4 2 2 2 2 2" xfId="6762" xr:uid="{B67ABF32-D353-4107-A8C9-F649A2F788D9}"/>
    <cellStyle name="Comma [0] 4 2 2 2 2 2 2" xfId="6763" xr:uid="{7FD24497-7B67-4388-A751-8D112D2D6978}"/>
    <cellStyle name="Comma [0] 4 2 2 2 2 3" xfId="6764" xr:uid="{7089F172-7EA6-4059-AC7C-83F44A270503}"/>
    <cellStyle name="Comma [0] 4 2 2 2 2 4" xfId="6761" xr:uid="{D2CE8B68-CE8F-4EDA-865F-C115042096C3}"/>
    <cellStyle name="Comma [0] 4 2 2 2 3" xfId="6765" xr:uid="{F84A3BD1-0D08-4654-B28F-B0A96355109F}"/>
    <cellStyle name="Comma [0] 4 2 2 2 4" xfId="6760" xr:uid="{20B11925-936E-479C-8E54-A11098940E9D}"/>
    <cellStyle name="Comma [0] 4 2 2 3" xfId="6090" xr:uid="{00000000-0005-0000-0000-0000CD0A0000}"/>
    <cellStyle name="Comma [0] 4 2 2 3 2" xfId="6766" xr:uid="{3AFDFE55-34F5-4CC6-8DBE-D2B762E8A6BD}"/>
    <cellStyle name="Comma [0] 4 2 2 4" xfId="6759" xr:uid="{C130215E-9E45-4B04-9169-70061C48A417}"/>
    <cellStyle name="Comma [0] 4 2 3" xfId="5731" xr:uid="{00000000-0005-0000-0000-0000CE0A0000}"/>
    <cellStyle name="Comma [0] 4 2 3 2" xfId="6768" xr:uid="{C20BE25B-A574-46AE-940D-962635A5F144}"/>
    <cellStyle name="Comma [0] 4 2 4" xfId="6758" xr:uid="{640E4AB2-05EA-4CF6-9B1F-F76D53112F29}"/>
    <cellStyle name="Comma [0] 4 3" xfId="289" xr:uid="{00000000-0005-0000-0000-0000CF0A0000}"/>
    <cellStyle name="Comma [0] 4 3 2" xfId="5732" xr:uid="{00000000-0005-0000-0000-0000D00A0000}"/>
    <cellStyle name="Comma [0] 4 3 2 2" xfId="6091" xr:uid="{00000000-0005-0000-0000-0000D10A0000}"/>
    <cellStyle name="Comma [0] 4 3 2 2 2" xfId="6775" xr:uid="{9266C454-6F6A-47E9-8AEA-486E7B401BAE}"/>
    <cellStyle name="Comma [0] 4 3 2 3" xfId="6771" xr:uid="{1BF93ACC-472E-49E0-A91E-47DACD774C8F}"/>
    <cellStyle name="Comma [0] 4 3 3" xfId="6776" xr:uid="{78C78D54-00A0-4617-84DF-FC1D0A4195F6}"/>
    <cellStyle name="Comma [0] 4 3 4" xfId="6769" xr:uid="{2E304849-0AD1-445F-93E3-112CBD94B355}"/>
    <cellStyle name="Comma [0] 4 4" xfId="290" xr:uid="{00000000-0005-0000-0000-0000D20A0000}"/>
    <cellStyle name="Comma [0] 4 4 2" xfId="3901" xr:uid="{00000000-0005-0000-0000-0000D30A0000}"/>
    <cellStyle name="Comma [0] 4 4 2 2" xfId="6780" xr:uid="{DCFD9028-6AF8-4050-93ED-3837A01A8189}"/>
    <cellStyle name="Comma [0] 4 4 3" xfId="3902" xr:uid="{00000000-0005-0000-0000-0000D40A0000}"/>
    <cellStyle name="Comma [0] 4 4 4" xfId="6092" xr:uid="{00000000-0005-0000-0000-0000D50A0000}"/>
    <cellStyle name="Comma [0] 4 4 5" xfId="6779" xr:uid="{17CD3939-6DEE-4913-B975-00CAF21D7D6C}"/>
    <cellStyle name="Comma [0] 4 5" xfId="291" xr:uid="{00000000-0005-0000-0000-0000D60A0000}"/>
    <cellStyle name="Comma [0] 4 5 2" xfId="6679" xr:uid="{0868F97A-C878-416B-B90D-45DFCEFB61F4}"/>
    <cellStyle name="Comma [0] 4 5 3" xfId="6782" xr:uid="{D083A735-4F01-4847-8CD5-07D29D92E4C4}"/>
    <cellStyle name="Comma [0] 4 6" xfId="292" xr:uid="{00000000-0005-0000-0000-0000D70A0000}"/>
    <cellStyle name="Comma [0] 4 6 2" xfId="6599" xr:uid="{5A6B9B8C-A247-4A2E-B595-DACE33CE595A}"/>
    <cellStyle name="Comma [0] 4 7" xfId="293" xr:uid="{00000000-0005-0000-0000-0000D80A0000}"/>
    <cellStyle name="Comma [0] 4 7 2" xfId="6756" xr:uid="{0AFEE007-51E3-4727-916C-3BFC7355605A}"/>
    <cellStyle name="Comma [0] 4 8" xfId="294" xr:uid="{00000000-0005-0000-0000-0000D90A0000}"/>
    <cellStyle name="Comma [0] 4 9" xfId="5730" xr:uid="{00000000-0005-0000-0000-0000DA0A0000}"/>
    <cellStyle name="Comma [0] 40" xfId="295" xr:uid="{00000000-0005-0000-0000-0000DB0A0000}"/>
    <cellStyle name="Comma [0] 40 2" xfId="3903" xr:uid="{00000000-0005-0000-0000-0000DC0A0000}"/>
    <cellStyle name="Comma [0] 40 2 2" xfId="3904" xr:uid="{00000000-0005-0000-0000-0000DD0A0000}"/>
    <cellStyle name="Comma [0] 40 2 3" xfId="3905" xr:uid="{00000000-0005-0000-0000-0000DE0A0000}"/>
    <cellStyle name="Comma [0] 40 2 4" xfId="6426" xr:uid="{A8EB9BEB-48BA-46BD-9EA5-84FCA7C76733}"/>
    <cellStyle name="Comma [0] 40 3" xfId="3906" xr:uid="{00000000-0005-0000-0000-0000DF0A0000}"/>
    <cellStyle name="Comma [0] 40 4" xfId="3907" xr:uid="{00000000-0005-0000-0000-0000E00A0000}"/>
    <cellStyle name="Comma [0] 40 4 2" xfId="3908" xr:uid="{00000000-0005-0000-0000-0000E10A0000}"/>
    <cellStyle name="Comma [0] 40 5" xfId="3909" xr:uid="{00000000-0005-0000-0000-0000E20A0000}"/>
    <cellStyle name="Comma [0] 40 6" xfId="3910" xr:uid="{00000000-0005-0000-0000-0000E30A0000}"/>
    <cellStyle name="Comma [0] 40 7" xfId="6460" xr:uid="{59169604-5F7A-41AD-8743-ECD3F3ED7394}"/>
    <cellStyle name="Comma [0] 41" xfId="296" xr:uid="{00000000-0005-0000-0000-0000E40A0000}"/>
    <cellStyle name="Comma [0] 41 2" xfId="3911" xr:uid="{00000000-0005-0000-0000-0000E50A0000}"/>
    <cellStyle name="Comma [0] 41 2 2" xfId="6469" xr:uid="{42A8C965-CEA3-41FD-8BE0-C34E57DED58A}"/>
    <cellStyle name="Comma [0] 41 3" xfId="3912" xr:uid="{00000000-0005-0000-0000-0000E60A0000}"/>
    <cellStyle name="Comma [0] 41 3 2" xfId="3913" xr:uid="{00000000-0005-0000-0000-0000E70A0000}"/>
    <cellStyle name="Comma [0] 41 4" xfId="3914" xr:uid="{00000000-0005-0000-0000-0000E80A0000}"/>
    <cellStyle name="Comma [0] 41 5" xfId="3915" xr:uid="{00000000-0005-0000-0000-0000E90A0000}"/>
    <cellStyle name="Comma [0] 41 6" xfId="5734" xr:uid="{00000000-0005-0000-0000-0000EA0A0000}"/>
    <cellStyle name="Comma [0] 41 7" xfId="6467" xr:uid="{3F6C563A-F568-4962-92AE-BDDD390B34E7}"/>
    <cellStyle name="Comma [0] 42" xfId="297" xr:uid="{00000000-0005-0000-0000-0000EB0A0000}"/>
    <cellStyle name="Comma [0] 42 2" xfId="3916" xr:uid="{00000000-0005-0000-0000-0000EC0A0000}"/>
    <cellStyle name="Comma [0] 42 2 2" xfId="6094" xr:uid="{00000000-0005-0000-0000-0000ED0A0000}"/>
    <cellStyle name="Comma [0] 42 2 3" xfId="6492" xr:uid="{DED7659B-EFB9-4F47-AFB5-27F576822B9C}"/>
    <cellStyle name="Comma [0] 42 3" xfId="3917" xr:uid="{00000000-0005-0000-0000-0000EE0A0000}"/>
    <cellStyle name="Comma [0] 42 4" xfId="3918" xr:uid="{00000000-0005-0000-0000-0000EF0A0000}"/>
    <cellStyle name="Comma [0] 42 5" xfId="5735" xr:uid="{00000000-0005-0000-0000-0000F00A0000}"/>
    <cellStyle name="Comma [0] 42 6" xfId="6093" xr:uid="{00000000-0005-0000-0000-0000F10A0000}"/>
    <cellStyle name="Comma [0] 42 7" xfId="6445" xr:uid="{878274A7-7850-4041-A777-0525A259E289}"/>
    <cellStyle name="Comma [0] 43" xfId="1847" xr:uid="{00000000-0005-0000-0000-0000F20A0000}"/>
    <cellStyle name="Comma [0] 43 2" xfId="3919" xr:uid="{00000000-0005-0000-0000-0000F30A0000}"/>
    <cellStyle name="Comma [0] 43 2 2" xfId="6496" xr:uid="{3A3D9478-9D06-4A48-9627-B4A7F6DA4653}"/>
    <cellStyle name="Comma [0] 43 3" xfId="6095" xr:uid="{00000000-0005-0000-0000-0000F40A0000}"/>
    <cellStyle name="Comma [0] 43 3 2" xfId="6455" xr:uid="{2DB3B5E0-9B0E-46A1-8BAA-7645C2CD6A18}"/>
    <cellStyle name="Comma [0] 44" xfId="3920" xr:uid="{00000000-0005-0000-0000-0000F50A0000}"/>
    <cellStyle name="Comma [0] 44 2" xfId="3921" xr:uid="{00000000-0005-0000-0000-0000F60A0000}"/>
    <cellStyle name="Comma [0] 44 2 2" xfId="6755" xr:uid="{D2031B61-97CF-4E1F-81E2-E90381869F5D}"/>
    <cellStyle name="Comma [0] 44 3" xfId="3922" xr:uid="{00000000-0005-0000-0000-0000F70A0000}"/>
    <cellStyle name="Comma [0] 44 4" xfId="6096" xr:uid="{00000000-0005-0000-0000-0000F80A0000}"/>
    <cellStyle name="Comma [0] 44 5" xfId="6754" xr:uid="{8C83E8CA-1ACA-4F0D-8747-310CE706BF0C}"/>
    <cellStyle name="Comma [0] 45" xfId="3923" xr:uid="{00000000-0005-0000-0000-0000F90A0000}"/>
    <cellStyle name="Comma [0] 45 2" xfId="3924" xr:uid="{00000000-0005-0000-0000-0000FA0A0000}"/>
    <cellStyle name="Comma [0] 45 2 2" xfId="6785" xr:uid="{24990B1B-7D90-4E55-B83A-8D1435C4F67E}"/>
    <cellStyle name="Comma [0] 45 3" xfId="3925" xr:uid="{00000000-0005-0000-0000-0000FB0A0000}"/>
    <cellStyle name="Comma [0] 45 4" xfId="6097" xr:uid="{00000000-0005-0000-0000-0000FC0A0000}"/>
    <cellStyle name="Comma [0] 45 5" xfId="6783" xr:uid="{5FE5DACC-18FE-4DC6-86E7-79CF7CF62B36}"/>
    <cellStyle name="Comma [0] 46" xfId="3926" xr:uid="{00000000-0005-0000-0000-0000FD0A0000}"/>
    <cellStyle name="Comma [0] 46 2" xfId="3927" xr:uid="{00000000-0005-0000-0000-0000FE0A0000}"/>
    <cellStyle name="Comma [0] 46 2 2" xfId="6786" xr:uid="{182C3C97-4949-41F4-8659-780AF29FAE28}"/>
    <cellStyle name="Comma [0] 46 3" xfId="3928" xr:uid="{00000000-0005-0000-0000-0000FF0A0000}"/>
    <cellStyle name="Comma [0] 46 4" xfId="6098" xr:uid="{00000000-0005-0000-0000-0000000B0000}"/>
    <cellStyle name="Comma [0] 46 5" xfId="6673" xr:uid="{A38AC907-BC18-4D1B-ABF1-A388A6A030C8}"/>
    <cellStyle name="Comma [0] 47" xfId="3929" xr:uid="{00000000-0005-0000-0000-0000010B0000}"/>
    <cellStyle name="Comma [0] 47 2" xfId="3930" xr:uid="{00000000-0005-0000-0000-0000020B0000}"/>
    <cellStyle name="Comma [0] 47 3" xfId="3931" xr:uid="{00000000-0005-0000-0000-0000030B0000}"/>
    <cellStyle name="Comma [0] 47 4" xfId="6099" xr:uid="{00000000-0005-0000-0000-0000040B0000}"/>
    <cellStyle name="Comma [0] 47 5" xfId="6408" xr:uid="{4424D2D6-8B77-407D-9D3D-1AE7B41418DE}"/>
    <cellStyle name="Comma [0] 48" xfId="3932" xr:uid="{00000000-0005-0000-0000-0000050B0000}"/>
    <cellStyle name="Comma [0] 48 2" xfId="3933" xr:uid="{00000000-0005-0000-0000-0000060B0000}"/>
    <cellStyle name="Comma [0] 48 3" xfId="3934" xr:uid="{00000000-0005-0000-0000-0000070B0000}"/>
    <cellStyle name="Comma [0] 48 4" xfId="6100" xr:uid="{00000000-0005-0000-0000-0000080B0000}"/>
    <cellStyle name="Comma [0] 48 5" xfId="6378" xr:uid="{CEDCE4CF-1421-4C95-A7D4-6461800C12AB}"/>
    <cellStyle name="Comma [0] 49" xfId="3935" xr:uid="{00000000-0005-0000-0000-0000090B0000}"/>
    <cellStyle name="Comma [0] 49 2" xfId="3936" xr:uid="{00000000-0005-0000-0000-00000A0B0000}"/>
    <cellStyle name="Comma [0] 49 3" xfId="3937" xr:uid="{00000000-0005-0000-0000-00000B0B0000}"/>
    <cellStyle name="Comma [0] 49 4" xfId="6101" xr:uid="{00000000-0005-0000-0000-00000C0B0000}"/>
    <cellStyle name="Comma [0] 5" xfId="298" xr:uid="{00000000-0005-0000-0000-00000D0B0000}"/>
    <cellStyle name="Comma [0] 5 10" xfId="3938" xr:uid="{00000000-0005-0000-0000-00000E0B0000}"/>
    <cellStyle name="Comma [0] 5 10 2" xfId="6672" xr:uid="{E0996D64-CF61-4AED-8FEC-2E5E4132466B}"/>
    <cellStyle name="Comma [0] 5 10 3" xfId="6690" xr:uid="{42E6F93C-92B5-4C92-A4A4-BE6DD430E23B}"/>
    <cellStyle name="Comma [0] 5 11" xfId="3939" xr:uid="{00000000-0005-0000-0000-00000F0B0000}"/>
    <cellStyle name="Comma [0] 5 11 2" xfId="6790" xr:uid="{0D25882A-5816-4128-A5F5-A22842D60F24}"/>
    <cellStyle name="Comma [0] 5 12" xfId="5736" xr:uid="{00000000-0005-0000-0000-0000100B0000}"/>
    <cellStyle name="Comma [0] 5 12 2" xfId="6787" xr:uid="{E2C027C7-CC0F-46EE-8215-A62323BBBAAA}"/>
    <cellStyle name="Comma [0] 5 13" xfId="6404" xr:uid="{C3E9A231-2B3C-4703-A7F0-06856DFFB6ED}"/>
    <cellStyle name="Comma [0] 5 2" xfId="299" xr:uid="{00000000-0005-0000-0000-0000110B0000}"/>
    <cellStyle name="Comma [0] 5 2 2" xfId="300" xr:uid="{00000000-0005-0000-0000-0000120B0000}"/>
    <cellStyle name="Comma [0] 5 2 2 2" xfId="301" xr:uid="{00000000-0005-0000-0000-0000130B0000}"/>
    <cellStyle name="Comma [0] 5 2 2 2 2" xfId="6668" xr:uid="{6C02966E-2CBB-410B-B52E-CA76F72DD3DF}"/>
    <cellStyle name="Comma [0] 5 2 2 2 2 2" xfId="6770" xr:uid="{F9065EF4-E649-47BC-B6C2-C763D0F2C9C3}"/>
    <cellStyle name="Comma [0] 5 2 2 2 3" xfId="6791" xr:uid="{97F70A72-874A-4AFB-9D53-55E6E7B4E036}"/>
    <cellStyle name="Comma [0] 5 2 2 2 4" xfId="6606" xr:uid="{B13FAFF1-739B-4806-A8DE-CC8158D34B9E}"/>
    <cellStyle name="Comma [0] 5 2 2 3" xfId="3940" xr:uid="{00000000-0005-0000-0000-0000140B0000}"/>
    <cellStyle name="Comma [0] 5 2 2 3 2" xfId="6670" xr:uid="{5B31D01C-59D5-4723-AB62-5BC342817610}"/>
    <cellStyle name="Comma [0] 5 2 2 4" xfId="6102" xr:uid="{00000000-0005-0000-0000-0000150B0000}"/>
    <cellStyle name="Comma [0] 5 2 3" xfId="5737" xr:uid="{00000000-0005-0000-0000-0000160B0000}"/>
    <cellStyle name="Comma [0] 5 2 3 2" xfId="6613" xr:uid="{10AEBD1B-9B44-4A5B-B330-7567B06CEC6E}"/>
    <cellStyle name="Comma [0] 5 2 3 3" xfId="6792" xr:uid="{0E65F736-D19F-4387-9FE1-AFE65C711C0B}"/>
    <cellStyle name="Comma [0] 5 2 4" xfId="6794" xr:uid="{E85F1957-41C3-44FF-8024-683BC642009D}"/>
    <cellStyle name="Comma [0] 5 3" xfId="302" xr:uid="{00000000-0005-0000-0000-0000170B0000}"/>
    <cellStyle name="Comma [0] 5 3 2" xfId="3941" xr:uid="{00000000-0005-0000-0000-0000180B0000}"/>
    <cellStyle name="Comma [0] 5 3 2 2" xfId="6103" xr:uid="{00000000-0005-0000-0000-0000190B0000}"/>
    <cellStyle name="Comma [0] 5 3 3" xfId="5738" xr:uid="{00000000-0005-0000-0000-00001A0B0000}"/>
    <cellStyle name="Comma [0] 5 4" xfId="303" xr:uid="{00000000-0005-0000-0000-00001B0B0000}"/>
    <cellStyle name="Comma [0] 5 4 2" xfId="3942" xr:uid="{00000000-0005-0000-0000-00001C0B0000}"/>
    <cellStyle name="Comma [0] 5 4 2 2" xfId="6796" xr:uid="{69D154A5-35EC-4CE9-8D35-EB883A5596F5}"/>
    <cellStyle name="Comma [0] 5 4 3" xfId="6104" xr:uid="{00000000-0005-0000-0000-00001D0B0000}"/>
    <cellStyle name="Comma [0] 5 4 4" xfId="6795" xr:uid="{BF80B9A7-1DF1-4D62-99AA-064DDCE2A4DD}"/>
    <cellStyle name="Comma [0] 5 5" xfId="304" xr:uid="{00000000-0005-0000-0000-00001E0B0000}"/>
    <cellStyle name="Comma [0] 5 5 2" xfId="6798" xr:uid="{31E359E7-657B-4CC8-A632-A32B8130B6DE}"/>
    <cellStyle name="Comma [0] 5 5 3" xfId="6797" xr:uid="{36C2D71E-68CA-435D-8D25-A495CB990311}"/>
    <cellStyle name="Comma [0] 5 6" xfId="305" xr:uid="{00000000-0005-0000-0000-00001F0B0000}"/>
    <cellStyle name="Comma [0] 5 6 2" xfId="6416" xr:uid="{B0DE1874-7F46-454A-82F3-731D7B4176CD}"/>
    <cellStyle name="Comma [0] 5 6 3" xfId="6799" xr:uid="{62ACA66C-62E4-463F-B329-F6A67B9E8826}"/>
    <cellStyle name="Comma [0] 5 7" xfId="306" xr:uid="{00000000-0005-0000-0000-0000200B0000}"/>
    <cellStyle name="Comma [0] 5 7 2" xfId="6425" xr:uid="{D46442F7-BD9E-4CCC-B034-1E02DB18185C}"/>
    <cellStyle name="Comma [0] 5 7 3" xfId="6800" xr:uid="{A3148BC4-5A44-44D6-9766-89575AE3C39C}"/>
    <cellStyle name="Comma [0] 5 8" xfId="307" xr:uid="{00000000-0005-0000-0000-0000210B0000}"/>
    <cellStyle name="Comma [0] 5 8 2" xfId="6803" xr:uid="{E5DE3798-A247-438C-8EA6-2EAEF9581551}"/>
    <cellStyle name="Comma [0] 5 8 3" xfId="6801" xr:uid="{98A72FB5-DB29-47FE-BE74-FF8C536035E4}"/>
    <cellStyle name="Comma [0] 5 9" xfId="3943" xr:uid="{00000000-0005-0000-0000-0000220B0000}"/>
    <cellStyle name="Comma [0] 5 9 2" xfId="6630" xr:uid="{2951E9FB-FB97-458F-8D03-C9FC151DFD65}"/>
    <cellStyle name="Comma [0] 5 9 3" xfId="6804" xr:uid="{14339893-6766-43D3-BE0C-1A5089D68C54}"/>
    <cellStyle name="Comma [0] 50" xfId="3944" xr:uid="{00000000-0005-0000-0000-0000230B0000}"/>
    <cellStyle name="Comma [0] 50 2" xfId="3945" xr:uid="{00000000-0005-0000-0000-0000240B0000}"/>
    <cellStyle name="Comma [0] 50 3" xfId="3946" xr:uid="{00000000-0005-0000-0000-0000250B0000}"/>
    <cellStyle name="Comma [0] 51" xfId="2341" xr:uid="{00000000-0005-0000-0000-0000260B0000}"/>
    <cellStyle name="Comma [0] 51 2" xfId="3947" xr:uid="{00000000-0005-0000-0000-0000270B0000}"/>
    <cellStyle name="Comma [0] 51 3" xfId="3948" xr:uid="{00000000-0005-0000-0000-0000280B0000}"/>
    <cellStyle name="Comma [0] 52" xfId="3949" xr:uid="{00000000-0005-0000-0000-0000290B0000}"/>
    <cellStyle name="Comma [0] 52 2" xfId="3950" xr:uid="{00000000-0005-0000-0000-00002A0B0000}"/>
    <cellStyle name="Comma [0] 52 3" xfId="3951" xr:uid="{00000000-0005-0000-0000-00002B0B0000}"/>
    <cellStyle name="Comma [0] 53" xfId="3952" xr:uid="{00000000-0005-0000-0000-00002C0B0000}"/>
    <cellStyle name="Comma [0] 53 2" xfId="3953" xr:uid="{00000000-0005-0000-0000-00002D0B0000}"/>
    <cellStyle name="Comma [0] 53 3" xfId="3954" xr:uid="{00000000-0005-0000-0000-00002E0B0000}"/>
    <cellStyle name="Comma [0] 54" xfId="308" xr:uid="{00000000-0005-0000-0000-00002F0B0000}"/>
    <cellStyle name="Comma [0] 54 2" xfId="6805" xr:uid="{4C178E9C-0B42-4234-A16F-71C9CB442434}"/>
    <cellStyle name="Comma [0] 54 3" xfId="6420" xr:uid="{117C0022-BA91-40F2-BD8B-DC2D551049DB}"/>
    <cellStyle name="Comma [0] 55" xfId="3955" xr:uid="{00000000-0005-0000-0000-0000300B0000}"/>
    <cellStyle name="Comma [0] 55 2" xfId="3956" xr:uid="{00000000-0005-0000-0000-0000310B0000}"/>
    <cellStyle name="Comma [0] 55 3" xfId="3957" xr:uid="{00000000-0005-0000-0000-0000320B0000}"/>
    <cellStyle name="Comma [0] 56" xfId="3958" xr:uid="{00000000-0005-0000-0000-0000330B0000}"/>
    <cellStyle name="Comma [0] 56 2" xfId="3959" xr:uid="{00000000-0005-0000-0000-0000340B0000}"/>
    <cellStyle name="Comma [0] 56 3" xfId="3960" xr:uid="{00000000-0005-0000-0000-0000350B0000}"/>
    <cellStyle name="Comma [0] 57" xfId="3961" xr:uid="{00000000-0005-0000-0000-0000360B0000}"/>
    <cellStyle name="Comma [0] 57 2" xfId="3962" xr:uid="{00000000-0005-0000-0000-0000370B0000}"/>
    <cellStyle name="Comma [0] 57 3" xfId="3963" xr:uid="{00000000-0005-0000-0000-0000380B0000}"/>
    <cellStyle name="Comma [0] 58" xfId="3964" xr:uid="{00000000-0005-0000-0000-0000390B0000}"/>
    <cellStyle name="Comma [0] 58 2" xfId="3965" xr:uid="{00000000-0005-0000-0000-00003A0B0000}"/>
    <cellStyle name="Comma [0] 58 3" xfId="3966" xr:uid="{00000000-0005-0000-0000-00003B0B0000}"/>
    <cellStyle name="Comma [0] 59" xfId="3967" xr:uid="{00000000-0005-0000-0000-00003C0B0000}"/>
    <cellStyle name="Comma [0] 59 2" xfId="3968" xr:uid="{00000000-0005-0000-0000-00003D0B0000}"/>
    <cellStyle name="Comma [0] 59 3" xfId="3969" xr:uid="{00000000-0005-0000-0000-00003E0B0000}"/>
    <cellStyle name="Comma [0] 6" xfId="309" xr:uid="{00000000-0005-0000-0000-00003F0B0000}"/>
    <cellStyle name="Comma [0] 6 2" xfId="310" xr:uid="{00000000-0005-0000-0000-0000400B0000}"/>
    <cellStyle name="Comma [0] 6 2 2" xfId="311" xr:uid="{00000000-0005-0000-0000-0000410B0000}"/>
    <cellStyle name="Comma [0] 6 2 2 2" xfId="6105" xr:uid="{00000000-0005-0000-0000-0000420B0000}"/>
    <cellStyle name="Comma [0] 6 2 2 2 2" xfId="6807" xr:uid="{D4F0519B-119A-4FFA-8594-B7B3791B9E4A}"/>
    <cellStyle name="Comma [0] 6 2 2 3" xfId="6808" xr:uid="{A36463B5-8804-4E70-90D9-295F159AFBCC}"/>
    <cellStyle name="Comma [0] 6 2 2 4" xfId="6806" xr:uid="{DE8D5D0F-1693-4DFB-8550-CAEB67C891C8}"/>
    <cellStyle name="Comma [0] 6 2 3" xfId="5740" xr:uid="{00000000-0005-0000-0000-0000430B0000}"/>
    <cellStyle name="Comma [0] 6 3" xfId="312" xr:uid="{00000000-0005-0000-0000-0000440B0000}"/>
    <cellStyle name="Comma [0] 6 3 2" xfId="6106" xr:uid="{00000000-0005-0000-0000-0000450B0000}"/>
    <cellStyle name="Comma [0] 6 3 2 2" xfId="6811" xr:uid="{D9761A81-EA84-4988-99DC-61A608F8F8F4}"/>
    <cellStyle name="Comma [0] 6 3 3" xfId="6810" xr:uid="{3E0B2558-D441-463F-9A2E-B1AA26232629}"/>
    <cellStyle name="Comma [0] 6 4" xfId="313" xr:uid="{00000000-0005-0000-0000-0000460B0000}"/>
    <cellStyle name="Comma [0] 6 4 2" xfId="3970" xr:uid="{00000000-0005-0000-0000-0000470B0000}"/>
    <cellStyle name="Comma [0] 6 4 2 2" xfId="6815" xr:uid="{C7F4AFEE-9C7D-4AB2-AC6F-18C5B4B30FF1}"/>
    <cellStyle name="Comma [0] 6 4 3" xfId="6812" xr:uid="{0FD8322D-60DC-415A-BCC5-B187E607E127}"/>
    <cellStyle name="Comma [0] 6 5" xfId="314" xr:uid="{00000000-0005-0000-0000-0000480B0000}"/>
    <cellStyle name="Comma [0] 6 5 2" xfId="6818" xr:uid="{3989B060-A3E6-4D0E-8A4A-F078BCA34325}"/>
    <cellStyle name="Comma [0] 6 5 3" xfId="6816" xr:uid="{F019AC16-1F68-46AA-8E27-2518E6EB6AE4}"/>
    <cellStyle name="Comma [0] 6 6" xfId="315" xr:uid="{00000000-0005-0000-0000-0000490B0000}"/>
    <cellStyle name="Comma [0] 6 6 2" xfId="6821" xr:uid="{84EFF2D3-F2CD-4820-B256-331F1DB860CD}"/>
    <cellStyle name="Comma [0] 6 6 3" xfId="6413" xr:uid="{5EB63F42-A0D2-4EC1-96B2-792579B30AD9}"/>
    <cellStyle name="Comma [0] 6 7" xfId="316" xr:uid="{00000000-0005-0000-0000-00004A0B0000}"/>
    <cellStyle name="Comma [0] 6 7 2" xfId="6824" xr:uid="{21BFF2F4-8946-4766-ADF5-59C727D23EC5}"/>
    <cellStyle name="Comma [0] 6 7 3" xfId="6822" xr:uid="{D00EF218-E37E-4144-96CF-D8C4A016FCDD}"/>
    <cellStyle name="Comma [0] 6 8" xfId="3971" xr:uid="{00000000-0005-0000-0000-00004B0B0000}"/>
    <cellStyle name="Comma [0] 6 8 2" xfId="6572" xr:uid="{FCE668CC-8EA8-4784-AA09-F0832A118177}"/>
    <cellStyle name="Comma [0] 6 8 3" xfId="6624" xr:uid="{7F8E6AF2-5AED-4A35-90E0-5C1D8D8D6803}"/>
    <cellStyle name="Comma [0] 6 9" xfId="5739" xr:uid="{00000000-0005-0000-0000-00004C0B0000}"/>
    <cellStyle name="Comma [0] 6 9 2" xfId="6625" xr:uid="{07577E15-B52F-48DB-853F-A1F31FA4D1D8}"/>
    <cellStyle name="Comma [0] 60" xfId="3972" xr:uid="{00000000-0005-0000-0000-00004D0B0000}"/>
    <cellStyle name="Comma [0] 60 2" xfId="3973" xr:uid="{00000000-0005-0000-0000-00004E0B0000}"/>
    <cellStyle name="Comma [0] 60 3" xfId="3974" xr:uid="{00000000-0005-0000-0000-00004F0B0000}"/>
    <cellStyle name="Comma [0] 61" xfId="3975" xr:uid="{00000000-0005-0000-0000-0000500B0000}"/>
    <cellStyle name="Comma [0] 61 2" xfId="3976" xr:uid="{00000000-0005-0000-0000-0000510B0000}"/>
    <cellStyle name="Comma [0] 61 3" xfId="3977" xr:uid="{00000000-0005-0000-0000-0000520B0000}"/>
    <cellStyle name="Comma [0] 62" xfId="3978" xr:uid="{00000000-0005-0000-0000-0000530B0000}"/>
    <cellStyle name="Comma [0] 62 2" xfId="3979" xr:uid="{00000000-0005-0000-0000-0000540B0000}"/>
    <cellStyle name="Comma [0] 63" xfId="3980" xr:uid="{00000000-0005-0000-0000-0000550B0000}"/>
    <cellStyle name="Comma [0] 63 2" xfId="3981" xr:uid="{00000000-0005-0000-0000-0000560B0000}"/>
    <cellStyle name="Comma [0] 64" xfId="3982" xr:uid="{00000000-0005-0000-0000-0000570B0000}"/>
    <cellStyle name="Comma [0] 64 2" xfId="3983" xr:uid="{00000000-0005-0000-0000-0000580B0000}"/>
    <cellStyle name="Comma [0] 65" xfId="3984" xr:uid="{00000000-0005-0000-0000-0000590B0000}"/>
    <cellStyle name="Comma [0] 65 2" xfId="3985" xr:uid="{00000000-0005-0000-0000-00005A0B0000}"/>
    <cellStyle name="Comma [0] 66" xfId="3986" xr:uid="{00000000-0005-0000-0000-00005B0B0000}"/>
    <cellStyle name="Comma [0] 66 2" xfId="3987" xr:uid="{00000000-0005-0000-0000-00005C0B0000}"/>
    <cellStyle name="Comma [0] 67" xfId="3988" xr:uid="{00000000-0005-0000-0000-00005D0B0000}"/>
    <cellStyle name="Comma [0] 67 2" xfId="3989" xr:uid="{00000000-0005-0000-0000-00005E0B0000}"/>
    <cellStyle name="Comma [0] 68" xfId="3990" xr:uid="{00000000-0005-0000-0000-00005F0B0000}"/>
    <cellStyle name="Comma [0] 68 2" xfId="3991" xr:uid="{00000000-0005-0000-0000-0000600B0000}"/>
    <cellStyle name="Comma [0] 69" xfId="3992" xr:uid="{00000000-0005-0000-0000-0000610B0000}"/>
    <cellStyle name="Comma [0] 7" xfId="317" xr:uid="{00000000-0005-0000-0000-0000620B0000}"/>
    <cellStyle name="Comma [0] 7 10" xfId="5741" xr:uid="{00000000-0005-0000-0000-0000630B0000}"/>
    <cellStyle name="Comma [0] 7 2" xfId="318" xr:uid="{00000000-0005-0000-0000-0000640B0000}"/>
    <cellStyle name="Comma [0] 7 2 2" xfId="319" xr:uid="{00000000-0005-0000-0000-0000650B0000}"/>
    <cellStyle name="Comma [0] 7 2 2 2" xfId="320" xr:uid="{00000000-0005-0000-0000-0000660B0000}"/>
    <cellStyle name="Comma [0] 7 2 2 2 2" xfId="6830" xr:uid="{5E6584F7-F7FB-4B82-B468-67FE98F2D6CE}"/>
    <cellStyle name="Comma [0] 7 2 2 2 3" xfId="6828" xr:uid="{39A07D63-5AF5-48FB-A8BC-6F3AA2E668F9}"/>
    <cellStyle name="Comma [0] 7 2 2 3" xfId="6831" xr:uid="{C032E4F5-7707-4EA3-9019-75203B92A796}"/>
    <cellStyle name="Comma [0] 7 2 2 4" xfId="6827" xr:uid="{34A6CE3A-9678-4E7F-8BB5-4E79CFCA2D90}"/>
    <cellStyle name="Comma [0] 7 2 3" xfId="6107" xr:uid="{00000000-0005-0000-0000-0000670B0000}"/>
    <cellStyle name="Comma [0] 7 2 3 2" xfId="6832" xr:uid="{589CCC36-121C-42B2-831D-3892160A2182}"/>
    <cellStyle name="Comma [0] 7 2 4" xfId="6826" xr:uid="{417670CB-F26F-4284-9801-FFC825021B51}"/>
    <cellStyle name="Comma [0] 7 3" xfId="321" xr:uid="{00000000-0005-0000-0000-0000680B0000}"/>
    <cellStyle name="Comma [0] 7 3 2" xfId="6834" xr:uid="{1FBDA35C-AB87-49EA-A597-57F44E5C4FB2}"/>
    <cellStyle name="Comma [0] 7 3 3" xfId="6570" xr:uid="{02DDAB61-1AFA-4829-8CC4-384A6C08CE2F}"/>
    <cellStyle name="Comma [0] 7 4" xfId="322" xr:uid="{00000000-0005-0000-0000-0000690B0000}"/>
    <cellStyle name="Comma [0] 7 4 2" xfId="6836" xr:uid="{E4EF2DE1-A643-4F5C-9AE8-1FC01FF09B39}"/>
    <cellStyle name="Comma [0] 7 4 3" xfId="6835" xr:uid="{EA44C2AB-915D-4B08-A4FC-9DAEB248E524}"/>
    <cellStyle name="Comma [0] 7 5" xfId="323" xr:uid="{00000000-0005-0000-0000-00006A0B0000}"/>
    <cellStyle name="Comma [0] 7 5 2" xfId="6839" xr:uid="{D36EFEFD-AAB4-4D50-B5C9-0CF244A69231}"/>
    <cellStyle name="Comma [0] 7 5 3" xfId="6837" xr:uid="{C171504B-A7A8-4AF1-9163-513A84E59500}"/>
    <cellStyle name="Comma [0] 7 6" xfId="324" xr:uid="{00000000-0005-0000-0000-00006B0B0000}"/>
    <cellStyle name="Comma [0] 7 6 2" xfId="6845" xr:uid="{BC33B9FB-B3E3-4A8D-8A7D-212FD18C284E}"/>
    <cellStyle name="Comma [0] 7 6 3" xfId="6843" xr:uid="{86F82A5E-DDD2-4CE2-A015-0FDBB0EC6590}"/>
    <cellStyle name="Comma [0] 7 7" xfId="325" xr:uid="{00000000-0005-0000-0000-00006C0B0000}"/>
    <cellStyle name="Comma [0] 7 7 2" xfId="6847" xr:uid="{EFDBD76D-3F98-4860-8974-6BBAC87CFE50}"/>
    <cellStyle name="Comma [0] 7 7 3" xfId="6438" xr:uid="{9F5A5141-28EF-415D-BF8C-6C22986C4D1F}"/>
    <cellStyle name="Comma [0] 7 8" xfId="326" xr:uid="{00000000-0005-0000-0000-00006D0B0000}"/>
    <cellStyle name="Comma [0] 7 8 2" xfId="6643" xr:uid="{BB6FEFBF-289B-4D8C-A224-6C98CB6D3A5A}"/>
    <cellStyle name="Comma [0] 7 8 3" xfId="6640" xr:uid="{A4225256-B70A-4763-ADBB-E2D03A37AF6F}"/>
    <cellStyle name="Comma [0] 7 9" xfId="3993" xr:uid="{00000000-0005-0000-0000-00006E0B0000}"/>
    <cellStyle name="Comma [0] 7 9 2" xfId="6646" xr:uid="{3750E3BB-A9B1-4E51-AD00-BD5EF1BBE9A4}"/>
    <cellStyle name="Comma [0] 70" xfId="3994" xr:uid="{00000000-0005-0000-0000-00006F0B0000}"/>
    <cellStyle name="Comma [0] 71" xfId="5679" xr:uid="{00000000-0005-0000-0000-0000700B0000}"/>
    <cellStyle name="Comma [0] 72" xfId="5915" xr:uid="{00000000-0005-0000-0000-0000710B0000}"/>
    <cellStyle name="Comma [0] 73" xfId="5986" xr:uid="{00000000-0005-0000-0000-0000720B0000}"/>
    <cellStyle name="Comma [0] 74" xfId="5920" xr:uid="{00000000-0005-0000-0000-0000730B0000}"/>
    <cellStyle name="Comma [0] 75" xfId="5987" xr:uid="{00000000-0005-0000-0000-0000740B0000}"/>
    <cellStyle name="Comma [0] 76" xfId="5923" xr:uid="{00000000-0005-0000-0000-0000750B0000}"/>
    <cellStyle name="Comma [0] 77" xfId="5989" xr:uid="{00000000-0005-0000-0000-0000760B0000}"/>
    <cellStyle name="Comma [0] 78" xfId="5927" xr:uid="{00000000-0005-0000-0000-0000770B0000}"/>
    <cellStyle name="Comma [0] 79" xfId="5991" xr:uid="{00000000-0005-0000-0000-0000780B0000}"/>
    <cellStyle name="Comma [0] 8" xfId="327" xr:uid="{00000000-0005-0000-0000-0000790B0000}"/>
    <cellStyle name="Comma [0] 8 2" xfId="328" xr:uid="{00000000-0005-0000-0000-00007A0B0000}"/>
    <cellStyle name="Comma [0] 8 2 2" xfId="329" xr:uid="{00000000-0005-0000-0000-00007B0B0000}"/>
    <cellStyle name="Comma [0] 8 2 2 2" xfId="330" xr:uid="{00000000-0005-0000-0000-00007C0B0000}"/>
    <cellStyle name="Comma [0] 8 2 2 2 2" xfId="6412" xr:uid="{595529D0-04DC-42E0-805D-900A6BDC8619}"/>
    <cellStyle name="Comma [0] 8 2 2 2 3" xfId="6852" xr:uid="{DA334884-6488-42CF-8D8D-694AB22B3F38}"/>
    <cellStyle name="Comma [0] 8 2 2 3" xfId="3995" xr:uid="{00000000-0005-0000-0000-00007D0B0000}"/>
    <cellStyle name="Comma [0] 8 2 2 3 2" xfId="6854" xr:uid="{90685AD6-C802-40CF-9D50-017E401D2DEE}"/>
    <cellStyle name="Comma [0] 8 2 2 4" xfId="6850" xr:uid="{14CF5153-D9B2-492D-AEDC-CA46D2D6EC1B}"/>
    <cellStyle name="Comma [0] 8 2 3" xfId="3996" xr:uid="{00000000-0005-0000-0000-00007E0B0000}"/>
    <cellStyle name="Comma [0] 8 2 3 2" xfId="6855" xr:uid="{1DF0DBF5-65E6-46A6-A62F-90015D093D21}"/>
    <cellStyle name="Comma [0] 8 2 4" xfId="6108" xr:uid="{00000000-0005-0000-0000-00007F0B0000}"/>
    <cellStyle name="Comma [0] 8 2 5" xfId="6849" xr:uid="{C5AD58AC-105A-4E4E-A962-5726536CDC78}"/>
    <cellStyle name="Comma [0] 8 3" xfId="5742" xr:uid="{00000000-0005-0000-0000-0000800B0000}"/>
    <cellStyle name="Comma [0] 8 3 2" xfId="6857" xr:uid="{4327CA5D-3F45-4BEB-B710-78C96879AFD8}"/>
    <cellStyle name="Comma [0] 8 3 3" xfId="6856" xr:uid="{5D5AC8E7-DE29-427F-B52A-C58882DA0374}"/>
    <cellStyle name="Comma [0] 8 4" xfId="6558" xr:uid="{E85081E3-20FA-4C6F-9CED-80F7B2DD32D7}"/>
    <cellStyle name="Comma [0] 8 5" xfId="6848" xr:uid="{99784996-E3AB-4279-9625-C4166A45286B}"/>
    <cellStyle name="Comma [0] 80" xfId="6038" xr:uid="{00000000-0005-0000-0000-0000810B0000}"/>
    <cellStyle name="Comma [0] 81" xfId="6358" xr:uid="{002139F0-AB0E-441F-99A4-CF3C51AC4BB3}"/>
    <cellStyle name="Comma [0] 82" xfId="6364" xr:uid="{5E71BF63-72CB-4F5E-9394-CB59C3C1E95F}"/>
    <cellStyle name="Comma [0] 83" xfId="6363" xr:uid="{F28AE259-FADC-43F2-BC1A-719210230A63}"/>
    <cellStyle name="Comma [0] 84" xfId="7183" xr:uid="{5BAC42C9-12ED-4DEA-8E69-282368509F24}"/>
    <cellStyle name="Comma [0] 9" xfId="331" xr:uid="{00000000-0005-0000-0000-0000820B0000}"/>
    <cellStyle name="Comma [0] 9 2" xfId="332" xr:uid="{00000000-0005-0000-0000-0000830B0000}"/>
    <cellStyle name="Comma [0] 9 2 2" xfId="333" xr:uid="{00000000-0005-0000-0000-0000840B0000}"/>
    <cellStyle name="Comma [0] 9 2 2 2" xfId="6109" xr:uid="{00000000-0005-0000-0000-0000850B0000}"/>
    <cellStyle name="Comma [0] 9 2 2 3" xfId="6859" xr:uid="{12BC8D8F-E42E-4FD6-8609-CDCEC07DAC98}"/>
    <cellStyle name="Comma [0] 9 2 3" xfId="5744" xr:uid="{00000000-0005-0000-0000-0000860B0000}"/>
    <cellStyle name="Comma [0] 9 2 4" xfId="6858" xr:uid="{2F2BBB0F-A279-4BDC-B9AA-7D6E000B01FE}"/>
    <cellStyle name="Comma [0] 9 3" xfId="334" xr:uid="{00000000-0005-0000-0000-0000870B0000}"/>
    <cellStyle name="Comma [0] 9 3 2" xfId="6110" xr:uid="{00000000-0005-0000-0000-0000880B0000}"/>
    <cellStyle name="Comma [0] 9 3 2 2" xfId="6436" xr:uid="{1AC2ADAD-04B5-4B02-8517-81EC3FA41847}"/>
    <cellStyle name="Comma [0] 9 3 3" xfId="6860" xr:uid="{FFED2C95-A6F3-4810-922A-F44AFCF191C9}"/>
    <cellStyle name="Comma [0] 9 4" xfId="3997" xr:uid="{00000000-0005-0000-0000-0000890B0000}"/>
    <cellStyle name="Comma [0] 9 4 2" xfId="6861" xr:uid="{4CD47E7E-DB93-432B-9362-BF1984709FFF}"/>
    <cellStyle name="Comma [0] 9 5" xfId="5743" xr:uid="{00000000-0005-0000-0000-00008A0B0000}"/>
    <cellStyle name="Comma [0] 9 5 2" xfId="6725" xr:uid="{E2068ECB-6ACE-46CE-BEB2-C33C8B298803}"/>
    <cellStyle name="Comma [0] 9 6" xfId="6393" xr:uid="{53B5ABA4-B6C8-46FE-A25E-DD763FBE6486}"/>
    <cellStyle name="Comma [00]" xfId="335" xr:uid="{00000000-0005-0000-0000-00008B0B0000}"/>
    <cellStyle name="Comma [00] 2" xfId="336" xr:uid="{00000000-0005-0000-0000-00008C0B0000}"/>
    <cellStyle name="Comma [00] 2 2" xfId="6112" xr:uid="{00000000-0005-0000-0000-00008D0B0000}"/>
    <cellStyle name="Comma [00] 3" xfId="5745" xr:uid="{00000000-0005-0000-0000-00008E0B0000}"/>
    <cellStyle name="Comma [00] 3 2" xfId="6113" xr:uid="{00000000-0005-0000-0000-00008F0B0000}"/>
    <cellStyle name="Comma [00] 4" xfId="6111" xr:uid="{00000000-0005-0000-0000-0000900B0000}"/>
    <cellStyle name="Comma 10" xfId="337" xr:uid="{00000000-0005-0000-0000-0000910B0000}"/>
    <cellStyle name="Comma 10 10" xfId="3998" xr:uid="{00000000-0005-0000-0000-0000920B0000}"/>
    <cellStyle name="Comma 10 10 2" xfId="3999" xr:uid="{00000000-0005-0000-0000-0000930B0000}"/>
    <cellStyle name="Comma 10 11" xfId="4000" xr:uid="{00000000-0005-0000-0000-0000940B0000}"/>
    <cellStyle name="Comma 10 11 2" xfId="4001" xr:uid="{00000000-0005-0000-0000-0000950B0000}"/>
    <cellStyle name="Comma 10 12" xfId="4002" xr:uid="{00000000-0005-0000-0000-0000960B0000}"/>
    <cellStyle name="Comma 10 12 2" xfId="4003" xr:uid="{00000000-0005-0000-0000-0000970B0000}"/>
    <cellStyle name="Comma 10 13" xfId="4004" xr:uid="{00000000-0005-0000-0000-0000980B0000}"/>
    <cellStyle name="Comma 10 13 2" xfId="4005" xr:uid="{00000000-0005-0000-0000-0000990B0000}"/>
    <cellStyle name="Comma 10 14" xfId="4006" xr:uid="{00000000-0005-0000-0000-00009A0B0000}"/>
    <cellStyle name="Comma 10 14 2" xfId="4007" xr:uid="{00000000-0005-0000-0000-00009B0B0000}"/>
    <cellStyle name="Comma 10 15" xfId="4008" xr:uid="{00000000-0005-0000-0000-00009C0B0000}"/>
    <cellStyle name="Comma 10 15 2" xfId="4009" xr:uid="{00000000-0005-0000-0000-00009D0B0000}"/>
    <cellStyle name="Comma 10 16" xfId="4010" xr:uid="{00000000-0005-0000-0000-00009E0B0000}"/>
    <cellStyle name="Comma 10 17" xfId="4011" xr:uid="{00000000-0005-0000-0000-00009F0B0000}"/>
    <cellStyle name="Comma 10 18" xfId="5746" xr:uid="{00000000-0005-0000-0000-0000A00B0000}"/>
    <cellStyle name="Comma 10 19" xfId="6862" xr:uid="{07DB7716-CBA8-44F6-9A75-E35922B745BA}"/>
    <cellStyle name="Comma 10 2" xfId="338" xr:uid="{00000000-0005-0000-0000-0000A10B0000}"/>
    <cellStyle name="Comma 10 2 2" xfId="4012" xr:uid="{00000000-0005-0000-0000-0000A20B0000}"/>
    <cellStyle name="Comma 10 2 2 2" xfId="5748" xr:uid="{00000000-0005-0000-0000-0000A30B0000}"/>
    <cellStyle name="Comma 10 2 2 2 2" xfId="6114" xr:uid="{00000000-0005-0000-0000-0000A40B0000}"/>
    <cellStyle name="Comma 10 2 3" xfId="5747" xr:uid="{00000000-0005-0000-0000-0000A50B0000}"/>
    <cellStyle name="Comma 10 2 3 2" xfId="6115" xr:uid="{00000000-0005-0000-0000-0000A60B0000}"/>
    <cellStyle name="Comma 10 3" xfId="4013" xr:uid="{00000000-0005-0000-0000-0000A70B0000}"/>
    <cellStyle name="Comma 10 3 2" xfId="4014" xr:uid="{00000000-0005-0000-0000-0000A80B0000}"/>
    <cellStyle name="Comma 10 3 2 2" xfId="6116" xr:uid="{00000000-0005-0000-0000-0000A90B0000}"/>
    <cellStyle name="Comma 10 3 3" xfId="5749" xr:uid="{00000000-0005-0000-0000-0000AA0B0000}"/>
    <cellStyle name="Comma 10 4" xfId="4015" xr:uid="{00000000-0005-0000-0000-0000AB0B0000}"/>
    <cellStyle name="Comma 10 4 2" xfId="4016" xr:uid="{00000000-0005-0000-0000-0000AC0B0000}"/>
    <cellStyle name="Comma 10 4 3" xfId="6117" xr:uid="{00000000-0005-0000-0000-0000AD0B0000}"/>
    <cellStyle name="Comma 10 4 4" xfId="6868" xr:uid="{63655F33-C39A-4465-9C14-91CF4F7078DE}"/>
    <cellStyle name="Comma 10 5" xfId="4017" xr:uid="{00000000-0005-0000-0000-0000AE0B0000}"/>
    <cellStyle name="Comma 10 5 2" xfId="4018" xr:uid="{00000000-0005-0000-0000-0000AF0B0000}"/>
    <cellStyle name="Comma 10 6" xfId="4019" xr:uid="{00000000-0005-0000-0000-0000B00B0000}"/>
    <cellStyle name="Comma 10 6 2" xfId="4020" xr:uid="{00000000-0005-0000-0000-0000B10B0000}"/>
    <cellStyle name="Comma 10 7" xfId="4021" xr:uid="{00000000-0005-0000-0000-0000B20B0000}"/>
    <cellStyle name="Comma 10 7 2" xfId="4022" xr:uid="{00000000-0005-0000-0000-0000B30B0000}"/>
    <cellStyle name="Comma 10 8" xfId="4023" xr:uid="{00000000-0005-0000-0000-0000B40B0000}"/>
    <cellStyle name="Comma 10 8 2" xfId="4024" xr:uid="{00000000-0005-0000-0000-0000B50B0000}"/>
    <cellStyle name="Comma 10 9" xfId="4025" xr:uid="{00000000-0005-0000-0000-0000B60B0000}"/>
    <cellStyle name="Comma 10 9 2" xfId="4026" xr:uid="{00000000-0005-0000-0000-0000B70B0000}"/>
    <cellStyle name="Comma 11" xfId="339" xr:uid="{00000000-0005-0000-0000-0000B80B0000}"/>
    <cellStyle name="Comma 11 10" xfId="4027" xr:uid="{00000000-0005-0000-0000-0000B90B0000}"/>
    <cellStyle name="Comma 11 10 2" xfId="4028" xr:uid="{00000000-0005-0000-0000-0000BA0B0000}"/>
    <cellStyle name="Comma 11 11" xfId="4029" xr:uid="{00000000-0005-0000-0000-0000BB0B0000}"/>
    <cellStyle name="Comma 11 11 2" xfId="4030" xr:uid="{00000000-0005-0000-0000-0000BC0B0000}"/>
    <cellStyle name="Comma 11 12" xfId="4031" xr:uid="{00000000-0005-0000-0000-0000BD0B0000}"/>
    <cellStyle name="Comma 11 12 2" xfId="4032" xr:uid="{00000000-0005-0000-0000-0000BE0B0000}"/>
    <cellStyle name="Comma 11 13" xfId="4033" xr:uid="{00000000-0005-0000-0000-0000BF0B0000}"/>
    <cellStyle name="Comma 11 13 2" xfId="4034" xr:uid="{00000000-0005-0000-0000-0000C00B0000}"/>
    <cellStyle name="Comma 11 14" xfId="4035" xr:uid="{00000000-0005-0000-0000-0000C10B0000}"/>
    <cellStyle name="Comma 11 14 2" xfId="4036" xr:uid="{00000000-0005-0000-0000-0000C20B0000}"/>
    <cellStyle name="Comma 11 15" xfId="4037" xr:uid="{00000000-0005-0000-0000-0000C30B0000}"/>
    <cellStyle name="Comma 11 15 2" xfId="4038" xr:uid="{00000000-0005-0000-0000-0000C40B0000}"/>
    <cellStyle name="Comma 11 16" xfId="4039" xr:uid="{00000000-0005-0000-0000-0000C50B0000}"/>
    <cellStyle name="Comma 11 17" xfId="5750" xr:uid="{00000000-0005-0000-0000-0000C60B0000}"/>
    <cellStyle name="Comma 11 2" xfId="340" xr:uid="{00000000-0005-0000-0000-0000C70B0000}"/>
    <cellStyle name="Comma 11 2 2" xfId="341" xr:uid="{00000000-0005-0000-0000-0000C80B0000}"/>
    <cellStyle name="Comma 11 2 2 2" xfId="4040" xr:uid="{00000000-0005-0000-0000-0000C90B0000}"/>
    <cellStyle name="Comma 11 2 2 3" xfId="6118" xr:uid="{00000000-0005-0000-0000-0000CA0B0000}"/>
    <cellStyle name="Comma 11 2 3" xfId="5751" xr:uid="{00000000-0005-0000-0000-0000CB0B0000}"/>
    <cellStyle name="Comma 11 3" xfId="342" xr:uid="{00000000-0005-0000-0000-0000CC0B0000}"/>
    <cellStyle name="Comma 11 3 2" xfId="4041" xr:uid="{00000000-0005-0000-0000-0000CD0B0000}"/>
    <cellStyle name="Comma 11 3 2 2" xfId="6825" xr:uid="{C934050D-834F-45C5-A0FD-DC5C672DA026}"/>
    <cellStyle name="Comma 11 3 3" xfId="6119" xr:uid="{00000000-0005-0000-0000-0000CE0B0000}"/>
    <cellStyle name="Comma 11 3 4" xfId="6870" xr:uid="{DE2DE83C-4023-422F-8ABA-32D7539520CA}"/>
    <cellStyle name="Comma 11 4" xfId="343" xr:uid="{00000000-0005-0000-0000-0000CF0B0000}"/>
    <cellStyle name="Comma 11 4 2" xfId="4042" xr:uid="{00000000-0005-0000-0000-0000D00B0000}"/>
    <cellStyle name="Comma 11 4 3" xfId="4043" xr:uid="{00000000-0005-0000-0000-0000D10B0000}"/>
    <cellStyle name="Comma 11 4 4" xfId="6871" xr:uid="{8A0E8439-E6F4-4E18-8C66-4F81EABB9B21}"/>
    <cellStyle name="Comma 11 5" xfId="4044" xr:uid="{00000000-0005-0000-0000-0000D20B0000}"/>
    <cellStyle name="Comma 11 5 2" xfId="4045" xr:uid="{00000000-0005-0000-0000-0000D30B0000}"/>
    <cellStyle name="Comma 11 6" xfId="4046" xr:uid="{00000000-0005-0000-0000-0000D40B0000}"/>
    <cellStyle name="Comma 11 6 2" xfId="4047" xr:uid="{00000000-0005-0000-0000-0000D50B0000}"/>
    <cellStyle name="Comma 11 7" xfId="4048" xr:uid="{00000000-0005-0000-0000-0000D60B0000}"/>
    <cellStyle name="Comma 11 7 2" xfId="4049" xr:uid="{00000000-0005-0000-0000-0000D70B0000}"/>
    <cellStyle name="Comma 11 8" xfId="4050" xr:uid="{00000000-0005-0000-0000-0000D80B0000}"/>
    <cellStyle name="Comma 11 8 2" xfId="4051" xr:uid="{00000000-0005-0000-0000-0000D90B0000}"/>
    <cellStyle name="Comma 11 9" xfId="4052" xr:uid="{00000000-0005-0000-0000-0000DA0B0000}"/>
    <cellStyle name="Comma 11 9 2" xfId="4053" xr:uid="{00000000-0005-0000-0000-0000DB0B0000}"/>
    <cellStyle name="Comma 12" xfId="344" xr:uid="{00000000-0005-0000-0000-0000DC0B0000}"/>
    <cellStyle name="Comma 12 10" xfId="4054" xr:uid="{00000000-0005-0000-0000-0000DD0B0000}"/>
    <cellStyle name="Comma 12 10 2" xfId="4055" xr:uid="{00000000-0005-0000-0000-0000DE0B0000}"/>
    <cellStyle name="Comma 12 11" xfId="4056" xr:uid="{00000000-0005-0000-0000-0000DF0B0000}"/>
    <cellStyle name="Comma 12 11 2" xfId="4057" xr:uid="{00000000-0005-0000-0000-0000E00B0000}"/>
    <cellStyle name="Comma 12 12" xfId="4058" xr:uid="{00000000-0005-0000-0000-0000E10B0000}"/>
    <cellStyle name="Comma 12 12 2" xfId="4059" xr:uid="{00000000-0005-0000-0000-0000E20B0000}"/>
    <cellStyle name="Comma 12 13" xfId="4060" xr:uid="{00000000-0005-0000-0000-0000E30B0000}"/>
    <cellStyle name="Comma 12 13 2" xfId="4061" xr:uid="{00000000-0005-0000-0000-0000E40B0000}"/>
    <cellStyle name="Comma 12 14" xfId="4062" xr:uid="{00000000-0005-0000-0000-0000E50B0000}"/>
    <cellStyle name="Comma 12 14 2" xfId="4063" xr:uid="{00000000-0005-0000-0000-0000E60B0000}"/>
    <cellStyle name="Comma 12 15" xfId="4064" xr:uid="{00000000-0005-0000-0000-0000E70B0000}"/>
    <cellStyle name="Comma 12 15 2" xfId="4065" xr:uid="{00000000-0005-0000-0000-0000E80B0000}"/>
    <cellStyle name="Comma 12 16" xfId="4066" xr:uid="{00000000-0005-0000-0000-0000E90B0000}"/>
    <cellStyle name="Comma 12 17" xfId="5752" xr:uid="{00000000-0005-0000-0000-0000EA0B0000}"/>
    <cellStyle name="Comma 12 2" xfId="345" xr:uid="{00000000-0005-0000-0000-0000EB0B0000}"/>
    <cellStyle name="Comma 12 2 2" xfId="4067" xr:uid="{00000000-0005-0000-0000-0000EC0B0000}"/>
    <cellStyle name="Comma 12 2 2 2" xfId="6120" xr:uid="{00000000-0005-0000-0000-0000ED0B0000}"/>
    <cellStyle name="Comma 12 2 3" xfId="4068" xr:uid="{00000000-0005-0000-0000-0000EE0B0000}"/>
    <cellStyle name="Comma 12 2 4" xfId="5753" xr:uid="{00000000-0005-0000-0000-0000EF0B0000}"/>
    <cellStyle name="Comma 12 3" xfId="4069" xr:uid="{00000000-0005-0000-0000-0000F00B0000}"/>
    <cellStyle name="Comma 12 3 2" xfId="4070" xr:uid="{00000000-0005-0000-0000-0000F10B0000}"/>
    <cellStyle name="Comma 12 3 3" xfId="6121" xr:uid="{00000000-0005-0000-0000-0000F20B0000}"/>
    <cellStyle name="Comma 12 4" xfId="4071" xr:uid="{00000000-0005-0000-0000-0000F30B0000}"/>
    <cellStyle name="Comma 12 4 2" xfId="4072" xr:uid="{00000000-0005-0000-0000-0000F40B0000}"/>
    <cellStyle name="Comma 12 5" xfId="4073" xr:uid="{00000000-0005-0000-0000-0000F50B0000}"/>
    <cellStyle name="Comma 12 5 2" xfId="4074" xr:uid="{00000000-0005-0000-0000-0000F60B0000}"/>
    <cellStyle name="Comma 12 6" xfId="4075" xr:uid="{00000000-0005-0000-0000-0000F70B0000}"/>
    <cellStyle name="Comma 12 6 2" xfId="4076" xr:uid="{00000000-0005-0000-0000-0000F80B0000}"/>
    <cellStyle name="Comma 12 7" xfId="4077" xr:uid="{00000000-0005-0000-0000-0000F90B0000}"/>
    <cellStyle name="Comma 12 7 2" xfId="4078" xr:uid="{00000000-0005-0000-0000-0000FA0B0000}"/>
    <cellStyle name="Comma 12 8" xfId="4079" xr:uid="{00000000-0005-0000-0000-0000FB0B0000}"/>
    <cellStyle name="Comma 12 8 2" xfId="4080" xr:uid="{00000000-0005-0000-0000-0000FC0B0000}"/>
    <cellStyle name="Comma 12 9" xfId="4081" xr:uid="{00000000-0005-0000-0000-0000FD0B0000}"/>
    <cellStyle name="Comma 12 9 2" xfId="4082" xr:uid="{00000000-0005-0000-0000-0000FE0B0000}"/>
    <cellStyle name="Comma 13" xfId="346" xr:uid="{00000000-0005-0000-0000-0000FF0B0000}"/>
    <cellStyle name="Comma 13 10" xfId="4083" xr:uid="{00000000-0005-0000-0000-0000000C0000}"/>
    <cellStyle name="Comma 13 10 2" xfId="4084" xr:uid="{00000000-0005-0000-0000-0000010C0000}"/>
    <cellStyle name="Comma 13 11" xfId="4085" xr:uid="{00000000-0005-0000-0000-0000020C0000}"/>
    <cellStyle name="Comma 13 11 2" xfId="4086" xr:uid="{00000000-0005-0000-0000-0000030C0000}"/>
    <cellStyle name="Comma 13 12" xfId="4087" xr:uid="{00000000-0005-0000-0000-0000040C0000}"/>
    <cellStyle name="Comma 13 12 2" xfId="4088" xr:uid="{00000000-0005-0000-0000-0000050C0000}"/>
    <cellStyle name="Comma 13 13" xfId="4089" xr:uid="{00000000-0005-0000-0000-0000060C0000}"/>
    <cellStyle name="Comma 13 13 2" xfId="4090" xr:uid="{00000000-0005-0000-0000-0000070C0000}"/>
    <cellStyle name="Comma 13 14" xfId="4091" xr:uid="{00000000-0005-0000-0000-0000080C0000}"/>
    <cellStyle name="Comma 13 14 2" xfId="4092" xr:uid="{00000000-0005-0000-0000-0000090C0000}"/>
    <cellStyle name="Comma 13 15" xfId="4093" xr:uid="{00000000-0005-0000-0000-00000A0C0000}"/>
    <cellStyle name="Comma 13 15 2" xfId="4094" xr:uid="{00000000-0005-0000-0000-00000B0C0000}"/>
    <cellStyle name="Comma 13 16" xfId="4095" xr:uid="{00000000-0005-0000-0000-00000C0C0000}"/>
    <cellStyle name="Comma 13 17" xfId="5754" xr:uid="{00000000-0005-0000-0000-00000D0C0000}"/>
    <cellStyle name="Comma 13 2" xfId="347" xr:uid="{00000000-0005-0000-0000-00000E0C0000}"/>
    <cellStyle name="Comma 13 2 2" xfId="4096" xr:uid="{00000000-0005-0000-0000-00000F0C0000}"/>
    <cellStyle name="Comma 13 2 2 2" xfId="6122" xr:uid="{00000000-0005-0000-0000-0000100C0000}"/>
    <cellStyle name="Comma 13 2 3" xfId="4097" xr:uid="{00000000-0005-0000-0000-0000110C0000}"/>
    <cellStyle name="Comma 13 2 4" xfId="5755" xr:uid="{00000000-0005-0000-0000-0000120C0000}"/>
    <cellStyle name="Comma 13 3" xfId="4098" xr:uid="{00000000-0005-0000-0000-0000130C0000}"/>
    <cellStyle name="Comma 13 3 2" xfId="4099" xr:uid="{00000000-0005-0000-0000-0000140C0000}"/>
    <cellStyle name="Comma 13 3 3" xfId="6123" xr:uid="{00000000-0005-0000-0000-0000150C0000}"/>
    <cellStyle name="Comma 13 4" xfId="4100" xr:uid="{00000000-0005-0000-0000-0000160C0000}"/>
    <cellStyle name="Comma 13 4 2" xfId="4101" xr:uid="{00000000-0005-0000-0000-0000170C0000}"/>
    <cellStyle name="Comma 13 5" xfId="4102" xr:uid="{00000000-0005-0000-0000-0000180C0000}"/>
    <cellStyle name="Comma 13 5 2" xfId="4103" xr:uid="{00000000-0005-0000-0000-0000190C0000}"/>
    <cellStyle name="Comma 13 6" xfId="4104" xr:uid="{00000000-0005-0000-0000-00001A0C0000}"/>
    <cellStyle name="Comma 13 6 2" xfId="4105" xr:uid="{00000000-0005-0000-0000-00001B0C0000}"/>
    <cellStyle name="Comma 13 7" xfId="4106" xr:uid="{00000000-0005-0000-0000-00001C0C0000}"/>
    <cellStyle name="Comma 13 7 2" xfId="4107" xr:uid="{00000000-0005-0000-0000-00001D0C0000}"/>
    <cellStyle name="Comma 13 8" xfId="4108" xr:uid="{00000000-0005-0000-0000-00001E0C0000}"/>
    <cellStyle name="Comma 13 8 2" xfId="4109" xr:uid="{00000000-0005-0000-0000-00001F0C0000}"/>
    <cellStyle name="Comma 13 9" xfId="4110" xr:uid="{00000000-0005-0000-0000-0000200C0000}"/>
    <cellStyle name="Comma 13 9 2" xfId="4111" xr:uid="{00000000-0005-0000-0000-0000210C0000}"/>
    <cellStyle name="Comma 14" xfId="348" xr:uid="{00000000-0005-0000-0000-0000220C0000}"/>
    <cellStyle name="Comma 14 10" xfId="4112" xr:uid="{00000000-0005-0000-0000-0000230C0000}"/>
    <cellStyle name="Comma 14 10 2" xfId="4113" xr:uid="{00000000-0005-0000-0000-0000240C0000}"/>
    <cellStyle name="Comma 14 11" xfId="4114" xr:uid="{00000000-0005-0000-0000-0000250C0000}"/>
    <cellStyle name="Comma 14 11 2" xfId="4115" xr:uid="{00000000-0005-0000-0000-0000260C0000}"/>
    <cellStyle name="Comma 14 12" xfId="4116" xr:uid="{00000000-0005-0000-0000-0000270C0000}"/>
    <cellStyle name="Comma 14 12 2" xfId="4117" xr:uid="{00000000-0005-0000-0000-0000280C0000}"/>
    <cellStyle name="Comma 14 13" xfId="4118" xr:uid="{00000000-0005-0000-0000-0000290C0000}"/>
    <cellStyle name="Comma 14 13 2" xfId="4119" xr:uid="{00000000-0005-0000-0000-00002A0C0000}"/>
    <cellStyle name="Comma 14 14" xfId="4120" xr:uid="{00000000-0005-0000-0000-00002B0C0000}"/>
    <cellStyle name="Comma 14 14 2" xfId="4121" xr:uid="{00000000-0005-0000-0000-00002C0C0000}"/>
    <cellStyle name="Comma 14 15" xfId="4122" xr:uid="{00000000-0005-0000-0000-00002D0C0000}"/>
    <cellStyle name="Comma 14 15 2" xfId="4123" xr:uid="{00000000-0005-0000-0000-00002E0C0000}"/>
    <cellStyle name="Comma 14 16" xfId="4124" xr:uid="{00000000-0005-0000-0000-00002F0C0000}"/>
    <cellStyle name="Comma 14 17" xfId="5756" xr:uid="{00000000-0005-0000-0000-0000300C0000}"/>
    <cellStyle name="Comma 14 2" xfId="349" xr:uid="{00000000-0005-0000-0000-0000310C0000}"/>
    <cellStyle name="Comma 14 2 2" xfId="4125" xr:uid="{00000000-0005-0000-0000-0000320C0000}"/>
    <cellStyle name="Comma 14 2 2 2" xfId="6124" xr:uid="{00000000-0005-0000-0000-0000330C0000}"/>
    <cellStyle name="Comma 14 2 3" xfId="4126" xr:uid="{00000000-0005-0000-0000-0000340C0000}"/>
    <cellStyle name="Comma 14 2 4" xfId="5757" xr:uid="{00000000-0005-0000-0000-0000350C0000}"/>
    <cellStyle name="Comma 14 3" xfId="4127" xr:uid="{00000000-0005-0000-0000-0000360C0000}"/>
    <cellStyle name="Comma 14 3 2" xfId="4128" xr:uid="{00000000-0005-0000-0000-0000370C0000}"/>
    <cellStyle name="Comma 14 3 3" xfId="6125" xr:uid="{00000000-0005-0000-0000-0000380C0000}"/>
    <cellStyle name="Comma 14 4" xfId="4129" xr:uid="{00000000-0005-0000-0000-0000390C0000}"/>
    <cellStyle name="Comma 14 4 2" xfId="4130" xr:uid="{00000000-0005-0000-0000-00003A0C0000}"/>
    <cellStyle name="Comma 14 5" xfId="4131" xr:uid="{00000000-0005-0000-0000-00003B0C0000}"/>
    <cellStyle name="Comma 14 5 2" xfId="4132" xr:uid="{00000000-0005-0000-0000-00003C0C0000}"/>
    <cellStyle name="Comma 14 6" xfId="4133" xr:uid="{00000000-0005-0000-0000-00003D0C0000}"/>
    <cellStyle name="Comma 14 6 2" xfId="4134" xr:uid="{00000000-0005-0000-0000-00003E0C0000}"/>
    <cellStyle name="Comma 14 7" xfId="4135" xr:uid="{00000000-0005-0000-0000-00003F0C0000}"/>
    <cellStyle name="Comma 14 7 2" xfId="4136" xr:uid="{00000000-0005-0000-0000-0000400C0000}"/>
    <cellStyle name="Comma 14 8" xfId="4137" xr:uid="{00000000-0005-0000-0000-0000410C0000}"/>
    <cellStyle name="Comma 14 8 2" xfId="4138" xr:uid="{00000000-0005-0000-0000-0000420C0000}"/>
    <cellStyle name="Comma 14 9" xfId="4139" xr:uid="{00000000-0005-0000-0000-0000430C0000}"/>
    <cellStyle name="Comma 14 9 2" xfId="4140" xr:uid="{00000000-0005-0000-0000-0000440C0000}"/>
    <cellStyle name="Comma 15" xfId="350" xr:uid="{00000000-0005-0000-0000-0000450C0000}"/>
    <cellStyle name="Comma 15 10" xfId="4141" xr:uid="{00000000-0005-0000-0000-0000460C0000}"/>
    <cellStyle name="Comma 15 10 2" xfId="4142" xr:uid="{00000000-0005-0000-0000-0000470C0000}"/>
    <cellStyle name="Comma 15 11" xfId="4143" xr:uid="{00000000-0005-0000-0000-0000480C0000}"/>
    <cellStyle name="Comma 15 11 2" xfId="4144" xr:uid="{00000000-0005-0000-0000-0000490C0000}"/>
    <cellStyle name="Comma 15 12" xfId="4145" xr:uid="{00000000-0005-0000-0000-00004A0C0000}"/>
    <cellStyle name="Comma 15 12 2" xfId="4146" xr:uid="{00000000-0005-0000-0000-00004B0C0000}"/>
    <cellStyle name="Comma 15 13" xfId="4147" xr:uid="{00000000-0005-0000-0000-00004C0C0000}"/>
    <cellStyle name="Comma 15 13 2" xfId="4148" xr:uid="{00000000-0005-0000-0000-00004D0C0000}"/>
    <cellStyle name="Comma 15 14" xfId="4149" xr:uid="{00000000-0005-0000-0000-00004E0C0000}"/>
    <cellStyle name="Comma 15 14 2" xfId="4150" xr:uid="{00000000-0005-0000-0000-00004F0C0000}"/>
    <cellStyle name="Comma 15 15" xfId="4151" xr:uid="{00000000-0005-0000-0000-0000500C0000}"/>
    <cellStyle name="Comma 15 15 2" xfId="4152" xr:uid="{00000000-0005-0000-0000-0000510C0000}"/>
    <cellStyle name="Comma 15 16" xfId="4153" xr:uid="{00000000-0005-0000-0000-0000520C0000}"/>
    <cellStyle name="Comma 15 17" xfId="5758" xr:uid="{00000000-0005-0000-0000-0000530C0000}"/>
    <cellStyle name="Comma 15 2" xfId="351" xr:uid="{00000000-0005-0000-0000-0000540C0000}"/>
    <cellStyle name="Comma 15 2 2" xfId="4154" xr:uid="{00000000-0005-0000-0000-0000550C0000}"/>
    <cellStyle name="Comma 15 2 2 2" xfId="6126" xr:uid="{00000000-0005-0000-0000-0000560C0000}"/>
    <cellStyle name="Comma 15 2 3" xfId="4155" xr:uid="{00000000-0005-0000-0000-0000570C0000}"/>
    <cellStyle name="Comma 15 2 4" xfId="5759" xr:uid="{00000000-0005-0000-0000-0000580C0000}"/>
    <cellStyle name="Comma 15 3" xfId="4156" xr:uid="{00000000-0005-0000-0000-0000590C0000}"/>
    <cellStyle name="Comma 15 3 2" xfId="4157" xr:uid="{00000000-0005-0000-0000-00005A0C0000}"/>
    <cellStyle name="Comma 15 3 3" xfId="6127" xr:uid="{00000000-0005-0000-0000-00005B0C0000}"/>
    <cellStyle name="Comma 15 4" xfId="4158" xr:uid="{00000000-0005-0000-0000-00005C0C0000}"/>
    <cellStyle name="Comma 15 4 2" xfId="4159" xr:uid="{00000000-0005-0000-0000-00005D0C0000}"/>
    <cellStyle name="Comma 15 5" xfId="4160" xr:uid="{00000000-0005-0000-0000-00005E0C0000}"/>
    <cellStyle name="Comma 15 5 2" xfId="4161" xr:uid="{00000000-0005-0000-0000-00005F0C0000}"/>
    <cellStyle name="Comma 15 6" xfId="4162" xr:uid="{00000000-0005-0000-0000-0000600C0000}"/>
    <cellStyle name="Comma 15 6 2" xfId="4163" xr:uid="{00000000-0005-0000-0000-0000610C0000}"/>
    <cellStyle name="Comma 15 7" xfId="4164" xr:uid="{00000000-0005-0000-0000-0000620C0000}"/>
    <cellStyle name="Comma 15 7 2" xfId="4165" xr:uid="{00000000-0005-0000-0000-0000630C0000}"/>
    <cellStyle name="Comma 15 8" xfId="4166" xr:uid="{00000000-0005-0000-0000-0000640C0000}"/>
    <cellStyle name="Comma 15 8 2" xfId="4167" xr:uid="{00000000-0005-0000-0000-0000650C0000}"/>
    <cellStyle name="Comma 15 9" xfId="4168" xr:uid="{00000000-0005-0000-0000-0000660C0000}"/>
    <cellStyle name="Comma 15 9 2" xfId="4169" xr:uid="{00000000-0005-0000-0000-0000670C0000}"/>
    <cellStyle name="Comma 16" xfId="352" xr:uid="{00000000-0005-0000-0000-0000680C0000}"/>
    <cellStyle name="Comma 16 10" xfId="4170" xr:uid="{00000000-0005-0000-0000-0000690C0000}"/>
    <cellStyle name="Comma 16 10 2" xfId="4171" xr:uid="{00000000-0005-0000-0000-00006A0C0000}"/>
    <cellStyle name="Comma 16 11" xfId="4172" xr:uid="{00000000-0005-0000-0000-00006B0C0000}"/>
    <cellStyle name="Comma 16 11 2" xfId="4173" xr:uid="{00000000-0005-0000-0000-00006C0C0000}"/>
    <cellStyle name="Comma 16 12" xfId="4174" xr:uid="{00000000-0005-0000-0000-00006D0C0000}"/>
    <cellStyle name="Comma 16 12 2" xfId="4175" xr:uid="{00000000-0005-0000-0000-00006E0C0000}"/>
    <cellStyle name="Comma 16 13" xfId="4176" xr:uid="{00000000-0005-0000-0000-00006F0C0000}"/>
    <cellStyle name="Comma 16 13 2" xfId="4177" xr:uid="{00000000-0005-0000-0000-0000700C0000}"/>
    <cellStyle name="Comma 16 14" xfId="4178" xr:uid="{00000000-0005-0000-0000-0000710C0000}"/>
    <cellStyle name="Comma 16 14 2" xfId="4179" xr:uid="{00000000-0005-0000-0000-0000720C0000}"/>
    <cellStyle name="Comma 16 15" xfId="4180" xr:uid="{00000000-0005-0000-0000-0000730C0000}"/>
    <cellStyle name="Comma 16 15 2" xfId="4181" xr:uid="{00000000-0005-0000-0000-0000740C0000}"/>
    <cellStyle name="Comma 16 16" xfId="4182" xr:uid="{00000000-0005-0000-0000-0000750C0000}"/>
    <cellStyle name="Comma 16 17" xfId="4183" xr:uid="{00000000-0005-0000-0000-0000760C0000}"/>
    <cellStyle name="Comma 16 18" xfId="5760" xr:uid="{00000000-0005-0000-0000-0000770C0000}"/>
    <cellStyle name="Comma 16 19" xfId="6874" xr:uid="{44F408EF-23A8-497F-B6AB-5FE1466EAE33}"/>
    <cellStyle name="Comma 16 2" xfId="353" xr:uid="{00000000-0005-0000-0000-0000780C0000}"/>
    <cellStyle name="Comma 16 2 2" xfId="4184" xr:uid="{00000000-0005-0000-0000-0000790C0000}"/>
    <cellStyle name="Comma 16 2 2 2" xfId="6128" xr:uid="{00000000-0005-0000-0000-00007A0C0000}"/>
    <cellStyle name="Comma 16 2 2 3" xfId="6877" xr:uid="{D9819642-DD9B-47C9-8E0D-C6759BFA1FC6}"/>
    <cellStyle name="Comma 16 2 3" xfId="4185" xr:uid="{00000000-0005-0000-0000-00007B0C0000}"/>
    <cellStyle name="Comma 16 2 4" xfId="4186" xr:uid="{00000000-0005-0000-0000-00007C0C0000}"/>
    <cellStyle name="Comma 16 2 5" xfId="5761" xr:uid="{00000000-0005-0000-0000-00007D0C0000}"/>
    <cellStyle name="Comma 16 2 6" xfId="6698" xr:uid="{DB5821B5-D847-4FFE-88C2-BD9035292B09}"/>
    <cellStyle name="Comma 16 3" xfId="1848" xr:uid="{00000000-0005-0000-0000-00007E0C0000}"/>
    <cellStyle name="Comma 16 3 2" xfId="4187" xr:uid="{00000000-0005-0000-0000-00007F0C0000}"/>
    <cellStyle name="Comma 16 3 3" xfId="4188" xr:uid="{00000000-0005-0000-0000-0000800C0000}"/>
    <cellStyle name="Comma 16 3 4" xfId="6129" xr:uid="{00000000-0005-0000-0000-0000810C0000}"/>
    <cellStyle name="Comma 16 3 5" xfId="6502" xr:uid="{458AD4EA-B4CB-4155-A932-6B32013D99DB}"/>
    <cellStyle name="Comma 16 4" xfId="4189" xr:uid="{00000000-0005-0000-0000-0000820C0000}"/>
    <cellStyle name="Comma 16 4 2" xfId="4190" xr:uid="{00000000-0005-0000-0000-0000830C0000}"/>
    <cellStyle name="Comma 16 5" xfId="4191" xr:uid="{00000000-0005-0000-0000-0000840C0000}"/>
    <cellStyle name="Comma 16 5 2" xfId="4192" xr:uid="{00000000-0005-0000-0000-0000850C0000}"/>
    <cellStyle name="Comma 16 6" xfId="4193" xr:uid="{00000000-0005-0000-0000-0000860C0000}"/>
    <cellStyle name="Comma 16 6 2" xfId="4194" xr:uid="{00000000-0005-0000-0000-0000870C0000}"/>
    <cellStyle name="Comma 16 7" xfId="4195" xr:uid="{00000000-0005-0000-0000-0000880C0000}"/>
    <cellStyle name="Comma 16 7 2" xfId="4196" xr:uid="{00000000-0005-0000-0000-0000890C0000}"/>
    <cellStyle name="Comma 16 8" xfId="4197" xr:uid="{00000000-0005-0000-0000-00008A0C0000}"/>
    <cellStyle name="Comma 16 8 2" xfId="4198" xr:uid="{00000000-0005-0000-0000-00008B0C0000}"/>
    <cellStyle name="Comma 16 9" xfId="4199" xr:uid="{00000000-0005-0000-0000-00008C0C0000}"/>
    <cellStyle name="Comma 16 9 2" xfId="4200" xr:uid="{00000000-0005-0000-0000-00008D0C0000}"/>
    <cellStyle name="Comma 17" xfId="354" xr:uid="{00000000-0005-0000-0000-00008E0C0000}"/>
    <cellStyle name="Comma 17 10" xfId="4201" xr:uid="{00000000-0005-0000-0000-00008F0C0000}"/>
    <cellStyle name="Comma 17 10 2" xfId="4202" xr:uid="{00000000-0005-0000-0000-0000900C0000}"/>
    <cellStyle name="Comma 17 11" xfId="4203" xr:uid="{00000000-0005-0000-0000-0000910C0000}"/>
    <cellStyle name="Comma 17 11 2" xfId="4204" xr:uid="{00000000-0005-0000-0000-0000920C0000}"/>
    <cellStyle name="Comma 17 12" xfId="4205" xr:uid="{00000000-0005-0000-0000-0000930C0000}"/>
    <cellStyle name="Comma 17 12 2" xfId="4206" xr:uid="{00000000-0005-0000-0000-0000940C0000}"/>
    <cellStyle name="Comma 17 13" xfId="4207" xr:uid="{00000000-0005-0000-0000-0000950C0000}"/>
    <cellStyle name="Comma 17 13 2" xfId="4208" xr:uid="{00000000-0005-0000-0000-0000960C0000}"/>
    <cellStyle name="Comma 17 14" xfId="4209" xr:uid="{00000000-0005-0000-0000-0000970C0000}"/>
    <cellStyle name="Comma 17 14 2" xfId="4210" xr:uid="{00000000-0005-0000-0000-0000980C0000}"/>
    <cellStyle name="Comma 17 15" xfId="4211" xr:uid="{00000000-0005-0000-0000-0000990C0000}"/>
    <cellStyle name="Comma 17 15 2" xfId="4212" xr:uid="{00000000-0005-0000-0000-00009A0C0000}"/>
    <cellStyle name="Comma 17 16" xfId="4213" xr:uid="{00000000-0005-0000-0000-00009B0C0000}"/>
    <cellStyle name="Comma 17 17" xfId="4214" xr:uid="{00000000-0005-0000-0000-00009C0C0000}"/>
    <cellStyle name="Comma 17 18" xfId="4215" xr:uid="{00000000-0005-0000-0000-00009D0C0000}"/>
    <cellStyle name="Comma 17 19" xfId="4216" xr:uid="{00000000-0005-0000-0000-00009E0C0000}"/>
    <cellStyle name="Comma 17 2" xfId="1849" xr:uid="{00000000-0005-0000-0000-00009F0C0000}"/>
    <cellStyle name="Comma 17 2 2" xfId="1850" xr:uid="{00000000-0005-0000-0000-0000A00C0000}"/>
    <cellStyle name="Comma 17 2 2 2" xfId="4217" xr:uid="{00000000-0005-0000-0000-0000A10C0000}"/>
    <cellStyle name="Comma 17 2 2 2 2" xfId="6687" xr:uid="{26E76636-3803-46AF-A08C-0851459C1328}"/>
    <cellStyle name="Comma 17 2 2 3" xfId="6130" xr:uid="{00000000-0005-0000-0000-0000A20C0000}"/>
    <cellStyle name="Comma 17 2 2 4" xfId="6685" xr:uid="{6EBB3D0B-24A9-4843-A435-D83BDC36DBD0}"/>
    <cellStyle name="Comma 17 2 3" xfId="4218" xr:uid="{00000000-0005-0000-0000-0000A30C0000}"/>
    <cellStyle name="Comma 17 2 3 2" xfId="6702" xr:uid="{21B3DD20-88D2-491D-A95F-1F79343735D1}"/>
    <cellStyle name="Comma 17 2 4" xfId="5763" xr:uid="{00000000-0005-0000-0000-0000A40C0000}"/>
    <cellStyle name="Comma 17 2 5" xfId="6880" xr:uid="{F8C310FC-F7EF-43F9-BAF8-A4FFA0905760}"/>
    <cellStyle name="Comma 17 20" xfId="5762" xr:uid="{00000000-0005-0000-0000-0000A50C0000}"/>
    <cellStyle name="Comma 17 21" xfId="6878" xr:uid="{B3DD0ED9-D716-438F-BB4A-59B334F68D25}"/>
    <cellStyle name="Comma 17 3" xfId="4219" xr:uid="{00000000-0005-0000-0000-0000A60C0000}"/>
    <cellStyle name="Comma 17 3 2" xfId="4220" xr:uid="{00000000-0005-0000-0000-0000A70C0000}"/>
    <cellStyle name="Comma 17 3 3" xfId="6131" xr:uid="{00000000-0005-0000-0000-0000A80C0000}"/>
    <cellStyle name="Comma 17 3 4" xfId="6454" xr:uid="{BE3CC29F-8C43-4298-B2CA-FB19E5FA3D30}"/>
    <cellStyle name="Comma 17 4" xfId="4221" xr:uid="{00000000-0005-0000-0000-0000A90C0000}"/>
    <cellStyle name="Comma 17 4 2" xfId="4222" xr:uid="{00000000-0005-0000-0000-0000AA0C0000}"/>
    <cellStyle name="Comma 17 5" xfId="4223" xr:uid="{00000000-0005-0000-0000-0000AB0C0000}"/>
    <cellStyle name="Comma 17 5 2" xfId="4224" xr:uid="{00000000-0005-0000-0000-0000AC0C0000}"/>
    <cellStyle name="Comma 17 6" xfId="4225" xr:uid="{00000000-0005-0000-0000-0000AD0C0000}"/>
    <cellStyle name="Comma 17 6 2" xfId="4226" xr:uid="{00000000-0005-0000-0000-0000AE0C0000}"/>
    <cellStyle name="Comma 17 7" xfId="4227" xr:uid="{00000000-0005-0000-0000-0000AF0C0000}"/>
    <cellStyle name="Comma 17 7 2" xfId="4228" xr:uid="{00000000-0005-0000-0000-0000B00C0000}"/>
    <cellStyle name="Comma 17 8" xfId="4229" xr:uid="{00000000-0005-0000-0000-0000B10C0000}"/>
    <cellStyle name="Comma 17 8 2" xfId="4230" xr:uid="{00000000-0005-0000-0000-0000B20C0000}"/>
    <cellStyle name="Comma 17 9" xfId="4231" xr:uid="{00000000-0005-0000-0000-0000B30C0000}"/>
    <cellStyle name="Comma 17 9 2" xfId="4232" xr:uid="{00000000-0005-0000-0000-0000B40C0000}"/>
    <cellStyle name="Comma 18" xfId="355" xr:uid="{00000000-0005-0000-0000-0000B50C0000}"/>
    <cellStyle name="Comma 18 10" xfId="4233" xr:uid="{00000000-0005-0000-0000-0000B60C0000}"/>
    <cellStyle name="Comma 18 10 2" xfId="4234" xr:uid="{00000000-0005-0000-0000-0000B70C0000}"/>
    <cellStyle name="Comma 18 11" xfId="4235" xr:uid="{00000000-0005-0000-0000-0000B80C0000}"/>
    <cellStyle name="Comma 18 11 2" xfId="4236" xr:uid="{00000000-0005-0000-0000-0000B90C0000}"/>
    <cellStyle name="Comma 18 12" xfId="4237" xr:uid="{00000000-0005-0000-0000-0000BA0C0000}"/>
    <cellStyle name="Comma 18 12 2" xfId="4238" xr:uid="{00000000-0005-0000-0000-0000BB0C0000}"/>
    <cellStyle name="Comma 18 13" xfId="4239" xr:uid="{00000000-0005-0000-0000-0000BC0C0000}"/>
    <cellStyle name="Comma 18 13 2" xfId="4240" xr:uid="{00000000-0005-0000-0000-0000BD0C0000}"/>
    <cellStyle name="Comma 18 14" xfId="4241" xr:uid="{00000000-0005-0000-0000-0000BE0C0000}"/>
    <cellStyle name="Comma 18 14 2" xfId="4242" xr:uid="{00000000-0005-0000-0000-0000BF0C0000}"/>
    <cellStyle name="Comma 18 15" xfId="4243" xr:uid="{00000000-0005-0000-0000-0000C00C0000}"/>
    <cellStyle name="Comma 18 15 2" xfId="4244" xr:uid="{00000000-0005-0000-0000-0000C10C0000}"/>
    <cellStyle name="Comma 18 16" xfId="4245" xr:uid="{00000000-0005-0000-0000-0000C20C0000}"/>
    <cellStyle name="Comma 18 17" xfId="4246" xr:uid="{00000000-0005-0000-0000-0000C30C0000}"/>
    <cellStyle name="Comma 18 18" xfId="5764" xr:uid="{00000000-0005-0000-0000-0000C40C0000}"/>
    <cellStyle name="Comma 18 2" xfId="4247" xr:uid="{00000000-0005-0000-0000-0000C50C0000}"/>
    <cellStyle name="Comma 18 2 2" xfId="4248" xr:uid="{00000000-0005-0000-0000-0000C60C0000}"/>
    <cellStyle name="Comma 18 2 2 2" xfId="6132" xr:uid="{00000000-0005-0000-0000-0000C70C0000}"/>
    <cellStyle name="Comma 18 2 3" xfId="5765" xr:uid="{00000000-0005-0000-0000-0000C80C0000}"/>
    <cellStyle name="Comma 18 3" xfId="4249" xr:uid="{00000000-0005-0000-0000-0000C90C0000}"/>
    <cellStyle name="Comma 18 3 2" xfId="4250" xr:uid="{00000000-0005-0000-0000-0000CA0C0000}"/>
    <cellStyle name="Comma 18 3 3" xfId="6133" xr:uid="{00000000-0005-0000-0000-0000CB0C0000}"/>
    <cellStyle name="Comma 18 4" xfId="4251" xr:uid="{00000000-0005-0000-0000-0000CC0C0000}"/>
    <cellStyle name="Comma 18 4 2" xfId="4252" xr:uid="{00000000-0005-0000-0000-0000CD0C0000}"/>
    <cellStyle name="Comma 18 5" xfId="4253" xr:uid="{00000000-0005-0000-0000-0000CE0C0000}"/>
    <cellStyle name="Comma 18 5 2" xfId="4254" xr:uid="{00000000-0005-0000-0000-0000CF0C0000}"/>
    <cellStyle name="Comma 18 6" xfId="4255" xr:uid="{00000000-0005-0000-0000-0000D00C0000}"/>
    <cellStyle name="Comma 18 6 2" xfId="4256" xr:uid="{00000000-0005-0000-0000-0000D10C0000}"/>
    <cellStyle name="Comma 18 7" xfId="4257" xr:uid="{00000000-0005-0000-0000-0000D20C0000}"/>
    <cellStyle name="Comma 18 7 2" xfId="4258" xr:uid="{00000000-0005-0000-0000-0000D30C0000}"/>
    <cellStyle name="Comma 18 8" xfId="4259" xr:uid="{00000000-0005-0000-0000-0000D40C0000}"/>
    <cellStyle name="Comma 18 8 2" xfId="4260" xr:uid="{00000000-0005-0000-0000-0000D50C0000}"/>
    <cellStyle name="Comma 18 9" xfId="4261" xr:uid="{00000000-0005-0000-0000-0000D60C0000}"/>
    <cellStyle name="Comma 18 9 2" xfId="4262" xr:uid="{00000000-0005-0000-0000-0000D70C0000}"/>
    <cellStyle name="Comma 19" xfId="356" xr:uid="{00000000-0005-0000-0000-0000D80C0000}"/>
    <cellStyle name="Comma 19 2" xfId="4263" xr:uid="{00000000-0005-0000-0000-0000D90C0000}"/>
    <cellStyle name="Comma 19 2 2" xfId="5767" xr:uid="{00000000-0005-0000-0000-0000DA0C0000}"/>
    <cellStyle name="Comma 19 2 2 2" xfId="6134" xr:uid="{00000000-0005-0000-0000-0000DB0C0000}"/>
    <cellStyle name="Comma 19 3" xfId="4264" xr:uid="{00000000-0005-0000-0000-0000DC0C0000}"/>
    <cellStyle name="Comma 19 3 2" xfId="6135" xr:uid="{00000000-0005-0000-0000-0000DD0C0000}"/>
    <cellStyle name="Comma 19 4" xfId="5766" xr:uid="{00000000-0005-0000-0000-0000DE0C0000}"/>
    <cellStyle name="Comma 2" xfId="357" xr:uid="{00000000-0005-0000-0000-0000DF0C0000}"/>
    <cellStyle name="Comma 2 10" xfId="358" xr:uid="{00000000-0005-0000-0000-0000E00C0000}"/>
    <cellStyle name="Comma 2 10 2" xfId="4265" xr:uid="{00000000-0005-0000-0000-0000E10C0000}"/>
    <cellStyle name="Comma 2 10 2 2" xfId="6889" xr:uid="{49C8D2C7-35CA-4754-AF07-5AEBF3B823F4}"/>
    <cellStyle name="Comma 2 10 3" xfId="6888" xr:uid="{4660A511-F549-4B03-A434-ECA531DBBFCC}"/>
    <cellStyle name="Comma 2 11" xfId="359" xr:uid="{00000000-0005-0000-0000-0000E20C0000}"/>
    <cellStyle name="Comma 2 11 2" xfId="4266" xr:uid="{00000000-0005-0000-0000-0000E30C0000}"/>
    <cellStyle name="Comma 2 11 2 2" xfId="6890" xr:uid="{FD677C7F-DAEE-4EDD-9B70-85238C7F4F48}"/>
    <cellStyle name="Comma 2 11 3" xfId="6549" xr:uid="{318611E1-2912-4F68-9942-C9FC7B7CAFE5}"/>
    <cellStyle name="Comma 2 12" xfId="360" xr:uid="{00000000-0005-0000-0000-0000E40C0000}"/>
    <cellStyle name="Comma 2 12 2" xfId="4267" xr:uid="{00000000-0005-0000-0000-0000E50C0000}"/>
    <cellStyle name="Comma 2 12 2 2" xfId="6499" xr:uid="{87AC4728-65AA-4438-B544-2E7E2161F2AD}"/>
    <cellStyle name="Comma 2 12 3" xfId="6495" xr:uid="{783CD684-64CA-4D0F-8D76-AA8E248EC8A7}"/>
    <cellStyle name="Comma 2 13" xfId="361" xr:uid="{00000000-0005-0000-0000-0000E60C0000}"/>
    <cellStyle name="Comma 2 13 2" xfId="4268" xr:uid="{00000000-0005-0000-0000-0000E70C0000}"/>
    <cellStyle name="Comma 2 13 2 2" xfId="6554" xr:uid="{09010AAC-A83F-4029-B5AD-4347F6A65102}"/>
    <cellStyle name="Comma 2 13 3" xfId="6442" xr:uid="{76981719-E16F-4CC1-AABF-9678B21416FA}"/>
    <cellStyle name="Comma 2 14" xfId="362" xr:uid="{00000000-0005-0000-0000-0000E80C0000}"/>
    <cellStyle name="Comma 2 14 2" xfId="4269" xr:uid="{00000000-0005-0000-0000-0000E90C0000}"/>
    <cellStyle name="Comma 2 14 2 2" xfId="6419" xr:uid="{20871ACD-67F5-4C00-8029-49B7AF694D3F}"/>
    <cellStyle name="Comma 2 14 3" xfId="6829" xr:uid="{23C49CDB-B5FE-4851-A63A-F2C5956AA441}"/>
    <cellStyle name="Comma 2 15" xfId="363" xr:uid="{00000000-0005-0000-0000-0000EA0C0000}"/>
    <cellStyle name="Comma 2 15 2" xfId="4270" xr:uid="{00000000-0005-0000-0000-0000EB0C0000}"/>
    <cellStyle name="Comma 2 15 2 2" xfId="6423" xr:uid="{9D83DE22-3766-4944-B66D-DD5B4615AEFC}"/>
    <cellStyle name="Comma 2 15 3" xfId="6717" xr:uid="{62D83B99-E72F-4357-A155-DE9BC08CB713}"/>
    <cellStyle name="Comma 2 16" xfId="364" xr:uid="{00000000-0005-0000-0000-0000EC0C0000}"/>
    <cellStyle name="Comma 2 16 2" xfId="4271" xr:uid="{00000000-0005-0000-0000-0000ED0C0000}"/>
    <cellStyle name="Comma 2 16 2 2" xfId="6893" xr:uid="{8E8DD3F1-2086-42FE-AA40-54F509545A46}"/>
    <cellStyle name="Comma 2 16 3" xfId="6694" xr:uid="{A4BD6608-262A-4E5E-B878-7335DF36AF36}"/>
    <cellStyle name="Comma 2 17" xfId="365" xr:uid="{00000000-0005-0000-0000-0000EE0C0000}"/>
    <cellStyle name="Comma 2 17 2" xfId="6895" xr:uid="{62E03907-38C6-45A8-8BB2-6F71DA2BE6E3}"/>
    <cellStyle name="Comma 2 17 3" xfId="6633" xr:uid="{783F7FE0-76B0-45D6-9F1E-0EA87D233D50}"/>
    <cellStyle name="Comma 2 18" xfId="366" xr:uid="{00000000-0005-0000-0000-0000EF0C0000}"/>
    <cellStyle name="Comma 2 18 2" xfId="6897" xr:uid="{D5B26807-501B-4A64-8A84-DB2355B63A25}"/>
    <cellStyle name="Comma 2 18 3" xfId="6523" xr:uid="{1268BF0B-7A9D-4021-9C0A-965C6ED341AE}"/>
    <cellStyle name="Comma 2 19" xfId="367" xr:uid="{00000000-0005-0000-0000-0000F00C0000}"/>
    <cellStyle name="Comma 2 19 2" xfId="6565" xr:uid="{19263ED1-0AF3-4C3C-9B35-BCA40C31C71C}"/>
    <cellStyle name="Comma 2 19 3" xfId="6526" xr:uid="{38DC7828-1ADE-4A2A-BC98-1989FCAA408C}"/>
    <cellStyle name="Comma 2 2" xfId="368" xr:uid="{00000000-0005-0000-0000-0000F10C0000}"/>
    <cellStyle name="Comma 2 2 2" xfId="369" xr:uid="{00000000-0005-0000-0000-0000F20C0000}"/>
    <cellStyle name="Comma 2 2 2 2" xfId="4272" xr:uid="{00000000-0005-0000-0000-0000F30C0000}"/>
    <cellStyle name="Comma 2 2 2 2 2" xfId="5771" xr:uid="{00000000-0005-0000-0000-0000F40C0000}"/>
    <cellStyle name="Comma 2 2 2 2 2 2" xfId="6136" xr:uid="{00000000-0005-0000-0000-0000F50C0000}"/>
    <cellStyle name="Comma 2 2 2 2 2 3" xfId="6869" xr:uid="{72827C20-B1A8-4FBA-8332-AED688B1F629}"/>
    <cellStyle name="Comma 2 2 2 2 3" xfId="6898" xr:uid="{A560135B-079C-4D4D-A349-C1D42AE987C2}"/>
    <cellStyle name="Comma 2 2 2 3" xfId="4273" xr:uid="{00000000-0005-0000-0000-0000F60C0000}"/>
    <cellStyle name="Comma 2 2 2 3 2" xfId="6137" xr:uid="{00000000-0005-0000-0000-0000F70C0000}"/>
    <cellStyle name="Comma 2 2 2 4" xfId="5770" xr:uid="{00000000-0005-0000-0000-0000F80C0000}"/>
    <cellStyle name="Comma 2 2 2 4 2" xfId="6899" xr:uid="{80FA879A-3090-488E-A5E4-58C8C67D6386}"/>
    <cellStyle name="Comma 2 2 2 5" xfId="6838" xr:uid="{AA0F641C-790B-45B7-B07B-0BEBE45B0BE4}"/>
    <cellStyle name="Comma 2 2 3" xfId="370" xr:uid="{00000000-0005-0000-0000-0000F90C0000}"/>
    <cellStyle name="Comma 2 2 3 2" xfId="5772" xr:uid="{00000000-0005-0000-0000-0000FA0C0000}"/>
    <cellStyle name="Comma 2 2 3 2 2" xfId="6138" xr:uid="{00000000-0005-0000-0000-0000FB0C0000}"/>
    <cellStyle name="Comma 2 2 3 2 3" xfId="6901" xr:uid="{42DA6F6E-8375-4E9E-AB7D-3E278E8D3E6F}"/>
    <cellStyle name="Comma 2 2 3 3" xfId="6900" xr:uid="{00556F19-4EDD-45A9-B44C-ED8875D852F1}"/>
    <cellStyle name="Comma 2 2 4" xfId="371" xr:uid="{00000000-0005-0000-0000-0000FC0C0000}"/>
    <cellStyle name="Comma 2 2 4 2" xfId="5773" xr:uid="{00000000-0005-0000-0000-0000FD0C0000}"/>
    <cellStyle name="Comma 2 2 4 2 2" xfId="6139" xr:uid="{00000000-0005-0000-0000-0000FE0C0000}"/>
    <cellStyle name="Comma 2 2 4 3" xfId="6902" xr:uid="{18DC03A6-313B-4F55-BE2F-D79557BA6648}"/>
    <cellStyle name="Comma 2 2 5" xfId="5769" xr:uid="{00000000-0005-0000-0000-0000FF0C0000}"/>
    <cellStyle name="Comma 2 2 5 2" xfId="6140" xr:uid="{00000000-0005-0000-0000-0000000D0000}"/>
    <cellStyle name="Comma 2 2 6" xfId="7187" xr:uid="{A0ED4357-44BE-453D-A4AF-6FEC55C2759B}"/>
    <cellStyle name="Comma 2 20" xfId="372" xr:uid="{00000000-0005-0000-0000-0000010D0000}"/>
    <cellStyle name="Comma 2 20 2" xfId="6422" xr:uid="{1B1207D2-529C-4FE2-988F-9E0FE6A6DA38}"/>
    <cellStyle name="Comma 2 20 3" xfId="6716" xr:uid="{E6234120-CC96-4B70-80F0-DA05E78213C6}"/>
    <cellStyle name="Comma 2 21" xfId="373" xr:uid="{00000000-0005-0000-0000-0000020D0000}"/>
    <cellStyle name="Comma 2 21 2" xfId="6892" xr:uid="{13593571-763E-45A3-9AA5-F6CF9DD38923}"/>
    <cellStyle name="Comma 2 21 3" xfId="6693" xr:uid="{28B3C8D5-3366-4E0A-94E8-911C22F1591F}"/>
    <cellStyle name="Comma 2 22" xfId="374" xr:uid="{00000000-0005-0000-0000-0000030D0000}"/>
    <cellStyle name="Comma 2 22 2" xfId="6894" xr:uid="{1D5366B1-BE5A-436F-9025-97953C982D4B}"/>
    <cellStyle name="Comma 2 22 3" xfId="6632" xr:uid="{2C4CE85E-37E1-42A8-8C08-31D5A7B728CB}"/>
    <cellStyle name="Comma 2 23" xfId="375" xr:uid="{00000000-0005-0000-0000-0000040D0000}"/>
    <cellStyle name="Comma 2 23 2" xfId="6896" xr:uid="{3660456A-0B12-49F3-8BC6-D65BD5EEB3A6}"/>
    <cellStyle name="Comma 2 23 3" xfId="6522" xr:uid="{66DCEC6D-77FB-4666-9E8E-4EC1C10042BC}"/>
    <cellStyle name="Comma 2 24" xfId="376" xr:uid="{00000000-0005-0000-0000-0000050D0000}"/>
    <cellStyle name="Comma 2 24 2" xfId="6564" xr:uid="{133625F0-41A0-4203-B340-B6E7957CA666}"/>
    <cellStyle name="Comma 2 24 3" xfId="6525" xr:uid="{9E604520-26A9-4A3F-A454-0D4E53C2A6E5}"/>
    <cellStyle name="Comma 2 25" xfId="377" xr:uid="{00000000-0005-0000-0000-0000060D0000}"/>
    <cellStyle name="Comma 2 25 2" xfId="4274" xr:uid="{00000000-0005-0000-0000-0000070D0000}"/>
    <cellStyle name="Comma 2 25 2 2" xfId="6905" xr:uid="{D1BFD46F-DE75-4B11-BC2E-2979ADAF1594}"/>
    <cellStyle name="Comma 2 25 3" xfId="4275" xr:uid="{00000000-0005-0000-0000-0000080D0000}"/>
    <cellStyle name="Comma 2 25 4" xfId="6904" xr:uid="{3662A270-5D8D-4A11-B1F6-19E6DB85663D}"/>
    <cellStyle name="Comma 2 26" xfId="378" xr:uid="{00000000-0005-0000-0000-0000090D0000}"/>
    <cellStyle name="Comma 2 26 2" xfId="4276" xr:uid="{00000000-0005-0000-0000-00000A0D0000}"/>
    <cellStyle name="Comma 2 26 2 2" xfId="6411" xr:uid="{D4E9AA2D-64BA-4D4C-8FEB-AD583FE4C026}"/>
    <cellStyle name="Comma 2 26 3" xfId="6851" xr:uid="{4F1E8E8B-C361-4D76-9F3B-B80DFFF637E1}"/>
    <cellStyle name="Comma 2 27" xfId="379" xr:uid="{00000000-0005-0000-0000-00000B0D0000}"/>
    <cellStyle name="Comma 2 27 2" xfId="4277" xr:uid="{00000000-0005-0000-0000-00000C0D0000}"/>
    <cellStyle name="Comma 2 27 2 2" xfId="6907" xr:uid="{B889AB3D-5A90-497E-B9A9-811D4CFEA449}"/>
    <cellStyle name="Comma 2 27 3" xfId="6853" xr:uid="{D7CAF734-0A09-40C8-AC52-26049E673680}"/>
    <cellStyle name="Comma 2 28" xfId="4278" xr:uid="{00000000-0005-0000-0000-00000D0D0000}"/>
    <cellStyle name="Comma 2 28 2" xfId="6623" xr:uid="{16BA64AB-E164-4FE4-B88A-10BB68348267}"/>
    <cellStyle name="Comma 2 28 3" xfId="6409" xr:uid="{864820FA-9059-449F-BA31-348B272C3D44}"/>
    <cellStyle name="Comma 2 29" xfId="4279" xr:uid="{00000000-0005-0000-0000-00000E0D0000}"/>
    <cellStyle name="Comma 2 29 2" xfId="4280" xr:uid="{00000000-0005-0000-0000-00000F0D0000}"/>
    <cellStyle name="Comma 2 29 2 2" xfId="6910" xr:uid="{4FB73A54-6CCE-40CC-8295-5CA2F1EC9941}"/>
    <cellStyle name="Comma 2 29 3" xfId="6908" xr:uid="{F86AA6B4-770E-4019-BA74-D5B0C497138C}"/>
    <cellStyle name="Comma 2 3" xfId="380" xr:uid="{00000000-0005-0000-0000-0000100D0000}"/>
    <cellStyle name="Comma 2 3 2" xfId="381" xr:uid="{00000000-0005-0000-0000-0000110D0000}"/>
    <cellStyle name="Comma 2 3 2 2" xfId="382" xr:uid="{00000000-0005-0000-0000-0000120D0000}"/>
    <cellStyle name="Comma 2 3 2 2 2" xfId="6141" xr:uid="{00000000-0005-0000-0000-0000130D0000}"/>
    <cellStyle name="Comma 2 3 2 2 2 2" xfId="6914" xr:uid="{BAF89726-C2CC-4F32-A535-FBA8179B8E65}"/>
    <cellStyle name="Comma 2 3 2 2 3" xfId="6912" xr:uid="{CA861749-63B1-42D6-9916-1E67A9CE6578}"/>
    <cellStyle name="Comma 2 3 2 3" xfId="4281" xr:uid="{00000000-0005-0000-0000-0000140D0000}"/>
    <cellStyle name="Comma 2 3 2 3 2" xfId="6557" xr:uid="{BE6A3925-0355-4EAC-9296-D59B2FA2332F}"/>
    <cellStyle name="Comma 2 3 2 4" xfId="5775" xr:uid="{00000000-0005-0000-0000-0000150D0000}"/>
    <cellStyle name="Comma 2 3 2 5" xfId="6844" xr:uid="{F7D99A50-B568-4B5C-B114-9FB10447B640}"/>
    <cellStyle name="Comma 2 3 3" xfId="1851" xr:uid="{00000000-0005-0000-0000-0000160D0000}"/>
    <cellStyle name="Comma 2 3 3 2" xfId="6142" xr:uid="{00000000-0005-0000-0000-0000170D0000}"/>
    <cellStyle name="Comma 2 3 3 2 2" xfId="6918" xr:uid="{B5DC2798-960B-4D9A-8826-AA996CAA897B}"/>
    <cellStyle name="Comma 2 3 3 3" xfId="6916" xr:uid="{86E801B8-A638-4AA9-AD94-FB55B8E0E5E7}"/>
    <cellStyle name="Comma 2 3 4" xfId="5774" xr:uid="{00000000-0005-0000-0000-0000180D0000}"/>
    <cellStyle name="Comma 2 3 4 2" xfId="6789" xr:uid="{D857220F-22DA-4A2D-86BA-77466B9C98C1}"/>
    <cellStyle name="Comma 2 3 4 3" xfId="6919" xr:uid="{0D72B5CF-040D-4EDE-BD24-CD0F2BD158AA}"/>
    <cellStyle name="Comma 2 3 5" xfId="6620" xr:uid="{2BBC9CDC-8B2A-4F48-9888-273521FD122F}"/>
    <cellStyle name="Comma 2 3 6" xfId="6842" xr:uid="{B0AA44B1-5EBA-4F93-9D55-161970F63484}"/>
    <cellStyle name="Comma 2 3 7" xfId="6382" xr:uid="{41EDE607-3A1D-4200-B991-0A33E61EB6C3}"/>
    <cellStyle name="Comma 2 30" xfId="4282" xr:uid="{00000000-0005-0000-0000-0000190D0000}"/>
    <cellStyle name="Comma 2 30 2" xfId="6903" xr:uid="{18AC1410-E7B7-43BC-82FD-6777B3BD0517}"/>
    <cellStyle name="Comma 2 31" xfId="4283" xr:uid="{00000000-0005-0000-0000-00001A0D0000}"/>
    <cellStyle name="Comma 2 31 2" xfId="6887" xr:uid="{37F4460C-1C55-431C-8F7B-BA12373D94EC}"/>
    <cellStyle name="Comma 2 32" xfId="5768" xr:uid="{00000000-0005-0000-0000-00001B0D0000}"/>
    <cellStyle name="Comma 2 33" xfId="6385" xr:uid="{AA33386C-42C1-4C96-A8C2-3659ADFB500F}"/>
    <cellStyle name="Comma 2 4" xfId="383" xr:uid="{00000000-0005-0000-0000-00001C0D0000}"/>
    <cellStyle name="Comma 2 4 2" xfId="1852" xr:uid="{00000000-0005-0000-0000-00001D0D0000}"/>
    <cellStyle name="Comma 2 4 2 2" xfId="4284" xr:uid="{00000000-0005-0000-0000-00001E0D0000}"/>
    <cellStyle name="Comma 2 4 2 3" xfId="6143" xr:uid="{00000000-0005-0000-0000-00001F0D0000}"/>
    <cellStyle name="Comma 2 4 2 4" xfId="6846" xr:uid="{090E72F3-65D0-4D57-AAC9-22AE4A265FE8}"/>
    <cellStyle name="Comma 2 4 3" xfId="4285" xr:uid="{00000000-0005-0000-0000-0000200D0000}"/>
    <cellStyle name="Comma 2 4 4" xfId="5776" xr:uid="{00000000-0005-0000-0000-0000210D0000}"/>
    <cellStyle name="Comma 2 4 5" xfId="6437" xr:uid="{380E220C-6C23-4F7B-92A6-E77DA6A63A76}"/>
    <cellStyle name="Comma 2 5" xfId="384" xr:uid="{00000000-0005-0000-0000-0000220D0000}"/>
    <cellStyle name="Comma 2 5 2" xfId="1853" xr:uid="{00000000-0005-0000-0000-0000230D0000}"/>
    <cellStyle name="Comma 2 5 2 2" xfId="4286" xr:uid="{00000000-0005-0000-0000-0000240D0000}"/>
    <cellStyle name="Comma 2 5 2 3" xfId="6144" xr:uid="{00000000-0005-0000-0000-0000250D0000}"/>
    <cellStyle name="Comma 2 5 2 4" xfId="6641" xr:uid="{914B585B-7A8C-4EAC-89C4-5DCA63EB347B}"/>
    <cellStyle name="Comma 2 5 3" xfId="5777" xr:uid="{00000000-0005-0000-0000-0000260D0000}"/>
    <cellStyle name="Comma 2 5 4" xfId="6638" xr:uid="{B9C2F967-A51A-40CB-9766-3ACDB07C4D54}"/>
    <cellStyle name="Comma 2 6" xfId="385" xr:uid="{00000000-0005-0000-0000-0000270D0000}"/>
    <cellStyle name="Comma 2 6 2" xfId="1854" xr:uid="{00000000-0005-0000-0000-0000280D0000}"/>
    <cellStyle name="Comma 2 6 2 2" xfId="4287" xr:uid="{00000000-0005-0000-0000-0000290D0000}"/>
    <cellStyle name="Comma 2 6 2 3" xfId="6145" xr:uid="{00000000-0005-0000-0000-00002A0D0000}"/>
    <cellStyle name="Comma 2 6 2 4" xfId="6647" xr:uid="{412BC0CB-2184-479D-A06B-1D1DE848438C}"/>
    <cellStyle name="Comma 2 6 3" xfId="4288" xr:uid="{00000000-0005-0000-0000-00002B0D0000}"/>
    <cellStyle name="Comma 2 6 4" xfId="5778" xr:uid="{00000000-0005-0000-0000-00002C0D0000}"/>
    <cellStyle name="Comma 2 6 5" xfId="6644" xr:uid="{687FEE04-3F77-4EFA-92E3-B51341A78B35}"/>
    <cellStyle name="Comma 2 7" xfId="386" xr:uid="{00000000-0005-0000-0000-00002D0D0000}"/>
    <cellStyle name="Comma 2 7 2" xfId="4289" xr:uid="{00000000-0005-0000-0000-00002E0D0000}"/>
    <cellStyle name="Comma 2 7 2 2" xfId="6921" xr:uid="{08B17C70-304C-4887-BE2B-818E1B3E2429}"/>
    <cellStyle name="Comma 2 7 3" xfId="6146" xr:uid="{00000000-0005-0000-0000-00002F0D0000}"/>
    <cellStyle name="Comma 2 7 4" xfId="6649" xr:uid="{104A8323-8110-4C09-85AE-2EED8B4ACE69}"/>
    <cellStyle name="Comma 2 8" xfId="387" xr:uid="{00000000-0005-0000-0000-0000300D0000}"/>
    <cellStyle name="Comma 2 8 2" xfId="4290" xr:uid="{00000000-0005-0000-0000-0000310D0000}"/>
    <cellStyle name="Comma 2 8 2 2" xfId="6923" xr:uid="{B7F4E3E5-EC93-4C85-868A-5DC21DC1FD5D}"/>
    <cellStyle name="Comma 2 8 3" xfId="6147" xr:uid="{00000000-0005-0000-0000-0000320D0000}"/>
    <cellStyle name="Comma 2 8 4" xfId="6922" xr:uid="{227D801F-044C-43E7-B733-F9A27813F7A8}"/>
    <cellStyle name="Comma 2 9" xfId="388" xr:uid="{00000000-0005-0000-0000-0000330D0000}"/>
    <cellStyle name="Comma 2 9 2" xfId="4291" xr:uid="{00000000-0005-0000-0000-0000340D0000}"/>
    <cellStyle name="Comma 2 9 2 2" xfId="6700" xr:uid="{5DB12C65-EC7D-4052-BBF5-A8B891843EA9}"/>
    <cellStyle name="Comma 2 9 3" xfId="6924" xr:uid="{1C24F8AE-AFAA-479B-BACA-E88120B6F09D}"/>
    <cellStyle name="Comma 20" xfId="389" xr:uid="{00000000-0005-0000-0000-0000350D0000}"/>
    <cellStyle name="Comma 20 2" xfId="4292" xr:uid="{00000000-0005-0000-0000-0000360D0000}"/>
    <cellStyle name="Comma 20 2 2" xfId="5780" xr:uid="{00000000-0005-0000-0000-0000370D0000}"/>
    <cellStyle name="Comma 20 2 2 2" xfId="6148" xr:uid="{00000000-0005-0000-0000-0000380D0000}"/>
    <cellStyle name="Comma 20 2 3" xfId="6876" xr:uid="{02A0CC24-30AE-47DC-BCE3-F75B2673ECD1}"/>
    <cellStyle name="Comma 20 3" xfId="4293" xr:uid="{00000000-0005-0000-0000-0000390D0000}"/>
    <cellStyle name="Comma 20 3 2" xfId="6149" xr:uid="{00000000-0005-0000-0000-00003A0D0000}"/>
    <cellStyle name="Comma 20 4" xfId="4294" xr:uid="{00000000-0005-0000-0000-00003B0D0000}"/>
    <cellStyle name="Comma 20 5" xfId="5779" xr:uid="{00000000-0005-0000-0000-00003C0D0000}"/>
    <cellStyle name="Comma 20 6" xfId="6875" xr:uid="{EECF7ABC-7E25-4473-8100-2C47F544FB48}"/>
    <cellStyle name="Comma 21" xfId="390" xr:uid="{00000000-0005-0000-0000-00003D0D0000}"/>
    <cellStyle name="Comma 21 2" xfId="5782" xr:uid="{00000000-0005-0000-0000-00003E0D0000}"/>
    <cellStyle name="Comma 21 2 2" xfId="6150" xr:uid="{00000000-0005-0000-0000-00003F0D0000}"/>
    <cellStyle name="Comma 21 3" xfId="5781" xr:uid="{00000000-0005-0000-0000-0000400D0000}"/>
    <cellStyle name="Comma 21 3 2" xfId="6151" xr:uid="{00000000-0005-0000-0000-0000410D0000}"/>
    <cellStyle name="Comma 22" xfId="391" xr:uid="{00000000-0005-0000-0000-0000420D0000}"/>
    <cellStyle name="Comma 22 2" xfId="4295" xr:uid="{00000000-0005-0000-0000-0000430D0000}"/>
    <cellStyle name="Comma 22 2 2" xfId="5784" xr:uid="{00000000-0005-0000-0000-0000440D0000}"/>
    <cellStyle name="Comma 22 2 2 2" xfId="6152" xr:uid="{00000000-0005-0000-0000-0000450D0000}"/>
    <cellStyle name="Comma 22 3" xfId="5783" xr:uid="{00000000-0005-0000-0000-0000460D0000}"/>
    <cellStyle name="Comma 22 3 2" xfId="6153" xr:uid="{00000000-0005-0000-0000-0000470D0000}"/>
    <cellStyle name="Comma 23" xfId="392" xr:uid="{00000000-0005-0000-0000-0000480D0000}"/>
    <cellStyle name="Comma 23 2" xfId="393" xr:uid="{00000000-0005-0000-0000-0000490D0000}"/>
    <cellStyle name="Comma 23 2 2" xfId="4296" xr:uid="{00000000-0005-0000-0000-00004A0D0000}"/>
    <cellStyle name="Comma 23 2 2 2" xfId="6154" xr:uid="{00000000-0005-0000-0000-00004B0D0000}"/>
    <cellStyle name="Comma 23 2 2 3" xfId="6925" xr:uid="{532384E2-A1CF-4FC4-BCEE-F445E69EA4DF}"/>
    <cellStyle name="Comma 23 2 3" xfId="4297" xr:uid="{00000000-0005-0000-0000-00004C0D0000}"/>
    <cellStyle name="Comma 23 2 4" xfId="4298" xr:uid="{00000000-0005-0000-0000-00004D0D0000}"/>
    <cellStyle name="Comma 23 2 5" xfId="5786" xr:uid="{00000000-0005-0000-0000-00004E0D0000}"/>
    <cellStyle name="Comma 23 2 6" xfId="6882" xr:uid="{6B448F74-5658-43B3-942D-6846320C0D58}"/>
    <cellStyle name="Comma 23 3" xfId="394" xr:uid="{00000000-0005-0000-0000-00004F0D0000}"/>
    <cellStyle name="Comma 23 3 2" xfId="4299" xr:uid="{00000000-0005-0000-0000-0000500D0000}"/>
    <cellStyle name="Comma 23 3 2 2" xfId="6926" xr:uid="{2399E12C-9F23-4206-86F4-BE3514BD8789}"/>
    <cellStyle name="Comma 23 3 3" xfId="4300" xr:uid="{00000000-0005-0000-0000-0000510D0000}"/>
    <cellStyle name="Comma 23 3 4" xfId="6155" xr:uid="{00000000-0005-0000-0000-0000520D0000}"/>
    <cellStyle name="Comma 23 3 5" xfId="6505" xr:uid="{6AEFD5C0-F921-448D-AEE5-3CEA6153F7B8}"/>
    <cellStyle name="Comma 23 4" xfId="395" xr:uid="{00000000-0005-0000-0000-0000530D0000}"/>
    <cellStyle name="Comma 23 4 2" xfId="4301" xr:uid="{00000000-0005-0000-0000-0000540D0000}"/>
    <cellStyle name="Comma 23 4 2 2" xfId="6928" xr:uid="{9BE3232E-B493-467C-8012-504F3A109EC0}"/>
    <cellStyle name="Comma 23 4 3" xfId="4302" xr:uid="{00000000-0005-0000-0000-0000550D0000}"/>
    <cellStyle name="Comma 23 4 4" xfId="6817" xr:uid="{785CFAA5-A239-4233-9DA8-437890B62E47}"/>
    <cellStyle name="Comma 23 5" xfId="4303" xr:uid="{00000000-0005-0000-0000-0000560D0000}"/>
    <cellStyle name="Comma 23 5 2" xfId="6929" xr:uid="{D530F532-A898-475C-B656-54BFF1E8B3A6}"/>
    <cellStyle name="Comma 23 6" xfId="5785" xr:uid="{00000000-0005-0000-0000-0000570D0000}"/>
    <cellStyle name="Comma 24" xfId="396" xr:uid="{00000000-0005-0000-0000-0000580D0000}"/>
    <cellStyle name="Comma 24 2" xfId="4304" xr:uid="{00000000-0005-0000-0000-0000590D0000}"/>
    <cellStyle name="Comma 24 2 2" xfId="4305" xr:uid="{00000000-0005-0000-0000-00005A0D0000}"/>
    <cellStyle name="Comma 24 2 2 2" xfId="6156" xr:uid="{00000000-0005-0000-0000-00005B0D0000}"/>
    <cellStyle name="Comma 24 2 3" xfId="4306" xr:uid="{00000000-0005-0000-0000-00005C0D0000}"/>
    <cellStyle name="Comma 24 2 4" xfId="5788" xr:uid="{00000000-0005-0000-0000-00005D0D0000}"/>
    <cellStyle name="Comma 24 2 5" xfId="6886" xr:uid="{CA367FE5-5632-4636-95AD-FE1E8BF67FA8}"/>
    <cellStyle name="Comma 24 3" xfId="4307" xr:uid="{00000000-0005-0000-0000-00005E0D0000}"/>
    <cellStyle name="Comma 24 3 2" xfId="4308" xr:uid="{00000000-0005-0000-0000-00005F0D0000}"/>
    <cellStyle name="Comma 24 3 3" xfId="6157" xr:uid="{00000000-0005-0000-0000-0000600D0000}"/>
    <cellStyle name="Comma 24 4" xfId="4309" xr:uid="{00000000-0005-0000-0000-0000610D0000}"/>
    <cellStyle name="Comma 24 5" xfId="5787" xr:uid="{00000000-0005-0000-0000-0000620D0000}"/>
    <cellStyle name="Comma 24 6" xfId="6885" xr:uid="{CCDF1794-13D2-4D21-9430-8143B65E0B6F}"/>
    <cellStyle name="Comma 25" xfId="397" xr:uid="{00000000-0005-0000-0000-0000630D0000}"/>
    <cellStyle name="Comma 25 2" xfId="4310" xr:uid="{00000000-0005-0000-0000-0000640D0000}"/>
    <cellStyle name="Comma 25 2 2" xfId="4311" xr:uid="{00000000-0005-0000-0000-0000650D0000}"/>
    <cellStyle name="Comma 25 2 2 2" xfId="6158" xr:uid="{00000000-0005-0000-0000-0000660D0000}"/>
    <cellStyle name="Comma 25 2 3" xfId="5790" xr:uid="{00000000-0005-0000-0000-0000670D0000}"/>
    <cellStyle name="Comma 25 2 4" xfId="6934" xr:uid="{1C69907D-4F40-4FC5-9E29-6C5C6017DEC5}"/>
    <cellStyle name="Comma 25 3" xfId="4312" xr:uid="{00000000-0005-0000-0000-0000680D0000}"/>
    <cellStyle name="Comma 25 3 2" xfId="4313" xr:uid="{00000000-0005-0000-0000-0000690D0000}"/>
    <cellStyle name="Comma 25 3 3" xfId="6159" xr:uid="{00000000-0005-0000-0000-00006A0D0000}"/>
    <cellStyle name="Comma 25 4" xfId="5789" xr:uid="{00000000-0005-0000-0000-00006B0D0000}"/>
    <cellStyle name="Comma 25 5" xfId="6931" xr:uid="{CCF35459-6D0D-4354-8CE5-EF9E82FD2638}"/>
    <cellStyle name="Comma 26" xfId="398" xr:uid="{00000000-0005-0000-0000-00006C0D0000}"/>
    <cellStyle name="Comma 26 2" xfId="4314" xr:uid="{00000000-0005-0000-0000-00006D0D0000}"/>
    <cellStyle name="Comma 26 2 2" xfId="4315" xr:uid="{00000000-0005-0000-0000-00006E0D0000}"/>
    <cellStyle name="Comma 26 2 2 2" xfId="6160" xr:uid="{00000000-0005-0000-0000-00006F0D0000}"/>
    <cellStyle name="Comma 26 2 2 3" xfId="6939" xr:uid="{D3B3AF85-33F2-43A1-9FAB-04D6ED58C091}"/>
    <cellStyle name="Comma 26 2 3" xfId="5792" xr:uid="{00000000-0005-0000-0000-0000700D0000}"/>
    <cellStyle name="Comma 26 2 4" xfId="6937" xr:uid="{4A031356-1DA6-44B4-938D-D23932DE8669}"/>
    <cellStyle name="Comma 26 3" xfId="4316" xr:uid="{00000000-0005-0000-0000-0000710D0000}"/>
    <cellStyle name="Comma 26 3 2" xfId="4317" xr:uid="{00000000-0005-0000-0000-0000720D0000}"/>
    <cellStyle name="Comma 26 3 3" xfId="6161" xr:uid="{00000000-0005-0000-0000-0000730D0000}"/>
    <cellStyle name="Comma 26 3 4" xfId="6510" xr:uid="{B9C60441-B425-473C-ABF2-A046A333AC22}"/>
    <cellStyle name="Comma 26 4" xfId="5791" xr:uid="{00000000-0005-0000-0000-0000740D0000}"/>
    <cellStyle name="Comma 26 5" xfId="6512" xr:uid="{34AF7990-51FD-404E-BE00-D78767BAC581}"/>
    <cellStyle name="Comma 27" xfId="399" xr:uid="{00000000-0005-0000-0000-0000750D0000}"/>
    <cellStyle name="Comma 27 2" xfId="4318" xr:uid="{00000000-0005-0000-0000-0000760D0000}"/>
    <cellStyle name="Comma 27 2 2" xfId="4319" xr:uid="{00000000-0005-0000-0000-0000770D0000}"/>
    <cellStyle name="Comma 27 2 2 2" xfId="6162" xr:uid="{00000000-0005-0000-0000-0000780D0000}"/>
    <cellStyle name="Comma 27 2 2 3" xfId="6940" xr:uid="{DD123BC9-DA8E-4DA6-B5F3-1384E22DCE63}"/>
    <cellStyle name="Comma 27 2 3" xfId="5794" xr:uid="{00000000-0005-0000-0000-0000790D0000}"/>
    <cellStyle name="Comma 27 2 4" xfId="6710" xr:uid="{32C8FFAA-9293-4CDD-84BF-BDE6356925FE}"/>
    <cellStyle name="Comma 27 3" xfId="4320" xr:uid="{00000000-0005-0000-0000-00007A0D0000}"/>
    <cellStyle name="Comma 27 3 2" xfId="4321" xr:uid="{00000000-0005-0000-0000-00007B0D0000}"/>
    <cellStyle name="Comma 27 3 3" xfId="6163" xr:uid="{00000000-0005-0000-0000-00007C0D0000}"/>
    <cellStyle name="Comma 27 3 4" xfId="6688" xr:uid="{26F14661-84C1-468E-BD61-0714E3CB8162}"/>
    <cellStyle name="Comma 27 4" xfId="5793" xr:uid="{00000000-0005-0000-0000-00007D0D0000}"/>
    <cellStyle name="Comma 28" xfId="4322" xr:uid="{00000000-0005-0000-0000-00007E0D0000}"/>
    <cellStyle name="Comma 28 2" xfId="4323" xr:uid="{00000000-0005-0000-0000-00007F0D0000}"/>
    <cellStyle name="Comma 28 2 2" xfId="4324" xr:uid="{00000000-0005-0000-0000-0000800D0000}"/>
    <cellStyle name="Comma 28 2 2 2" xfId="6164" xr:uid="{00000000-0005-0000-0000-0000810D0000}"/>
    <cellStyle name="Comma 28 2 3" xfId="5796" xr:uid="{00000000-0005-0000-0000-0000820D0000}"/>
    <cellStyle name="Comma 28 2 4" xfId="6718" xr:uid="{EFE1B870-984B-4948-B3EE-E9F4974B4C58}"/>
    <cellStyle name="Comma 28 3" xfId="4325" xr:uid="{00000000-0005-0000-0000-0000830D0000}"/>
    <cellStyle name="Comma 28 3 2" xfId="6165" xr:uid="{00000000-0005-0000-0000-0000840D0000}"/>
    <cellStyle name="Comma 28 4" xfId="5795" xr:uid="{00000000-0005-0000-0000-0000850D0000}"/>
    <cellStyle name="Comma 28 5" xfId="6714" xr:uid="{AFCB0856-63A4-40F8-96AF-379BE95CDFD9}"/>
    <cellStyle name="Comma 29" xfId="4326" xr:uid="{00000000-0005-0000-0000-0000860D0000}"/>
    <cellStyle name="Comma 29 2" xfId="4327" xr:uid="{00000000-0005-0000-0000-0000870D0000}"/>
    <cellStyle name="Comma 29 2 2" xfId="5798" xr:uid="{00000000-0005-0000-0000-0000880D0000}"/>
    <cellStyle name="Comma 29 2 2 2" xfId="6166" xr:uid="{00000000-0005-0000-0000-0000890D0000}"/>
    <cellStyle name="Comma 29 3" xfId="4328" xr:uid="{00000000-0005-0000-0000-00008A0D0000}"/>
    <cellStyle name="Comma 29 3 2" xfId="6167" xr:uid="{00000000-0005-0000-0000-00008B0D0000}"/>
    <cellStyle name="Comma 29 4" xfId="4329" xr:uid="{00000000-0005-0000-0000-00008C0D0000}"/>
    <cellStyle name="Comma 29 5" xfId="5797" xr:uid="{00000000-0005-0000-0000-00008D0D0000}"/>
    <cellStyle name="Comma 3" xfId="400" xr:uid="{00000000-0005-0000-0000-00008E0D0000}"/>
    <cellStyle name="Comma 3 10" xfId="4330" xr:uid="{00000000-0005-0000-0000-00008F0D0000}"/>
    <cellStyle name="Comma 3 10 2" xfId="4331" xr:uid="{00000000-0005-0000-0000-0000900D0000}"/>
    <cellStyle name="Comma 3 10 3" xfId="6943" xr:uid="{0A69840A-09CB-4844-8E98-F0BD447316B4}"/>
    <cellStyle name="Comma 3 11" xfId="4332" xr:uid="{00000000-0005-0000-0000-0000910D0000}"/>
    <cellStyle name="Comma 3 11 2" xfId="4333" xr:uid="{00000000-0005-0000-0000-0000920D0000}"/>
    <cellStyle name="Comma 3 11 3" xfId="6941" xr:uid="{FFE04771-A7A6-4F03-AE62-4953B48275F8}"/>
    <cellStyle name="Comma 3 12" xfId="4334" xr:uid="{00000000-0005-0000-0000-0000930D0000}"/>
    <cellStyle name="Comma 3 12 2" xfId="4335" xr:uid="{00000000-0005-0000-0000-0000940D0000}"/>
    <cellStyle name="Comma 3 13" xfId="4336" xr:uid="{00000000-0005-0000-0000-0000950D0000}"/>
    <cellStyle name="Comma 3 13 2" xfId="4337" xr:uid="{00000000-0005-0000-0000-0000960D0000}"/>
    <cellStyle name="Comma 3 14" xfId="4338" xr:uid="{00000000-0005-0000-0000-0000970D0000}"/>
    <cellStyle name="Comma 3 14 2" xfId="4339" xr:uid="{00000000-0005-0000-0000-0000980D0000}"/>
    <cellStyle name="Comma 3 15" xfId="4340" xr:uid="{00000000-0005-0000-0000-0000990D0000}"/>
    <cellStyle name="Comma 3 15 2" xfId="4341" xr:uid="{00000000-0005-0000-0000-00009A0D0000}"/>
    <cellStyle name="Comma 3 16" xfId="4342" xr:uid="{00000000-0005-0000-0000-00009B0D0000}"/>
    <cellStyle name="Comma 3 17" xfId="4343" xr:uid="{00000000-0005-0000-0000-00009C0D0000}"/>
    <cellStyle name="Comma 3 18" xfId="5799" xr:uid="{00000000-0005-0000-0000-00009D0D0000}"/>
    <cellStyle name="Comma 3 2" xfId="401" xr:uid="{00000000-0005-0000-0000-00009E0D0000}"/>
    <cellStyle name="Comma 3 2 2" xfId="402" xr:uid="{00000000-0005-0000-0000-00009F0D0000}"/>
    <cellStyle name="Comma 3 2 2 2" xfId="4344" xr:uid="{00000000-0005-0000-0000-0000A00D0000}"/>
    <cellStyle name="Comma 3 2 2 2 2" xfId="6944" xr:uid="{6342C05B-E39A-415C-B4B5-8FB645E3870F}"/>
    <cellStyle name="Comma 3 2 2 3" xfId="6168" xr:uid="{00000000-0005-0000-0000-0000A10D0000}"/>
    <cellStyle name="Comma 3 2 3" xfId="5800" xr:uid="{00000000-0005-0000-0000-0000A20D0000}"/>
    <cellStyle name="Comma 3 2 3 2" xfId="6946" xr:uid="{F9B46099-E1BB-48E6-A5FF-C9F1BF8544D1}"/>
    <cellStyle name="Comma 3 2 3 3" xfId="6945" xr:uid="{305E83AD-C63C-4E74-B6E4-B673CE7734BF}"/>
    <cellStyle name="Comma 3 2 4" xfId="6947" xr:uid="{6B9FF183-7C3A-4D30-A3C0-8DA3083A1B9C}"/>
    <cellStyle name="Comma 3 3" xfId="403" xr:uid="{00000000-0005-0000-0000-0000A30D0000}"/>
    <cellStyle name="Comma 3 3 2" xfId="404" xr:uid="{00000000-0005-0000-0000-0000A40D0000}"/>
    <cellStyle name="Comma 3 3 2 2" xfId="1855" xr:uid="{00000000-0005-0000-0000-0000A50D0000}"/>
    <cellStyle name="Comma 3 3 2 2 2" xfId="1856" xr:uid="{00000000-0005-0000-0000-0000A60D0000}"/>
    <cellStyle name="Comma 3 3 2 3" xfId="1857" xr:uid="{00000000-0005-0000-0000-0000A70D0000}"/>
    <cellStyle name="Comma 3 3 2 4" xfId="6169" xr:uid="{00000000-0005-0000-0000-0000A80D0000}"/>
    <cellStyle name="Comma 3 3 3" xfId="1858" xr:uid="{00000000-0005-0000-0000-0000A90D0000}"/>
    <cellStyle name="Comma 3 3 3 2" xfId="1859" xr:uid="{00000000-0005-0000-0000-0000AA0D0000}"/>
    <cellStyle name="Comma 3 3 3 3" xfId="1860" xr:uid="{00000000-0005-0000-0000-0000AB0D0000}"/>
    <cellStyle name="Comma 3 3 4" xfId="4345" xr:uid="{00000000-0005-0000-0000-0000AC0D0000}"/>
    <cellStyle name="Comma 3 3 5" xfId="5801" xr:uid="{00000000-0005-0000-0000-0000AD0D0000}"/>
    <cellStyle name="Comma 3 4" xfId="405" xr:uid="{00000000-0005-0000-0000-0000AE0D0000}"/>
    <cellStyle name="Comma 3 4 2" xfId="4346" xr:uid="{00000000-0005-0000-0000-0000AF0D0000}"/>
    <cellStyle name="Comma 3 4 2 2" xfId="6170" xr:uid="{00000000-0005-0000-0000-0000B00D0000}"/>
    <cellStyle name="Comma 3 4 2 3" xfId="6583" xr:uid="{346A9258-B1F6-4B57-9922-49FC29085C25}"/>
    <cellStyle name="Comma 3 4 3" xfId="4347" xr:uid="{00000000-0005-0000-0000-0000B10D0000}"/>
    <cellStyle name="Comma 3 4 4" xfId="5802" xr:uid="{00000000-0005-0000-0000-0000B20D0000}"/>
    <cellStyle name="Comma 3 4 5" xfId="6949" xr:uid="{C5BF129D-E142-4F0D-9C95-356C9BEDDC02}"/>
    <cellStyle name="Comma 3 5" xfId="406" xr:uid="{00000000-0005-0000-0000-0000B30D0000}"/>
    <cellStyle name="Comma 3 5 2" xfId="4348" xr:uid="{00000000-0005-0000-0000-0000B40D0000}"/>
    <cellStyle name="Comma 3 5 2 2" xfId="6655" xr:uid="{4D9B1B54-3029-4C76-8F12-3B32233C58C8}"/>
    <cellStyle name="Comma 3 5 3" xfId="4349" xr:uid="{00000000-0005-0000-0000-0000B50D0000}"/>
    <cellStyle name="Comma 3 5 4" xfId="6171" xr:uid="{00000000-0005-0000-0000-0000B60D0000}"/>
    <cellStyle name="Comma 3 5 5" xfId="6653" xr:uid="{5C9190E1-8FAC-40A0-A195-B0066AA9C6A4}"/>
    <cellStyle name="Comma 3 6" xfId="407" xr:uid="{00000000-0005-0000-0000-0000B70D0000}"/>
    <cellStyle name="Comma 3 6 2" xfId="4350" xr:uid="{00000000-0005-0000-0000-0000B80D0000}"/>
    <cellStyle name="Comma 3 6 2 2" xfId="6950" xr:uid="{D81C1BFA-C8EA-4C92-A3E5-E04A77CDE235}"/>
    <cellStyle name="Comma 3 6 3" xfId="6563" xr:uid="{3646818D-C16C-4599-86E3-3B76036A4304}"/>
    <cellStyle name="Comma 3 7" xfId="408" xr:uid="{00000000-0005-0000-0000-0000B90D0000}"/>
    <cellStyle name="Comma 3 7 2" xfId="4351" xr:uid="{00000000-0005-0000-0000-0000BA0D0000}"/>
    <cellStyle name="Comma 3 7 2 2" xfId="6952" xr:uid="{DDB96F76-C8AF-47CA-9521-342A4E4D874B}"/>
    <cellStyle name="Comma 3 7 3" xfId="6951" xr:uid="{8846574D-7E63-4FFD-A160-E1D171019336}"/>
    <cellStyle name="Comma 3 8" xfId="4352" xr:uid="{00000000-0005-0000-0000-0000BB0D0000}"/>
    <cellStyle name="Comma 3 8 2" xfId="4353" xr:uid="{00000000-0005-0000-0000-0000BC0D0000}"/>
    <cellStyle name="Comma 3 9" xfId="4354" xr:uid="{00000000-0005-0000-0000-0000BD0D0000}"/>
    <cellStyle name="Comma 3 9 2" xfId="4355" xr:uid="{00000000-0005-0000-0000-0000BE0D0000}"/>
    <cellStyle name="Comma 3 9 2 2" xfId="6953" xr:uid="{30935BB1-97DA-4530-8E86-1981E90A839B}"/>
    <cellStyle name="Comma 3 9 3" xfId="6833" xr:uid="{E84F4B32-A2C3-4D45-8F52-CCD70E7D59ED}"/>
    <cellStyle name="Comma 3_CV. JAGO ( SR4 &amp; SR7)" xfId="4356" xr:uid="{00000000-0005-0000-0000-0000BF0D0000}"/>
    <cellStyle name="Comma 30" xfId="4357" xr:uid="{00000000-0005-0000-0000-0000C00D0000}"/>
    <cellStyle name="Comma 30 2" xfId="4358" xr:uid="{00000000-0005-0000-0000-0000C10D0000}"/>
    <cellStyle name="Comma 30 2 2" xfId="5804" xr:uid="{00000000-0005-0000-0000-0000C20D0000}"/>
    <cellStyle name="Comma 30 2 2 2" xfId="6172" xr:uid="{00000000-0005-0000-0000-0000C30D0000}"/>
    <cellStyle name="Comma 30 2 3" xfId="6935" xr:uid="{BCBB2C92-388C-4582-B70C-2139284421F5}"/>
    <cellStyle name="Comma 30 3" xfId="4359" xr:uid="{00000000-0005-0000-0000-0000C40D0000}"/>
    <cellStyle name="Comma 30 3 2" xfId="6173" xr:uid="{00000000-0005-0000-0000-0000C50D0000}"/>
    <cellStyle name="Comma 30 4" xfId="4360" xr:uid="{00000000-0005-0000-0000-0000C60D0000}"/>
    <cellStyle name="Comma 30 5" xfId="5803" xr:uid="{00000000-0005-0000-0000-0000C70D0000}"/>
    <cellStyle name="Comma 30 6" xfId="6932" xr:uid="{131D6D26-9126-47B0-8D89-7CE74742ACAA}"/>
    <cellStyle name="Comma 31" xfId="4361" xr:uid="{00000000-0005-0000-0000-0000C80D0000}"/>
    <cellStyle name="Comma 31 2" xfId="4362" xr:uid="{00000000-0005-0000-0000-0000C90D0000}"/>
    <cellStyle name="Comma 31 2 2" xfId="5806" xr:uid="{00000000-0005-0000-0000-0000CA0D0000}"/>
    <cellStyle name="Comma 31 2 2 2" xfId="6174" xr:uid="{00000000-0005-0000-0000-0000CB0D0000}"/>
    <cellStyle name="Comma 31 2 3" xfId="6938" xr:uid="{E5A3F6E1-6BC9-413C-873D-6CDC32769854}"/>
    <cellStyle name="Comma 31 3" xfId="4363" xr:uid="{00000000-0005-0000-0000-0000CC0D0000}"/>
    <cellStyle name="Comma 31 3 2" xfId="6175" xr:uid="{00000000-0005-0000-0000-0000CD0D0000}"/>
    <cellStyle name="Comma 31 4" xfId="5805" xr:uid="{00000000-0005-0000-0000-0000CE0D0000}"/>
    <cellStyle name="Comma 31 5" xfId="6514" xr:uid="{AD2AB2E4-2EC0-4A6C-B9CF-F5F5C54DDABC}"/>
    <cellStyle name="Comma 32" xfId="4364" xr:uid="{00000000-0005-0000-0000-0000CF0D0000}"/>
    <cellStyle name="Comma 32 2" xfId="4365" xr:uid="{00000000-0005-0000-0000-0000D00D0000}"/>
    <cellStyle name="Comma 32 2 2" xfId="5808" xr:uid="{00000000-0005-0000-0000-0000D10D0000}"/>
    <cellStyle name="Comma 32 2 2 2" xfId="6176" xr:uid="{00000000-0005-0000-0000-0000D20D0000}"/>
    <cellStyle name="Comma 32 2 3" xfId="6711" xr:uid="{F908648A-795D-4BF5-9302-E67FF6ADEAC3}"/>
    <cellStyle name="Comma 32 3" xfId="4366" xr:uid="{00000000-0005-0000-0000-0000D30D0000}"/>
    <cellStyle name="Comma 32 3 2" xfId="6177" xr:uid="{00000000-0005-0000-0000-0000D40D0000}"/>
    <cellStyle name="Comma 32 4" xfId="5807" xr:uid="{00000000-0005-0000-0000-0000D50D0000}"/>
    <cellStyle name="Comma 32 5" xfId="6709" xr:uid="{4CBD24D7-2999-48D1-BFE2-6465857D980E}"/>
    <cellStyle name="Comma 33" xfId="4367" xr:uid="{00000000-0005-0000-0000-0000D60D0000}"/>
    <cellStyle name="Comma 33 2" xfId="4368" xr:uid="{00000000-0005-0000-0000-0000D70D0000}"/>
    <cellStyle name="Comma 33 2 2" xfId="5810" xr:uid="{00000000-0005-0000-0000-0000D80D0000}"/>
    <cellStyle name="Comma 33 2 2 2" xfId="6178" xr:uid="{00000000-0005-0000-0000-0000D90D0000}"/>
    <cellStyle name="Comma 33 2 3" xfId="6719" xr:uid="{200B25BF-1ED4-459E-A76B-67D158BD601B}"/>
    <cellStyle name="Comma 33 3" xfId="4369" xr:uid="{00000000-0005-0000-0000-0000DA0D0000}"/>
    <cellStyle name="Comma 33 3 2" xfId="6179" xr:uid="{00000000-0005-0000-0000-0000DB0D0000}"/>
    <cellStyle name="Comma 33 4" xfId="5809" xr:uid="{00000000-0005-0000-0000-0000DC0D0000}"/>
    <cellStyle name="Comma 33 5" xfId="6715" xr:uid="{7B3E3971-4A9F-4749-A199-39007A38BA55}"/>
    <cellStyle name="Comma 34" xfId="409" xr:uid="{00000000-0005-0000-0000-0000DD0D0000}"/>
    <cellStyle name="Comma 34 2" xfId="4370" xr:uid="{00000000-0005-0000-0000-0000DE0D0000}"/>
    <cellStyle name="Comma 34 2 2" xfId="4371" xr:uid="{00000000-0005-0000-0000-0000DF0D0000}"/>
    <cellStyle name="Comma 34 2 2 2" xfId="6180" xr:uid="{00000000-0005-0000-0000-0000E00D0000}"/>
    <cellStyle name="Comma 34 2 3" xfId="5812" xr:uid="{00000000-0005-0000-0000-0000E10D0000}"/>
    <cellStyle name="Comma 34 2 4" xfId="6727" xr:uid="{BAE00612-55C7-475D-B256-9A15902FF356}"/>
    <cellStyle name="Comma 34 3" xfId="4372" xr:uid="{00000000-0005-0000-0000-0000E20D0000}"/>
    <cellStyle name="Comma 34 3 2" xfId="6181" xr:uid="{00000000-0005-0000-0000-0000E30D0000}"/>
    <cellStyle name="Comma 34 4" xfId="4373" xr:uid="{00000000-0005-0000-0000-0000E40D0000}"/>
    <cellStyle name="Comma 34 5" xfId="5811" xr:uid="{00000000-0005-0000-0000-0000E50D0000}"/>
    <cellStyle name="Comma 34 6" xfId="6724" xr:uid="{86598B37-CF1A-411A-A8C0-6DCCCC6F89CE}"/>
    <cellStyle name="Comma 35" xfId="4374" xr:uid="{00000000-0005-0000-0000-0000E60D0000}"/>
    <cellStyle name="Comma 35 2" xfId="4375" xr:uid="{00000000-0005-0000-0000-0000E70D0000}"/>
    <cellStyle name="Comma 35 2 2" xfId="5814" xr:uid="{00000000-0005-0000-0000-0000E80D0000}"/>
    <cellStyle name="Comma 35 2 2 2" xfId="6182" xr:uid="{00000000-0005-0000-0000-0000E90D0000}"/>
    <cellStyle name="Comma 35 2 3" xfId="6735" xr:uid="{10B158E8-A1C2-495F-B305-969A843A755E}"/>
    <cellStyle name="Comma 35 3" xfId="4376" xr:uid="{00000000-0005-0000-0000-0000EA0D0000}"/>
    <cellStyle name="Comma 35 3 2" xfId="6183" xr:uid="{00000000-0005-0000-0000-0000EB0D0000}"/>
    <cellStyle name="Comma 35 4" xfId="5813" xr:uid="{00000000-0005-0000-0000-0000EC0D0000}"/>
    <cellStyle name="Comma 35 5" xfId="6732" xr:uid="{005491D2-CA79-4E19-9AAD-B9C3168E54A1}"/>
    <cellStyle name="Comma 36" xfId="410" xr:uid="{00000000-0005-0000-0000-0000ED0D0000}"/>
    <cellStyle name="Comma 36 2" xfId="4377" xr:uid="{00000000-0005-0000-0000-0000EE0D0000}"/>
    <cellStyle name="Comma 36 2 2" xfId="4378" xr:uid="{00000000-0005-0000-0000-0000EF0D0000}"/>
    <cellStyle name="Comma 36 2 2 2" xfId="6184" xr:uid="{00000000-0005-0000-0000-0000F00D0000}"/>
    <cellStyle name="Comma 36 2 3" xfId="5816" xr:uid="{00000000-0005-0000-0000-0000F10D0000}"/>
    <cellStyle name="Comma 36 2 4" xfId="6742" xr:uid="{932D8BB5-868B-401A-A674-615BDAAE1ACF}"/>
    <cellStyle name="Comma 36 3" xfId="4379" xr:uid="{00000000-0005-0000-0000-0000F20D0000}"/>
    <cellStyle name="Comma 36 3 2" xfId="6185" xr:uid="{00000000-0005-0000-0000-0000F30D0000}"/>
    <cellStyle name="Comma 36 4" xfId="4380" xr:uid="{00000000-0005-0000-0000-0000F40D0000}"/>
    <cellStyle name="Comma 36 5" xfId="5815" xr:uid="{00000000-0005-0000-0000-0000F50D0000}"/>
    <cellStyle name="Comma 36 6" xfId="6740" xr:uid="{D49C6B01-CD08-4CB1-94ED-2FDEE1182042}"/>
    <cellStyle name="Comma 37" xfId="411" xr:uid="{00000000-0005-0000-0000-0000F60D0000}"/>
    <cellStyle name="Comma 37 2" xfId="4381" xr:uid="{00000000-0005-0000-0000-0000F70D0000}"/>
    <cellStyle name="Comma 37 2 2" xfId="4382" xr:uid="{00000000-0005-0000-0000-0000F80D0000}"/>
    <cellStyle name="Comma 37 2 2 2" xfId="6186" xr:uid="{00000000-0005-0000-0000-0000F90D0000}"/>
    <cellStyle name="Comma 37 2 3" xfId="5818" xr:uid="{00000000-0005-0000-0000-0000FA0D0000}"/>
    <cellStyle name="Comma 37 2 4" xfId="6748" xr:uid="{D6E34CDC-EB2E-49DE-8FB2-8666017F3E15}"/>
    <cellStyle name="Comma 37 3" xfId="4383" xr:uid="{00000000-0005-0000-0000-0000FB0D0000}"/>
    <cellStyle name="Comma 37 3 2" xfId="6187" xr:uid="{00000000-0005-0000-0000-0000FC0D0000}"/>
    <cellStyle name="Comma 37 4" xfId="4384" xr:uid="{00000000-0005-0000-0000-0000FD0D0000}"/>
    <cellStyle name="Comma 37 5" xfId="4385" xr:uid="{00000000-0005-0000-0000-0000FE0D0000}"/>
    <cellStyle name="Comma 37 6" xfId="5817" xr:uid="{00000000-0005-0000-0000-0000FF0D0000}"/>
    <cellStyle name="Comma 37 7" xfId="6746" xr:uid="{5BB884D0-F6F0-4EBE-BC3A-FB96F62B0854}"/>
    <cellStyle name="Comma 38" xfId="4386" xr:uid="{00000000-0005-0000-0000-0000000E0000}"/>
    <cellStyle name="Comma 38 2" xfId="4387" xr:uid="{00000000-0005-0000-0000-0000010E0000}"/>
    <cellStyle name="Comma 38 2 2" xfId="5820" xr:uid="{00000000-0005-0000-0000-0000020E0000}"/>
    <cellStyle name="Comma 38 2 3" xfId="6955" xr:uid="{48CE55AB-F59A-4E9A-A208-6E19D1B16B95}"/>
    <cellStyle name="Comma 38 3" xfId="4388" xr:uid="{00000000-0005-0000-0000-0000030E0000}"/>
    <cellStyle name="Comma 38 3 2" xfId="6188" xr:uid="{00000000-0005-0000-0000-0000040E0000}"/>
    <cellStyle name="Comma 38 4" xfId="5819" xr:uid="{00000000-0005-0000-0000-0000050E0000}"/>
    <cellStyle name="Comma 38 5" xfId="6752" xr:uid="{B4504AF1-6E62-4750-AA4A-8A39FB7C2FF6}"/>
    <cellStyle name="Comma 39" xfId="412" xr:uid="{00000000-0005-0000-0000-0000060E0000}"/>
    <cellStyle name="Comma 39 2" xfId="4389" xr:uid="{00000000-0005-0000-0000-0000070E0000}"/>
    <cellStyle name="Comma 39 2 2" xfId="5822" xr:uid="{00000000-0005-0000-0000-0000080E0000}"/>
    <cellStyle name="Comma 39 2 2 2" xfId="6189" xr:uid="{00000000-0005-0000-0000-0000090E0000}"/>
    <cellStyle name="Comma 39 2 3" xfId="6956" xr:uid="{785ABBD5-2267-4A54-802B-A75C1E030111}"/>
    <cellStyle name="Comma 39 3" xfId="4390" xr:uid="{00000000-0005-0000-0000-00000A0E0000}"/>
    <cellStyle name="Comma 39 3 2" xfId="6190" xr:uid="{00000000-0005-0000-0000-00000B0E0000}"/>
    <cellStyle name="Comma 39 4" xfId="4391" xr:uid="{00000000-0005-0000-0000-00000C0E0000}"/>
    <cellStyle name="Comma 39 5" xfId="5821" xr:uid="{00000000-0005-0000-0000-00000D0E0000}"/>
    <cellStyle name="Comma 39 6" xfId="6432" xr:uid="{BCBC3BF4-22A4-41A2-B7ED-2DAD86694B51}"/>
    <cellStyle name="Comma 4" xfId="413" xr:uid="{00000000-0005-0000-0000-00000E0E0000}"/>
    <cellStyle name="Comma 4 10" xfId="4392" xr:uid="{00000000-0005-0000-0000-00000F0E0000}"/>
    <cellStyle name="Comma 4 10 2" xfId="4393" xr:uid="{00000000-0005-0000-0000-0000100E0000}"/>
    <cellStyle name="Comma 4 10 2 2" xfId="6431" xr:uid="{8E5FAE9F-4671-4D8C-8D6F-6EB895ECFAFB}"/>
    <cellStyle name="Comma 4 10 3" xfId="6960" xr:uid="{6F40B282-13AF-40B4-A89D-ED8C9EEFF204}"/>
    <cellStyle name="Comma 4 11" xfId="4394" xr:uid="{00000000-0005-0000-0000-0000110E0000}"/>
    <cellStyle name="Comma 4 11 2" xfId="4395" xr:uid="{00000000-0005-0000-0000-0000120E0000}"/>
    <cellStyle name="Comma 4 12" xfId="4396" xr:uid="{00000000-0005-0000-0000-0000130E0000}"/>
    <cellStyle name="Comma 4 12 2" xfId="4397" xr:uid="{00000000-0005-0000-0000-0000140E0000}"/>
    <cellStyle name="Comma 4 13" xfId="4398" xr:uid="{00000000-0005-0000-0000-0000150E0000}"/>
    <cellStyle name="Comma 4 13 2" xfId="4399" xr:uid="{00000000-0005-0000-0000-0000160E0000}"/>
    <cellStyle name="Comma 4 14" xfId="4400" xr:uid="{00000000-0005-0000-0000-0000170E0000}"/>
    <cellStyle name="Comma 4 14 2" xfId="4401" xr:uid="{00000000-0005-0000-0000-0000180E0000}"/>
    <cellStyle name="Comma 4 15" xfId="4402" xr:uid="{00000000-0005-0000-0000-0000190E0000}"/>
    <cellStyle name="Comma 4 15 2" xfId="4403" xr:uid="{00000000-0005-0000-0000-00001A0E0000}"/>
    <cellStyle name="Comma 4 16" xfId="4404" xr:uid="{00000000-0005-0000-0000-00001B0E0000}"/>
    <cellStyle name="Comma 4 16 2" xfId="4405" xr:uid="{00000000-0005-0000-0000-00001C0E0000}"/>
    <cellStyle name="Comma 4 17" xfId="4406" xr:uid="{00000000-0005-0000-0000-00001D0E0000}"/>
    <cellStyle name="Comma 4 18" xfId="5823" xr:uid="{00000000-0005-0000-0000-00001E0E0000}"/>
    <cellStyle name="Comma 4 19" xfId="6380" xr:uid="{28C861E0-09C0-4783-AF32-F4FCCEB7CB00}"/>
    <cellStyle name="Comma 4 2" xfId="414" xr:uid="{00000000-0005-0000-0000-00001F0E0000}"/>
    <cellStyle name="Comma 4 2 2" xfId="415" xr:uid="{00000000-0005-0000-0000-0000200E0000}"/>
    <cellStyle name="Comma 4 2 2 2" xfId="6191" xr:uid="{00000000-0005-0000-0000-0000210E0000}"/>
    <cellStyle name="Comma 4 2 3" xfId="1861" xr:uid="{00000000-0005-0000-0000-0000220E0000}"/>
    <cellStyle name="Comma 4 2 3 2" xfId="6962" xr:uid="{9179DA0C-975A-4688-A180-9468E2BCA637}"/>
    <cellStyle name="Comma 4 2 3 3" xfId="6961" xr:uid="{DD0D2619-E541-4838-981E-69A50C65910A}"/>
    <cellStyle name="Comma 4 2 4" xfId="4407" xr:uid="{00000000-0005-0000-0000-0000230E0000}"/>
    <cellStyle name="Comma 4 2 4 2" xfId="6963" xr:uid="{64B56F9D-966B-4387-B662-82AD2A669CC1}"/>
    <cellStyle name="Comma 4 2 5" xfId="5824" xr:uid="{00000000-0005-0000-0000-0000240E0000}"/>
    <cellStyle name="Comma 4 3" xfId="416" xr:uid="{00000000-0005-0000-0000-0000250E0000}"/>
    <cellStyle name="Comma 4 3 2" xfId="4408" xr:uid="{00000000-0005-0000-0000-0000260E0000}"/>
    <cellStyle name="Comma 4 3 2 2" xfId="6192" xr:uid="{00000000-0005-0000-0000-0000270E0000}"/>
    <cellStyle name="Comma 4 3 3" xfId="4409" xr:uid="{00000000-0005-0000-0000-0000280E0000}"/>
    <cellStyle name="Comma 4 3 4" xfId="4410" xr:uid="{00000000-0005-0000-0000-0000290E0000}"/>
    <cellStyle name="Comma 4 3 5" xfId="5825" xr:uid="{00000000-0005-0000-0000-00002A0E0000}"/>
    <cellStyle name="Comma 4 4" xfId="1862" xr:uid="{00000000-0005-0000-0000-00002B0E0000}"/>
    <cellStyle name="Comma 4 4 2" xfId="1863" xr:uid="{00000000-0005-0000-0000-00002C0E0000}"/>
    <cellStyle name="Comma 4 4 3" xfId="5826" xr:uid="{00000000-0005-0000-0000-00002D0E0000}"/>
    <cellStyle name="Comma 4 4 4" xfId="6964" xr:uid="{9621ECFD-9067-4F8D-A6A1-953BB3FA2EF8}"/>
    <cellStyle name="Comma 4 5" xfId="1864" xr:uid="{00000000-0005-0000-0000-00002E0E0000}"/>
    <cellStyle name="Comma 4 5 2" xfId="4411" xr:uid="{00000000-0005-0000-0000-00002F0E0000}"/>
    <cellStyle name="Comma 4 5 3" xfId="6193" xr:uid="{00000000-0005-0000-0000-0000300E0000}"/>
    <cellStyle name="Comma 4 5 4" xfId="6658" xr:uid="{D0ED4837-0257-417F-AA09-82EE2A2641B5}"/>
    <cellStyle name="Comma 4 6" xfId="4412" xr:uid="{00000000-0005-0000-0000-0000310E0000}"/>
    <cellStyle name="Comma 4 6 2" xfId="4413" xr:uid="{00000000-0005-0000-0000-0000320E0000}"/>
    <cellStyle name="Comma 4 6 3" xfId="6959" xr:uid="{773C5320-2275-4F39-996B-F88F21652F0A}"/>
    <cellStyle name="Comma 4 7" xfId="4414" xr:uid="{00000000-0005-0000-0000-0000330E0000}"/>
    <cellStyle name="Comma 4 7 2" xfId="4415" xr:uid="{00000000-0005-0000-0000-0000340E0000}"/>
    <cellStyle name="Comma 4 8" xfId="4416" xr:uid="{00000000-0005-0000-0000-0000350E0000}"/>
    <cellStyle name="Comma 4 8 2" xfId="4417" xr:uid="{00000000-0005-0000-0000-0000360E0000}"/>
    <cellStyle name="Comma 4 9" xfId="4418" xr:uid="{00000000-0005-0000-0000-0000370E0000}"/>
    <cellStyle name="Comma 4 9 2" xfId="4419" xr:uid="{00000000-0005-0000-0000-0000380E0000}"/>
    <cellStyle name="Comma 4 9 2 2" xfId="6966" xr:uid="{1D18F7A9-704D-4592-AD4C-1AC008C604E1}"/>
    <cellStyle name="Comma 4 9 3" xfId="6965" xr:uid="{1084B246-E23A-4EAB-9479-32F0100FDB0B}"/>
    <cellStyle name="Comma 40" xfId="4420" xr:uid="{00000000-0005-0000-0000-0000390E0000}"/>
    <cellStyle name="Comma 40 2" xfId="4421" xr:uid="{00000000-0005-0000-0000-00003A0E0000}"/>
    <cellStyle name="Comma 40 2 2" xfId="4422" xr:uid="{00000000-0005-0000-0000-00003B0E0000}"/>
    <cellStyle name="Comma 40 2 2 2" xfId="6194" xr:uid="{00000000-0005-0000-0000-00003C0E0000}"/>
    <cellStyle name="Comma 40 2 3" xfId="5828" xr:uid="{00000000-0005-0000-0000-00003D0E0000}"/>
    <cellStyle name="Comma 40 2 4" xfId="6736" xr:uid="{1A377A06-CE92-4B89-B2EC-6FD8BEB8325F}"/>
    <cellStyle name="Comma 40 3" xfId="4423" xr:uid="{00000000-0005-0000-0000-00003E0E0000}"/>
    <cellStyle name="Comma 40 3 2" xfId="6195" xr:uid="{00000000-0005-0000-0000-00003F0E0000}"/>
    <cellStyle name="Comma 40 4" xfId="5827" xr:uid="{00000000-0005-0000-0000-0000400E0000}"/>
    <cellStyle name="Comma 40 5" xfId="6733" xr:uid="{277ED99D-6789-4BA8-AC46-82D51D09AADC}"/>
    <cellStyle name="Comma 41" xfId="417" xr:uid="{00000000-0005-0000-0000-0000410E0000}"/>
    <cellStyle name="Comma 41 2" xfId="4424" xr:uid="{00000000-0005-0000-0000-0000420E0000}"/>
    <cellStyle name="Comma 41 2 2" xfId="5830" xr:uid="{00000000-0005-0000-0000-0000430E0000}"/>
    <cellStyle name="Comma 41 2 2 2" xfId="6196" xr:uid="{00000000-0005-0000-0000-0000440E0000}"/>
    <cellStyle name="Comma 41 3" xfId="5829" xr:uid="{00000000-0005-0000-0000-0000450E0000}"/>
    <cellStyle name="Comma 41 3 2" xfId="6197" xr:uid="{00000000-0005-0000-0000-0000460E0000}"/>
    <cellStyle name="Comma 42" xfId="418" xr:uid="{00000000-0005-0000-0000-0000470E0000}"/>
    <cellStyle name="Comma 42 2" xfId="4425" xr:uid="{00000000-0005-0000-0000-0000480E0000}"/>
    <cellStyle name="Comma 42 2 2" xfId="5832" xr:uid="{00000000-0005-0000-0000-0000490E0000}"/>
    <cellStyle name="Comma 42 2 2 2" xfId="6198" xr:uid="{00000000-0005-0000-0000-00004A0E0000}"/>
    <cellStyle name="Comma 42 3" xfId="4426" xr:uid="{00000000-0005-0000-0000-00004B0E0000}"/>
    <cellStyle name="Comma 42 3 2" xfId="6199" xr:uid="{00000000-0005-0000-0000-00004C0E0000}"/>
    <cellStyle name="Comma 42 4" xfId="5831" xr:uid="{00000000-0005-0000-0000-00004D0E0000}"/>
    <cellStyle name="Comma 43" xfId="4427" xr:uid="{00000000-0005-0000-0000-00004E0E0000}"/>
    <cellStyle name="Comma 43 2" xfId="4428" xr:uid="{00000000-0005-0000-0000-00004F0E0000}"/>
    <cellStyle name="Comma 43 2 2" xfId="5834" xr:uid="{00000000-0005-0000-0000-0000500E0000}"/>
    <cellStyle name="Comma 43 2 2 2" xfId="6200" xr:uid="{00000000-0005-0000-0000-0000510E0000}"/>
    <cellStyle name="Comma 43 3" xfId="5833" xr:uid="{00000000-0005-0000-0000-0000520E0000}"/>
    <cellStyle name="Comma 43 3 2" xfId="6201" xr:uid="{00000000-0005-0000-0000-0000530E0000}"/>
    <cellStyle name="Comma 43 4" xfId="6753" xr:uid="{2BAA41EF-1418-4113-9662-0C0C9474C8CB}"/>
    <cellStyle name="Comma 44" xfId="4429" xr:uid="{00000000-0005-0000-0000-0000540E0000}"/>
    <cellStyle name="Comma 44 2" xfId="4430" xr:uid="{00000000-0005-0000-0000-0000550E0000}"/>
    <cellStyle name="Comma 44 2 2" xfId="5836" xr:uid="{00000000-0005-0000-0000-0000560E0000}"/>
    <cellStyle name="Comma 44 2 2 2" xfId="6202" xr:uid="{00000000-0005-0000-0000-0000570E0000}"/>
    <cellStyle name="Comma 44 3" xfId="4431" xr:uid="{00000000-0005-0000-0000-0000580E0000}"/>
    <cellStyle name="Comma 44 3 2" xfId="6203" xr:uid="{00000000-0005-0000-0000-0000590E0000}"/>
    <cellStyle name="Comma 44 4" xfId="5835" xr:uid="{00000000-0005-0000-0000-00005A0E0000}"/>
    <cellStyle name="Comma 44 5" xfId="6433" xr:uid="{D850AEEF-7A73-4139-856A-F33C5C642A5E}"/>
    <cellStyle name="Comma 45" xfId="4432" xr:uid="{00000000-0005-0000-0000-00005B0E0000}"/>
    <cellStyle name="Comma 45 2" xfId="4433" xr:uid="{00000000-0005-0000-0000-00005C0E0000}"/>
    <cellStyle name="Comma 45 2 2" xfId="5838" xr:uid="{00000000-0005-0000-0000-00005D0E0000}"/>
    <cellStyle name="Comma 45 2 2 2" xfId="6204" xr:uid="{00000000-0005-0000-0000-00005E0E0000}"/>
    <cellStyle name="Comma 45 3" xfId="4434" xr:uid="{00000000-0005-0000-0000-00005F0E0000}"/>
    <cellStyle name="Comma 45 3 2" xfId="6205" xr:uid="{00000000-0005-0000-0000-0000600E0000}"/>
    <cellStyle name="Comma 45 4" xfId="5837" xr:uid="{00000000-0005-0000-0000-0000610E0000}"/>
    <cellStyle name="Comma 45 5" xfId="6407" xr:uid="{DB19B879-77B1-4FDC-B950-49FC4C6FDD63}"/>
    <cellStyle name="Comma 46" xfId="4435" xr:uid="{00000000-0005-0000-0000-0000620E0000}"/>
    <cellStyle name="Comma 46 2" xfId="4436" xr:uid="{00000000-0005-0000-0000-0000630E0000}"/>
    <cellStyle name="Comma 46 2 2" xfId="5840" xr:uid="{00000000-0005-0000-0000-0000640E0000}"/>
    <cellStyle name="Comma 46 2 2 2" xfId="6206" xr:uid="{00000000-0005-0000-0000-0000650E0000}"/>
    <cellStyle name="Comma 46 3" xfId="5839" xr:uid="{00000000-0005-0000-0000-0000660E0000}"/>
    <cellStyle name="Comma 46 3 2" xfId="6207" xr:uid="{00000000-0005-0000-0000-0000670E0000}"/>
    <cellStyle name="Comma 46 4" xfId="6379" xr:uid="{C028FD58-E5EC-40DB-B509-3FF23D92C384}"/>
    <cellStyle name="Comma 47" xfId="4437" xr:uid="{00000000-0005-0000-0000-0000680E0000}"/>
    <cellStyle name="Comma 47 2" xfId="4438" xr:uid="{00000000-0005-0000-0000-0000690E0000}"/>
    <cellStyle name="Comma 47 2 2" xfId="6208" xr:uid="{00000000-0005-0000-0000-00006A0E0000}"/>
    <cellStyle name="Comma 47 3" xfId="4439" xr:uid="{00000000-0005-0000-0000-00006B0E0000}"/>
    <cellStyle name="Comma 47 4" xfId="5841" xr:uid="{00000000-0005-0000-0000-00006C0E0000}"/>
    <cellStyle name="Comma 48" xfId="4440" xr:uid="{00000000-0005-0000-0000-00006D0E0000}"/>
    <cellStyle name="Comma 48 2" xfId="4441" xr:uid="{00000000-0005-0000-0000-00006E0E0000}"/>
    <cellStyle name="Comma 48 2 2" xfId="6209" xr:uid="{00000000-0005-0000-0000-00006F0E0000}"/>
    <cellStyle name="Comma 48 3" xfId="4442" xr:uid="{00000000-0005-0000-0000-0000700E0000}"/>
    <cellStyle name="Comma 48 4" xfId="5842" xr:uid="{00000000-0005-0000-0000-0000710E0000}"/>
    <cellStyle name="Comma 49" xfId="4443" xr:uid="{00000000-0005-0000-0000-0000720E0000}"/>
    <cellStyle name="Comma 49 2" xfId="4444" xr:uid="{00000000-0005-0000-0000-0000730E0000}"/>
    <cellStyle name="Comma 49 2 2" xfId="6210" xr:uid="{00000000-0005-0000-0000-0000740E0000}"/>
    <cellStyle name="Comma 49 3" xfId="4445" xr:uid="{00000000-0005-0000-0000-0000750E0000}"/>
    <cellStyle name="Comma 49 4" xfId="5843" xr:uid="{00000000-0005-0000-0000-0000760E0000}"/>
    <cellStyle name="Comma 5" xfId="419" xr:uid="{00000000-0005-0000-0000-0000770E0000}"/>
    <cellStyle name="Comma 5 10" xfId="4446" xr:uid="{00000000-0005-0000-0000-0000780E0000}"/>
    <cellStyle name="Comma 5 10 2" xfId="4447" xr:uid="{00000000-0005-0000-0000-0000790E0000}"/>
    <cellStyle name="Comma 5 11" xfId="4448" xr:uid="{00000000-0005-0000-0000-00007A0E0000}"/>
    <cellStyle name="Comma 5 11 2" xfId="4449" xr:uid="{00000000-0005-0000-0000-00007B0E0000}"/>
    <cellStyle name="Comma 5 12" xfId="4450" xr:uid="{00000000-0005-0000-0000-00007C0E0000}"/>
    <cellStyle name="Comma 5 12 2" xfId="4451" xr:uid="{00000000-0005-0000-0000-00007D0E0000}"/>
    <cellStyle name="Comma 5 13" xfId="4452" xr:uid="{00000000-0005-0000-0000-00007E0E0000}"/>
    <cellStyle name="Comma 5 13 2" xfId="4453" xr:uid="{00000000-0005-0000-0000-00007F0E0000}"/>
    <cellStyle name="Comma 5 14" xfId="4454" xr:uid="{00000000-0005-0000-0000-0000800E0000}"/>
    <cellStyle name="Comma 5 14 2" xfId="4455" xr:uid="{00000000-0005-0000-0000-0000810E0000}"/>
    <cellStyle name="Comma 5 15" xfId="4456" xr:uid="{00000000-0005-0000-0000-0000820E0000}"/>
    <cellStyle name="Comma 5 15 2" xfId="4457" xr:uid="{00000000-0005-0000-0000-0000830E0000}"/>
    <cellStyle name="Comma 5 16" xfId="4458" xr:uid="{00000000-0005-0000-0000-0000840E0000}"/>
    <cellStyle name="Comma 5 17" xfId="4459" xr:uid="{00000000-0005-0000-0000-0000850E0000}"/>
    <cellStyle name="Comma 5 18" xfId="5844" xr:uid="{00000000-0005-0000-0000-0000860E0000}"/>
    <cellStyle name="Comma 5 19" xfId="6402" xr:uid="{1E290D8F-1152-4E20-9E01-A45583ECBD01}"/>
    <cellStyle name="Comma 5 2" xfId="420" xr:uid="{00000000-0005-0000-0000-0000870E0000}"/>
    <cellStyle name="Comma 5 2 2" xfId="421" xr:uid="{00000000-0005-0000-0000-0000880E0000}"/>
    <cellStyle name="Comma 5 2 2 2" xfId="1865" xr:uid="{00000000-0005-0000-0000-0000890E0000}"/>
    <cellStyle name="Comma 5 2 2 2 2" xfId="6211" xr:uid="{00000000-0005-0000-0000-00008A0E0000}"/>
    <cellStyle name="Comma 5 2 2 2 2 2" xfId="6866" xr:uid="{F800F1F6-C8D6-4761-836A-F8A14F911464}"/>
    <cellStyle name="Comma 5 2 2 2 3" xfId="6452" xr:uid="{8FAD46C8-E4D5-4EA1-B9E0-115B4E8FA584}"/>
    <cellStyle name="Comma 5 2 2 3" xfId="4460" xr:uid="{00000000-0005-0000-0000-00008B0E0000}"/>
    <cellStyle name="Comma 5 2 2 3 2" xfId="6813" xr:uid="{4364F11B-482A-4C6B-BFE1-B633F02D8214}"/>
    <cellStyle name="Comma 5 2 2 4" xfId="5846" xr:uid="{00000000-0005-0000-0000-00008C0E0000}"/>
    <cellStyle name="Comma 5 2 2 5" xfId="6424" xr:uid="{EDBD2B74-EBFC-4A4E-97AD-C517EAC7E7D2}"/>
    <cellStyle name="Comma 5 2 3" xfId="1866" xr:uid="{00000000-0005-0000-0000-00008D0E0000}"/>
    <cellStyle name="Comma 5 2 3 2" xfId="4461" xr:uid="{00000000-0005-0000-0000-00008E0E0000}"/>
    <cellStyle name="Comma 5 2 3 2 2" xfId="6504" xr:uid="{A23519FD-7B8E-4150-BC6E-E30E6CFEA56E}"/>
    <cellStyle name="Comma 5 2 3 3" xfId="6212" xr:uid="{00000000-0005-0000-0000-00008F0E0000}"/>
    <cellStyle name="Comma 5 2 3 4" xfId="6421" xr:uid="{32023F59-0786-424F-A1CD-032B3BC4A893}"/>
    <cellStyle name="Comma 5 2 4" xfId="4462" xr:uid="{00000000-0005-0000-0000-0000900E0000}"/>
    <cellStyle name="Comma 5 2 4 2" xfId="6463" xr:uid="{A0F95767-C02F-4801-85B3-E5CF244D8C1E}"/>
    <cellStyle name="Comma 5 2 4 3" xfId="6472" xr:uid="{3E74B28E-195F-499A-B115-994C3B99275A}"/>
    <cellStyle name="Comma 5 2 5" xfId="5845" xr:uid="{00000000-0005-0000-0000-0000910E0000}"/>
    <cellStyle name="Comma 5 2 5 2" xfId="6476" xr:uid="{E423E198-4B19-4505-93FA-D526BD2A8272}"/>
    <cellStyle name="Comma 5 2 6" xfId="6968" xr:uid="{9211C1F7-6719-4020-97E6-FB8CCA1EFCEA}"/>
    <cellStyle name="Comma 5 3" xfId="422" xr:uid="{00000000-0005-0000-0000-0000920E0000}"/>
    <cellStyle name="Comma 5 3 2" xfId="1867" xr:uid="{00000000-0005-0000-0000-0000930E0000}"/>
    <cellStyle name="Comma 5 3 2 2" xfId="1868" xr:uid="{00000000-0005-0000-0000-0000940E0000}"/>
    <cellStyle name="Comma 5 3 2 3" xfId="6213" xr:uid="{00000000-0005-0000-0000-0000950E0000}"/>
    <cellStyle name="Comma 5 3 2 4" xfId="6970" xr:uid="{05D7720C-4871-48E0-A9B4-FA054FA7D340}"/>
    <cellStyle name="Comma 5 3 3" xfId="1869" xr:uid="{00000000-0005-0000-0000-0000960E0000}"/>
    <cellStyle name="Comma 5 3 4" xfId="5847" xr:uid="{00000000-0005-0000-0000-0000970E0000}"/>
    <cellStyle name="Comma 5 3 5" xfId="6969" xr:uid="{4F9B13B9-4432-4123-812B-424BC6C5F564}"/>
    <cellStyle name="Comma 5 4" xfId="1870" xr:uid="{00000000-0005-0000-0000-0000980E0000}"/>
    <cellStyle name="Comma 5 4 2" xfId="1871" xr:uid="{00000000-0005-0000-0000-0000990E0000}"/>
    <cellStyle name="Comma 5 4 2 2" xfId="6973" xr:uid="{C15A235B-70ED-4D1B-9442-7A60F24A1405}"/>
    <cellStyle name="Comma 5 4 3" xfId="5848" xr:uid="{00000000-0005-0000-0000-00009A0E0000}"/>
    <cellStyle name="Comma 5 4 4" xfId="6972" xr:uid="{5AA632AA-0B69-4719-9073-A3AC60DD28C4}"/>
    <cellStyle name="Comma 5 5" xfId="1872" xr:uid="{00000000-0005-0000-0000-00009B0E0000}"/>
    <cellStyle name="Comma 5 5 2" xfId="4463" xr:uid="{00000000-0005-0000-0000-00009C0E0000}"/>
    <cellStyle name="Comma 5 5 2 2" xfId="6974" xr:uid="{DF10EDE2-F442-4C6F-8818-5A371A39D323}"/>
    <cellStyle name="Comma 5 5 3" xfId="6214" xr:uid="{00000000-0005-0000-0000-00009D0E0000}"/>
    <cellStyle name="Comma 5 5 4" xfId="6661" xr:uid="{579045E4-00C4-4FCE-B057-40BB491751B2}"/>
    <cellStyle name="Comma 5 6" xfId="4464" xr:uid="{00000000-0005-0000-0000-00009E0E0000}"/>
    <cellStyle name="Comma 5 6 2" xfId="4465" xr:uid="{00000000-0005-0000-0000-00009F0E0000}"/>
    <cellStyle name="Comma 5 6 2 2" xfId="6977" xr:uid="{DCEB213C-A02E-47FB-83D5-7A96C490EEFE}"/>
    <cellStyle name="Comma 5 6 3" xfId="6975" xr:uid="{367A1033-2B14-411B-9C27-D5C33955EFC1}"/>
    <cellStyle name="Comma 5 7" xfId="4466" xr:uid="{00000000-0005-0000-0000-0000A00E0000}"/>
    <cellStyle name="Comma 5 7 2" xfId="4467" xr:uid="{00000000-0005-0000-0000-0000A10E0000}"/>
    <cellStyle name="Comma 5 7 3" xfId="6978" xr:uid="{A967A7DF-3F4E-404B-9EFE-6F857C4F262B}"/>
    <cellStyle name="Comma 5 8" xfId="4468" xr:uid="{00000000-0005-0000-0000-0000A20E0000}"/>
    <cellStyle name="Comma 5 8 2" xfId="4469" xr:uid="{00000000-0005-0000-0000-0000A30E0000}"/>
    <cellStyle name="Comma 5 8 3" xfId="6967" xr:uid="{D2F5ED4E-1762-40ED-8A52-7CCEFEA02A16}"/>
    <cellStyle name="Comma 5 9" xfId="4470" xr:uid="{00000000-0005-0000-0000-0000A40E0000}"/>
    <cellStyle name="Comma 5 9 2" xfId="4471" xr:uid="{00000000-0005-0000-0000-0000A50E0000}"/>
    <cellStyle name="Comma 50" xfId="4472" xr:uid="{00000000-0005-0000-0000-0000A60E0000}"/>
    <cellStyle name="Comma 50 2" xfId="4473" xr:uid="{00000000-0005-0000-0000-0000A70E0000}"/>
    <cellStyle name="Comma 50 2 2" xfId="5850" xr:uid="{00000000-0005-0000-0000-0000A80E0000}"/>
    <cellStyle name="Comma 50 2 2 2" xfId="6215" xr:uid="{00000000-0005-0000-0000-0000A90E0000}"/>
    <cellStyle name="Comma 50 3" xfId="5849" xr:uid="{00000000-0005-0000-0000-0000AA0E0000}"/>
    <cellStyle name="Comma 50 3 2" xfId="6216" xr:uid="{00000000-0005-0000-0000-0000AB0E0000}"/>
    <cellStyle name="Comma 51" xfId="4474" xr:uid="{00000000-0005-0000-0000-0000AC0E0000}"/>
    <cellStyle name="Comma 51 2" xfId="5851" xr:uid="{00000000-0005-0000-0000-0000AD0E0000}"/>
    <cellStyle name="Comma 51 2 2" xfId="6217" xr:uid="{00000000-0005-0000-0000-0000AE0E0000}"/>
    <cellStyle name="Comma 52" xfId="4475" xr:uid="{00000000-0005-0000-0000-0000AF0E0000}"/>
    <cellStyle name="Comma 52 2" xfId="5852" xr:uid="{00000000-0005-0000-0000-0000B00E0000}"/>
    <cellStyle name="Comma 52 2 2" xfId="6218" xr:uid="{00000000-0005-0000-0000-0000B10E0000}"/>
    <cellStyle name="Comma 53" xfId="4476" xr:uid="{00000000-0005-0000-0000-0000B20E0000}"/>
    <cellStyle name="Comma 53 2" xfId="5853" xr:uid="{00000000-0005-0000-0000-0000B30E0000}"/>
    <cellStyle name="Comma 53 2 2" xfId="6219" xr:uid="{00000000-0005-0000-0000-0000B40E0000}"/>
    <cellStyle name="Comma 54" xfId="4477" xr:uid="{00000000-0005-0000-0000-0000B50E0000}"/>
    <cellStyle name="Comma 54 2" xfId="5854" xr:uid="{00000000-0005-0000-0000-0000B60E0000}"/>
    <cellStyle name="Comma 54 2 2" xfId="6220" xr:uid="{00000000-0005-0000-0000-0000B70E0000}"/>
    <cellStyle name="Comma 55" xfId="5855" xr:uid="{00000000-0005-0000-0000-0000B80E0000}"/>
    <cellStyle name="Comma 55 2" xfId="6221" xr:uid="{00000000-0005-0000-0000-0000B90E0000}"/>
    <cellStyle name="Comma 56" xfId="5856" xr:uid="{00000000-0005-0000-0000-0000BA0E0000}"/>
    <cellStyle name="Comma 56 2" xfId="6222" xr:uid="{00000000-0005-0000-0000-0000BB0E0000}"/>
    <cellStyle name="Comma 57" xfId="5857" xr:uid="{00000000-0005-0000-0000-0000BC0E0000}"/>
    <cellStyle name="Comma 57 2" xfId="6223" xr:uid="{00000000-0005-0000-0000-0000BD0E0000}"/>
    <cellStyle name="Comma 58" xfId="5858" xr:uid="{00000000-0005-0000-0000-0000BE0E0000}"/>
    <cellStyle name="Comma 58 2" xfId="6224" xr:uid="{00000000-0005-0000-0000-0000BF0E0000}"/>
    <cellStyle name="Comma 59" xfId="5859" xr:uid="{00000000-0005-0000-0000-0000C00E0000}"/>
    <cellStyle name="Comma 59 2" xfId="6225" xr:uid="{00000000-0005-0000-0000-0000C10E0000}"/>
    <cellStyle name="Comma 6" xfId="423" xr:uid="{00000000-0005-0000-0000-0000C20E0000}"/>
    <cellStyle name="Comma 6 10" xfId="4478" xr:uid="{00000000-0005-0000-0000-0000C30E0000}"/>
    <cellStyle name="Comma 6 10 2" xfId="4479" xr:uid="{00000000-0005-0000-0000-0000C40E0000}"/>
    <cellStyle name="Comma 6 11" xfId="4480" xr:uid="{00000000-0005-0000-0000-0000C50E0000}"/>
    <cellStyle name="Comma 6 11 2" xfId="4481" xr:uid="{00000000-0005-0000-0000-0000C60E0000}"/>
    <cellStyle name="Comma 6 12" xfId="4482" xr:uid="{00000000-0005-0000-0000-0000C70E0000}"/>
    <cellStyle name="Comma 6 12 2" xfId="4483" xr:uid="{00000000-0005-0000-0000-0000C80E0000}"/>
    <cellStyle name="Comma 6 13" xfId="4484" xr:uid="{00000000-0005-0000-0000-0000C90E0000}"/>
    <cellStyle name="Comma 6 13 2" xfId="4485" xr:uid="{00000000-0005-0000-0000-0000CA0E0000}"/>
    <cellStyle name="Comma 6 14" xfId="4486" xr:uid="{00000000-0005-0000-0000-0000CB0E0000}"/>
    <cellStyle name="Comma 6 14 2" xfId="4487" xr:uid="{00000000-0005-0000-0000-0000CC0E0000}"/>
    <cellStyle name="Comma 6 15" xfId="4488" xr:uid="{00000000-0005-0000-0000-0000CD0E0000}"/>
    <cellStyle name="Comma 6 15 2" xfId="4489" xr:uid="{00000000-0005-0000-0000-0000CE0E0000}"/>
    <cellStyle name="Comma 6 16" xfId="4490" xr:uid="{00000000-0005-0000-0000-0000CF0E0000}"/>
    <cellStyle name="Comma 6 17" xfId="4491" xr:uid="{00000000-0005-0000-0000-0000D00E0000}"/>
    <cellStyle name="Comma 6 18" xfId="5860" xr:uid="{00000000-0005-0000-0000-0000D10E0000}"/>
    <cellStyle name="Comma 6 2" xfId="424" xr:uid="{00000000-0005-0000-0000-0000D20E0000}"/>
    <cellStyle name="Comma 6 2 2" xfId="4492" xr:uid="{00000000-0005-0000-0000-0000D30E0000}"/>
    <cellStyle name="Comma 6 2 2 2" xfId="6226" xr:uid="{00000000-0005-0000-0000-0000D40E0000}"/>
    <cellStyle name="Comma 6 2 3" xfId="4493" xr:uid="{00000000-0005-0000-0000-0000D50E0000}"/>
    <cellStyle name="Comma 6 2 3 2" xfId="6980" xr:uid="{B54AA725-85AC-4026-92E7-1380689B0FFF}"/>
    <cellStyle name="Comma 6 2 4" xfId="5861" xr:uid="{00000000-0005-0000-0000-0000D60E0000}"/>
    <cellStyle name="Comma 6 2 5" xfId="6979" xr:uid="{2028E748-8A1F-45DE-ACB5-3AF7E50D35D9}"/>
    <cellStyle name="Comma 6 3" xfId="1873" xr:uid="{00000000-0005-0000-0000-0000D70E0000}"/>
    <cellStyle name="Comma 6 3 2" xfId="1874" xr:uid="{00000000-0005-0000-0000-0000D80E0000}"/>
    <cellStyle name="Comma 6 3 2 2" xfId="6227" xr:uid="{00000000-0005-0000-0000-0000D90E0000}"/>
    <cellStyle name="Comma 6 3 2 3" xfId="6982" xr:uid="{F909B461-CBE7-4F8E-AC35-30B7D5F8863C}"/>
    <cellStyle name="Comma 6 3 3" xfId="5862" xr:uid="{00000000-0005-0000-0000-0000DA0E0000}"/>
    <cellStyle name="Comma 6 3 4" xfId="6981" xr:uid="{04DBF7D8-8690-4C9B-B4B7-9DF96BF5C50E}"/>
    <cellStyle name="Comma 6 4" xfId="1875" xr:uid="{00000000-0005-0000-0000-0000DB0E0000}"/>
    <cellStyle name="Comma 6 4 2" xfId="4494" xr:uid="{00000000-0005-0000-0000-0000DC0E0000}"/>
    <cellStyle name="Comma 6 4 3" xfId="4495" xr:uid="{00000000-0005-0000-0000-0000DD0E0000}"/>
    <cellStyle name="Comma 6 4 4" xfId="5863" xr:uid="{00000000-0005-0000-0000-0000DE0E0000}"/>
    <cellStyle name="Comma 6 4 5" xfId="6983" xr:uid="{33D5A1AE-160B-4099-B473-042DA3109CBD}"/>
    <cellStyle name="Comma 6 5" xfId="1876" xr:uid="{00000000-0005-0000-0000-0000DF0E0000}"/>
    <cellStyle name="Comma 6 5 2" xfId="4496" xr:uid="{00000000-0005-0000-0000-0000E00E0000}"/>
    <cellStyle name="Comma 6 5 3" xfId="6228" xr:uid="{00000000-0005-0000-0000-0000E10E0000}"/>
    <cellStyle name="Comma 6 6" xfId="4497" xr:uid="{00000000-0005-0000-0000-0000E20E0000}"/>
    <cellStyle name="Comma 6 6 2" xfId="4498" xr:uid="{00000000-0005-0000-0000-0000E30E0000}"/>
    <cellStyle name="Comma 6 7" xfId="4499" xr:uid="{00000000-0005-0000-0000-0000E40E0000}"/>
    <cellStyle name="Comma 6 7 2" xfId="4500" xr:uid="{00000000-0005-0000-0000-0000E50E0000}"/>
    <cellStyle name="Comma 6 8" xfId="4501" xr:uid="{00000000-0005-0000-0000-0000E60E0000}"/>
    <cellStyle name="Comma 6 8 2" xfId="4502" xr:uid="{00000000-0005-0000-0000-0000E70E0000}"/>
    <cellStyle name="Comma 6 9" xfId="4503" xr:uid="{00000000-0005-0000-0000-0000E80E0000}"/>
    <cellStyle name="Comma 6 9 2" xfId="4504" xr:uid="{00000000-0005-0000-0000-0000E90E0000}"/>
    <cellStyle name="Comma 60" xfId="5864" xr:uid="{00000000-0005-0000-0000-0000EA0E0000}"/>
    <cellStyle name="Comma 60 2" xfId="6229" xr:uid="{00000000-0005-0000-0000-0000EB0E0000}"/>
    <cellStyle name="Comma 61" xfId="5865" xr:uid="{00000000-0005-0000-0000-0000EC0E0000}"/>
    <cellStyle name="Comma 61 2" xfId="6230" xr:uid="{00000000-0005-0000-0000-0000ED0E0000}"/>
    <cellStyle name="Comma 62" xfId="5866" xr:uid="{00000000-0005-0000-0000-0000EE0E0000}"/>
    <cellStyle name="Comma 62 2" xfId="6231" xr:uid="{00000000-0005-0000-0000-0000EF0E0000}"/>
    <cellStyle name="Comma 63" xfId="5867" xr:uid="{00000000-0005-0000-0000-0000F00E0000}"/>
    <cellStyle name="Comma 64" xfId="5868" xr:uid="{00000000-0005-0000-0000-0000F10E0000}"/>
    <cellStyle name="Comma 64 2" xfId="6232" xr:uid="{00000000-0005-0000-0000-0000F20E0000}"/>
    <cellStyle name="Comma 65" xfId="5675" xr:uid="{00000000-0005-0000-0000-0000F30E0000}"/>
    <cellStyle name="Comma 66" xfId="5916" xr:uid="{00000000-0005-0000-0000-0000F40E0000}"/>
    <cellStyle name="Comma 67" xfId="5988" xr:uid="{00000000-0005-0000-0000-0000F50E0000}"/>
    <cellStyle name="Comma 68" xfId="5926" xr:uid="{00000000-0005-0000-0000-0000F60E0000}"/>
    <cellStyle name="Comma 68 2" xfId="6233" xr:uid="{00000000-0005-0000-0000-0000F70E0000}"/>
    <cellStyle name="Comma 69" xfId="5990" xr:uid="{00000000-0005-0000-0000-0000F80E0000}"/>
    <cellStyle name="Comma 69 2" xfId="6234" xr:uid="{00000000-0005-0000-0000-0000F90E0000}"/>
    <cellStyle name="Comma 7" xfId="425" xr:uid="{00000000-0005-0000-0000-0000FA0E0000}"/>
    <cellStyle name="Comma 7 10" xfId="4505" xr:uid="{00000000-0005-0000-0000-0000FB0E0000}"/>
    <cellStyle name="Comma 7 10 2" xfId="4506" xr:uid="{00000000-0005-0000-0000-0000FC0E0000}"/>
    <cellStyle name="Comma 7 11" xfId="4507" xr:uid="{00000000-0005-0000-0000-0000FD0E0000}"/>
    <cellStyle name="Comma 7 11 2" xfId="4508" xr:uid="{00000000-0005-0000-0000-0000FE0E0000}"/>
    <cellStyle name="Comma 7 12" xfId="4509" xr:uid="{00000000-0005-0000-0000-0000FF0E0000}"/>
    <cellStyle name="Comma 7 12 2" xfId="4510" xr:uid="{00000000-0005-0000-0000-0000000F0000}"/>
    <cellStyle name="Comma 7 13" xfId="4511" xr:uid="{00000000-0005-0000-0000-0000010F0000}"/>
    <cellStyle name="Comma 7 13 2" xfId="4512" xr:uid="{00000000-0005-0000-0000-0000020F0000}"/>
    <cellStyle name="Comma 7 14" xfId="4513" xr:uid="{00000000-0005-0000-0000-0000030F0000}"/>
    <cellStyle name="Comma 7 14 2" xfId="4514" xr:uid="{00000000-0005-0000-0000-0000040F0000}"/>
    <cellStyle name="Comma 7 15" xfId="4515" xr:uid="{00000000-0005-0000-0000-0000050F0000}"/>
    <cellStyle name="Comma 7 15 2" xfId="4516" xr:uid="{00000000-0005-0000-0000-0000060F0000}"/>
    <cellStyle name="Comma 7 16" xfId="4517" xr:uid="{00000000-0005-0000-0000-0000070F0000}"/>
    <cellStyle name="Comma 7 17" xfId="4518" xr:uid="{00000000-0005-0000-0000-0000080F0000}"/>
    <cellStyle name="Comma 7 18" xfId="5869" xr:uid="{00000000-0005-0000-0000-0000090F0000}"/>
    <cellStyle name="Comma 7 19" xfId="6984" xr:uid="{69D807E2-BAAF-4B4E-8500-D3C9375360E7}"/>
    <cellStyle name="Comma 7 2" xfId="426" xr:uid="{00000000-0005-0000-0000-00000A0F0000}"/>
    <cellStyle name="Comma 7 2 2" xfId="4519" xr:uid="{00000000-0005-0000-0000-00000B0F0000}"/>
    <cellStyle name="Comma 7 2 2 2" xfId="6235" xr:uid="{00000000-0005-0000-0000-00000C0F0000}"/>
    <cellStyle name="Comma 7 2 2 2 2" xfId="6985" xr:uid="{A94434FC-68F2-4E89-BD34-013467D29848}"/>
    <cellStyle name="Comma 7 2 2 3" xfId="6911" xr:uid="{12B6B773-88B1-4091-8C01-73004E46B7A5}"/>
    <cellStyle name="Comma 7 2 3" xfId="5870" xr:uid="{00000000-0005-0000-0000-00000D0F0000}"/>
    <cellStyle name="Comma 7 2 3 2" xfId="6988" xr:uid="{0B4C2F59-91BB-4DA0-93AA-E56DD3364461}"/>
    <cellStyle name="Comma 7 2 4" xfId="6909" xr:uid="{038D4913-5194-472A-9FE6-7321143F4CF0}"/>
    <cellStyle name="Comma 7 3" xfId="1877" xr:uid="{00000000-0005-0000-0000-00000E0F0000}"/>
    <cellStyle name="Comma 7 3 2" xfId="1878" xr:uid="{00000000-0005-0000-0000-00000F0F0000}"/>
    <cellStyle name="Comma 7 3 2 2" xfId="6993" xr:uid="{30C276E5-E99B-49AA-947D-C5A70E50EDF4}"/>
    <cellStyle name="Comma 7 3 3" xfId="5871" xr:uid="{00000000-0005-0000-0000-0000100F0000}"/>
    <cellStyle name="Comma 7 3 4" xfId="6989" xr:uid="{B8D6A3FF-D070-4944-854F-A0CF8A252EAB}"/>
    <cellStyle name="Comma 7 4" xfId="1879" xr:uid="{00000000-0005-0000-0000-0000110F0000}"/>
    <cellStyle name="Comma 7 4 2" xfId="4520" xr:uid="{00000000-0005-0000-0000-0000120F0000}"/>
    <cellStyle name="Comma 7 4 3" xfId="6236" xr:uid="{00000000-0005-0000-0000-0000130F0000}"/>
    <cellStyle name="Comma 7 4 4" xfId="6994" xr:uid="{EF1B4D83-1894-43F5-AB63-2E58701BC7BD}"/>
    <cellStyle name="Comma 7 5" xfId="4521" xr:uid="{00000000-0005-0000-0000-0000140F0000}"/>
    <cellStyle name="Comma 7 5 2" xfId="4522" xr:uid="{00000000-0005-0000-0000-0000150F0000}"/>
    <cellStyle name="Comma 7 6" xfId="4523" xr:uid="{00000000-0005-0000-0000-0000160F0000}"/>
    <cellStyle name="Comma 7 6 2" xfId="4524" xr:uid="{00000000-0005-0000-0000-0000170F0000}"/>
    <cellStyle name="Comma 7 7" xfId="4525" xr:uid="{00000000-0005-0000-0000-0000180F0000}"/>
    <cellStyle name="Comma 7 7 2" xfId="4526" xr:uid="{00000000-0005-0000-0000-0000190F0000}"/>
    <cellStyle name="Comma 7 8" xfId="4527" xr:uid="{00000000-0005-0000-0000-00001A0F0000}"/>
    <cellStyle name="Comma 7 8 2" xfId="4528" xr:uid="{00000000-0005-0000-0000-00001B0F0000}"/>
    <cellStyle name="Comma 7 9" xfId="4529" xr:uid="{00000000-0005-0000-0000-00001C0F0000}"/>
    <cellStyle name="Comma 7 9 2" xfId="4530" xr:uid="{00000000-0005-0000-0000-00001D0F0000}"/>
    <cellStyle name="Comma 70" xfId="5928" xr:uid="{00000000-0005-0000-0000-00001E0F0000}"/>
    <cellStyle name="Comma 70 2" xfId="6237" xr:uid="{00000000-0005-0000-0000-00001F0F0000}"/>
    <cellStyle name="Comma 71" xfId="5992" xr:uid="{00000000-0005-0000-0000-0000200F0000}"/>
    <cellStyle name="Comma 71 2" xfId="6238" xr:uid="{00000000-0005-0000-0000-0000210F0000}"/>
    <cellStyle name="Comma 72" xfId="5931" xr:uid="{00000000-0005-0000-0000-0000220F0000}"/>
    <cellStyle name="Comma 72 2" xfId="6239" xr:uid="{00000000-0005-0000-0000-0000230F0000}"/>
    <cellStyle name="Comma 73" xfId="5993" xr:uid="{00000000-0005-0000-0000-0000240F0000}"/>
    <cellStyle name="Comma 74" xfId="6037" xr:uid="{00000000-0005-0000-0000-0000250F0000}"/>
    <cellStyle name="Comma 75" xfId="6357" xr:uid="{D2E46BCF-FC2F-4234-B323-BCE77F5E48C5}"/>
    <cellStyle name="Comma 8" xfId="427" xr:uid="{00000000-0005-0000-0000-0000260F0000}"/>
    <cellStyle name="Comma 8 10" xfId="4531" xr:uid="{00000000-0005-0000-0000-0000270F0000}"/>
    <cellStyle name="Comma 8 10 2" xfId="4532" xr:uid="{00000000-0005-0000-0000-0000280F0000}"/>
    <cellStyle name="Comma 8 11" xfId="4533" xr:uid="{00000000-0005-0000-0000-0000290F0000}"/>
    <cellStyle name="Comma 8 11 2" xfId="4534" xr:uid="{00000000-0005-0000-0000-00002A0F0000}"/>
    <cellStyle name="Comma 8 12" xfId="4535" xr:uid="{00000000-0005-0000-0000-00002B0F0000}"/>
    <cellStyle name="Comma 8 12 2" xfId="4536" xr:uid="{00000000-0005-0000-0000-00002C0F0000}"/>
    <cellStyle name="Comma 8 13" xfId="4537" xr:uid="{00000000-0005-0000-0000-00002D0F0000}"/>
    <cellStyle name="Comma 8 13 2" xfId="4538" xr:uid="{00000000-0005-0000-0000-00002E0F0000}"/>
    <cellStyle name="Comma 8 14" xfId="4539" xr:uid="{00000000-0005-0000-0000-00002F0F0000}"/>
    <cellStyle name="Comma 8 14 2" xfId="4540" xr:uid="{00000000-0005-0000-0000-0000300F0000}"/>
    <cellStyle name="Comma 8 15" xfId="4541" xr:uid="{00000000-0005-0000-0000-0000310F0000}"/>
    <cellStyle name="Comma 8 15 2" xfId="4542" xr:uid="{00000000-0005-0000-0000-0000320F0000}"/>
    <cellStyle name="Comma 8 16" xfId="4543" xr:uid="{00000000-0005-0000-0000-0000330F0000}"/>
    <cellStyle name="Comma 8 17" xfId="4544" xr:uid="{00000000-0005-0000-0000-0000340F0000}"/>
    <cellStyle name="Comma 8 18" xfId="5872" xr:uid="{00000000-0005-0000-0000-0000350F0000}"/>
    <cellStyle name="Comma 8 19" xfId="6995" xr:uid="{4B658C8D-C8A8-461C-BD13-EEF2BB625A71}"/>
    <cellStyle name="Comma 8 2" xfId="428" xr:uid="{00000000-0005-0000-0000-0000360F0000}"/>
    <cellStyle name="Comma 8 2 2" xfId="429" xr:uid="{00000000-0005-0000-0000-0000370F0000}"/>
    <cellStyle name="Comma 8 2 2 2" xfId="430" xr:uid="{00000000-0005-0000-0000-0000380F0000}"/>
    <cellStyle name="Comma 8 2 2 2 2" xfId="6594" xr:uid="{B9FB4EA7-CA5A-4FF1-8AA8-BCD7270EF343}"/>
    <cellStyle name="Comma 8 2 2 2 3" xfId="6532" xr:uid="{C6D711A3-A3FA-44FB-91B3-246D2CAE081F}"/>
    <cellStyle name="Comma 8 2 2 3" xfId="6240" xr:uid="{00000000-0005-0000-0000-0000390F0000}"/>
    <cellStyle name="Comma 8 2 2 3 2" xfId="6439" xr:uid="{F3DAA924-DC78-4F25-85EB-BCECFCE6536F}"/>
    <cellStyle name="Comma 8 2 2 4" xfId="6457" xr:uid="{69E58C4B-EA5E-42CE-AAD7-8610F8952284}"/>
    <cellStyle name="Comma 8 2 3" xfId="4545" xr:uid="{00000000-0005-0000-0000-00003A0F0000}"/>
    <cellStyle name="Comma 8 2 3 2" xfId="6464" xr:uid="{93A53AE3-5619-4903-917C-388CDD493F58}"/>
    <cellStyle name="Comma 8 2 4" xfId="5873" xr:uid="{00000000-0005-0000-0000-00003B0F0000}"/>
    <cellStyle name="Comma 8 2 5" xfId="6997" xr:uid="{185851CB-B52D-43D9-8CE1-CF4FB0ACB62D}"/>
    <cellStyle name="Comma 8 3" xfId="4546" xr:uid="{00000000-0005-0000-0000-00003C0F0000}"/>
    <cellStyle name="Comma 8 3 2" xfId="4547" xr:uid="{00000000-0005-0000-0000-00003D0F0000}"/>
    <cellStyle name="Comma 8 3 2 2" xfId="6241" xr:uid="{00000000-0005-0000-0000-00003E0F0000}"/>
    <cellStyle name="Comma 8 3 3" xfId="5874" xr:uid="{00000000-0005-0000-0000-00003F0F0000}"/>
    <cellStyle name="Comma 8 4" xfId="4548" xr:uid="{00000000-0005-0000-0000-0000400F0000}"/>
    <cellStyle name="Comma 8 4 2" xfId="4549" xr:uid="{00000000-0005-0000-0000-0000410F0000}"/>
    <cellStyle name="Comma 8 4 3" xfId="6242" xr:uid="{00000000-0005-0000-0000-0000420F0000}"/>
    <cellStyle name="Comma 8 4 4" xfId="6603" xr:uid="{C12D9360-59CD-4C0F-A697-739E303301CE}"/>
    <cellStyle name="Comma 8 5" xfId="4550" xr:uid="{00000000-0005-0000-0000-0000430F0000}"/>
    <cellStyle name="Comma 8 5 2" xfId="4551" xr:uid="{00000000-0005-0000-0000-0000440F0000}"/>
    <cellStyle name="Comma 8 6" xfId="4552" xr:uid="{00000000-0005-0000-0000-0000450F0000}"/>
    <cellStyle name="Comma 8 6 2" xfId="4553" xr:uid="{00000000-0005-0000-0000-0000460F0000}"/>
    <cellStyle name="Comma 8 7" xfId="4554" xr:uid="{00000000-0005-0000-0000-0000470F0000}"/>
    <cellStyle name="Comma 8 7 2" xfId="4555" xr:uid="{00000000-0005-0000-0000-0000480F0000}"/>
    <cellStyle name="Comma 8 8" xfId="4556" xr:uid="{00000000-0005-0000-0000-0000490F0000}"/>
    <cellStyle name="Comma 8 8 2" xfId="4557" xr:uid="{00000000-0005-0000-0000-00004A0F0000}"/>
    <cellStyle name="Comma 8 9" xfId="4558" xr:uid="{00000000-0005-0000-0000-00004B0F0000}"/>
    <cellStyle name="Comma 8 9 2" xfId="4559" xr:uid="{00000000-0005-0000-0000-00004C0F0000}"/>
    <cellStyle name="Comma 9" xfId="431" xr:uid="{00000000-0005-0000-0000-00004D0F0000}"/>
    <cellStyle name="Comma 9 10" xfId="4560" xr:uid="{00000000-0005-0000-0000-00004E0F0000}"/>
    <cellStyle name="Comma 9 10 2" xfId="4561" xr:uid="{00000000-0005-0000-0000-00004F0F0000}"/>
    <cellStyle name="Comma 9 11" xfId="4562" xr:uid="{00000000-0005-0000-0000-0000500F0000}"/>
    <cellStyle name="Comma 9 11 2" xfId="4563" xr:uid="{00000000-0005-0000-0000-0000510F0000}"/>
    <cellStyle name="Comma 9 12" xfId="4564" xr:uid="{00000000-0005-0000-0000-0000520F0000}"/>
    <cellStyle name="Comma 9 12 2" xfId="4565" xr:uid="{00000000-0005-0000-0000-0000530F0000}"/>
    <cellStyle name="Comma 9 13" xfId="4566" xr:uid="{00000000-0005-0000-0000-0000540F0000}"/>
    <cellStyle name="Comma 9 13 2" xfId="4567" xr:uid="{00000000-0005-0000-0000-0000550F0000}"/>
    <cellStyle name="Comma 9 14" xfId="4568" xr:uid="{00000000-0005-0000-0000-0000560F0000}"/>
    <cellStyle name="Comma 9 14 2" xfId="4569" xr:uid="{00000000-0005-0000-0000-0000570F0000}"/>
    <cellStyle name="Comma 9 15" xfId="4570" xr:uid="{00000000-0005-0000-0000-0000580F0000}"/>
    <cellStyle name="Comma 9 15 2" xfId="4571" xr:uid="{00000000-0005-0000-0000-0000590F0000}"/>
    <cellStyle name="Comma 9 16" xfId="4572" xr:uid="{00000000-0005-0000-0000-00005A0F0000}"/>
    <cellStyle name="Comma 9 17" xfId="5875" xr:uid="{00000000-0005-0000-0000-00005B0F0000}"/>
    <cellStyle name="Comma 9 18" xfId="6584" xr:uid="{02729CF9-0404-4027-B8C3-9C982CE14C9F}"/>
    <cellStyle name="Comma 9 2" xfId="432" xr:uid="{00000000-0005-0000-0000-00005C0F0000}"/>
    <cellStyle name="Comma 9 2 2" xfId="4573" xr:uid="{00000000-0005-0000-0000-00005D0F0000}"/>
    <cellStyle name="Comma 9 2 2 2" xfId="6243" xr:uid="{00000000-0005-0000-0000-00005E0F0000}"/>
    <cellStyle name="Comma 9 2 2 3" xfId="6569" xr:uid="{950802AB-0E6C-4589-B5B9-219A790985E8}"/>
    <cellStyle name="Comma 9 2 3" xfId="4574" xr:uid="{00000000-0005-0000-0000-00005F0F0000}"/>
    <cellStyle name="Comma 9 2 4" xfId="5876" xr:uid="{00000000-0005-0000-0000-0000600F0000}"/>
    <cellStyle name="Comma 9 2 5" xfId="6567" xr:uid="{FA2352DD-9BEE-4458-A98E-CACF0A9AF97F}"/>
    <cellStyle name="Comma 9 3" xfId="4575" xr:uid="{00000000-0005-0000-0000-0000610F0000}"/>
    <cellStyle name="Comma 9 3 2" xfId="4576" xr:uid="{00000000-0005-0000-0000-0000620F0000}"/>
    <cellStyle name="Comma 9 3 2 2" xfId="6244" xr:uid="{00000000-0005-0000-0000-0000630F0000}"/>
    <cellStyle name="Comma 9 3 3" xfId="5877" xr:uid="{00000000-0005-0000-0000-0000640F0000}"/>
    <cellStyle name="Comma 9 3 4" xfId="6588" xr:uid="{332EDB87-FEFE-49BC-B3AF-7C06CB98E077}"/>
    <cellStyle name="Comma 9 4" xfId="4577" xr:uid="{00000000-0005-0000-0000-0000650F0000}"/>
    <cellStyle name="Comma 9 4 2" xfId="4578" xr:uid="{00000000-0005-0000-0000-0000660F0000}"/>
    <cellStyle name="Comma 9 4 3" xfId="6245" xr:uid="{00000000-0005-0000-0000-0000670F0000}"/>
    <cellStyle name="Comma 9 5" xfId="4579" xr:uid="{00000000-0005-0000-0000-0000680F0000}"/>
    <cellStyle name="Comma 9 5 2" xfId="4580" xr:uid="{00000000-0005-0000-0000-0000690F0000}"/>
    <cellStyle name="Comma 9 6" xfId="4581" xr:uid="{00000000-0005-0000-0000-00006A0F0000}"/>
    <cellStyle name="Comma 9 6 2" xfId="4582" xr:uid="{00000000-0005-0000-0000-00006B0F0000}"/>
    <cellStyle name="Comma 9 7" xfId="4583" xr:uid="{00000000-0005-0000-0000-00006C0F0000}"/>
    <cellStyle name="Comma 9 7 2" xfId="4584" xr:uid="{00000000-0005-0000-0000-00006D0F0000}"/>
    <cellStyle name="Comma 9 8" xfId="4585" xr:uid="{00000000-0005-0000-0000-00006E0F0000}"/>
    <cellStyle name="Comma 9 8 2" xfId="4586" xr:uid="{00000000-0005-0000-0000-00006F0F0000}"/>
    <cellStyle name="Comma 9 9" xfId="4587" xr:uid="{00000000-0005-0000-0000-0000700F0000}"/>
    <cellStyle name="Comma 9 9 2" xfId="4588" xr:uid="{00000000-0005-0000-0000-0000710F0000}"/>
    <cellStyle name="Comma[0]_JUNI" xfId="5878" xr:uid="{00000000-0005-0000-0000-0000720F0000}"/>
    <cellStyle name="Comma0" xfId="433" xr:uid="{00000000-0005-0000-0000-0000730F0000}"/>
    <cellStyle name="Comma0 2" xfId="434" xr:uid="{00000000-0005-0000-0000-0000740F0000}"/>
    <cellStyle name="Comma0 2 2" xfId="1880" xr:uid="{00000000-0005-0000-0000-0000750F0000}"/>
    <cellStyle name="Comma0 3" xfId="1881" xr:uid="{00000000-0005-0000-0000-0000760F0000}"/>
    <cellStyle name="Copied" xfId="435" xr:uid="{00000000-0005-0000-0000-0000770F0000}"/>
    <cellStyle name="Copied 2" xfId="1882" xr:uid="{00000000-0005-0000-0000-0000780F0000}"/>
    <cellStyle name="Copied 3" xfId="7000" xr:uid="{8740595B-BD54-4F42-B43F-87C07C74136E}"/>
    <cellStyle name="COST1" xfId="436" xr:uid="{00000000-0005-0000-0000-0000790F0000}"/>
    <cellStyle name="COST1 2" xfId="1883" xr:uid="{00000000-0005-0000-0000-00007A0F0000}"/>
    <cellStyle name="COST1 2 2" xfId="4589" xr:uid="{00000000-0005-0000-0000-00007B0F0000}"/>
    <cellStyle name="COST1 3" xfId="7001" xr:uid="{BEE8102A-662D-4409-ADAF-27FA2156D54D}"/>
    <cellStyle name="Curren - Style7" xfId="437" xr:uid="{00000000-0005-0000-0000-00007C0F0000}"/>
    <cellStyle name="Curren - Style7 2" xfId="1884" xr:uid="{00000000-0005-0000-0000-00007D0F0000}"/>
    <cellStyle name="Curren - Style7 3" xfId="6793" xr:uid="{4889261C-ED19-4D61-B5AC-88454D059460}"/>
    <cellStyle name="Curren - Style8" xfId="438" xr:uid="{00000000-0005-0000-0000-00007E0F0000}"/>
    <cellStyle name="Curren - Style8 2" xfId="1885" xr:uid="{00000000-0005-0000-0000-00007F0F0000}"/>
    <cellStyle name="Curren - Style8 3" xfId="7002" xr:uid="{4E97AE69-C08C-437B-8C22-F7CBDF113EC9}"/>
    <cellStyle name="Currency (0.00)" xfId="439" xr:uid="{00000000-0005-0000-0000-0000800F0000}"/>
    <cellStyle name="Currency (0.00) 10" xfId="440" xr:uid="{00000000-0005-0000-0000-0000810F0000}"/>
    <cellStyle name="Currency (0.00) 10 2" xfId="4590" xr:uid="{00000000-0005-0000-0000-0000820F0000}"/>
    <cellStyle name="Currency (0.00) 10 3" xfId="7003" xr:uid="{DAF68AB2-4C02-4737-B35B-1A645BCD46CE}"/>
    <cellStyle name="Currency (0.00) 11" xfId="441" xr:uid="{00000000-0005-0000-0000-0000830F0000}"/>
    <cellStyle name="Currency (0.00) 11 2" xfId="4591" xr:uid="{00000000-0005-0000-0000-0000840F0000}"/>
    <cellStyle name="Currency (0.00) 11 3" xfId="7004" xr:uid="{67D7DDE1-C2B7-4B8D-A8B4-3CDF4596BFB0}"/>
    <cellStyle name="Currency (0.00) 12" xfId="442" xr:uid="{00000000-0005-0000-0000-0000850F0000}"/>
    <cellStyle name="Currency (0.00) 12 2" xfId="4592" xr:uid="{00000000-0005-0000-0000-0000860F0000}"/>
    <cellStyle name="Currency (0.00) 12 3" xfId="6434" xr:uid="{4F01E962-01B7-42B1-9F8B-9E69593BC80B}"/>
    <cellStyle name="Currency (0.00) 13" xfId="443" xr:uid="{00000000-0005-0000-0000-0000870F0000}"/>
    <cellStyle name="Currency (0.00) 13 2" xfId="4593" xr:uid="{00000000-0005-0000-0000-0000880F0000}"/>
    <cellStyle name="Currency (0.00) 13 3" xfId="6529" xr:uid="{82D676E0-8FE1-4747-ABC0-9F9E0DC019E0}"/>
    <cellStyle name="Currency (0.00) 14" xfId="444" xr:uid="{00000000-0005-0000-0000-0000890F0000}"/>
    <cellStyle name="Currency (0.00) 14 2" xfId="4594" xr:uid="{00000000-0005-0000-0000-00008A0F0000}"/>
    <cellStyle name="Currency (0.00) 14 3" xfId="6590" xr:uid="{03D9E08F-C880-49CE-AF3D-1100C7EAF313}"/>
    <cellStyle name="Currency (0.00) 15" xfId="445" xr:uid="{00000000-0005-0000-0000-00008B0F0000}"/>
    <cellStyle name="Currency (0.00) 15 2" xfId="4595" xr:uid="{00000000-0005-0000-0000-00008C0F0000}"/>
    <cellStyle name="Currency (0.00) 15 3" xfId="6591" xr:uid="{52FDAAE3-7C7E-4B39-963E-9E329A6C5A8F}"/>
    <cellStyle name="Currency (0.00) 16" xfId="446" xr:uid="{00000000-0005-0000-0000-00008D0F0000}"/>
    <cellStyle name="Currency (0.00) 16 2" xfId="4596" xr:uid="{00000000-0005-0000-0000-00008E0F0000}"/>
    <cellStyle name="Currency (0.00) 16 3" xfId="7006" xr:uid="{1121A6EF-9C77-4279-89F0-E879859D4CEA}"/>
    <cellStyle name="Currency (0.00) 17" xfId="447" xr:uid="{00000000-0005-0000-0000-00008F0F0000}"/>
    <cellStyle name="Currency (0.00) 17 2" xfId="4597" xr:uid="{00000000-0005-0000-0000-0000900F0000}"/>
    <cellStyle name="Currency (0.00) 17 3" xfId="6773" xr:uid="{A5D590C8-692E-4B98-899D-661B19DCBC36}"/>
    <cellStyle name="Currency (0.00) 18" xfId="448" xr:uid="{00000000-0005-0000-0000-0000910F0000}"/>
    <cellStyle name="Currency (0.00) 18 2" xfId="4598" xr:uid="{00000000-0005-0000-0000-0000920F0000}"/>
    <cellStyle name="Currency (0.00) 18 3" xfId="6778" xr:uid="{86B8D9B3-B3B8-41B2-8D54-AC7987DB1F78}"/>
    <cellStyle name="Currency (0.00) 19" xfId="449" xr:uid="{00000000-0005-0000-0000-0000930F0000}"/>
    <cellStyle name="Currency (0.00) 19 2" xfId="4599" xr:uid="{00000000-0005-0000-0000-0000940F0000}"/>
    <cellStyle name="Currency (0.00) 19 3" xfId="7009" xr:uid="{7AD17217-9E05-4A71-BCE5-BE8491EDA125}"/>
    <cellStyle name="Currency (0.00) 2" xfId="450" xr:uid="{00000000-0005-0000-0000-0000950F0000}"/>
    <cellStyle name="Currency (0.00) 2 2" xfId="1886" xr:uid="{00000000-0005-0000-0000-0000960F0000}"/>
    <cellStyle name="Currency (0.00) 2 3" xfId="1887" xr:uid="{00000000-0005-0000-0000-0000970F0000}"/>
    <cellStyle name="Currency (0.00) 2 4" xfId="6246" xr:uid="{00000000-0005-0000-0000-0000980F0000}"/>
    <cellStyle name="Currency (0.00) 2 5" xfId="6593" xr:uid="{FE409DEF-0A40-4E36-8D2D-5B1CD67726F3}"/>
    <cellStyle name="Currency (0.00) 20" xfId="451" xr:uid="{00000000-0005-0000-0000-0000990F0000}"/>
    <cellStyle name="Currency (0.00) 20 2" xfId="4600" xr:uid="{00000000-0005-0000-0000-00009A0F0000}"/>
    <cellStyle name="Currency (0.00) 20 3" xfId="6592" xr:uid="{39CCDCE7-8E89-48C9-A25D-B468EDB03907}"/>
    <cellStyle name="Currency (0.00) 21" xfId="452" xr:uid="{00000000-0005-0000-0000-00009B0F0000}"/>
    <cellStyle name="Currency (0.00) 21 2" xfId="4601" xr:uid="{00000000-0005-0000-0000-00009C0F0000}"/>
    <cellStyle name="Currency (0.00) 21 3" xfId="7007" xr:uid="{EB2FECD5-6D5C-49EF-862E-99E5B94414B5}"/>
    <cellStyle name="Currency (0.00) 22" xfId="453" xr:uid="{00000000-0005-0000-0000-00009D0F0000}"/>
    <cellStyle name="Currency (0.00) 22 2" xfId="4602" xr:uid="{00000000-0005-0000-0000-00009E0F0000}"/>
    <cellStyle name="Currency (0.00) 22 3" xfId="6774" xr:uid="{EDFD905F-72DC-48DD-81ED-206E157D9D0C}"/>
    <cellStyle name="Currency (0.00) 23" xfId="4603" xr:uid="{00000000-0005-0000-0000-00009F0F0000}"/>
    <cellStyle name="Currency (0.00) 24" xfId="5879" xr:uid="{00000000-0005-0000-0000-0000A00F0000}"/>
    <cellStyle name="Currency (0.00) 25" xfId="5977" xr:uid="{00000000-0005-0000-0000-0000A10F0000}"/>
    <cellStyle name="Currency (0.00) 26" xfId="6873" xr:uid="{8CF00964-6FEF-44DC-A4F4-E0B30668273A}"/>
    <cellStyle name="Currency (0.00) 3" xfId="454" xr:uid="{00000000-0005-0000-0000-0000A20F0000}"/>
    <cellStyle name="Currency (0.00) 3 2" xfId="4604" xr:uid="{00000000-0005-0000-0000-0000A30F0000}"/>
    <cellStyle name="Currency (0.00) 3 3" xfId="6247" xr:uid="{00000000-0005-0000-0000-0000A40F0000}"/>
    <cellStyle name="Currency (0.00) 3 4" xfId="7005" xr:uid="{A17FD900-3105-4C1A-9F61-0AE6557D23BC}"/>
    <cellStyle name="Currency (0.00) 4" xfId="455" xr:uid="{00000000-0005-0000-0000-0000A50F0000}"/>
    <cellStyle name="Currency (0.00) 4 2" xfId="4605" xr:uid="{00000000-0005-0000-0000-0000A60F0000}"/>
    <cellStyle name="Currency (0.00) 4 3" xfId="6772" xr:uid="{7C9950F0-3112-4C3B-B5D2-04EF3F1AF56A}"/>
    <cellStyle name="Currency (0.00) 5" xfId="456" xr:uid="{00000000-0005-0000-0000-0000A70F0000}"/>
    <cellStyle name="Currency (0.00) 5 2" xfId="4606" xr:uid="{00000000-0005-0000-0000-0000A80F0000}"/>
    <cellStyle name="Currency (0.00) 5 3" xfId="6777" xr:uid="{77796EAE-44C1-47A3-97AF-428ABB7DBBEC}"/>
    <cellStyle name="Currency (0.00) 6" xfId="457" xr:uid="{00000000-0005-0000-0000-0000A90F0000}"/>
    <cellStyle name="Currency (0.00) 6 2" xfId="4607" xr:uid="{00000000-0005-0000-0000-0000AA0F0000}"/>
    <cellStyle name="Currency (0.00) 6 3" xfId="7008" xr:uid="{3CAEE361-CB93-47B1-A7CF-0D4CA8B4CBFF}"/>
    <cellStyle name="Currency (0.00) 7" xfId="458" xr:uid="{00000000-0005-0000-0000-0000AB0F0000}"/>
    <cellStyle name="Currency (0.00) 7 2" xfId="4608" xr:uid="{00000000-0005-0000-0000-0000AC0F0000}"/>
    <cellStyle name="Currency (0.00) 7 3" xfId="7010" xr:uid="{34D944E2-9343-47CF-B424-F0315F8BCBDA}"/>
    <cellStyle name="Currency (0.00) 8" xfId="459" xr:uid="{00000000-0005-0000-0000-0000AD0F0000}"/>
    <cellStyle name="Currency (0.00) 8 2" xfId="4609" xr:uid="{00000000-0005-0000-0000-0000AE0F0000}"/>
    <cellStyle name="Currency (0.00) 8 3" xfId="7011" xr:uid="{7364F9E5-6D48-4E09-B5F4-9C447C2074FA}"/>
    <cellStyle name="Currency (0.00) 9" xfId="460" xr:uid="{00000000-0005-0000-0000-0000AF0F0000}"/>
    <cellStyle name="Currency (0.00) 9 2" xfId="4610" xr:uid="{00000000-0005-0000-0000-0000B00F0000}"/>
    <cellStyle name="Currency (0.00) 9 3" xfId="7012" xr:uid="{54E05B3D-5160-4C42-B362-34EA7E6F5089}"/>
    <cellStyle name="Currency [00]" xfId="461" xr:uid="{00000000-0005-0000-0000-0000B10F0000}"/>
    <cellStyle name="Currency [00] 2" xfId="462" xr:uid="{00000000-0005-0000-0000-0000B20F0000}"/>
    <cellStyle name="Currency [00] 2 2" xfId="6249" xr:uid="{00000000-0005-0000-0000-0000B30F0000}"/>
    <cellStyle name="Currency [00] 3" xfId="5880" xr:uid="{00000000-0005-0000-0000-0000B40F0000}"/>
    <cellStyle name="Currency [00] 3 2" xfId="6250" xr:uid="{00000000-0005-0000-0000-0000B50F0000}"/>
    <cellStyle name="Currency [00] 4" xfId="6248" xr:uid="{00000000-0005-0000-0000-0000B60F0000}"/>
    <cellStyle name="Currency 2" xfId="463" xr:uid="{00000000-0005-0000-0000-0000B70F0000}"/>
    <cellStyle name="Currency 2 2" xfId="464" xr:uid="{00000000-0005-0000-0000-0000B80F0000}"/>
    <cellStyle name="Currency 2 2 2" xfId="4611" xr:uid="{00000000-0005-0000-0000-0000B90F0000}"/>
    <cellStyle name="Currency 3" xfId="465" xr:uid="{00000000-0005-0000-0000-0000BA0F0000}"/>
    <cellStyle name="Currency 3 2" xfId="1888" xr:uid="{00000000-0005-0000-0000-0000BB0F0000}"/>
    <cellStyle name="Currency 3 2 2" xfId="1889" xr:uid="{00000000-0005-0000-0000-0000BC0F0000}"/>
    <cellStyle name="Currency 3 2 2 2" xfId="6920" xr:uid="{31CEDE06-939B-433A-AEA4-9FB62CE7B958}"/>
    <cellStyle name="Currency 3 2 3" xfId="6251" xr:uid="{00000000-0005-0000-0000-0000BD0F0000}"/>
    <cellStyle name="Currency 3 3" xfId="5881" xr:uid="{00000000-0005-0000-0000-0000BE0F0000}"/>
    <cellStyle name="Currency 3 4" xfId="7013" xr:uid="{8B7408AF-E87E-40D0-B1BF-7D876E3C4D18}"/>
    <cellStyle name="Currency 4" xfId="466" xr:uid="{00000000-0005-0000-0000-0000BF0F0000}"/>
    <cellStyle name="Currency 4 2" xfId="4612" xr:uid="{00000000-0005-0000-0000-0000C00F0000}"/>
    <cellStyle name="Currency 4 2 2" xfId="4613" xr:uid="{00000000-0005-0000-0000-0000C10F0000}"/>
    <cellStyle name="Currency 4 3" xfId="4614" xr:uid="{00000000-0005-0000-0000-0000C20F0000}"/>
    <cellStyle name="Currency0" xfId="467" xr:uid="{00000000-0005-0000-0000-0000C30F0000}"/>
    <cellStyle name="Currency0 2" xfId="468" xr:uid="{00000000-0005-0000-0000-0000C40F0000}"/>
    <cellStyle name="Currency0 3" xfId="6927" xr:uid="{73693C67-A0DA-4F5B-9A3E-C96E917BAC49}"/>
    <cellStyle name="Curren衣萉砞Ā₀_x0010_" xfId="1890" xr:uid="{00000000-0005-0000-0000-0000C50F0000}"/>
    <cellStyle name="Date" xfId="469" xr:uid="{00000000-0005-0000-0000-0000C60F0000}"/>
    <cellStyle name="Date 2" xfId="7014" xr:uid="{E8A9E433-3151-481C-930E-11CC680B60D1}"/>
    <cellStyle name="Date Short" xfId="470" xr:uid="{00000000-0005-0000-0000-0000C70F0000}"/>
    <cellStyle name="Date Short 2" xfId="1891" xr:uid="{00000000-0005-0000-0000-0000C80F0000}"/>
    <cellStyle name="Date_panja a" xfId="471" xr:uid="{00000000-0005-0000-0000-0000C90F0000}"/>
    <cellStyle name="Define your own named style" xfId="7015" xr:uid="{797807D3-8546-4397-9684-34DAA977EE6F}"/>
    <cellStyle name="Draw lines around data in range" xfId="7016" xr:uid="{87D7E209-A779-442A-B513-666501EFBAD4}"/>
    <cellStyle name="Draw shadow and lines within range" xfId="7017" xr:uid="{7541759B-DF39-49EF-96E5-EFE3CCBD7A09}"/>
    <cellStyle name="Enlarge title text, yellow on blue" xfId="7018" xr:uid="{4E2BD2C9-0357-4D82-B733-BBDB82DA57FB}"/>
    <cellStyle name="Enter Currency (0)" xfId="472" xr:uid="{00000000-0005-0000-0000-0000CA0F0000}"/>
    <cellStyle name="Enter Currency (0) 2" xfId="473" xr:uid="{00000000-0005-0000-0000-0000CB0F0000}"/>
    <cellStyle name="Enter Currency (0) 2 2" xfId="6253" xr:uid="{00000000-0005-0000-0000-0000CC0F0000}"/>
    <cellStyle name="Enter Currency (0) 3" xfId="5882" xr:uid="{00000000-0005-0000-0000-0000CD0F0000}"/>
    <cellStyle name="Enter Currency (0) 3 2" xfId="6254" xr:uid="{00000000-0005-0000-0000-0000CE0F0000}"/>
    <cellStyle name="Enter Currency (0) 4" xfId="6252" xr:uid="{00000000-0005-0000-0000-0000CF0F0000}"/>
    <cellStyle name="Enter Currency (2)" xfId="474" xr:uid="{00000000-0005-0000-0000-0000D00F0000}"/>
    <cellStyle name="Enter Currency (2) 2" xfId="475" xr:uid="{00000000-0005-0000-0000-0000D10F0000}"/>
    <cellStyle name="Enter Currency (2) 2 2" xfId="6256" xr:uid="{00000000-0005-0000-0000-0000D20F0000}"/>
    <cellStyle name="Enter Currency (2) 3" xfId="5883" xr:uid="{00000000-0005-0000-0000-0000D30F0000}"/>
    <cellStyle name="Enter Currency (2) 3 2" xfId="6257" xr:uid="{00000000-0005-0000-0000-0000D40F0000}"/>
    <cellStyle name="Enter Currency (2) 4" xfId="6255" xr:uid="{00000000-0005-0000-0000-0000D50F0000}"/>
    <cellStyle name="Enter Units (0)" xfId="476" xr:uid="{00000000-0005-0000-0000-0000D60F0000}"/>
    <cellStyle name="Enter Units (0) 2" xfId="477" xr:uid="{00000000-0005-0000-0000-0000D70F0000}"/>
    <cellStyle name="Enter Units (0) 2 2" xfId="6259" xr:uid="{00000000-0005-0000-0000-0000D80F0000}"/>
    <cellStyle name="Enter Units (0) 3" xfId="5884" xr:uid="{00000000-0005-0000-0000-0000D90F0000}"/>
    <cellStyle name="Enter Units (0) 3 2" xfId="6260" xr:uid="{00000000-0005-0000-0000-0000DA0F0000}"/>
    <cellStyle name="Enter Units (0) 4" xfId="6258" xr:uid="{00000000-0005-0000-0000-0000DB0F0000}"/>
    <cellStyle name="Enter Units (1)" xfId="478" xr:uid="{00000000-0005-0000-0000-0000DC0F0000}"/>
    <cellStyle name="Enter Units (1) 2" xfId="479" xr:uid="{00000000-0005-0000-0000-0000DD0F0000}"/>
    <cellStyle name="Enter Units (1) 2 2" xfId="6262" xr:uid="{00000000-0005-0000-0000-0000DE0F0000}"/>
    <cellStyle name="Enter Units (1) 3" xfId="5885" xr:uid="{00000000-0005-0000-0000-0000DF0F0000}"/>
    <cellStyle name="Enter Units (1) 3 2" xfId="6263" xr:uid="{00000000-0005-0000-0000-0000E00F0000}"/>
    <cellStyle name="Enter Units (1) 4" xfId="6261" xr:uid="{00000000-0005-0000-0000-0000E10F0000}"/>
    <cellStyle name="Enter Units (2)" xfId="480" xr:uid="{00000000-0005-0000-0000-0000E20F0000}"/>
    <cellStyle name="Enter Units (2) 2" xfId="481" xr:uid="{00000000-0005-0000-0000-0000E30F0000}"/>
    <cellStyle name="Enter Units (2) 2 2" xfId="6265" xr:uid="{00000000-0005-0000-0000-0000E40F0000}"/>
    <cellStyle name="Enter Units (2) 3" xfId="5886" xr:uid="{00000000-0005-0000-0000-0000E50F0000}"/>
    <cellStyle name="Enter Units (2) 3 2" xfId="6266" xr:uid="{00000000-0005-0000-0000-0000E60F0000}"/>
    <cellStyle name="Enter Units (2) 4" xfId="6264" xr:uid="{00000000-0005-0000-0000-0000E70F0000}"/>
    <cellStyle name="Entered" xfId="482" xr:uid="{00000000-0005-0000-0000-0000E80F0000}"/>
    <cellStyle name="Entered 2" xfId="1892" xr:uid="{00000000-0005-0000-0000-0000E90F0000}"/>
    <cellStyle name="Entered 3" xfId="6542" xr:uid="{DE096153-57FA-4523-B848-7D9EB0FFF8C2}"/>
    <cellStyle name="Euro" xfId="483" xr:uid="{00000000-0005-0000-0000-0000EA0F0000}"/>
    <cellStyle name="Euro 2" xfId="1893" xr:uid="{00000000-0005-0000-0000-0000EB0F0000}"/>
    <cellStyle name="Excel Built-in Normal" xfId="1894" xr:uid="{00000000-0005-0000-0000-0000EC0F0000}"/>
    <cellStyle name="Excel Built-in Normal 2" xfId="7019" xr:uid="{4D3B77D4-9507-4412-8661-BDE4BE980741}"/>
    <cellStyle name="Explanatory Text 2" xfId="484" xr:uid="{00000000-0005-0000-0000-0000ED0F0000}"/>
    <cellStyle name="Explanatory Text 2 2" xfId="1895" xr:uid="{00000000-0005-0000-0000-0000EE0F0000}"/>
    <cellStyle name="Explanatory Text 2 2 2" xfId="4615" xr:uid="{00000000-0005-0000-0000-0000EF0F0000}"/>
    <cellStyle name="Explanatory Text 3" xfId="5887" xr:uid="{00000000-0005-0000-0000-0000F00F0000}"/>
    <cellStyle name="Fixed" xfId="485" xr:uid="{00000000-0005-0000-0000-0000F10F0000}"/>
    <cellStyle name="Fixed 2" xfId="6976" xr:uid="{B31D0C34-AC96-4360-A583-0F9D9067C154}"/>
    <cellStyle name="Format a column of totals" xfId="7020" xr:uid="{FE4F2746-384B-43FD-879A-E662B5D43BFD}"/>
    <cellStyle name="Format a row of totals" xfId="7022" xr:uid="{8D5E15AC-9883-45A9-8E3D-1D1C5B16A558}"/>
    <cellStyle name="Format text as bold, black on yellow" xfId="7023" xr:uid="{743C97EF-0753-408D-B860-9A88F6796C7D}"/>
    <cellStyle name="Good 2" xfId="486" xr:uid="{00000000-0005-0000-0000-0000F20F0000}"/>
    <cellStyle name="Good 2 2" xfId="1896" xr:uid="{00000000-0005-0000-0000-0000F30F0000}"/>
    <cellStyle name="Good 2 2 2" xfId="4616" xr:uid="{00000000-0005-0000-0000-0000F40F0000}"/>
    <cellStyle name="Good 2 3" xfId="6958" xr:uid="{746857E5-20C4-40F6-B619-A61A5EC8DD2C}"/>
    <cellStyle name="Good 3" xfId="5888" xr:uid="{00000000-0005-0000-0000-0000F50F0000}"/>
    <cellStyle name="Grey" xfId="487" xr:uid="{00000000-0005-0000-0000-0000F60F0000}"/>
    <cellStyle name="Grey 2" xfId="488" xr:uid="{00000000-0005-0000-0000-0000F70F0000}"/>
    <cellStyle name="Grey 2 2" xfId="1897" xr:uid="{00000000-0005-0000-0000-0000F80F0000}"/>
    <cellStyle name="Grey 3" xfId="1898" xr:uid="{00000000-0005-0000-0000-0000F90F0000}"/>
    <cellStyle name="Header - Style1" xfId="489" xr:uid="{00000000-0005-0000-0000-0000FA0F0000}"/>
    <cellStyle name="Header - Style1 2" xfId="1899" xr:uid="{00000000-0005-0000-0000-0000FB0F0000}"/>
    <cellStyle name="Header1" xfId="490" xr:uid="{00000000-0005-0000-0000-0000FC0F0000}"/>
    <cellStyle name="Header1 2" xfId="1900" xr:uid="{00000000-0005-0000-0000-0000FD0F0000}"/>
    <cellStyle name="Header2" xfId="491" xr:uid="{00000000-0005-0000-0000-0000FE0F0000}"/>
    <cellStyle name="Header2 10" xfId="492" xr:uid="{00000000-0005-0000-0000-0000FF0F0000}"/>
    <cellStyle name="Header2 10 2" xfId="4617" xr:uid="{00000000-0005-0000-0000-000000100000}"/>
    <cellStyle name="Header2 10 3" xfId="7021" xr:uid="{EEE72652-875E-4F3B-B765-8F3DABA42289}"/>
    <cellStyle name="Header2 11" xfId="4618" xr:uid="{00000000-0005-0000-0000-000001100000}"/>
    <cellStyle name="Header2 12" xfId="5889" xr:uid="{00000000-0005-0000-0000-000002100000}"/>
    <cellStyle name="Header2 13" xfId="5978" xr:uid="{00000000-0005-0000-0000-000003100000}"/>
    <cellStyle name="Header2 14" xfId="7024" xr:uid="{65A572B7-D752-4FFC-AAC0-7BC630D896D2}"/>
    <cellStyle name="Header2 2" xfId="493" xr:uid="{00000000-0005-0000-0000-000004100000}"/>
    <cellStyle name="Header2 2 2" xfId="1901" xr:uid="{00000000-0005-0000-0000-000005100000}"/>
    <cellStyle name="Header2 2 2 2" xfId="4619" xr:uid="{00000000-0005-0000-0000-000006100000}"/>
    <cellStyle name="Header2 2 3" xfId="1902" xr:uid="{00000000-0005-0000-0000-000007100000}"/>
    <cellStyle name="Header2 2 4" xfId="4620" xr:uid="{00000000-0005-0000-0000-000008100000}"/>
    <cellStyle name="Header2 2 5" xfId="6267" xr:uid="{00000000-0005-0000-0000-000009100000}"/>
    <cellStyle name="Header2 2 6" xfId="7026" xr:uid="{BC75061C-3092-45B0-B83D-7EEFDEB5D0D1}"/>
    <cellStyle name="Header2 3" xfId="494" xr:uid="{00000000-0005-0000-0000-00000A100000}"/>
    <cellStyle name="Header2 3 2" xfId="4621" xr:uid="{00000000-0005-0000-0000-00000B100000}"/>
    <cellStyle name="Header2 3 3" xfId="4622" xr:uid="{00000000-0005-0000-0000-00000C100000}"/>
    <cellStyle name="Header2 3 4" xfId="6268" xr:uid="{00000000-0005-0000-0000-00000D100000}"/>
    <cellStyle name="Header2 3 5" xfId="6999" xr:uid="{FA3601C3-50CD-4C21-A639-17F30F904221}"/>
    <cellStyle name="Header2 4" xfId="495" xr:uid="{00000000-0005-0000-0000-00000E100000}"/>
    <cellStyle name="Header2 4 2" xfId="4623" xr:uid="{00000000-0005-0000-0000-00000F100000}"/>
    <cellStyle name="Header2 4 3" xfId="7027" xr:uid="{26A81933-4E45-4799-B381-02FFE88D961B}"/>
    <cellStyle name="Header2 5" xfId="496" xr:uid="{00000000-0005-0000-0000-000010100000}"/>
    <cellStyle name="Header2 5 2" xfId="4624" xr:uid="{00000000-0005-0000-0000-000011100000}"/>
    <cellStyle name="Header2 5 3" xfId="7028" xr:uid="{6FDD2E3B-9C7C-499D-B6C9-B48AFDA8D7A3}"/>
    <cellStyle name="Header2 6" xfId="497" xr:uid="{00000000-0005-0000-0000-000012100000}"/>
    <cellStyle name="Header2 6 2" xfId="4625" xr:uid="{00000000-0005-0000-0000-000013100000}"/>
    <cellStyle name="Header2 6 3" xfId="6546" xr:uid="{BFB91FE1-DA1F-4E38-B335-4E845AECA885}"/>
    <cellStyle name="Header2 7" xfId="498" xr:uid="{00000000-0005-0000-0000-000014100000}"/>
    <cellStyle name="Header2 7 2" xfId="4626" xr:uid="{00000000-0005-0000-0000-000015100000}"/>
    <cellStyle name="Header2 7 3" xfId="6581" xr:uid="{7A8F8E5B-F5C2-45BC-B94C-ABD53C5DDB93}"/>
    <cellStyle name="Header2 8" xfId="499" xr:uid="{00000000-0005-0000-0000-000016100000}"/>
    <cellStyle name="Header2 8 2" xfId="4627" xr:uid="{00000000-0005-0000-0000-000017100000}"/>
    <cellStyle name="Header2 8 3" xfId="7029" xr:uid="{9210E1A5-DCA6-4580-88D0-D4FFB1BEE506}"/>
    <cellStyle name="Header2 9" xfId="500" xr:uid="{00000000-0005-0000-0000-000018100000}"/>
    <cellStyle name="Header2 9 2" xfId="4628" xr:uid="{00000000-0005-0000-0000-000019100000}"/>
    <cellStyle name="Header2 9 3" xfId="6864" xr:uid="{D36B1501-172F-43E3-ADA5-D9D7A7EEAC6C}"/>
    <cellStyle name="Header2_BukuBesar" xfId="4629" xr:uid="{00000000-0005-0000-0000-00001A100000}"/>
    <cellStyle name="Heading 1 2" xfId="501" xr:uid="{00000000-0005-0000-0000-00001B100000}"/>
    <cellStyle name="Heading 1 2 2" xfId="1903" xr:uid="{00000000-0005-0000-0000-00001C100000}"/>
    <cellStyle name="Heading 1 2 2 2" xfId="4630" xr:uid="{00000000-0005-0000-0000-00001D100000}"/>
    <cellStyle name="Heading 1 3" xfId="5890" xr:uid="{00000000-0005-0000-0000-00001E100000}"/>
    <cellStyle name="Heading 2 2" xfId="502" xr:uid="{00000000-0005-0000-0000-00001F100000}"/>
    <cellStyle name="Heading 2 2 2" xfId="1904" xr:uid="{00000000-0005-0000-0000-000020100000}"/>
    <cellStyle name="Heading 2 2 2 2" xfId="4631" xr:uid="{00000000-0005-0000-0000-000021100000}"/>
    <cellStyle name="Heading 2 3" xfId="5891" xr:uid="{00000000-0005-0000-0000-000022100000}"/>
    <cellStyle name="Heading 3 2" xfId="503" xr:uid="{00000000-0005-0000-0000-000023100000}"/>
    <cellStyle name="Heading 3 2 2" xfId="1905" xr:uid="{00000000-0005-0000-0000-000024100000}"/>
    <cellStyle name="Heading 3 2 2 2" xfId="4632" xr:uid="{00000000-0005-0000-0000-000025100000}"/>
    <cellStyle name="Heading 3 3" xfId="5892" xr:uid="{00000000-0005-0000-0000-000026100000}"/>
    <cellStyle name="Heading 4 2" xfId="504" xr:uid="{00000000-0005-0000-0000-000027100000}"/>
    <cellStyle name="Heading 4 2 2" xfId="1906" xr:uid="{00000000-0005-0000-0000-000028100000}"/>
    <cellStyle name="Heading 4 2 2 2" xfId="4633" xr:uid="{00000000-0005-0000-0000-000029100000}"/>
    <cellStyle name="Heading 4 3" xfId="5893" xr:uid="{00000000-0005-0000-0000-00002A100000}"/>
    <cellStyle name="Heading1" xfId="505" xr:uid="{00000000-0005-0000-0000-00002B100000}"/>
    <cellStyle name="Heading1 2" xfId="7030" xr:uid="{FB2C499D-2563-4976-A74C-04264867FF4E}"/>
    <cellStyle name="Heading2" xfId="506" xr:uid="{00000000-0005-0000-0000-00002C100000}"/>
    <cellStyle name="Heading2 2" xfId="6913" xr:uid="{C022E492-0355-4601-BE40-E98E485BB6FB}"/>
    <cellStyle name="Hyperlink 2" xfId="507" xr:uid="{00000000-0005-0000-0000-00002D100000}"/>
    <cellStyle name="Hyperlink 2 2" xfId="1907" xr:uid="{00000000-0005-0000-0000-00002E100000}"/>
    <cellStyle name="Hyperlink 2 2 2" xfId="4634" xr:uid="{00000000-0005-0000-0000-00002F100000}"/>
    <cellStyle name="Hyperlink 2 2 3" xfId="7032" xr:uid="{0E0D88BD-339D-4F4A-BB44-639433071848}"/>
    <cellStyle name="Hyperlink 2 3" xfId="1908" xr:uid="{00000000-0005-0000-0000-000030100000}"/>
    <cellStyle name="Hyperlink 2 4" xfId="1909" xr:uid="{00000000-0005-0000-0000-000031100000}"/>
    <cellStyle name="Hyperlink 2 5" xfId="4635" xr:uid="{00000000-0005-0000-0000-000032100000}"/>
    <cellStyle name="Hyperlink 2_LKAI MURNI 2012" xfId="1910" xr:uid="{00000000-0005-0000-0000-000033100000}"/>
    <cellStyle name="Hyperlink 3" xfId="508" xr:uid="{00000000-0005-0000-0000-000034100000}"/>
    <cellStyle name="Hyperlink 3 2" xfId="1911" xr:uid="{00000000-0005-0000-0000-000035100000}"/>
    <cellStyle name="Hyperlink 3 3" xfId="4636" xr:uid="{00000000-0005-0000-0000-000036100000}"/>
    <cellStyle name="Hyperlink 4" xfId="1912" xr:uid="{00000000-0005-0000-0000-000037100000}"/>
    <cellStyle name="Hyperlink 4 2" xfId="1913" xr:uid="{00000000-0005-0000-0000-000038100000}"/>
    <cellStyle name="Hyperlink 5" xfId="1914" xr:uid="{00000000-0005-0000-0000-000039100000}"/>
    <cellStyle name="Input [yellow]" xfId="509" xr:uid="{00000000-0005-0000-0000-00003A100000}"/>
    <cellStyle name="Input [yellow] 10" xfId="510" xr:uid="{00000000-0005-0000-0000-00003B100000}"/>
    <cellStyle name="Input [yellow] 10 2" xfId="4637" xr:uid="{00000000-0005-0000-0000-00003C100000}"/>
    <cellStyle name="Input [yellow] 10 3" xfId="7034" xr:uid="{2CB7E4BD-4365-445D-AD38-2B13687DE1B1}"/>
    <cellStyle name="Input [yellow] 11" xfId="511" xr:uid="{00000000-0005-0000-0000-00003D100000}"/>
    <cellStyle name="Input [yellow] 11 2" xfId="4638" xr:uid="{00000000-0005-0000-0000-00003E100000}"/>
    <cellStyle name="Input [yellow] 11 3" xfId="6611" xr:uid="{D2C416DA-394A-4913-9887-1E8BBF750A13}"/>
    <cellStyle name="Input [yellow] 12" xfId="512" xr:uid="{00000000-0005-0000-0000-00003F100000}"/>
    <cellStyle name="Input [yellow] 12 2" xfId="4639" xr:uid="{00000000-0005-0000-0000-000040100000}"/>
    <cellStyle name="Input [yellow] 12 3" xfId="6957" xr:uid="{5E17A59A-AEA1-43AB-AF6D-562A45DFC8D4}"/>
    <cellStyle name="Input [yellow] 13" xfId="513" xr:uid="{00000000-0005-0000-0000-000041100000}"/>
    <cellStyle name="Input [yellow] 13 2" xfId="4640" xr:uid="{00000000-0005-0000-0000-000042100000}"/>
    <cellStyle name="Input [yellow] 13 3" xfId="7035" xr:uid="{40591D4B-0E2A-481F-90C1-08BADA37116C}"/>
    <cellStyle name="Input [yellow] 14" xfId="514" xr:uid="{00000000-0005-0000-0000-000043100000}"/>
    <cellStyle name="Input [yellow] 14 2" xfId="4641" xr:uid="{00000000-0005-0000-0000-000044100000}"/>
    <cellStyle name="Input [yellow] 14 3" xfId="7036" xr:uid="{F36ED5A6-8946-4E11-BC96-5B2066DC5F9F}"/>
    <cellStyle name="Input [yellow] 15" xfId="515" xr:uid="{00000000-0005-0000-0000-000045100000}"/>
    <cellStyle name="Input [yellow] 15 2" xfId="4642" xr:uid="{00000000-0005-0000-0000-000046100000}"/>
    <cellStyle name="Input [yellow] 15 3" xfId="7037" xr:uid="{C671DC9C-8ED1-4878-9FAA-17AA8C6C91A7}"/>
    <cellStyle name="Input [yellow] 16" xfId="516" xr:uid="{00000000-0005-0000-0000-000047100000}"/>
    <cellStyle name="Input [yellow] 16 2" xfId="4643" xr:uid="{00000000-0005-0000-0000-000048100000}"/>
    <cellStyle name="Input [yellow] 16 3" xfId="6443" xr:uid="{D240BD5E-C0DD-47CB-AE90-690CF697D009}"/>
    <cellStyle name="Input [yellow] 17" xfId="517" xr:uid="{00000000-0005-0000-0000-000049100000}"/>
    <cellStyle name="Input [yellow] 17 2" xfId="4644" xr:uid="{00000000-0005-0000-0000-00004A100000}"/>
    <cellStyle name="Input [yellow] 17 3" xfId="6447" xr:uid="{722048C7-B049-4D26-A398-64AE6F5D473D}"/>
    <cellStyle name="Input [yellow] 18" xfId="518" xr:uid="{00000000-0005-0000-0000-00004B100000}"/>
    <cellStyle name="Input [yellow] 18 2" xfId="4645" xr:uid="{00000000-0005-0000-0000-00004C100000}"/>
    <cellStyle name="Input [yellow] 18 3" xfId="6459" xr:uid="{358FF605-C85B-4D7F-AC2C-421E43E8A37B}"/>
    <cellStyle name="Input [yellow] 19" xfId="519" xr:uid="{00000000-0005-0000-0000-00004D100000}"/>
    <cellStyle name="Input [yellow] 19 2" xfId="4646" xr:uid="{00000000-0005-0000-0000-00004E100000}"/>
    <cellStyle name="Input [yellow] 19 3" xfId="6466" xr:uid="{9A80CA6D-39BF-478A-B134-FFA3A53BB96F}"/>
    <cellStyle name="Input [yellow] 2" xfId="520" xr:uid="{00000000-0005-0000-0000-00004F100000}"/>
    <cellStyle name="Input [yellow] 2 2" xfId="1915" xr:uid="{00000000-0005-0000-0000-000050100000}"/>
    <cellStyle name="Input [yellow] 2 3" xfId="1916" xr:uid="{00000000-0005-0000-0000-000051100000}"/>
    <cellStyle name="Input [yellow] 2 4" xfId="1917" xr:uid="{00000000-0005-0000-0000-000052100000}"/>
    <cellStyle name="Input [yellow] 2 5" xfId="6269" xr:uid="{00000000-0005-0000-0000-000053100000}"/>
    <cellStyle name="Input [yellow] 2 6" xfId="7040" xr:uid="{A2A175B2-6E52-4A32-8670-BDE3B817C371}"/>
    <cellStyle name="Input [yellow] 20" xfId="521" xr:uid="{00000000-0005-0000-0000-000054100000}"/>
    <cellStyle name="Input [yellow] 20 2" xfId="4647" xr:uid="{00000000-0005-0000-0000-000055100000}"/>
    <cellStyle name="Input [yellow] 20 3" xfId="7038" xr:uid="{E1885EBF-72D6-4A1D-9A29-20CF9EEB3A50}"/>
    <cellStyle name="Input [yellow] 21" xfId="522" xr:uid="{00000000-0005-0000-0000-000056100000}"/>
    <cellStyle name="Input [yellow] 21 2" xfId="4648" xr:uid="{00000000-0005-0000-0000-000057100000}"/>
    <cellStyle name="Input [yellow] 21 3" xfId="6444" xr:uid="{93EC21C8-BB63-4E07-92BE-73AD151D951B}"/>
    <cellStyle name="Input [yellow] 22" xfId="523" xr:uid="{00000000-0005-0000-0000-000058100000}"/>
    <cellStyle name="Input [yellow] 22 2" xfId="4649" xr:uid="{00000000-0005-0000-0000-000059100000}"/>
    <cellStyle name="Input [yellow] 22 3" xfId="6448" xr:uid="{5625E1B3-F9DE-49FA-B3A2-CAAC709D5434}"/>
    <cellStyle name="Input [yellow] 23" xfId="4650" xr:uid="{00000000-0005-0000-0000-00005A100000}"/>
    <cellStyle name="Input [yellow] 24" xfId="5894" xr:uid="{00000000-0005-0000-0000-00005B100000}"/>
    <cellStyle name="Input [yellow] 25" xfId="5979" xr:uid="{00000000-0005-0000-0000-00005C100000}"/>
    <cellStyle name="Input [yellow] 26" xfId="7033" xr:uid="{C8128033-938C-4C2B-95D0-D4B4A401B516}"/>
    <cellStyle name="Input [yellow] 3" xfId="524" xr:uid="{00000000-0005-0000-0000-00005D100000}"/>
    <cellStyle name="Input [yellow] 3 2" xfId="4651" xr:uid="{00000000-0005-0000-0000-00005E100000}"/>
    <cellStyle name="Input [yellow] 3 3" xfId="6270" xr:uid="{00000000-0005-0000-0000-00005F100000}"/>
    <cellStyle name="Input [yellow] 3 4" xfId="7041" xr:uid="{AC9E5EFE-CCBD-417D-8037-E0BF25A55040}"/>
    <cellStyle name="Input [yellow] 4" xfId="525" xr:uid="{00000000-0005-0000-0000-000060100000}"/>
    <cellStyle name="Input [yellow] 4 2" xfId="4652" xr:uid="{00000000-0005-0000-0000-000061100000}"/>
    <cellStyle name="Input [yellow] 4 3" xfId="7042" xr:uid="{FEA08D17-C7DB-4E0C-9A7F-8746D18B8567}"/>
    <cellStyle name="Input [yellow] 5" xfId="526" xr:uid="{00000000-0005-0000-0000-000062100000}"/>
    <cellStyle name="Input [yellow] 5 2" xfId="4653" xr:uid="{00000000-0005-0000-0000-000063100000}"/>
    <cellStyle name="Input [yellow] 5 3" xfId="4654" xr:uid="{00000000-0005-0000-0000-000064100000}"/>
    <cellStyle name="Input [yellow] 5 4" xfId="7043" xr:uid="{55A4C78E-C459-4F62-B66F-90DC4E12259B}"/>
    <cellStyle name="Input [yellow] 6" xfId="527" xr:uid="{00000000-0005-0000-0000-000065100000}"/>
    <cellStyle name="Input [yellow] 6 2" xfId="4655" xr:uid="{00000000-0005-0000-0000-000066100000}"/>
    <cellStyle name="Input [yellow] 6 3" xfId="7045" xr:uid="{F1819D4A-2045-4F83-882F-6D2D35B0EDE2}"/>
    <cellStyle name="Input [yellow] 7" xfId="528" xr:uid="{00000000-0005-0000-0000-000067100000}"/>
    <cellStyle name="Input [yellow] 7 2" xfId="4656" xr:uid="{00000000-0005-0000-0000-000068100000}"/>
    <cellStyle name="Input [yellow] 7 3" xfId="7046" xr:uid="{EFE1C3BA-420A-477B-8CE8-B71FB8BAA8A1}"/>
    <cellStyle name="Input [yellow] 8" xfId="529" xr:uid="{00000000-0005-0000-0000-000069100000}"/>
    <cellStyle name="Input [yellow] 8 2" xfId="4657" xr:uid="{00000000-0005-0000-0000-00006A100000}"/>
    <cellStyle name="Input [yellow] 8 3" xfId="7047" xr:uid="{645F8D09-0DDF-455A-A7E7-F4211381E35F}"/>
    <cellStyle name="Input [yellow] 9" xfId="530" xr:uid="{00000000-0005-0000-0000-00006B100000}"/>
    <cellStyle name="Input [yellow] 9 2" xfId="4658" xr:uid="{00000000-0005-0000-0000-00006C100000}"/>
    <cellStyle name="Input [yellow] 9 3" xfId="7048" xr:uid="{58F7687D-9E78-478E-8CBD-32B63011E22D}"/>
    <cellStyle name="Input 2" xfId="531" xr:uid="{00000000-0005-0000-0000-00006D100000}"/>
    <cellStyle name="Input 2 2" xfId="1918" xr:uid="{00000000-0005-0000-0000-00006E100000}"/>
    <cellStyle name="Input 2 2 2" xfId="4659" xr:uid="{00000000-0005-0000-0000-00006F100000}"/>
    <cellStyle name="Input 2 2 3" xfId="4660" xr:uid="{00000000-0005-0000-0000-000070100000}"/>
    <cellStyle name="Input 2 3" xfId="1919" xr:uid="{00000000-0005-0000-0000-000071100000}"/>
    <cellStyle name="Input 2 3 2" xfId="6271" xr:uid="{00000000-0005-0000-0000-000072100000}"/>
    <cellStyle name="Input 2 4" xfId="1920" xr:uid="{00000000-0005-0000-0000-000073100000}"/>
    <cellStyle name="Input 2 4 2" xfId="4661" xr:uid="{00000000-0005-0000-0000-000074100000}"/>
    <cellStyle name="Input 2 4 3" xfId="6272" xr:uid="{00000000-0005-0000-0000-000075100000}"/>
    <cellStyle name="Input 2 5" xfId="5980" xr:uid="{00000000-0005-0000-0000-000076100000}"/>
    <cellStyle name="Input 2 6" xfId="6560" xr:uid="{FA261C3E-2FB5-4284-AE87-88E2B4AA612C}"/>
    <cellStyle name="Input 3" xfId="532" xr:uid="{00000000-0005-0000-0000-000077100000}"/>
    <cellStyle name="Input 3 2" xfId="1921" xr:uid="{00000000-0005-0000-0000-000078100000}"/>
    <cellStyle name="Input 3 2 2" xfId="4662" xr:uid="{00000000-0005-0000-0000-000079100000}"/>
    <cellStyle name="Input 3 2 3" xfId="6273" xr:uid="{00000000-0005-0000-0000-00007A100000}"/>
    <cellStyle name="Input 3 3" xfId="1922" xr:uid="{00000000-0005-0000-0000-00007B100000}"/>
    <cellStyle name="Input 3 3 2" xfId="6274" xr:uid="{00000000-0005-0000-0000-00007C100000}"/>
    <cellStyle name="Input 3 4" xfId="1923" xr:uid="{00000000-0005-0000-0000-00007D100000}"/>
    <cellStyle name="Input 3 4 2" xfId="6275" xr:uid="{00000000-0005-0000-0000-00007E100000}"/>
    <cellStyle name="Input 3 5" xfId="5895" xr:uid="{00000000-0005-0000-0000-00007F100000}"/>
    <cellStyle name="Input 3 6" xfId="5981" xr:uid="{00000000-0005-0000-0000-000080100000}"/>
    <cellStyle name="Input 4" xfId="533" xr:uid="{00000000-0005-0000-0000-000081100000}"/>
    <cellStyle name="Input 4 2" xfId="1924" xr:uid="{00000000-0005-0000-0000-000082100000}"/>
    <cellStyle name="Input 4 2 2" xfId="4663" xr:uid="{00000000-0005-0000-0000-000083100000}"/>
    <cellStyle name="Input 4 3" xfId="1925" xr:uid="{00000000-0005-0000-0000-000084100000}"/>
    <cellStyle name="Input 4 4" xfId="1926" xr:uid="{00000000-0005-0000-0000-000085100000}"/>
    <cellStyle name="Input 5" xfId="534" xr:uid="{00000000-0005-0000-0000-000086100000}"/>
    <cellStyle name="Input 5 2" xfId="1927" xr:uid="{00000000-0005-0000-0000-000087100000}"/>
    <cellStyle name="Input 5 2 2" xfId="4664" xr:uid="{00000000-0005-0000-0000-000088100000}"/>
    <cellStyle name="Input 5 3" xfId="1928" xr:uid="{00000000-0005-0000-0000-000089100000}"/>
    <cellStyle name="Input 5 4" xfId="1929" xr:uid="{00000000-0005-0000-0000-00008A100000}"/>
    <cellStyle name="Input Cells" xfId="535" xr:uid="{00000000-0005-0000-0000-00008B100000}"/>
    <cellStyle name="Input Cells 2" xfId="536" xr:uid="{00000000-0005-0000-0000-00008C100000}"/>
    <cellStyle name="Input Cells 3" xfId="4665" xr:uid="{00000000-0005-0000-0000-00008D100000}"/>
    <cellStyle name="Input Cells 4" xfId="7049" xr:uid="{1583A93F-02ED-46AA-B4A9-41EBA9DF55A7}"/>
    <cellStyle name="Link Currency (0)" xfId="537" xr:uid="{00000000-0005-0000-0000-00008E100000}"/>
    <cellStyle name="Link Currency (0) 2" xfId="538" xr:uid="{00000000-0005-0000-0000-00008F100000}"/>
    <cellStyle name="Link Currency (0) 2 2" xfId="6277" xr:uid="{00000000-0005-0000-0000-000090100000}"/>
    <cellStyle name="Link Currency (0) 3" xfId="5896" xr:uid="{00000000-0005-0000-0000-000091100000}"/>
    <cellStyle name="Link Currency (0) 3 2" xfId="6278" xr:uid="{00000000-0005-0000-0000-000092100000}"/>
    <cellStyle name="Link Currency (0) 4" xfId="6276" xr:uid="{00000000-0005-0000-0000-000093100000}"/>
    <cellStyle name="Link Currency (2)" xfId="539" xr:uid="{00000000-0005-0000-0000-000094100000}"/>
    <cellStyle name="Link Currency (2) 2" xfId="540" xr:uid="{00000000-0005-0000-0000-000095100000}"/>
    <cellStyle name="Link Currency (2) 2 2" xfId="6280" xr:uid="{00000000-0005-0000-0000-000096100000}"/>
    <cellStyle name="Link Currency (2) 3" xfId="5897" xr:uid="{00000000-0005-0000-0000-000097100000}"/>
    <cellStyle name="Link Currency (2) 3 2" xfId="6281" xr:uid="{00000000-0005-0000-0000-000098100000}"/>
    <cellStyle name="Link Currency (2) 4" xfId="6279" xr:uid="{00000000-0005-0000-0000-000099100000}"/>
    <cellStyle name="Link Units (0)" xfId="541" xr:uid="{00000000-0005-0000-0000-00009A100000}"/>
    <cellStyle name="Link Units (0) 2" xfId="542" xr:uid="{00000000-0005-0000-0000-00009B100000}"/>
    <cellStyle name="Link Units (0) 2 2" xfId="6283" xr:uid="{00000000-0005-0000-0000-00009C100000}"/>
    <cellStyle name="Link Units (0) 3" xfId="5898" xr:uid="{00000000-0005-0000-0000-00009D100000}"/>
    <cellStyle name="Link Units (0) 3 2" xfId="6284" xr:uid="{00000000-0005-0000-0000-00009E100000}"/>
    <cellStyle name="Link Units (0) 4" xfId="6282" xr:uid="{00000000-0005-0000-0000-00009F100000}"/>
    <cellStyle name="Link Units (1)" xfId="543" xr:uid="{00000000-0005-0000-0000-0000A0100000}"/>
    <cellStyle name="Link Units (1) 2" xfId="544" xr:uid="{00000000-0005-0000-0000-0000A1100000}"/>
    <cellStyle name="Link Units (1) 2 2" xfId="6286" xr:uid="{00000000-0005-0000-0000-0000A2100000}"/>
    <cellStyle name="Link Units (1) 3" xfId="5899" xr:uid="{00000000-0005-0000-0000-0000A3100000}"/>
    <cellStyle name="Link Units (1) 3 2" xfId="6287" xr:uid="{00000000-0005-0000-0000-0000A4100000}"/>
    <cellStyle name="Link Units (1) 4" xfId="6285" xr:uid="{00000000-0005-0000-0000-0000A5100000}"/>
    <cellStyle name="Link Units (2)" xfId="545" xr:uid="{00000000-0005-0000-0000-0000A6100000}"/>
    <cellStyle name="Link Units (2) 2" xfId="546" xr:uid="{00000000-0005-0000-0000-0000A7100000}"/>
    <cellStyle name="Link Units (2) 2 2" xfId="6289" xr:uid="{00000000-0005-0000-0000-0000A8100000}"/>
    <cellStyle name="Link Units (2) 3" xfId="5900" xr:uid="{00000000-0005-0000-0000-0000A9100000}"/>
    <cellStyle name="Link Units (2) 3 2" xfId="6290" xr:uid="{00000000-0005-0000-0000-0000AA100000}"/>
    <cellStyle name="Link Units (2) 4" xfId="6288" xr:uid="{00000000-0005-0000-0000-0000AB100000}"/>
    <cellStyle name="Linked Cell 2" xfId="547" xr:uid="{00000000-0005-0000-0000-0000AC100000}"/>
    <cellStyle name="Linked Cell 2 2" xfId="1930" xr:uid="{00000000-0005-0000-0000-0000AD100000}"/>
    <cellStyle name="Linked Cell 2 2 2" xfId="4666" xr:uid="{00000000-0005-0000-0000-0000AE100000}"/>
    <cellStyle name="Linked Cell 3" xfId="5901" xr:uid="{00000000-0005-0000-0000-0000AF100000}"/>
    <cellStyle name="Linked Cells" xfId="548" xr:uid="{00000000-0005-0000-0000-0000B0100000}"/>
    <cellStyle name="Linked Cells 2" xfId="549" xr:uid="{00000000-0005-0000-0000-0000B1100000}"/>
    <cellStyle name="Linked Cells 3" xfId="4667" xr:uid="{00000000-0005-0000-0000-0000B2100000}"/>
    <cellStyle name="Linked Cells 4" xfId="7050" xr:uid="{A146F004-97CA-4B1C-A6E4-45960D41BDE1}"/>
    <cellStyle name="Migliaia (0)_pldt" xfId="550" xr:uid="{00000000-0005-0000-0000-0000B3100000}"/>
    <cellStyle name="Migliaia_pldt" xfId="551" xr:uid="{00000000-0005-0000-0000-0000B4100000}"/>
    <cellStyle name="Milliers [0]_!!!GO" xfId="552" xr:uid="{00000000-0005-0000-0000-0000B5100000}"/>
    <cellStyle name="Milliers_!!!GO" xfId="553" xr:uid="{00000000-0005-0000-0000-0000B6100000}"/>
    <cellStyle name="Monétaire [0]_!!!GO" xfId="554" xr:uid="{00000000-0005-0000-0000-0000B7100000}"/>
    <cellStyle name="Monétaire_!!!GO" xfId="555" xr:uid="{00000000-0005-0000-0000-0000B8100000}"/>
    <cellStyle name="Neutral 2" xfId="556" xr:uid="{00000000-0005-0000-0000-0000B9100000}"/>
    <cellStyle name="Neutral 2 2" xfId="1931" xr:uid="{00000000-0005-0000-0000-0000BA100000}"/>
    <cellStyle name="Neutral 2 2 2" xfId="4668" xr:uid="{00000000-0005-0000-0000-0000BB100000}"/>
    <cellStyle name="Neutral 2 3" xfId="6555" xr:uid="{D86B87E8-72E6-444D-9ACD-7ACB645443C3}"/>
    <cellStyle name="Neutral 3" xfId="5902" xr:uid="{00000000-0005-0000-0000-0000BC100000}"/>
    <cellStyle name="no dec" xfId="557" xr:uid="{00000000-0005-0000-0000-0000BD100000}"/>
    <cellStyle name="no dec 2" xfId="1932" xr:uid="{00000000-0005-0000-0000-0000BE100000}"/>
    <cellStyle name="no dec 3" xfId="6484" xr:uid="{6A7CDA47-7ED7-42A7-ACDA-54F072C8C3EF}"/>
    <cellStyle name="Normal" xfId="0" builtinId="0"/>
    <cellStyle name="Normal - Style1" xfId="558" xr:uid="{00000000-0005-0000-0000-0000C0100000}"/>
    <cellStyle name="Normal - Style1 2" xfId="4669" xr:uid="{00000000-0005-0000-0000-0000C1100000}"/>
    <cellStyle name="Normal - Style1 2 2" xfId="6381" xr:uid="{564325CF-4390-41B6-9F3B-D0A3816E8BC6}"/>
    <cellStyle name="Normal - Style1 3" xfId="6820" xr:uid="{EB853C4F-5A47-4937-8CC6-C060BA5E2261}"/>
    <cellStyle name="Normal - Style1 4" xfId="7052" xr:uid="{32534B6A-8E32-462C-A622-204C7C1BDC2A}"/>
    <cellStyle name="Normal - Style1 4 2" xfId="7053" xr:uid="{063E952C-89D3-4591-8F54-60DCB2050D81}"/>
    <cellStyle name="Normal - Style1 5" xfId="6473" xr:uid="{57D78C41-B68F-486B-9570-3A95083E9917}"/>
    <cellStyle name="Normal 10" xfId="559" xr:uid="{00000000-0005-0000-0000-0000C2100000}"/>
    <cellStyle name="Normal 10 2" xfId="560" xr:uid="{00000000-0005-0000-0000-0000C3100000}"/>
    <cellStyle name="Normal 10 2 2" xfId="561" xr:uid="{00000000-0005-0000-0000-0000C4100000}"/>
    <cellStyle name="Normal 10 2 2 2" xfId="4670" xr:uid="{00000000-0005-0000-0000-0000C5100000}"/>
    <cellStyle name="Normal 10 2 2 2 2" xfId="7054" xr:uid="{DC76F3D3-2AC7-4D52-83AA-905F403C2281}"/>
    <cellStyle name="Normal 10 2 2 2 3" xfId="6906" xr:uid="{F693E281-8790-427D-969C-F08CAD7E3819}"/>
    <cellStyle name="Normal 10 2 3" xfId="1933" xr:uid="{00000000-0005-0000-0000-0000C6100000}"/>
    <cellStyle name="Normal 10 2 3 2" xfId="4671" xr:uid="{00000000-0005-0000-0000-0000C7100000}"/>
    <cellStyle name="Normal 10 2 3 3" xfId="4672" xr:uid="{00000000-0005-0000-0000-0000C8100000}"/>
    <cellStyle name="Normal 10 2 4" xfId="4673" xr:uid="{00000000-0005-0000-0000-0000C9100000}"/>
    <cellStyle name="Normal 10 2 5" xfId="4674" xr:uid="{00000000-0005-0000-0000-0000CA100000}"/>
    <cellStyle name="Normal 10 3" xfId="562" xr:uid="{00000000-0005-0000-0000-0000CB100000}"/>
    <cellStyle name="Normal 10 3 2" xfId="1934" xr:uid="{00000000-0005-0000-0000-0000CC100000}"/>
    <cellStyle name="Normal 10 3 3" xfId="4675" xr:uid="{00000000-0005-0000-0000-0000CD100000}"/>
    <cellStyle name="Normal 10 4" xfId="1935" xr:uid="{00000000-0005-0000-0000-0000CE100000}"/>
    <cellStyle name="Normal 10 4 2" xfId="6809" xr:uid="{41100916-6477-424F-82C8-A1A61F40637B}"/>
    <cellStyle name="Normal 10 5" xfId="4676" xr:uid="{00000000-0005-0000-0000-0000CF100000}"/>
    <cellStyle name="Normal 10 5 2" xfId="6840" xr:uid="{8B9262B0-82E0-4719-9FFA-7F11F1C80111}"/>
    <cellStyle name="Normal 10 6" xfId="6662" xr:uid="{5CEC80C3-AC6B-4CFC-AB78-C5E82E3D625B}"/>
    <cellStyle name="Normal 10 7" xfId="6395" xr:uid="{A001A7D9-1F75-4DAF-ADED-2D8AC45E96B9}"/>
    <cellStyle name="Normal 10_BukuBesar" xfId="4677" xr:uid="{00000000-0005-0000-0000-0000D0100000}"/>
    <cellStyle name="Normal 100" xfId="5903" xr:uid="{00000000-0005-0000-0000-0000D1100000}"/>
    <cellStyle name="Normal 101" xfId="1936" xr:uid="{00000000-0005-0000-0000-0000D2100000}"/>
    <cellStyle name="Normal 11" xfId="563" xr:uid="{00000000-0005-0000-0000-0000D3100000}"/>
    <cellStyle name="Normal 11 2" xfId="564" xr:uid="{00000000-0005-0000-0000-0000D4100000}"/>
    <cellStyle name="Normal 11 2 2" xfId="565" xr:uid="{00000000-0005-0000-0000-0000D5100000}"/>
    <cellStyle name="Normal 11 2 2 2" xfId="566" xr:uid="{00000000-0005-0000-0000-0000D6100000}"/>
    <cellStyle name="Normal 11 2 2 2 2 2" xfId="1937" xr:uid="{00000000-0005-0000-0000-0000D7100000}"/>
    <cellStyle name="Normal 11 2 2 2 2 2 2" xfId="6374" xr:uid="{FEB69999-A240-4C2D-A609-39E25652AC1E}"/>
    <cellStyle name="Normal 11 2 2 3" xfId="1938" xr:uid="{00000000-0005-0000-0000-0000D8100000}"/>
    <cellStyle name="Normal 11 2 2 3 2" xfId="1939" xr:uid="{00000000-0005-0000-0000-0000D9100000}"/>
    <cellStyle name="Normal 11 2 2 4" xfId="1940" xr:uid="{00000000-0005-0000-0000-0000DA100000}"/>
    <cellStyle name="Normal 11 2 3" xfId="1941" xr:uid="{00000000-0005-0000-0000-0000DB100000}"/>
    <cellStyle name="Normal 11 3" xfId="567" xr:uid="{00000000-0005-0000-0000-0000DC100000}"/>
    <cellStyle name="Normal 11 3 2" xfId="1942" xr:uid="{00000000-0005-0000-0000-0000DD100000}"/>
    <cellStyle name="Normal 11 3 2 2" xfId="4678" xr:uid="{00000000-0005-0000-0000-0000DE100000}"/>
    <cellStyle name="Normal 11 3 3" xfId="4679" xr:uid="{00000000-0005-0000-0000-0000DF100000}"/>
    <cellStyle name="Normal 11 4" xfId="568" xr:uid="{00000000-0005-0000-0000-0000E0100000}"/>
    <cellStyle name="Normal 11 4 2" xfId="4680" xr:uid="{00000000-0005-0000-0000-0000E1100000}"/>
    <cellStyle name="Normal 11 5" xfId="569" xr:uid="{00000000-0005-0000-0000-0000E2100000}"/>
    <cellStyle name="Normal 11 5 2" xfId="4681" xr:uid="{00000000-0005-0000-0000-0000E3100000}"/>
    <cellStyle name="Normal 11 6" xfId="570" xr:uid="{00000000-0005-0000-0000-0000E4100000}"/>
    <cellStyle name="Normal 11 6 2" xfId="4682" xr:uid="{00000000-0005-0000-0000-0000E5100000}"/>
    <cellStyle name="Normal 11 7" xfId="4683" xr:uid="{00000000-0005-0000-0000-0000E6100000}"/>
    <cellStyle name="Normal 11 7 2" xfId="7039" xr:uid="{D03806AB-6E8B-4812-BABE-47E40E03AB21}"/>
    <cellStyle name="Normal 11 8" xfId="6665" xr:uid="{376801BF-33B5-45F7-936A-ECD4F2748FDD}"/>
    <cellStyle name="Normal 11 9" xfId="6396" xr:uid="{558961CA-E363-4C9E-8D6B-98D84887B797}"/>
    <cellStyle name="Normal 12" xfId="571" xr:uid="{00000000-0005-0000-0000-0000E7100000}"/>
    <cellStyle name="Normal 12 2" xfId="572" xr:uid="{00000000-0005-0000-0000-0000E8100000}"/>
    <cellStyle name="Normal 12 2 2" xfId="1943" xr:uid="{00000000-0005-0000-0000-0000E9100000}"/>
    <cellStyle name="Normal 12 2 2 2" xfId="4684" xr:uid="{00000000-0005-0000-0000-0000EA100000}"/>
    <cellStyle name="Normal 12 2 2 3" xfId="4685" xr:uid="{00000000-0005-0000-0000-0000EB100000}"/>
    <cellStyle name="Normal 12 2 3" xfId="4686" xr:uid="{00000000-0005-0000-0000-0000EC100000}"/>
    <cellStyle name="Normal 12 2 4" xfId="7055" xr:uid="{6349E200-E923-401A-816B-BE79E7D7A6A2}"/>
    <cellStyle name="Normal 12 3" xfId="1944" xr:uid="{00000000-0005-0000-0000-0000ED100000}"/>
    <cellStyle name="Normal 12 3 2" xfId="1945" xr:uid="{00000000-0005-0000-0000-0000EE100000}"/>
    <cellStyle name="Normal 12 3 2 2" xfId="1946" xr:uid="{00000000-0005-0000-0000-0000EF100000}"/>
    <cellStyle name="Normal 12 3 2 2 2" xfId="1947" xr:uid="{00000000-0005-0000-0000-0000F0100000}"/>
    <cellStyle name="Normal 12 3 2 3" xfId="1948" xr:uid="{00000000-0005-0000-0000-0000F1100000}"/>
    <cellStyle name="Normal 12 3 3" xfId="1949" xr:uid="{00000000-0005-0000-0000-0000F2100000}"/>
    <cellStyle name="Normal 12 3 4" xfId="4687" xr:uid="{00000000-0005-0000-0000-0000F3100000}"/>
    <cellStyle name="Normal 12 3 5" xfId="6575" xr:uid="{26016E6D-FC4A-4166-AE8A-1357CD97DAA5}"/>
    <cellStyle name="Normal 12 4" xfId="1950" xr:uid="{00000000-0005-0000-0000-0000F4100000}"/>
    <cellStyle name="Normal 12 4 2" xfId="1951" xr:uid="{00000000-0005-0000-0000-0000F5100000}"/>
    <cellStyle name="Normal 12 5" xfId="1952" xr:uid="{00000000-0005-0000-0000-0000F6100000}"/>
    <cellStyle name="Normal 12 5 2" xfId="1953" xr:uid="{00000000-0005-0000-0000-0000F7100000}"/>
    <cellStyle name="Normal 12 6" xfId="1954" xr:uid="{00000000-0005-0000-0000-0000F8100000}"/>
    <cellStyle name="Normal 12 7" xfId="6397" xr:uid="{501B5CE8-EE7C-468B-8400-0B12FBF051B6}"/>
    <cellStyle name="Normal 13" xfId="573" xr:uid="{00000000-0005-0000-0000-0000F9100000}"/>
    <cellStyle name="Normal 13 2" xfId="574" xr:uid="{00000000-0005-0000-0000-0000FA100000}"/>
    <cellStyle name="Normal 13 2 2" xfId="1955" xr:uid="{00000000-0005-0000-0000-0000FB100000}"/>
    <cellStyle name="Normal 13 2 2 2" xfId="4688" xr:uid="{00000000-0005-0000-0000-0000FC100000}"/>
    <cellStyle name="Normal 13 2 3" xfId="7057" xr:uid="{9353ADE7-CA08-43AF-81D3-37B493BCBAC3}"/>
    <cellStyle name="Normal 13 3" xfId="1956" xr:uid="{00000000-0005-0000-0000-0000FD100000}"/>
    <cellStyle name="Normal 13 3 2" xfId="7056" xr:uid="{37D4AB21-0A83-44AE-9707-008BFFE162B6}"/>
    <cellStyle name="Normal 13 4" xfId="4689" xr:uid="{00000000-0005-0000-0000-0000FE100000}"/>
    <cellStyle name="Normal 13 5" xfId="6398" xr:uid="{84BB4F68-E533-4A3F-8CF8-8B44D322AABA}"/>
    <cellStyle name="Normal 13_BukuBesar" xfId="4690" xr:uid="{00000000-0005-0000-0000-0000FF100000}"/>
    <cellStyle name="Normal 14" xfId="575" xr:uid="{00000000-0005-0000-0000-000000110000}"/>
    <cellStyle name="Normal 14 2" xfId="576" xr:uid="{00000000-0005-0000-0000-000001110000}"/>
    <cellStyle name="Normal 14 2 2" xfId="1957" xr:uid="{00000000-0005-0000-0000-000002110000}"/>
    <cellStyle name="Normal 14 2 2 2" xfId="4691" xr:uid="{00000000-0005-0000-0000-000003110000}"/>
    <cellStyle name="Normal 14 2 3" xfId="6551" xr:uid="{D16628CA-24B4-4AB1-8DD8-44FD6A1ED922}"/>
    <cellStyle name="Normal 14 3" xfId="1958" xr:uid="{00000000-0005-0000-0000-000004110000}"/>
    <cellStyle name="Normal 14 3 2" xfId="1959" xr:uid="{00000000-0005-0000-0000-000005110000}"/>
    <cellStyle name="Normal 14 3 3" xfId="7058" xr:uid="{87D59B26-8AD3-4D0E-81DD-629A30551CCF}"/>
    <cellStyle name="Normal 14 4" xfId="1960" xr:uid="{00000000-0005-0000-0000-000006110000}"/>
    <cellStyle name="Normal 14 5" xfId="4692" xr:uid="{00000000-0005-0000-0000-000007110000}"/>
    <cellStyle name="Normal 14 6" xfId="6399" xr:uid="{AAAE8E88-3D87-421B-9520-560DD56E3974}"/>
    <cellStyle name="Normal 14_BukuBesar" xfId="4693" xr:uid="{00000000-0005-0000-0000-000008110000}"/>
    <cellStyle name="Normal 15" xfId="577" xr:uid="{00000000-0005-0000-0000-000009110000}"/>
    <cellStyle name="Normal 15 2" xfId="578" xr:uid="{00000000-0005-0000-0000-00000A110000}"/>
    <cellStyle name="Normal 15 2 2" xfId="1961" xr:uid="{00000000-0005-0000-0000-00000B110000}"/>
    <cellStyle name="Normal 15 2 3" xfId="6954" xr:uid="{59BA6FF0-7CDB-48E9-B094-04F4D07954E7}"/>
    <cellStyle name="Normal 15 3" xfId="1962" xr:uid="{00000000-0005-0000-0000-00000C110000}"/>
    <cellStyle name="Normal 15 4" xfId="4694" xr:uid="{00000000-0005-0000-0000-00000D110000}"/>
    <cellStyle name="Normal 15 5" xfId="6401" xr:uid="{4B59B94F-8E30-4F87-8F0F-2D96651CBF0B}"/>
    <cellStyle name="Normal 16" xfId="579" xr:uid="{00000000-0005-0000-0000-00000E110000}"/>
    <cellStyle name="Normal 16 16" xfId="1963" xr:uid="{00000000-0005-0000-0000-00000F110000}"/>
    <cellStyle name="Normal 16 16 2" xfId="2335" xr:uid="{00000000-0005-0000-0000-000010110000}"/>
    <cellStyle name="Normal 16 16 3" xfId="6369" xr:uid="{70478CD4-4FD7-4B67-8617-627D5684EE44}"/>
    <cellStyle name="Normal 16 2" xfId="580" xr:uid="{00000000-0005-0000-0000-000011110000}"/>
    <cellStyle name="Normal 16 2 2" xfId="1964" xr:uid="{00000000-0005-0000-0000-000012110000}"/>
    <cellStyle name="Normal 16 2 3" xfId="4695" xr:uid="{00000000-0005-0000-0000-000013110000}"/>
    <cellStyle name="Normal 16 3" xfId="1965" xr:uid="{00000000-0005-0000-0000-000014110000}"/>
    <cellStyle name="Normal 16 3 2" xfId="1966" xr:uid="{00000000-0005-0000-0000-000015110000}"/>
    <cellStyle name="Normal 16 3 3" xfId="6781" xr:uid="{8E1C30C9-4B83-46BB-8F67-9B01994D81A9}"/>
    <cellStyle name="Normal 16 3 3 4" xfId="1014" xr:uid="{00000000-0005-0000-0000-000016110000}"/>
    <cellStyle name="Normal 16 4" xfId="1967" xr:uid="{00000000-0005-0000-0000-000017110000}"/>
    <cellStyle name="Normal 16 4 2" xfId="7059" xr:uid="{ECD8BCA6-655A-4E78-BC94-1D8038AB7306}"/>
    <cellStyle name="Normal 16 5" xfId="4696" xr:uid="{00000000-0005-0000-0000-000018110000}"/>
    <cellStyle name="Normal 16 6" xfId="6386" xr:uid="{9D87858F-B7AC-47E1-9B2A-D3CA4BBB2A11}"/>
    <cellStyle name="Normal 17" xfId="581" xr:uid="{00000000-0005-0000-0000-000019110000}"/>
    <cellStyle name="Normal 17 2" xfId="582" xr:uid="{00000000-0005-0000-0000-00001A110000}"/>
    <cellStyle name="Normal 17 2 2" xfId="583" xr:uid="{00000000-0005-0000-0000-00001B110000}"/>
    <cellStyle name="Normal 17 2 2 2" xfId="1968" xr:uid="{00000000-0005-0000-0000-00001C110000}"/>
    <cellStyle name="Normal 17 2 3" xfId="1969" xr:uid="{00000000-0005-0000-0000-00001D110000}"/>
    <cellStyle name="Normal 17 3" xfId="584" xr:uid="{00000000-0005-0000-0000-00001E110000}"/>
    <cellStyle name="Normal 17 3 2" xfId="1970" xr:uid="{00000000-0005-0000-0000-00001F110000}"/>
    <cellStyle name="Normal 17 4" xfId="1971" xr:uid="{00000000-0005-0000-0000-000020110000}"/>
    <cellStyle name="Normal 17 5" xfId="1972" xr:uid="{00000000-0005-0000-0000-000021110000}"/>
    <cellStyle name="Normal 17 6" xfId="4697" xr:uid="{00000000-0005-0000-0000-000022110000}"/>
    <cellStyle name="Normal 18" xfId="8" xr:uid="{00000000-0005-0000-0000-000023110000}"/>
    <cellStyle name="Normal 18 11 2" xfId="2332" xr:uid="{00000000-0005-0000-0000-000024110000}"/>
    <cellStyle name="Normal 18 11 2 4" xfId="1973" xr:uid="{00000000-0005-0000-0000-000025110000}"/>
    <cellStyle name="Normal 18 11 2 4 2" xfId="2339" xr:uid="{00000000-0005-0000-0000-000026110000}"/>
    <cellStyle name="Normal 18 11 2 4 3" xfId="6373" xr:uid="{76C5C765-AF37-42FA-BB71-A2505A982381}"/>
    <cellStyle name="Normal 18 15" xfId="1974" xr:uid="{00000000-0005-0000-0000-000027110000}"/>
    <cellStyle name="Normal 18 15 2" xfId="2336" xr:uid="{00000000-0005-0000-0000-000028110000}"/>
    <cellStyle name="Normal 18 15 3" xfId="6371" xr:uid="{CAA32D40-901E-4EAD-AF02-E6945C47966C}"/>
    <cellStyle name="Normal 18 16 2" xfId="6377" xr:uid="{D0170ACB-4CCE-47C4-B661-B072E8A71F15}"/>
    <cellStyle name="Normal 18 2" xfId="12" xr:uid="{00000000-0005-0000-0000-000029110000}"/>
    <cellStyle name="Normal 18 2 2" xfId="1015" xr:uid="{00000000-0005-0000-0000-00002A110000}"/>
    <cellStyle name="Normal 18 2 2 2" xfId="4698" xr:uid="{00000000-0005-0000-0000-00002B110000}"/>
    <cellStyle name="Normal 18 2 2 3" xfId="6841" xr:uid="{6AE2A2E2-22F6-4D66-97A1-B03285E1A3B3}"/>
    <cellStyle name="Normal 18 2 3" xfId="6863" xr:uid="{9A5D4929-BF5E-4C80-9311-6BCDECF8EE9A}"/>
    <cellStyle name="Normal 18 3" xfId="9" xr:uid="{00000000-0005-0000-0000-00002C110000}"/>
    <cellStyle name="Normal 18 3 2" xfId="1975" xr:uid="{00000000-0005-0000-0000-00002D110000}"/>
    <cellStyle name="Normal 18 3 3" xfId="990" xr:uid="{00000000-0005-0000-0000-00002E110000}"/>
    <cellStyle name="Normal 18 3 4" xfId="993" xr:uid="{00000000-0005-0000-0000-00002F110000}"/>
    <cellStyle name="Normal 18 3 5" xfId="6865" xr:uid="{4CCFDB8F-CB25-4048-AF32-18E380490F7E}"/>
    <cellStyle name="Normal 18 3 6" xfId="988" xr:uid="{00000000-0005-0000-0000-000030110000}"/>
    <cellStyle name="Normal 18 3 6 2" xfId="998" xr:uid="{00000000-0005-0000-0000-000031110000}"/>
    <cellStyle name="Normal 18 4" xfId="1053" xr:uid="{00000000-0005-0000-0000-000032110000}"/>
    <cellStyle name="Normal 18 4 2" xfId="6867" xr:uid="{39B6824B-247F-4BF8-8C9A-0382433107B8}"/>
    <cellStyle name="Normal 18 5" xfId="1058" xr:uid="{00000000-0005-0000-0000-000033110000}"/>
    <cellStyle name="Normal 18 5 2" xfId="2342" xr:uid="{00000000-0005-0000-0000-000034110000}"/>
    <cellStyle name="Normal 18 6" xfId="6383" xr:uid="{6C00B276-FF1C-4370-8E68-50641C00897F}"/>
    <cellStyle name="Normal 19" xfId="585" xr:uid="{00000000-0005-0000-0000-000035110000}"/>
    <cellStyle name="Normal 19 2" xfId="1976" xr:uid="{00000000-0005-0000-0000-000036110000}"/>
    <cellStyle name="Normal 19 3" xfId="1977" xr:uid="{00000000-0005-0000-0000-000037110000}"/>
    <cellStyle name="Normal 19 4" xfId="4699" xr:uid="{00000000-0005-0000-0000-000038110000}"/>
    <cellStyle name="Normal 2" xfId="586" xr:uid="{00000000-0005-0000-0000-000039110000}"/>
    <cellStyle name="Normal 2 10" xfId="587" xr:uid="{00000000-0005-0000-0000-00003A110000}"/>
    <cellStyle name="Normal 2 10 2" xfId="1978" xr:uid="{00000000-0005-0000-0000-00003B110000}"/>
    <cellStyle name="Normal 2 10 3" xfId="1979" xr:uid="{00000000-0005-0000-0000-00003C110000}"/>
    <cellStyle name="Normal 2 10 3 2" xfId="6387" xr:uid="{08F7DE4E-AF43-42D1-9C3E-A8DEFAB5277A}"/>
    <cellStyle name="Normal 2 10 4" xfId="4700" xr:uid="{00000000-0005-0000-0000-00003D110000}"/>
    <cellStyle name="Normal 2 11" xfId="588" xr:uid="{00000000-0005-0000-0000-00003E110000}"/>
    <cellStyle name="Normal 2 11 2" xfId="1980" xr:uid="{00000000-0005-0000-0000-00003F110000}"/>
    <cellStyle name="Normal 2 11 3" xfId="4701" xr:uid="{00000000-0005-0000-0000-000040110000}"/>
    <cellStyle name="Normal 2 12" xfId="589" xr:uid="{00000000-0005-0000-0000-000041110000}"/>
    <cellStyle name="Normal 2 12 2" xfId="1981" xr:uid="{00000000-0005-0000-0000-000042110000}"/>
    <cellStyle name="Normal 2 12 3" xfId="4702" xr:uid="{00000000-0005-0000-0000-000043110000}"/>
    <cellStyle name="Normal 2 13" xfId="590" xr:uid="{00000000-0005-0000-0000-000044110000}"/>
    <cellStyle name="Normal 2 13 2" xfId="1982" xr:uid="{00000000-0005-0000-0000-000045110000}"/>
    <cellStyle name="Normal 2 13 3" xfId="4703" xr:uid="{00000000-0005-0000-0000-000046110000}"/>
    <cellStyle name="Normal 2 14" xfId="591" xr:uid="{00000000-0005-0000-0000-000047110000}"/>
    <cellStyle name="Normal 2 14 2" xfId="1983" xr:uid="{00000000-0005-0000-0000-000048110000}"/>
    <cellStyle name="Normal 2 14 3" xfId="4704" xr:uid="{00000000-0005-0000-0000-000049110000}"/>
    <cellStyle name="Normal 2 15" xfId="592" xr:uid="{00000000-0005-0000-0000-00004A110000}"/>
    <cellStyle name="Normal 2 15 2" xfId="1984" xr:uid="{00000000-0005-0000-0000-00004B110000}"/>
    <cellStyle name="Normal 2 15 3" xfId="4705" xr:uid="{00000000-0005-0000-0000-00004C110000}"/>
    <cellStyle name="Normal 2 16" xfId="593" xr:uid="{00000000-0005-0000-0000-00004D110000}"/>
    <cellStyle name="Normal 2 16 2" xfId="1985" xr:uid="{00000000-0005-0000-0000-00004E110000}"/>
    <cellStyle name="Normal 2 16 3" xfId="4706" xr:uid="{00000000-0005-0000-0000-00004F110000}"/>
    <cellStyle name="Normal 2 17" xfId="594" xr:uid="{00000000-0005-0000-0000-000050110000}"/>
    <cellStyle name="Normal 2 17 2" xfId="1986" xr:uid="{00000000-0005-0000-0000-000051110000}"/>
    <cellStyle name="Normal 2 17 3" xfId="4707" xr:uid="{00000000-0005-0000-0000-000052110000}"/>
    <cellStyle name="Normal 2 18" xfId="595" xr:uid="{00000000-0005-0000-0000-000053110000}"/>
    <cellStyle name="Normal 2 18 2" xfId="1987" xr:uid="{00000000-0005-0000-0000-000054110000}"/>
    <cellStyle name="Normal 2 18 3" xfId="1988" xr:uid="{00000000-0005-0000-0000-000055110000}"/>
    <cellStyle name="Normal 2 18 4" xfId="4708" xr:uid="{00000000-0005-0000-0000-000056110000}"/>
    <cellStyle name="Normal 2 19" xfId="596" xr:uid="{00000000-0005-0000-0000-000057110000}"/>
    <cellStyle name="Normal 2 19 2" xfId="1989" xr:uid="{00000000-0005-0000-0000-000058110000}"/>
    <cellStyle name="Normal 2 19 3" xfId="4709" xr:uid="{00000000-0005-0000-0000-000059110000}"/>
    <cellStyle name="Normal 2 2" xfId="597" xr:uid="{00000000-0005-0000-0000-00005A110000}"/>
    <cellStyle name="Normal 2 2 10" xfId="598" xr:uid="{00000000-0005-0000-0000-00005B110000}"/>
    <cellStyle name="Normal 2 2 10 2" xfId="1990" xr:uid="{00000000-0005-0000-0000-00005C110000}"/>
    <cellStyle name="Normal 2 2 11" xfId="599" xr:uid="{00000000-0005-0000-0000-00005D110000}"/>
    <cellStyle name="Normal 2 2 11 2" xfId="1991" xr:uid="{00000000-0005-0000-0000-00005E110000}"/>
    <cellStyle name="Normal 2 2 12" xfId="600" xr:uid="{00000000-0005-0000-0000-00005F110000}"/>
    <cellStyle name="Normal 2 2 12 2" xfId="1992" xr:uid="{00000000-0005-0000-0000-000060110000}"/>
    <cellStyle name="Normal 2 2 13" xfId="601" xr:uid="{00000000-0005-0000-0000-000061110000}"/>
    <cellStyle name="Normal 2 2 13 2" xfId="1993" xr:uid="{00000000-0005-0000-0000-000062110000}"/>
    <cellStyle name="Normal 2 2 14" xfId="602" xr:uid="{00000000-0005-0000-0000-000063110000}"/>
    <cellStyle name="Normal 2 2 14 2" xfId="1994" xr:uid="{00000000-0005-0000-0000-000064110000}"/>
    <cellStyle name="Normal 2 2 15" xfId="603" xr:uid="{00000000-0005-0000-0000-000065110000}"/>
    <cellStyle name="Normal 2 2 15 2" xfId="1995" xr:uid="{00000000-0005-0000-0000-000066110000}"/>
    <cellStyle name="Normal 2 2 16" xfId="604" xr:uid="{00000000-0005-0000-0000-000067110000}"/>
    <cellStyle name="Normal 2 2 16 2" xfId="1996" xr:uid="{00000000-0005-0000-0000-000068110000}"/>
    <cellStyle name="Normal 2 2 17" xfId="605" xr:uid="{00000000-0005-0000-0000-000069110000}"/>
    <cellStyle name="Normal 2 2 17 2" xfId="1997" xr:uid="{00000000-0005-0000-0000-00006A110000}"/>
    <cellStyle name="Normal 2 2 18" xfId="606" xr:uid="{00000000-0005-0000-0000-00006B110000}"/>
    <cellStyle name="Normal 2 2 18 2" xfId="1998" xr:uid="{00000000-0005-0000-0000-00006C110000}"/>
    <cellStyle name="Normal 2 2 19" xfId="607" xr:uid="{00000000-0005-0000-0000-00006D110000}"/>
    <cellStyle name="Normal 2 2 19 2" xfId="1999" xr:uid="{00000000-0005-0000-0000-00006E110000}"/>
    <cellStyle name="Normal 2 2 2" xfId="608" xr:uid="{00000000-0005-0000-0000-00006F110000}"/>
    <cellStyle name="Normal 2 2 2 2" xfId="609" xr:uid="{00000000-0005-0000-0000-000070110000}"/>
    <cellStyle name="Normal 2 2 2 2 2" xfId="610" xr:uid="{00000000-0005-0000-0000-000071110000}"/>
    <cellStyle name="Normal 2 2 2 2 2 2" xfId="4710" xr:uid="{00000000-0005-0000-0000-000072110000}"/>
    <cellStyle name="Normal 2 2 2 2 3" xfId="4711" xr:uid="{00000000-0005-0000-0000-000073110000}"/>
    <cellStyle name="Normal 2 2 2 2 4" xfId="5907" xr:uid="{00000000-0005-0000-0000-000074110000}"/>
    <cellStyle name="Normal 2 2 2 3" xfId="611" xr:uid="{00000000-0005-0000-0000-000075110000}"/>
    <cellStyle name="Normal 2 2 2 3 2" xfId="612" xr:uid="{00000000-0005-0000-0000-000076110000}"/>
    <cellStyle name="Normal 2 2 2 3 2 2" xfId="2000" xr:uid="{00000000-0005-0000-0000-000077110000}"/>
    <cellStyle name="Normal 2 2 2 3 3" xfId="2001" xr:uid="{00000000-0005-0000-0000-000078110000}"/>
    <cellStyle name="Normal 2 2 2 3 4" xfId="4712" xr:uid="{00000000-0005-0000-0000-000079110000}"/>
    <cellStyle name="Normal 2 2 2 4" xfId="2002" xr:uid="{00000000-0005-0000-0000-00007A110000}"/>
    <cellStyle name="Normal 2 2 2 5" xfId="2003" xr:uid="{00000000-0005-0000-0000-00007B110000}"/>
    <cellStyle name="Normal 2 2 2 6" xfId="4713" xr:uid="{00000000-0005-0000-0000-00007C110000}"/>
    <cellStyle name="Normal 2 2 2 7" xfId="5906" xr:uid="{00000000-0005-0000-0000-00007D110000}"/>
    <cellStyle name="Normal 2 2 2 8" xfId="7061" xr:uid="{32F8AEC4-9A42-406B-8B6B-D953A348923C}"/>
    <cellStyle name="Normal 2 2 20" xfId="613" xr:uid="{00000000-0005-0000-0000-00007E110000}"/>
    <cellStyle name="Normal 2 2 20 2" xfId="2004" xr:uid="{00000000-0005-0000-0000-00007F110000}"/>
    <cellStyle name="Normal 2 2 21" xfId="614" xr:uid="{00000000-0005-0000-0000-000080110000}"/>
    <cellStyle name="Normal 2 2 21 2" xfId="2005" xr:uid="{00000000-0005-0000-0000-000081110000}"/>
    <cellStyle name="Normal 2 2 22" xfId="615" xr:uid="{00000000-0005-0000-0000-000082110000}"/>
    <cellStyle name="Normal 2 2 22 2" xfId="2006" xr:uid="{00000000-0005-0000-0000-000083110000}"/>
    <cellStyle name="Normal 2 2 23" xfId="616" xr:uid="{00000000-0005-0000-0000-000084110000}"/>
    <cellStyle name="Normal 2 2 23 2" xfId="2007" xr:uid="{00000000-0005-0000-0000-000085110000}"/>
    <cellStyle name="Normal 2 2 24" xfId="617" xr:uid="{00000000-0005-0000-0000-000086110000}"/>
    <cellStyle name="Normal 2 2 24 2" xfId="2008" xr:uid="{00000000-0005-0000-0000-000087110000}"/>
    <cellStyle name="Normal 2 2 24 3" xfId="4714" xr:uid="{00000000-0005-0000-0000-000088110000}"/>
    <cellStyle name="Normal 2 2 25" xfId="618" xr:uid="{00000000-0005-0000-0000-000089110000}"/>
    <cellStyle name="Normal 2 2 25 2" xfId="2009" xr:uid="{00000000-0005-0000-0000-00008A110000}"/>
    <cellStyle name="Normal 2 2 25 3" xfId="4715" xr:uid="{00000000-0005-0000-0000-00008B110000}"/>
    <cellStyle name="Normal 2 2 26" xfId="619" xr:uid="{00000000-0005-0000-0000-00008C110000}"/>
    <cellStyle name="Normal 2 2 26 2" xfId="2010" xr:uid="{00000000-0005-0000-0000-00008D110000}"/>
    <cellStyle name="Normal 2 2 26 3" xfId="4716" xr:uid="{00000000-0005-0000-0000-00008E110000}"/>
    <cellStyle name="Normal 2 2 26 4" xfId="7063" xr:uid="{8B660C00-34AA-453F-8DD2-AEF3B3794789}"/>
    <cellStyle name="Normal 2 2 27" xfId="620" xr:uid="{00000000-0005-0000-0000-00008F110000}"/>
    <cellStyle name="Normal 2 2 27 2" xfId="2011" xr:uid="{00000000-0005-0000-0000-000090110000}"/>
    <cellStyle name="Normal 2 2 27 3" xfId="4717" xr:uid="{00000000-0005-0000-0000-000091110000}"/>
    <cellStyle name="Normal 2 2 28" xfId="4718" xr:uid="{00000000-0005-0000-0000-000092110000}"/>
    <cellStyle name="Normal 2 2 29" xfId="5905" xr:uid="{00000000-0005-0000-0000-000093110000}"/>
    <cellStyle name="Normal 2 2 29 2" xfId="6942" xr:uid="{7B9442F3-2D7D-4393-86C4-3F41A74CF807}"/>
    <cellStyle name="Normal 2 2 3" xfId="621" xr:uid="{00000000-0005-0000-0000-000094110000}"/>
    <cellStyle name="Normal 2 2 3 2" xfId="2012" xr:uid="{00000000-0005-0000-0000-000095110000}"/>
    <cellStyle name="Normal 2 2 3 3" xfId="2013" xr:uid="{00000000-0005-0000-0000-000096110000}"/>
    <cellStyle name="Normal 2 2 3 4" xfId="4719" xr:uid="{00000000-0005-0000-0000-000097110000}"/>
    <cellStyle name="Normal 2 2 3 5" xfId="5908" xr:uid="{00000000-0005-0000-0000-000098110000}"/>
    <cellStyle name="Normal 2 2 30" xfId="7062" xr:uid="{E70DD5CA-E357-40B6-A47B-B0EF69BF8C17}"/>
    <cellStyle name="Normal 2 2 31" xfId="7060" xr:uid="{2ACADB29-C143-41E7-89A3-776004E24C67}"/>
    <cellStyle name="Normal 2 2 4" xfId="3" xr:uid="{00000000-0005-0000-0000-000099110000}"/>
    <cellStyle name="Normal 2 2 4 10" xfId="1034" xr:uid="{00000000-0005-0000-0000-00009A110000}"/>
    <cellStyle name="Normal 2 2 4 10 2" xfId="7064" xr:uid="{E017C84F-49CA-4FBA-AAF4-8C81489F84F6}"/>
    <cellStyle name="Normal 2 2 4 11" xfId="1041" xr:uid="{00000000-0005-0000-0000-00009B110000}"/>
    <cellStyle name="Normal 2 2 4 11 2" xfId="7065" xr:uid="{E52C446A-B9D9-414B-B71A-11A576276468}"/>
    <cellStyle name="Normal 2 2 4 12" xfId="5909" xr:uid="{00000000-0005-0000-0000-00009C110000}"/>
    <cellStyle name="Normal 2 2 4 12 2" xfId="7067" xr:uid="{EB9E8554-5BB7-4916-B240-30F0650DA307}"/>
    <cellStyle name="Normal 2 2 4 13" xfId="7068" xr:uid="{9BD8063B-5B68-4782-92EB-DAA40F1660CC}"/>
    <cellStyle name="Normal 2 2 4 14" xfId="7069" xr:uid="{C62199F7-2FFD-49FB-8609-045D04365682}"/>
    <cellStyle name="Normal 2 2 4 15" xfId="6917" xr:uid="{519624C2-E9ED-463B-B2F0-4FEDC289E89B}"/>
    <cellStyle name="Normal 2 2 4 2" xfId="622" xr:uid="{00000000-0005-0000-0000-00009D110000}"/>
    <cellStyle name="Normal 2 2 4 2 2" xfId="4720" xr:uid="{00000000-0005-0000-0000-00009E110000}"/>
    <cellStyle name="Normal 2 2 4 2 3" xfId="4721" xr:uid="{00000000-0005-0000-0000-00009F110000}"/>
    <cellStyle name="Normal 2 2 4 3" xfId="623" xr:uid="{00000000-0005-0000-0000-0000A0110000}"/>
    <cellStyle name="Normal 2 2 4 4" xfId="624" xr:uid="{00000000-0005-0000-0000-0000A1110000}"/>
    <cellStyle name="Normal 2 2 4 5" xfId="1000" xr:uid="{00000000-0005-0000-0000-0000A2110000}"/>
    <cellStyle name="Normal 2 2 4 5 2" xfId="1047" xr:uid="{00000000-0005-0000-0000-0000A3110000}"/>
    <cellStyle name="Normal 2 2 4 5 3" xfId="7070" xr:uid="{96D34EEB-AC5A-464E-8FF0-CFBA026D4D31}"/>
    <cellStyle name="Normal 2 2 4 6" xfId="1008" xr:uid="{00000000-0005-0000-0000-0000A4110000}"/>
    <cellStyle name="Normal 2 2 4 6 2" xfId="7071" xr:uid="{1E3E7C21-F9E3-4348-96BE-CF9D6FCB82B2}"/>
    <cellStyle name="Normal 2 2 4 7" xfId="625" xr:uid="{00000000-0005-0000-0000-0000A5110000}"/>
    <cellStyle name="Normal 2 2 4 7 2" xfId="2014" xr:uid="{00000000-0005-0000-0000-0000A6110000}"/>
    <cellStyle name="Normal 2 2 4 7 2 2" xfId="4722" xr:uid="{00000000-0005-0000-0000-0000A7110000}"/>
    <cellStyle name="Normal 2 2 4 7 3" xfId="2015" xr:uid="{00000000-0005-0000-0000-0000A8110000}"/>
    <cellStyle name="Normal 2 2 4 7 4" xfId="7072" xr:uid="{43C1CCDF-FA31-4221-8E7F-6731026966DD}"/>
    <cellStyle name="Normal 2 2 4 8" xfId="1020" xr:uid="{00000000-0005-0000-0000-0000A9110000}"/>
    <cellStyle name="Normal 2 2 4 8 2" xfId="7073" xr:uid="{49244B62-3911-4FF0-AF9A-C9092BDD4D7A}"/>
    <cellStyle name="Normal 2 2 4 9" xfId="1027" xr:uid="{00000000-0005-0000-0000-0000AA110000}"/>
    <cellStyle name="Normal 2 2 4 9 2" xfId="7074" xr:uid="{28DA93EF-F466-402D-8AA6-1C25DE4AB55D}"/>
    <cellStyle name="Normal 2 2 5" xfId="626" xr:uid="{00000000-0005-0000-0000-0000AB110000}"/>
    <cellStyle name="Normal 2 2 5 2" xfId="2016" xr:uid="{00000000-0005-0000-0000-0000AC110000}"/>
    <cellStyle name="Normal 2 2 5 3" xfId="2017" xr:uid="{00000000-0005-0000-0000-0000AD110000}"/>
    <cellStyle name="Normal 2 2 5 4" xfId="4723" xr:uid="{00000000-0005-0000-0000-0000AE110000}"/>
    <cellStyle name="Normal 2 2 6" xfId="627" xr:uid="{00000000-0005-0000-0000-0000AF110000}"/>
    <cellStyle name="Normal 2 2 6 2" xfId="628" xr:uid="{00000000-0005-0000-0000-0000B0110000}"/>
    <cellStyle name="Normal 2 2 6 2 2" xfId="2018" xr:uid="{00000000-0005-0000-0000-0000B1110000}"/>
    <cellStyle name="Normal 2 2 6 2 3" xfId="4724" xr:uid="{00000000-0005-0000-0000-0000B2110000}"/>
    <cellStyle name="Normal 2 2 6 3" xfId="629" xr:uid="{00000000-0005-0000-0000-0000B3110000}"/>
    <cellStyle name="Normal 2 2 6 3 2" xfId="4725" xr:uid="{00000000-0005-0000-0000-0000B4110000}"/>
    <cellStyle name="Normal 2 2 6 4" xfId="630" xr:uid="{00000000-0005-0000-0000-0000B5110000}"/>
    <cellStyle name="Normal 2 2 6 5" xfId="4726" xr:uid="{00000000-0005-0000-0000-0000B6110000}"/>
    <cellStyle name="Normal 2 2 6 6" xfId="6622" xr:uid="{B7771339-6CB5-48D0-9EC2-DE89C49972E0}"/>
    <cellStyle name="Normal 2 2 7" xfId="631" xr:uid="{00000000-0005-0000-0000-0000B7110000}"/>
    <cellStyle name="Normal 2 2 7 2" xfId="632" xr:uid="{00000000-0005-0000-0000-0000B8110000}"/>
    <cellStyle name="Normal 2 2 7 2 2" xfId="2019" xr:uid="{00000000-0005-0000-0000-0000B9110000}"/>
    <cellStyle name="Normal 2 2 7 2 2 2" xfId="2020" xr:uid="{00000000-0005-0000-0000-0000BA110000}"/>
    <cellStyle name="Normal 2 2 7 2 3" xfId="4727" xr:uid="{00000000-0005-0000-0000-0000BB110000}"/>
    <cellStyle name="Normal 2 2 7 3" xfId="633" xr:uid="{00000000-0005-0000-0000-0000BC110000}"/>
    <cellStyle name="Normal 2 2 7 3 2" xfId="2021" xr:uid="{00000000-0005-0000-0000-0000BD110000}"/>
    <cellStyle name="Normal 2 2 7 3 3" xfId="4728" xr:uid="{00000000-0005-0000-0000-0000BE110000}"/>
    <cellStyle name="Normal 2 2 7 4" xfId="634" xr:uid="{00000000-0005-0000-0000-0000BF110000}"/>
    <cellStyle name="Normal 2 2 7 5" xfId="4729" xr:uid="{00000000-0005-0000-0000-0000C0110000}"/>
    <cellStyle name="Normal 2 2 7 6" xfId="6705" xr:uid="{978338D8-48C5-40B4-B56E-3680F45509B4}"/>
    <cellStyle name="Normal 2 2 8" xfId="635" xr:uid="{00000000-0005-0000-0000-0000C1110000}"/>
    <cellStyle name="Normal 2 2 8 2" xfId="636" xr:uid="{00000000-0005-0000-0000-0000C2110000}"/>
    <cellStyle name="Normal 2 2 8 2 2" xfId="4730" xr:uid="{00000000-0005-0000-0000-0000C3110000}"/>
    <cellStyle name="Normal 2 2 8 3" xfId="637" xr:uid="{00000000-0005-0000-0000-0000C4110000}"/>
    <cellStyle name="Normal 2 2 8 4" xfId="638" xr:uid="{00000000-0005-0000-0000-0000C5110000}"/>
    <cellStyle name="Normal 2 2 8 5" xfId="4731" xr:uid="{00000000-0005-0000-0000-0000C6110000}"/>
    <cellStyle name="Normal 2 2 8 6" xfId="4732" xr:uid="{00000000-0005-0000-0000-0000C7110000}"/>
    <cellStyle name="Normal 2 2 8 7" xfId="6757" xr:uid="{63814F03-FB2B-49AC-888C-91231D5CBA0F}"/>
    <cellStyle name="Normal 2 2 9" xfId="639" xr:uid="{00000000-0005-0000-0000-0000C8110000}"/>
    <cellStyle name="Normal 2 2 9 2" xfId="640" xr:uid="{00000000-0005-0000-0000-0000C9110000}"/>
    <cellStyle name="Normal 2 2 9 2 2" xfId="4733" xr:uid="{00000000-0005-0000-0000-0000CA110000}"/>
    <cellStyle name="Normal 2 2 9 3" xfId="641" xr:uid="{00000000-0005-0000-0000-0000CB110000}"/>
    <cellStyle name="Normal 2 2 9 4" xfId="642" xr:uid="{00000000-0005-0000-0000-0000CC110000}"/>
    <cellStyle name="Normal 2 2 9 5" xfId="4734" xr:uid="{00000000-0005-0000-0000-0000CD110000}"/>
    <cellStyle name="Normal 2 2 9 6" xfId="4735" xr:uid="{00000000-0005-0000-0000-0000CE110000}"/>
    <cellStyle name="Normal 2 2 9 7" xfId="6788" xr:uid="{832CEEE1-4595-4B99-8BCF-2FA9BCF795A6}"/>
    <cellStyle name="Normal 2 2_Data Dis 2010" xfId="4736" xr:uid="{00000000-0005-0000-0000-0000CF110000}"/>
    <cellStyle name="Normal 2 20" xfId="643" xr:uid="{00000000-0005-0000-0000-0000D0110000}"/>
    <cellStyle name="Normal 2 20 2" xfId="2022" xr:uid="{00000000-0005-0000-0000-0000D1110000}"/>
    <cellStyle name="Normal 2 20 3" xfId="4737" xr:uid="{00000000-0005-0000-0000-0000D2110000}"/>
    <cellStyle name="Normal 2 21" xfId="644" xr:uid="{00000000-0005-0000-0000-0000D3110000}"/>
    <cellStyle name="Normal 2 21 2" xfId="2023" xr:uid="{00000000-0005-0000-0000-0000D4110000}"/>
    <cellStyle name="Normal 2 21 3" xfId="4738" xr:uid="{00000000-0005-0000-0000-0000D5110000}"/>
    <cellStyle name="Normal 2 22" xfId="645" xr:uid="{00000000-0005-0000-0000-0000D6110000}"/>
    <cellStyle name="Normal 2 22 2" xfId="2024" xr:uid="{00000000-0005-0000-0000-0000D7110000}"/>
    <cellStyle name="Normal 2 22 3" xfId="2025" xr:uid="{00000000-0005-0000-0000-0000D8110000}"/>
    <cellStyle name="Normal 2 22 4" xfId="4739" xr:uid="{00000000-0005-0000-0000-0000D9110000}"/>
    <cellStyle name="Normal 2 23" xfId="646" xr:uid="{00000000-0005-0000-0000-0000DA110000}"/>
    <cellStyle name="Normal 2 23 2" xfId="2026" xr:uid="{00000000-0005-0000-0000-0000DB110000}"/>
    <cellStyle name="Normal 2 23 3" xfId="4740" xr:uid="{00000000-0005-0000-0000-0000DC110000}"/>
    <cellStyle name="Normal 2 24" xfId="647" xr:uid="{00000000-0005-0000-0000-0000DD110000}"/>
    <cellStyle name="Normal 2 24 2" xfId="2027" xr:uid="{00000000-0005-0000-0000-0000DE110000}"/>
    <cellStyle name="Normal 2 24 3" xfId="4741" xr:uid="{00000000-0005-0000-0000-0000DF110000}"/>
    <cellStyle name="Normal 2 25" xfId="648" xr:uid="{00000000-0005-0000-0000-0000E0110000}"/>
    <cellStyle name="Normal 2 25 2" xfId="2028" xr:uid="{00000000-0005-0000-0000-0000E1110000}"/>
    <cellStyle name="Normal 2 25 2 2" xfId="4742" xr:uid="{00000000-0005-0000-0000-0000E2110000}"/>
    <cellStyle name="Normal 2 25 3" xfId="4743" xr:uid="{00000000-0005-0000-0000-0000E3110000}"/>
    <cellStyle name="Normal 2 25 4" xfId="4744" xr:uid="{00000000-0005-0000-0000-0000E4110000}"/>
    <cellStyle name="Normal 2 25 5" xfId="7076" xr:uid="{337B108F-4BB6-4C38-B950-F95436913F39}"/>
    <cellStyle name="Normal 2 26" xfId="649" xr:uid="{00000000-0005-0000-0000-0000E5110000}"/>
    <cellStyle name="Normal 2 26 2" xfId="2029" xr:uid="{00000000-0005-0000-0000-0000E6110000}"/>
    <cellStyle name="Normal 2 26 2 2" xfId="4745" xr:uid="{00000000-0005-0000-0000-0000E7110000}"/>
    <cellStyle name="Normal 2 26 3" xfId="4746" xr:uid="{00000000-0005-0000-0000-0000E8110000}"/>
    <cellStyle name="Normal 2 27" xfId="650" xr:uid="{00000000-0005-0000-0000-0000E9110000}"/>
    <cellStyle name="Normal 2 27 2" xfId="2030" xr:uid="{00000000-0005-0000-0000-0000EA110000}"/>
    <cellStyle name="Normal 2 27 2 2" xfId="4747" xr:uid="{00000000-0005-0000-0000-0000EB110000}"/>
    <cellStyle name="Normal 2 27 3" xfId="4748" xr:uid="{00000000-0005-0000-0000-0000EC110000}"/>
    <cellStyle name="Normal 2 27 4" xfId="7078" xr:uid="{DEE05CD7-0207-4BA1-8375-014CAE8D0720}"/>
    <cellStyle name="Normal 2 28" xfId="651" xr:uid="{00000000-0005-0000-0000-0000ED110000}"/>
    <cellStyle name="Normal 2 28 2" xfId="2031" xr:uid="{00000000-0005-0000-0000-0000EE110000}"/>
    <cellStyle name="Normal 2 28 3" xfId="4749" xr:uid="{00000000-0005-0000-0000-0000EF110000}"/>
    <cellStyle name="Normal 2 29" xfId="2032" xr:uid="{00000000-0005-0000-0000-0000F0110000}"/>
    <cellStyle name="Normal 2 29 2" xfId="4750" xr:uid="{00000000-0005-0000-0000-0000F1110000}"/>
    <cellStyle name="Normal 2 29 3" xfId="7079" xr:uid="{3C8C51B7-BBE6-4FAE-BB17-692F91A808D3}"/>
    <cellStyle name="Normal 2 3" xfId="652" xr:uid="{00000000-0005-0000-0000-0000F2110000}"/>
    <cellStyle name="Normal 2 3 2" xfId="653" xr:uid="{00000000-0005-0000-0000-0000F3110000}"/>
    <cellStyle name="Normal 2 3 2 2" xfId="654" xr:uid="{00000000-0005-0000-0000-0000F4110000}"/>
    <cellStyle name="Normal 2 3 2 2 2" xfId="4751" xr:uid="{00000000-0005-0000-0000-0000F5110000}"/>
    <cellStyle name="Normal 2 3 2 2 3" xfId="7081" xr:uid="{7F2041E6-A417-49F4-A1A1-AF4D2E69C10F}"/>
    <cellStyle name="Normal 2 3 2 3" xfId="2033" xr:uid="{00000000-0005-0000-0000-0000F6110000}"/>
    <cellStyle name="Normal 2 3 2 3 2" xfId="4752" xr:uid="{00000000-0005-0000-0000-0000F7110000}"/>
    <cellStyle name="Normal 2 3 2 4" xfId="5911" xr:uid="{00000000-0005-0000-0000-0000F8110000}"/>
    <cellStyle name="Normal 2 3 2 5" xfId="7080" xr:uid="{3A796AC6-B1AF-4E19-A276-89580EB5E5A8}"/>
    <cellStyle name="Normal 2 3 3" xfId="655" xr:uid="{00000000-0005-0000-0000-0000F9110000}"/>
    <cellStyle name="Normal 2 3 3 2" xfId="2034" xr:uid="{00000000-0005-0000-0000-0000FA110000}"/>
    <cellStyle name="Normal 2 3 3 3" xfId="2035" xr:uid="{00000000-0005-0000-0000-0000FB110000}"/>
    <cellStyle name="Normal 2 3 3 4" xfId="4753" xr:uid="{00000000-0005-0000-0000-0000FC110000}"/>
    <cellStyle name="Normal 2 3 4" xfId="656" xr:uid="{00000000-0005-0000-0000-0000FD110000}"/>
    <cellStyle name="Normal 2 3 4 2" xfId="4754" xr:uid="{00000000-0005-0000-0000-0000FE110000}"/>
    <cellStyle name="Normal 2 3 5" xfId="657" xr:uid="{00000000-0005-0000-0000-0000FF110000}"/>
    <cellStyle name="Normal 2 3 6" xfId="658" xr:uid="{00000000-0005-0000-0000-000000120000}"/>
    <cellStyle name="Normal 2 3 7" xfId="4755" xr:uid="{00000000-0005-0000-0000-000001120000}"/>
    <cellStyle name="Normal 2 3 8" xfId="4756" xr:uid="{00000000-0005-0000-0000-000002120000}"/>
    <cellStyle name="Normal 2 3 8 2" xfId="7082" xr:uid="{AB1AD8AC-3560-4202-9877-9F2998AB3D9C}"/>
    <cellStyle name="Normal 2 3 9" xfId="5910" xr:uid="{00000000-0005-0000-0000-000003120000}"/>
    <cellStyle name="Normal 2 30" xfId="4757" xr:uid="{00000000-0005-0000-0000-000004120000}"/>
    <cellStyle name="Normal 2 30 2" xfId="4758" xr:uid="{00000000-0005-0000-0000-000005120000}"/>
    <cellStyle name="Normal 2 31" xfId="4759" xr:uid="{00000000-0005-0000-0000-000006120000}"/>
    <cellStyle name="Normal 2 31 2" xfId="7077" xr:uid="{0A0C9940-0FF0-45DC-9A63-2D29BC371E73}"/>
    <cellStyle name="Normal 2 32" xfId="4760" xr:uid="{00000000-0005-0000-0000-000007120000}"/>
    <cellStyle name="Normal 2 33" xfId="4761" xr:uid="{00000000-0005-0000-0000-000008120000}"/>
    <cellStyle name="Normal 2 34" xfId="4762" xr:uid="{00000000-0005-0000-0000-000009120000}"/>
    <cellStyle name="Normal 2 35" xfId="5904" xr:uid="{00000000-0005-0000-0000-00000A120000}"/>
    <cellStyle name="Normal 2 36" xfId="5983" xr:uid="{00000000-0005-0000-0000-00000B120000}"/>
    <cellStyle name="Normal 2 37" xfId="5677" xr:uid="{00000000-0005-0000-0000-00000C120000}"/>
    <cellStyle name="Normal 2 38" xfId="5982" xr:uid="{00000000-0005-0000-0000-00000D120000}"/>
    <cellStyle name="Normal 2 39" xfId="5676" xr:uid="{00000000-0005-0000-0000-00000E120000}"/>
    <cellStyle name="Normal 2 4" xfId="659" xr:uid="{00000000-0005-0000-0000-00000F120000}"/>
    <cellStyle name="Normal 2 4 2" xfId="660" xr:uid="{00000000-0005-0000-0000-000010120000}"/>
    <cellStyle name="Normal 2 4 2 2" xfId="4763" xr:uid="{00000000-0005-0000-0000-000011120000}"/>
    <cellStyle name="Normal 2 4 3" xfId="661" xr:uid="{00000000-0005-0000-0000-000012120000}"/>
    <cellStyle name="Normal 2 4 4" xfId="662" xr:uid="{00000000-0005-0000-0000-000013120000}"/>
    <cellStyle name="Normal 2 4 5" xfId="4764" xr:uid="{00000000-0005-0000-0000-000014120000}"/>
    <cellStyle name="Normal 2 4 6" xfId="4765" xr:uid="{00000000-0005-0000-0000-000015120000}"/>
    <cellStyle name="Normal 2 4 6 2" xfId="6991" xr:uid="{B94AD62D-FA01-4015-9431-DE607166801C}"/>
    <cellStyle name="Normal 2 4 7" xfId="4766" xr:uid="{00000000-0005-0000-0000-000016120000}"/>
    <cellStyle name="Normal 2 4 8" xfId="5912" xr:uid="{00000000-0005-0000-0000-000017120000}"/>
    <cellStyle name="Normal 2 40" xfId="5984" xr:uid="{00000000-0005-0000-0000-000018120000}"/>
    <cellStyle name="Normal 2 41" xfId="5678" xr:uid="{00000000-0005-0000-0000-000019120000}"/>
    <cellStyle name="Normal 2 42" xfId="5985" xr:uid="{00000000-0005-0000-0000-00001A120000}"/>
    <cellStyle name="Normal 2 43" xfId="5733" xr:uid="{00000000-0005-0000-0000-00001B120000}"/>
    <cellStyle name="Normal 2 44" xfId="7189" xr:uid="{9F0574A0-B50A-45D5-B7B3-3E75F544F58A}"/>
    <cellStyle name="Normal 2 5" xfId="663" xr:uid="{00000000-0005-0000-0000-00001C120000}"/>
    <cellStyle name="Normal 2 5 2" xfId="664" xr:uid="{00000000-0005-0000-0000-00001D120000}"/>
    <cellStyle name="Normal 2 5 2 2" xfId="2036" xr:uid="{00000000-0005-0000-0000-00001E120000}"/>
    <cellStyle name="Normal 2 5 2 3" xfId="4767" xr:uid="{00000000-0005-0000-0000-00001F120000}"/>
    <cellStyle name="Normal 2 5 2 4" xfId="7084" xr:uid="{F7D8CFC2-3266-44C7-AAC0-7075B5F3A1E2}"/>
    <cellStyle name="Normal 2 5 3" xfId="665" xr:uid="{00000000-0005-0000-0000-000020120000}"/>
    <cellStyle name="Normal 2 5 3 2" xfId="4768" xr:uid="{00000000-0005-0000-0000-000021120000}"/>
    <cellStyle name="Normal 2 5 4" xfId="666" xr:uid="{00000000-0005-0000-0000-000022120000}"/>
    <cellStyle name="Normal 2 5 5" xfId="4769" xr:uid="{00000000-0005-0000-0000-000023120000}"/>
    <cellStyle name="Normal 2 5 6" xfId="4770" xr:uid="{00000000-0005-0000-0000-000024120000}"/>
    <cellStyle name="Normal 2 5 7" xfId="5913" xr:uid="{00000000-0005-0000-0000-000025120000}"/>
    <cellStyle name="Normal 2 6" xfId="667" xr:uid="{00000000-0005-0000-0000-000026120000}"/>
    <cellStyle name="Normal 2 6 2" xfId="668" xr:uid="{00000000-0005-0000-0000-000027120000}"/>
    <cellStyle name="Normal 2 6 2 2" xfId="2037" xr:uid="{00000000-0005-0000-0000-000028120000}"/>
    <cellStyle name="Normal 2 6 2 3" xfId="4771" xr:uid="{00000000-0005-0000-0000-000029120000}"/>
    <cellStyle name="Normal 2 6 2 4" xfId="6292" xr:uid="{00000000-0005-0000-0000-00002A120000}"/>
    <cellStyle name="Normal 2 6 2 5" xfId="7086" xr:uid="{7C42105B-1CF8-475D-BD67-9676E261672F}"/>
    <cellStyle name="Normal 2 6 3" xfId="669" xr:uid="{00000000-0005-0000-0000-00002B120000}"/>
    <cellStyle name="Normal 2 6 3 2" xfId="4772" xr:uid="{00000000-0005-0000-0000-00002C120000}"/>
    <cellStyle name="Normal 2 6 4" xfId="670" xr:uid="{00000000-0005-0000-0000-00002D120000}"/>
    <cellStyle name="Normal 2 6 5" xfId="4773" xr:uid="{00000000-0005-0000-0000-00002E120000}"/>
    <cellStyle name="Normal 2 6 6" xfId="4774" xr:uid="{00000000-0005-0000-0000-00002F120000}"/>
    <cellStyle name="Normal 2 6 7" xfId="5914" xr:uid="{00000000-0005-0000-0000-000030120000}"/>
    <cellStyle name="Normal 2 6 8" xfId="6291" xr:uid="{00000000-0005-0000-0000-000031120000}"/>
    <cellStyle name="Normal 2 6 9" xfId="7085" xr:uid="{B71F8FED-E6D8-4EDD-846C-92A95D36357F}"/>
    <cellStyle name="Normal 2 7" xfId="671" xr:uid="{00000000-0005-0000-0000-000032120000}"/>
    <cellStyle name="Normal 2 7 2" xfId="672" xr:uid="{00000000-0005-0000-0000-000033120000}"/>
    <cellStyle name="Normal 2 7 2 2" xfId="2038" xr:uid="{00000000-0005-0000-0000-000034120000}"/>
    <cellStyle name="Normal 2 7 2 3" xfId="4775" xr:uid="{00000000-0005-0000-0000-000035120000}"/>
    <cellStyle name="Normal 2 7 3" xfId="673" xr:uid="{00000000-0005-0000-0000-000036120000}"/>
    <cellStyle name="Normal 2 7 3 2" xfId="4776" xr:uid="{00000000-0005-0000-0000-000037120000}"/>
    <cellStyle name="Normal 2 7 4" xfId="674" xr:uid="{00000000-0005-0000-0000-000038120000}"/>
    <cellStyle name="Normal 2 7 5" xfId="4777" xr:uid="{00000000-0005-0000-0000-000039120000}"/>
    <cellStyle name="Normal 2 7 6" xfId="4778" xr:uid="{00000000-0005-0000-0000-00003A120000}"/>
    <cellStyle name="Normal 2 7 7" xfId="7087" xr:uid="{FCD27112-C304-4A00-A7B5-811C4A703338}"/>
    <cellStyle name="Normal 2 8" xfId="675" xr:uid="{00000000-0005-0000-0000-00003B120000}"/>
    <cellStyle name="Normal 2 8 2" xfId="676" xr:uid="{00000000-0005-0000-0000-00003C120000}"/>
    <cellStyle name="Normal 2 8 2 2" xfId="4779" xr:uid="{00000000-0005-0000-0000-00003D120000}"/>
    <cellStyle name="Normal 2 8 3" xfId="677" xr:uid="{00000000-0005-0000-0000-00003E120000}"/>
    <cellStyle name="Normal 2 8 4" xfId="678" xr:uid="{00000000-0005-0000-0000-00003F120000}"/>
    <cellStyle name="Normal 2 8 5" xfId="4780" xr:uid="{00000000-0005-0000-0000-000040120000}"/>
    <cellStyle name="Normal 2 8 6" xfId="7088" xr:uid="{5AD5CF82-51DC-4C5F-8E44-DFC29B46F2F5}"/>
    <cellStyle name="Normal 2 9" xfId="679" xr:uid="{00000000-0005-0000-0000-000041120000}"/>
    <cellStyle name="Normal 2 9 2" xfId="680" xr:uid="{00000000-0005-0000-0000-000042120000}"/>
    <cellStyle name="Normal 2 9 2 2" xfId="4781" xr:uid="{00000000-0005-0000-0000-000043120000}"/>
    <cellStyle name="Normal 2 9 3" xfId="681" xr:uid="{00000000-0005-0000-0000-000044120000}"/>
    <cellStyle name="Normal 2 9 4" xfId="682" xr:uid="{00000000-0005-0000-0000-000045120000}"/>
    <cellStyle name="Normal 2 9 5" xfId="4782" xr:uid="{00000000-0005-0000-0000-000046120000}"/>
    <cellStyle name="Normal 2 9 6" xfId="7089" xr:uid="{25F11A57-F61E-4CFE-860C-12F8461410F8}"/>
    <cellStyle name="Normal 2_53 Pelelangan Pengadaan CO &amp; Arrester" xfId="4783" xr:uid="{00000000-0005-0000-0000-000047120000}"/>
    <cellStyle name="Normal 20" xfId="683" xr:uid="{00000000-0005-0000-0000-000048120000}"/>
    <cellStyle name="Normal 20 2" xfId="2039" xr:uid="{00000000-0005-0000-0000-000049120000}"/>
    <cellStyle name="Normal 20 3" xfId="4784" xr:uid="{00000000-0005-0000-0000-00004A120000}"/>
    <cellStyle name="Normal 21" xfId="684" xr:uid="{00000000-0005-0000-0000-00004B120000}"/>
    <cellStyle name="Normal 21 2" xfId="2040" xr:uid="{00000000-0005-0000-0000-00004C120000}"/>
    <cellStyle name="Normal 21 3" xfId="4785" xr:uid="{00000000-0005-0000-0000-00004D120000}"/>
    <cellStyle name="Normal 22" xfId="685" xr:uid="{00000000-0005-0000-0000-00004E120000}"/>
    <cellStyle name="Normal 22 2" xfId="686" xr:uid="{00000000-0005-0000-0000-00004F120000}"/>
    <cellStyle name="Normal 22 2 2" xfId="2041" xr:uid="{00000000-0005-0000-0000-000050120000}"/>
    <cellStyle name="Normal 22 3" xfId="2042" xr:uid="{00000000-0005-0000-0000-000051120000}"/>
    <cellStyle name="Normal 23" xfId="687" xr:uid="{00000000-0005-0000-0000-000052120000}"/>
    <cellStyle name="Normal 23 2" xfId="2043" xr:uid="{00000000-0005-0000-0000-000053120000}"/>
    <cellStyle name="Normal 23 3" xfId="4786" xr:uid="{00000000-0005-0000-0000-000054120000}"/>
    <cellStyle name="Normal 24" xfId="688" xr:uid="{00000000-0005-0000-0000-000055120000}"/>
    <cellStyle name="Normal 24 2" xfId="2044" xr:uid="{00000000-0005-0000-0000-000056120000}"/>
    <cellStyle name="Normal 24 3" xfId="4787" xr:uid="{00000000-0005-0000-0000-000057120000}"/>
    <cellStyle name="Normal 25" xfId="689" xr:uid="{00000000-0005-0000-0000-000058120000}"/>
    <cellStyle name="Normal 25 2" xfId="690" xr:uid="{00000000-0005-0000-0000-000059120000}"/>
    <cellStyle name="Normal 25 2 2" xfId="2045" xr:uid="{00000000-0005-0000-0000-00005A120000}"/>
    <cellStyle name="Normal 25 2 2 2" xfId="4788" xr:uid="{00000000-0005-0000-0000-00005B120000}"/>
    <cellStyle name="Normal 25 3" xfId="2046" xr:uid="{00000000-0005-0000-0000-00005C120000}"/>
    <cellStyle name="Normal 25 4" xfId="4789" xr:uid="{00000000-0005-0000-0000-00005D120000}"/>
    <cellStyle name="Normal 26" xfId="691" xr:uid="{00000000-0005-0000-0000-00005E120000}"/>
    <cellStyle name="Normal 26 2" xfId="2047" xr:uid="{00000000-0005-0000-0000-00005F120000}"/>
    <cellStyle name="Normal 26 3" xfId="4790" xr:uid="{00000000-0005-0000-0000-000060120000}"/>
    <cellStyle name="Normal 27" xfId="692" xr:uid="{00000000-0005-0000-0000-000061120000}"/>
    <cellStyle name="Normal 27 2" xfId="2048" xr:uid="{00000000-0005-0000-0000-000062120000}"/>
    <cellStyle name="Normal 27 2 2" xfId="4791" xr:uid="{00000000-0005-0000-0000-000063120000}"/>
    <cellStyle name="Normal 27 3" xfId="4792" xr:uid="{00000000-0005-0000-0000-000064120000}"/>
    <cellStyle name="Normal 27 4" xfId="5917" xr:uid="{00000000-0005-0000-0000-000065120000}"/>
    <cellStyle name="Normal 27 5" xfId="6677" xr:uid="{A513BC02-F0DF-4B47-95FE-498E32DED630}"/>
    <cellStyle name="Normal 28" xfId="693" xr:uid="{00000000-0005-0000-0000-000066120000}"/>
    <cellStyle name="Normal 28 2" xfId="2049" xr:uid="{00000000-0005-0000-0000-000067120000}"/>
    <cellStyle name="Normal 28 2 2" xfId="2050" xr:uid="{00000000-0005-0000-0000-000068120000}"/>
    <cellStyle name="Normal 28 2 2 2" xfId="2051" xr:uid="{00000000-0005-0000-0000-000069120000}"/>
    <cellStyle name="Normal 28 2 2 2 2" xfId="2052" xr:uid="{00000000-0005-0000-0000-00006A120000}"/>
    <cellStyle name="Normal 28 2 2 3" xfId="2053" xr:uid="{00000000-0005-0000-0000-00006B120000}"/>
    <cellStyle name="Normal 28 2 3" xfId="2054" xr:uid="{00000000-0005-0000-0000-00006C120000}"/>
    <cellStyle name="Normal 28 3" xfId="2055" xr:uid="{00000000-0005-0000-0000-00006D120000}"/>
    <cellStyle name="Normal 28 3 2" xfId="2056" xr:uid="{00000000-0005-0000-0000-00006E120000}"/>
    <cellStyle name="Normal 28 3 2 2" xfId="2057" xr:uid="{00000000-0005-0000-0000-00006F120000}"/>
    <cellStyle name="Normal 28 3 2 2 2" xfId="2058" xr:uid="{00000000-0005-0000-0000-000070120000}"/>
    <cellStyle name="Normal 28 3 2 2 3" xfId="2059" xr:uid="{00000000-0005-0000-0000-000071120000}"/>
    <cellStyle name="Normal 28 3 2 3" xfId="2060" xr:uid="{00000000-0005-0000-0000-000072120000}"/>
    <cellStyle name="Normal 28 3 3" xfId="2061" xr:uid="{00000000-0005-0000-0000-000073120000}"/>
    <cellStyle name="Normal 28 4" xfId="2062" xr:uid="{00000000-0005-0000-0000-000074120000}"/>
    <cellStyle name="Normal 28 5" xfId="4793" xr:uid="{00000000-0005-0000-0000-000075120000}"/>
    <cellStyle name="Normal 29" xfId="694" xr:uid="{00000000-0005-0000-0000-000076120000}"/>
    <cellStyle name="Normal 29 2" xfId="2063" xr:uid="{00000000-0005-0000-0000-000077120000}"/>
    <cellStyle name="Normal 29 2 2" xfId="2064" xr:uid="{00000000-0005-0000-0000-000078120000}"/>
    <cellStyle name="Normal 29 2 2 2" xfId="2065" xr:uid="{00000000-0005-0000-0000-000079120000}"/>
    <cellStyle name="Normal 29 2 3" xfId="2066" xr:uid="{00000000-0005-0000-0000-00007A120000}"/>
    <cellStyle name="Normal 29 3" xfId="2067" xr:uid="{00000000-0005-0000-0000-00007B120000}"/>
    <cellStyle name="Normal 29 4" xfId="4794" xr:uid="{00000000-0005-0000-0000-00007C120000}"/>
    <cellStyle name="Normal 3" xfId="695" xr:uid="{00000000-0005-0000-0000-00007D120000}"/>
    <cellStyle name="Normal 3 10" xfId="696" xr:uid="{00000000-0005-0000-0000-00007E120000}"/>
    <cellStyle name="Normal 3 10 2" xfId="7090" xr:uid="{AD64ADD1-2ACA-449C-B734-28188195175D}"/>
    <cellStyle name="Normal 3 11" xfId="697" xr:uid="{00000000-0005-0000-0000-00007F120000}"/>
    <cellStyle name="Normal 3 12" xfId="698" xr:uid="{00000000-0005-0000-0000-000080120000}"/>
    <cellStyle name="Normal 3 12 2" xfId="7093" xr:uid="{1991D86B-B6AC-40BE-9A06-C3608F5C1B0F}"/>
    <cellStyle name="Normal 3 13" xfId="4795" xr:uid="{00000000-0005-0000-0000-000081120000}"/>
    <cellStyle name="Normal 3 14" xfId="6388" xr:uid="{10BA9303-C0EC-4406-8BEE-62CE3992E911}"/>
    <cellStyle name="Normal 3 14 2" xfId="4796" xr:uid="{00000000-0005-0000-0000-000082120000}"/>
    <cellStyle name="Normal 3 15" xfId="4797" xr:uid="{00000000-0005-0000-0000-000083120000}"/>
    <cellStyle name="Normal 3 2" xfId="699" xr:uid="{00000000-0005-0000-0000-000084120000}"/>
    <cellStyle name="Normal 3 2 2" xfId="700" xr:uid="{00000000-0005-0000-0000-000085120000}"/>
    <cellStyle name="Normal 3 2 2 2" xfId="701" xr:uid="{00000000-0005-0000-0000-000086120000}"/>
    <cellStyle name="Normal 3 2 2 2 2" xfId="2068" xr:uid="{00000000-0005-0000-0000-000087120000}"/>
    <cellStyle name="Normal 3 2 2 2 3" xfId="4798" xr:uid="{00000000-0005-0000-0000-000088120000}"/>
    <cellStyle name="Normal 3 2 2 3" xfId="2069" xr:uid="{00000000-0005-0000-0000-000089120000}"/>
    <cellStyle name="Normal 3 2 2 3 2" xfId="4799" xr:uid="{00000000-0005-0000-0000-00008A120000}"/>
    <cellStyle name="Normal 3 2 2_BukuBesar" xfId="4800" xr:uid="{00000000-0005-0000-0000-00008B120000}"/>
    <cellStyle name="Normal 3 2 3" xfId="702" xr:uid="{00000000-0005-0000-0000-00008C120000}"/>
    <cellStyle name="Normal 3 2 3 2" xfId="2070" xr:uid="{00000000-0005-0000-0000-00008D120000}"/>
    <cellStyle name="Normal 3 2 3 2 2" xfId="4801" xr:uid="{00000000-0005-0000-0000-00008E120000}"/>
    <cellStyle name="Normal 3 2 3 3" xfId="6948" xr:uid="{89BF24B0-F941-42A4-A53C-CF4465A249C5}"/>
    <cellStyle name="Normal 3 2 4" xfId="703" xr:uid="{00000000-0005-0000-0000-00008F120000}"/>
    <cellStyle name="Normal 3 2 4 2" xfId="2071" xr:uid="{00000000-0005-0000-0000-000090120000}"/>
    <cellStyle name="Normal 3 2 4 3" xfId="7095" xr:uid="{6A9C1AFE-41BE-4A40-950E-40C85E73F9A9}"/>
    <cellStyle name="Normal 3 2 5" xfId="704" xr:uid="{00000000-0005-0000-0000-000091120000}"/>
    <cellStyle name="Normal 3 2 6" xfId="2072" xr:uid="{00000000-0005-0000-0000-000092120000}"/>
    <cellStyle name="Normal 3 2 7" xfId="2073" xr:uid="{00000000-0005-0000-0000-000093120000}"/>
    <cellStyle name="Normal 3 2_BukuBesar" xfId="4802" xr:uid="{00000000-0005-0000-0000-000094120000}"/>
    <cellStyle name="Normal 3 3" xfId="705" xr:uid="{00000000-0005-0000-0000-000095120000}"/>
    <cellStyle name="Normal 3 3 2" xfId="4803" xr:uid="{00000000-0005-0000-0000-000096120000}"/>
    <cellStyle name="Normal 3 3 2 2" xfId="6998" xr:uid="{0F1E6894-8829-436F-AC39-586C65F715DE}"/>
    <cellStyle name="Normal 3 3 2 3" xfId="6915" xr:uid="{3BFE791F-6AE4-461C-ADBF-E1985ABA02AF}"/>
    <cellStyle name="Normal 3 3 2 4" xfId="6996" xr:uid="{8906758F-66B9-4227-9CE3-51CE9AD264B3}"/>
    <cellStyle name="Normal 3 3 3" xfId="4804" xr:uid="{00000000-0005-0000-0000-000097120000}"/>
    <cellStyle name="Normal 3 3 3 2" xfId="6585" xr:uid="{78EC59A2-374D-4BF8-9E28-3CC5B617F55F}"/>
    <cellStyle name="Normal 3 3 4" xfId="4805" xr:uid="{00000000-0005-0000-0000-000098120000}"/>
    <cellStyle name="Normal 3 3 4 2" xfId="4806" xr:uid="{00000000-0005-0000-0000-000099120000}"/>
    <cellStyle name="Normal 3 3 5" xfId="4807" xr:uid="{00000000-0005-0000-0000-00009A120000}"/>
    <cellStyle name="Normal 3 3 6" xfId="4808" xr:uid="{00000000-0005-0000-0000-00009B120000}"/>
    <cellStyle name="Normal 3 3 7" xfId="6389" xr:uid="{C2C79E5B-2F91-4DE3-BF14-8F0F8226BAE9}"/>
    <cellStyle name="Normal 3 3_BukuBesar" xfId="4809" xr:uid="{00000000-0005-0000-0000-00009C120000}"/>
    <cellStyle name="Normal 3 4" xfId="706" xr:uid="{00000000-0005-0000-0000-00009D120000}"/>
    <cellStyle name="Normal 3 4 2" xfId="2074" xr:uid="{00000000-0005-0000-0000-00009E120000}"/>
    <cellStyle name="Normal 3 4 2 16" xfId="2075" xr:uid="{00000000-0005-0000-0000-00009F120000}"/>
    <cellStyle name="Normal 3 4 2 2" xfId="4810" xr:uid="{00000000-0005-0000-0000-0000A0120000}"/>
    <cellStyle name="Normal 3 4 3" xfId="4811" xr:uid="{00000000-0005-0000-0000-0000A1120000}"/>
    <cellStyle name="Normal 3 4 3 2" xfId="6656" xr:uid="{14E2C983-24C6-4EEF-BF90-5A3E4DA3F4BD}"/>
    <cellStyle name="Normal 3 4 4" xfId="7096" xr:uid="{D0525E02-2559-43E5-9742-4F71E0830253}"/>
    <cellStyle name="Normal 3 4_BukuBesar" xfId="4812" xr:uid="{00000000-0005-0000-0000-0000A2120000}"/>
    <cellStyle name="Normal 3 5" xfId="707" xr:uid="{00000000-0005-0000-0000-0000A3120000}"/>
    <cellStyle name="Normal 3 5 2" xfId="2076" xr:uid="{00000000-0005-0000-0000-0000A4120000}"/>
    <cellStyle name="Normal 3 5 2 2" xfId="4813" xr:uid="{00000000-0005-0000-0000-0000A5120000}"/>
    <cellStyle name="Normal 3 5 2 3" xfId="7097" xr:uid="{2697969C-7372-468F-B9BD-F2686A2C2BDD}"/>
    <cellStyle name="Normal 3 5 3" xfId="4814" xr:uid="{00000000-0005-0000-0000-0000A6120000}"/>
    <cellStyle name="Normal 3 5 4" xfId="4815" xr:uid="{00000000-0005-0000-0000-0000A7120000}"/>
    <cellStyle name="Normal 3 5 4 2" xfId="4816" xr:uid="{00000000-0005-0000-0000-0000A8120000}"/>
    <cellStyle name="Normal 3 5 5" xfId="4817" xr:uid="{00000000-0005-0000-0000-0000A9120000}"/>
    <cellStyle name="Normal 3 5 6" xfId="4818" xr:uid="{00000000-0005-0000-0000-0000AA120000}"/>
    <cellStyle name="Normal 3 5_BukuBesar" xfId="4819" xr:uid="{00000000-0005-0000-0000-0000AB120000}"/>
    <cellStyle name="Normal 3 6" xfId="708" xr:uid="{00000000-0005-0000-0000-0000AC120000}"/>
    <cellStyle name="Normal 3 6 2" xfId="2077" xr:uid="{00000000-0005-0000-0000-0000AD120000}"/>
    <cellStyle name="Normal 3 6 2 2" xfId="4820" xr:uid="{00000000-0005-0000-0000-0000AE120000}"/>
    <cellStyle name="Normal 3 6 3" xfId="4821" xr:uid="{00000000-0005-0000-0000-0000AF120000}"/>
    <cellStyle name="Normal 3 6 3 2" xfId="4822" xr:uid="{00000000-0005-0000-0000-0000B0120000}"/>
    <cellStyle name="Normal 3 6 4" xfId="4823" xr:uid="{00000000-0005-0000-0000-0000B1120000}"/>
    <cellStyle name="Normal 3 6 5" xfId="4824" xr:uid="{00000000-0005-0000-0000-0000B2120000}"/>
    <cellStyle name="Normal 3 7" xfId="709" xr:uid="{00000000-0005-0000-0000-0000B3120000}"/>
    <cellStyle name="Normal 3 7 2" xfId="4825" xr:uid="{00000000-0005-0000-0000-0000B4120000}"/>
    <cellStyle name="Normal 3 7 3" xfId="4826" xr:uid="{00000000-0005-0000-0000-0000B5120000}"/>
    <cellStyle name="Normal 3 7 3 2" xfId="4827" xr:uid="{00000000-0005-0000-0000-0000B6120000}"/>
    <cellStyle name="Normal 3 7 4" xfId="4828" xr:uid="{00000000-0005-0000-0000-0000B7120000}"/>
    <cellStyle name="Normal 3 8" xfId="710" xr:uid="{00000000-0005-0000-0000-0000B8120000}"/>
    <cellStyle name="Normal 3 8 2" xfId="4829" xr:uid="{00000000-0005-0000-0000-0000B9120000}"/>
    <cellStyle name="Normal 3 8 2 2" xfId="4830" xr:uid="{00000000-0005-0000-0000-0000BA120000}"/>
    <cellStyle name="Normal 3 8 3" xfId="4831" xr:uid="{00000000-0005-0000-0000-0000BB120000}"/>
    <cellStyle name="Normal 3 9" xfId="711" xr:uid="{00000000-0005-0000-0000-0000BC120000}"/>
    <cellStyle name="Normal 3 9 2" xfId="4832" xr:uid="{00000000-0005-0000-0000-0000BD120000}"/>
    <cellStyle name="Normal 3 9 3" xfId="7098" xr:uid="{5647500A-B17D-43C5-A402-926F3570E229}"/>
    <cellStyle name="Normal 3_CV. JAGO ( SR4 &amp; SR7)" xfId="4833" xr:uid="{00000000-0005-0000-0000-0000BE120000}"/>
    <cellStyle name="Normal 30" xfId="712" xr:uid="{00000000-0005-0000-0000-0000BF120000}"/>
    <cellStyle name="Normal 30 2" xfId="713" xr:uid="{00000000-0005-0000-0000-0000C0120000}"/>
    <cellStyle name="Normal 30 2 2" xfId="2078" xr:uid="{00000000-0005-0000-0000-0000C1120000}"/>
    <cellStyle name="Normal 30 2 2 2" xfId="4834" xr:uid="{00000000-0005-0000-0000-0000C2120000}"/>
    <cellStyle name="Normal 30 3" xfId="2079" xr:uid="{00000000-0005-0000-0000-0000C3120000}"/>
    <cellStyle name="Normal 30 3 2" xfId="4835" xr:uid="{00000000-0005-0000-0000-0000C4120000}"/>
    <cellStyle name="Normal 30 4" xfId="4836" xr:uid="{00000000-0005-0000-0000-0000C5120000}"/>
    <cellStyle name="Normal 30 5" xfId="5919" xr:uid="{00000000-0005-0000-0000-0000C6120000}"/>
    <cellStyle name="Normal 30 6" xfId="6872" xr:uid="{A8FB80C3-CE09-4DBE-8C1A-E044403A612B}"/>
    <cellStyle name="Normal 31" xfId="714" xr:uid="{00000000-0005-0000-0000-0000C7120000}"/>
    <cellStyle name="Normal 31 2" xfId="2080" xr:uid="{00000000-0005-0000-0000-0000C8120000}"/>
    <cellStyle name="Normal 31 2 2" xfId="4837" xr:uid="{00000000-0005-0000-0000-0000C9120000}"/>
    <cellStyle name="Normal 31 2 2 2" xfId="4838" xr:uid="{00000000-0005-0000-0000-0000CA120000}"/>
    <cellStyle name="Normal 31 2 3" xfId="4839" xr:uid="{00000000-0005-0000-0000-0000CB120000}"/>
    <cellStyle name="Normal 31 2 4" xfId="4840" xr:uid="{00000000-0005-0000-0000-0000CC120000}"/>
    <cellStyle name="Normal 31 3" xfId="4841" xr:uid="{00000000-0005-0000-0000-0000CD120000}"/>
    <cellStyle name="Normal 31 3 2" xfId="4842" xr:uid="{00000000-0005-0000-0000-0000CE120000}"/>
    <cellStyle name="Normal 31 3 2 2" xfId="4843" xr:uid="{00000000-0005-0000-0000-0000CF120000}"/>
    <cellStyle name="Normal 31 3 3" xfId="4844" xr:uid="{00000000-0005-0000-0000-0000D0120000}"/>
    <cellStyle name="Normal 31 4" xfId="4845" xr:uid="{00000000-0005-0000-0000-0000D1120000}"/>
    <cellStyle name="Normal 31 4 2" xfId="4846" xr:uid="{00000000-0005-0000-0000-0000D2120000}"/>
    <cellStyle name="Normal 31 5" xfId="4847" xr:uid="{00000000-0005-0000-0000-0000D3120000}"/>
    <cellStyle name="Normal 32" xfId="715" xr:uid="{00000000-0005-0000-0000-0000D4120000}"/>
    <cellStyle name="Normal 32 2" xfId="2081" xr:uid="{00000000-0005-0000-0000-0000D5120000}"/>
    <cellStyle name="Normal 32 2 2" xfId="4848" xr:uid="{00000000-0005-0000-0000-0000D6120000}"/>
    <cellStyle name="Normal 32 3" xfId="4849" xr:uid="{00000000-0005-0000-0000-0000D7120000}"/>
    <cellStyle name="Normal 33" xfId="716" xr:uid="{00000000-0005-0000-0000-0000D8120000}"/>
    <cellStyle name="Normal 33 2" xfId="2082" xr:uid="{00000000-0005-0000-0000-0000D9120000}"/>
    <cellStyle name="Normal 33 2 2" xfId="4850" xr:uid="{00000000-0005-0000-0000-0000DA120000}"/>
    <cellStyle name="Normal 33 3" xfId="4851" xr:uid="{00000000-0005-0000-0000-0000DB120000}"/>
    <cellStyle name="Normal 33 4" xfId="5921" xr:uid="{00000000-0005-0000-0000-0000DC120000}"/>
    <cellStyle name="Normal 34" xfId="717" xr:uid="{00000000-0005-0000-0000-0000DD120000}"/>
    <cellStyle name="Normal 34 2" xfId="2083" xr:uid="{00000000-0005-0000-0000-0000DE120000}"/>
    <cellStyle name="Normal 34 2 2" xfId="4852" xr:uid="{00000000-0005-0000-0000-0000DF120000}"/>
    <cellStyle name="Normal 34 3" xfId="4853" xr:uid="{00000000-0005-0000-0000-0000E0120000}"/>
    <cellStyle name="Normal 34 4" xfId="5922" xr:uid="{00000000-0005-0000-0000-0000E1120000}"/>
    <cellStyle name="Normal 35" xfId="718" xr:uid="{00000000-0005-0000-0000-0000E2120000}"/>
    <cellStyle name="Normal 35 2" xfId="2084" xr:uid="{00000000-0005-0000-0000-0000E3120000}"/>
    <cellStyle name="Normal 35 2 2" xfId="4854" xr:uid="{00000000-0005-0000-0000-0000E4120000}"/>
    <cellStyle name="Normal 35 3" xfId="4855" xr:uid="{00000000-0005-0000-0000-0000E5120000}"/>
    <cellStyle name="Normal 35 4" xfId="4856" xr:uid="{00000000-0005-0000-0000-0000E6120000}"/>
    <cellStyle name="Normal 36" xfId="719" xr:uid="{00000000-0005-0000-0000-0000E7120000}"/>
    <cellStyle name="Normal 36 2" xfId="2085" xr:uid="{00000000-0005-0000-0000-0000E8120000}"/>
    <cellStyle name="Normal 36 2 2" xfId="4857" xr:uid="{00000000-0005-0000-0000-0000E9120000}"/>
    <cellStyle name="Normal 36 3" xfId="4858" xr:uid="{00000000-0005-0000-0000-0000EA120000}"/>
    <cellStyle name="Normal 36 4" xfId="5924" xr:uid="{00000000-0005-0000-0000-0000EB120000}"/>
    <cellStyle name="Normal 37" xfId="720" xr:uid="{00000000-0005-0000-0000-0000EC120000}"/>
    <cellStyle name="Normal 37 2" xfId="2086" xr:uid="{00000000-0005-0000-0000-0000ED120000}"/>
    <cellStyle name="Normal 37 2 2" xfId="4859" xr:uid="{00000000-0005-0000-0000-0000EE120000}"/>
    <cellStyle name="Normal 37 3" xfId="5925" xr:uid="{00000000-0005-0000-0000-0000EF120000}"/>
    <cellStyle name="Normal 37 4" xfId="6883" xr:uid="{B12C48FD-A1AD-46AC-94AE-BAFA87A9B6FB}"/>
    <cellStyle name="Normal 38" xfId="721" xr:uid="{00000000-0005-0000-0000-0000F0120000}"/>
    <cellStyle name="Normal 38 16" xfId="2087" xr:uid="{00000000-0005-0000-0000-0000F1120000}"/>
    <cellStyle name="Normal 38 16 2" xfId="2334" xr:uid="{00000000-0005-0000-0000-0000F2120000}"/>
    <cellStyle name="Normal 38 16 3" xfId="6368" xr:uid="{3E9865A0-5142-410A-BC58-A9437696B5F6}"/>
    <cellStyle name="Normal 38 2" xfId="722" xr:uid="{00000000-0005-0000-0000-0000F3120000}"/>
    <cellStyle name="Normal 38 2 2" xfId="2088" xr:uid="{00000000-0005-0000-0000-0000F4120000}"/>
    <cellStyle name="Normal 38 2 3" xfId="4860" xr:uid="{00000000-0005-0000-0000-0000F5120000}"/>
    <cellStyle name="Normal 38 2 4" xfId="4861" xr:uid="{00000000-0005-0000-0000-0000F6120000}"/>
    <cellStyle name="Normal 38 2 5" xfId="6933" xr:uid="{FC18AD77-8A3D-4512-B727-46967DBAE3F6}"/>
    <cellStyle name="Normal 38 3" xfId="723" xr:uid="{00000000-0005-0000-0000-0000F7120000}"/>
    <cellStyle name="Normal 38 3 2" xfId="2089" xr:uid="{00000000-0005-0000-0000-0000F8120000}"/>
    <cellStyle name="Normal 38 3 2 2" xfId="4862" xr:uid="{00000000-0005-0000-0000-0000F9120000}"/>
    <cellStyle name="Normal 38 3 3" xfId="4863" xr:uid="{00000000-0005-0000-0000-0000FA120000}"/>
    <cellStyle name="Normal 38 3 4" xfId="6507" xr:uid="{65182DE7-E97C-43F9-A8CE-B1C20D3BF7FE}"/>
    <cellStyle name="Normal 38 4" xfId="724" xr:uid="{00000000-0005-0000-0000-0000FB120000}"/>
    <cellStyle name="Normal 38 4 2" xfId="4864" xr:uid="{00000000-0005-0000-0000-0000FC120000}"/>
    <cellStyle name="Normal 38 4 3" xfId="6823" xr:uid="{60CE9637-1418-4D87-8DB8-F362731BB5FD}"/>
    <cellStyle name="Normal 38 5" xfId="725" xr:uid="{00000000-0005-0000-0000-0000FD120000}"/>
    <cellStyle name="Normal 38 5 2" xfId="4865" xr:uid="{00000000-0005-0000-0000-0000FE120000}"/>
    <cellStyle name="Normal 38 6" xfId="4" xr:uid="{00000000-0005-0000-0000-0000FF120000}"/>
    <cellStyle name="Normal 38 6 2" xfId="991" xr:uid="{00000000-0005-0000-0000-000000130000}"/>
    <cellStyle name="Normal 38 6 3" xfId="995" xr:uid="{00000000-0005-0000-0000-000001130000}"/>
    <cellStyle name="Normal 38 6 4" xfId="986" xr:uid="{00000000-0005-0000-0000-000002130000}"/>
    <cellStyle name="Normal 38 6 4 2" xfId="997" xr:uid="{00000000-0005-0000-0000-000003130000}"/>
    <cellStyle name="Normal 38 6 4 3" xfId="1002" xr:uid="{00000000-0005-0000-0000-000004130000}"/>
    <cellStyle name="Normal 38 6 4 4" xfId="1010" xr:uid="{00000000-0005-0000-0000-000005130000}"/>
    <cellStyle name="Normal 38 6 4 5" xfId="1022" xr:uid="{00000000-0005-0000-0000-000006130000}"/>
    <cellStyle name="Normal 38 6 4 6" xfId="1029" xr:uid="{00000000-0005-0000-0000-000007130000}"/>
    <cellStyle name="Normal 38 6 4 7" xfId="1036" xr:uid="{00000000-0005-0000-0000-000008130000}"/>
    <cellStyle name="Normal 38 6 4 8" xfId="1043" xr:uid="{00000000-0005-0000-0000-000009130000}"/>
    <cellStyle name="Normal 38 6 5" xfId="1016" xr:uid="{00000000-0005-0000-0000-00000A130000}"/>
    <cellStyle name="Normal 38 7" xfId="1052" xr:uid="{00000000-0005-0000-0000-00000B130000}"/>
    <cellStyle name="Normal 38 8" xfId="1055" xr:uid="{00000000-0005-0000-0000-00000C130000}"/>
    <cellStyle name="Normal 38 9" xfId="1057" xr:uid="{00000000-0005-0000-0000-00000D130000}"/>
    <cellStyle name="Normal 39" xfId="726" xr:uid="{00000000-0005-0000-0000-00000E130000}"/>
    <cellStyle name="Normal 39 2" xfId="727" xr:uid="{00000000-0005-0000-0000-00000F130000}"/>
    <cellStyle name="Normal 39 2 2" xfId="2090" xr:uid="{00000000-0005-0000-0000-000010130000}"/>
    <cellStyle name="Normal 39 2 2 2" xfId="4866" xr:uid="{00000000-0005-0000-0000-000011130000}"/>
    <cellStyle name="Normal 39 2 3" xfId="4867" xr:uid="{00000000-0005-0000-0000-000012130000}"/>
    <cellStyle name="Normal 39 2 4" xfId="4868" xr:uid="{00000000-0005-0000-0000-000013130000}"/>
    <cellStyle name="Normal 39 2 5" xfId="6936" xr:uid="{F5AF400C-26A4-4A40-9595-FE22F6E6815B}"/>
    <cellStyle name="Normal 39 3" xfId="728" xr:uid="{00000000-0005-0000-0000-000014130000}"/>
    <cellStyle name="Normal 39 3 2" xfId="4869" xr:uid="{00000000-0005-0000-0000-000015130000}"/>
    <cellStyle name="Normal 39 3 3" xfId="4870" xr:uid="{00000000-0005-0000-0000-000016130000}"/>
    <cellStyle name="Normal 39 3 4" xfId="6509" xr:uid="{E5D23C93-0ECA-4EC3-BC5B-F3DE5616C1F4}"/>
    <cellStyle name="Normal 39 4" xfId="729" xr:uid="{00000000-0005-0000-0000-000017130000}"/>
    <cellStyle name="Normal 39 4 2" xfId="4871" xr:uid="{00000000-0005-0000-0000-000018130000}"/>
    <cellStyle name="Normal 39 4 3" xfId="6571" xr:uid="{F2F72ED2-EF36-497B-88E1-F5619B18883D}"/>
    <cellStyle name="Normal 39 5" xfId="4872" xr:uid="{00000000-0005-0000-0000-000019130000}"/>
    <cellStyle name="Normal 4" xfId="730" xr:uid="{00000000-0005-0000-0000-00001A130000}"/>
    <cellStyle name="Normal 4 10" xfId="4873" xr:uid="{00000000-0005-0000-0000-00001B130000}"/>
    <cellStyle name="Normal 4 10 2" xfId="7099" xr:uid="{835BC522-2375-46B3-A10C-FFA1D9E96E86}"/>
    <cellStyle name="Normal 4 11" xfId="4874" xr:uid="{00000000-0005-0000-0000-00001C130000}"/>
    <cellStyle name="Normal 4 11 2" xfId="6556" xr:uid="{0F0F0EB1-D8BB-471D-9B96-F9154EFCD0C6}"/>
    <cellStyle name="Normal 4 12" xfId="6986" xr:uid="{83182A8F-84DE-4CDE-A484-97E335C354BF}"/>
    <cellStyle name="Normal 4 2" xfId="731" xr:uid="{00000000-0005-0000-0000-00001D130000}"/>
    <cellStyle name="Normal 4 2 2" xfId="732" xr:uid="{00000000-0005-0000-0000-00001E130000}"/>
    <cellStyle name="Normal 4 2 2 2" xfId="2091" xr:uid="{00000000-0005-0000-0000-00001F130000}"/>
    <cellStyle name="Normal 4 2 2 2 2" xfId="7102" xr:uid="{96C1097F-5B86-42BA-BDBB-A671A75D44C9}"/>
    <cellStyle name="Normal 4 2 2 3" xfId="4875" xr:uid="{00000000-0005-0000-0000-000020130000}"/>
    <cellStyle name="Normal 4 2 2 4" xfId="7101" xr:uid="{EE7039A6-7630-434F-BB4D-B330E6D97476}"/>
    <cellStyle name="Normal 4 2 3" xfId="733" xr:uid="{00000000-0005-0000-0000-000021130000}"/>
    <cellStyle name="Normal 4 2 3 2" xfId="2092" xr:uid="{00000000-0005-0000-0000-000022130000}"/>
    <cellStyle name="Normal 4 2 3 3" xfId="4876" xr:uid="{00000000-0005-0000-0000-000023130000}"/>
    <cellStyle name="Normal 4 2 4" xfId="734" xr:uid="{00000000-0005-0000-0000-000024130000}"/>
    <cellStyle name="Normal 4 2 4 2" xfId="2093" xr:uid="{00000000-0005-0000-0000-000025130000}"/>
    <cellStyle name="Normal 4 2 5" xfId="735" xr:uid="{00000000-0005-0000-0000-000026130000}"/>
    <cellStyle name="Normal 4 2 5 2" xfId="4877" xr:uid="{00000000-0005-0000-0000-000027130000}"/>
    <cellStyle name="Normal 4 2 6" xfId="4878" xr:uid="{00000000-0005-0000-0000-000028130000}"/>
    <cellStyle name="Normal 4 2 6 2" xfId="7103" xr:uid="{5AA66535-BC58-40CB-AF17-E95804550E86}"/>
    <cellStyle name="Normal 4 2 7" xfId="7100" xr:uid="{E12A0FDF-6920-46E5-84BD-B8770E5DCD75}"/>
    <cellStyle name="Normal 4 3" xfId="736" xr:uid="{00000000-0005-0000-0000-000029130000}"/>
    <cellStyle name="Normal 4 3 2" xfId="737" xr:uid="{00000000-0005-0000-0000-00002A130000}"/>
    <cellStyle name="Normal 4 3 2 2" xfId="4879" xr:uid="{00000000-0005-0000-0000-00002B130000}"/>
    <cellStyle name="Normal 4 3 3" xfId="2094" xr:uid="{00000000-0005-0000-0000-00002C130000}"/>
    <cellStyle name="Normal 4 3 3 2" xfId="4880" xr:uid="{00000000-0005-0000-0000-00002D130000}"/>
    <cellStyle name="Normal 4 3 3 3" xfId="4881" xr:uid="{00000000-0005-0000-0000-00002E130000}"/>
    <cellStyle name="Normal 4 3 4" xfId="4882" xr:uid="{00000000-0005-0000-0000-00002F130000}"/>
    <cellStyle name="Normal 4 3 5" xfId="4883" xr:uid="{00000000-0005-0000-0000-000030130000}"/>
    <cellStyle name="Normal 4 4" xfId="738" xr:uid="{00000000-0005-0000-0000-000031130000}"/>
    <cellStyle name="Normal 4 4 2" xfId="4884" xr:uid="{00000000-0005-0000-0000-000032130000}"/>
    <cellStyle name="Normal 4 4 2 2" xfId="4885" xr:uid="{00000000-0005-0000-0000-000033130000}"/>
    <cellStyle name="Normal 4 4 3" xfId="4886" xr:uid="{00000000-0005-0000-0000-000034130000}"/>
    <cellStyle name="Normal 4 4 4" xfId="4887" xr:uid="{00000000-0005-0000-0000-000035130000}"/>
    <cellStyle name="Normal 4 5" xfId="739" xr:uid="{00000000-0005-0000-0000-000036130000}"/>
    <cellStyle name="Normal 4 5 2" xfId="2095" xr:uid="{00000000-0005-0000-0000-000037130000}"/>
    <cellStyle name="Normal 4 5 2 2" xfId="4888" xr:uid="{00000000-0005-0000-0000-000038130000}"/>
    <cellStyle name="Normal 4 5 2 3" xfId="4889" xr:uid="{00000000-0005-0000-0000-000039130000}"/>
    <cellStyle name="Normal 4 5 3" xfId="2096" xr:uid="{00000000-0005-0000-0000-00003A130000}"/>
    <cellStyle name="Normal 4 5 3 2" xfId="4890" xr:uid="{00000000-0005-0000-0000-00003B130000}"/>
    <cellStyle name="Normal 4 5 4" xfId="4891" xr:uid="{00000000-0005-0000-0000-00003C130000}"/>
    <cellStyle name="Normal 4 6" xfId="740" xr:uid="{00000000-0005-0000-0000-00003D130000}"/>
    <cellStyle name="Normal 4 6 2" xfId="2097" xr:uid="{00000000-0005-0000-0000-00003E130000}"/>
    <cellStyle name="Normal 4 6 2 2" xfId="4892" xr:uid="{00000000-0005-0000-0000-00003F130000}"/>
    <cellStyle name="Normal 4 6 2 3" xfId="4893" xr:uid="{00000000-0005-0000-0000-000040130000}"/>
    <cellStyle name="Normal 4 6 3" xfId="4894" xr:uid="{00000000-0005-0000-0000-000041130000}"/>
    <cellStyle name="Normal 4 6 4" xfId="7104" xr:uid="{FC31084F-8C8F-4B12-8DF1-E6ADB35913B9}"/>
    <cellStyle name="Normal 4 7" xfId="741" xr:uid="{00000000-0005-0000-0000-000042130000}"/>
    <cellStyle name="Normal 4 7 2" xfId="2098" xr:uid="{00000000-0005-0000-0000-000043130000}"/>
    <cellStyle name="Normal 4 7 2 2" xfId="4895" xr:uid="{00000000-0005-0000-0000-000044130000}"/>
    <cellStyle name="Normal 4 7 2 3" xfId="4896" xr:uid="{00000000-0005-0000-0000-000045130000}"/>
    <cellStyle name="Normal 4 7 3" xfId="7105" xr:uid="{DC2690D2-EE20-495F-8061-B8C97840347C}"/>
    <cellStyle name="Normal 4 8" xfId="742" xr:uid="{00000000-0005-0000-0000-000046130000}"/>
    <cellStyle name="Normal 4 8 2" xfId="2099" xr:uid="{00000000-0005-0000-0000-000047130000}"/>
    <cellStyle name="Normal 4 8 2 2" xfId="4897" xr:uid="{00000000-0005-0000-0000-000048130000}"/>
    <cellStyle name="Normal 4 8 3" xfId="4898" xr:uid="{00000000-0005-0000-0000-000049130000}"/>
    <cellStyle name="Normal 4 8 4" xfId="7106" xr:uid="{601A5F25-5728-440E-BB94-99981D113254}"/>
    <cellStyle name="Normal 4 9" xfId="2100" xr:uid="{00000000-0005-0000-0000-00004A130000}"/>
    <cellStyle name="Normal 4 9 2" xfId="4899" xr:uid="{00000000-0005-0000-0000-00004B130000}"/>
    <cellStyle name="Normal 4 9 3" xfId="7107" xr:uid="{88EDDA20-A670-46F1-9B24-691A7D507ACF}"/>
    <cellStyle name="Normal 40" xfId="743" xr:uid="{00000000-0005-0000-0000-00004C130000}"/>
    <cellStyle name="Normal 40 2" xfId="744" xr:uid="{00000000-0005-0000-0000-00004D130000}"/>
    <cellStyle name="Normal 40 2 2" xfId="2101" xr:uid="{00000000-0005-0000-0000-00004E130000}"/>
    <cellStyle name="Normal 40 2 2 2" xfId="2102" xr:uid="{00000000-0005-0000-0000-00004F130000}"/>
    <cellStyle name="Normal 40 2 2 3" xfId="4900" xr:uid="{00000000-0005-0000-0000-000050130000}"/>
    <cellStyle name="Normal 40 2 3" xfId="2103" xr:uid="{00000000-0005-0000-0000-000051130000}"/>
    <cellStyle name="Normal 40 2 3 2" xfId="4901" xr:uid="{00000000-0005-0000-0000-000052130000}"/>
    <cellStyle name="Normal 40 2 4" xfId="4902" xr:uid="{00000000-0005-0000-0000-000053130000}"/>
    <cellStyle name="Normal 40 2 5" xfId="6879" xr:uid="{FFFDBC68-D84C-4AB8-BE2D-251929876255}"/>
    <cellStyle name="Normal 40 3" xfId="745" xr:uid="{00000000-0005-0000-0000-000054130000}"/>
    <cellStyle name="Normal 40 3 2" xfId="4903" xr:uid="{00000000-0005-0000-0000-000055130000}"/>
    <cellStyle name="Normal 40 3 3" xfId="6453" xr:uid="{C80AF4FA-133F-44D3-A13E-6C9C82A04B5F}"/>
    <cellStyle name="Normal 40 4" xfId="746" xr:uid="{00000000-0005-0000-0000-000056130000}"/>
    <cellStyle name="Normal 40 4 2" xfId="4904" xr:uid="{00000000-0005-0000-0000-000057130000}"/>
    <cellStyle name="Normal 40 4 3" xfId="6814" xr:uid="{04D6F6C8-734A-4A5F-991B-26D0010DA090}"/>
    <cellStyle name="Normal 40 5" xfId="4905" xr:uid="{00000000-0005-0000-0000-000058130000}"/>
    <cellStyle name="Normal 40 5 2" xfId="4906" xr:uid="{00000000-0005-0000-0000-000059130000}"/>
    <cellStyle name="Normal 40 6" xfId="4907" xr:uid="{00000000-0005-0000-0000-00005A130000}"/>
    <cellStyle name="Normal 40 7" xfId="4908" xr:uid="{00000000-0005-0000-0000-00005B130000}"/>
    <cellStyle name="Normal 40 8" xfId="5929" xr:uid="{00000000-0005-0000-0000-00005C130000}"/>
    <cellStyle name="Normal 41" xfId="747" xr:uid="{00000000-0005-0000-0000-00005D130000}"/>
    <cellStyle name="Normal 41 2" xfId="2104" xr:uid="{00000000-0005-0000-0000-00005E130000}"/>
    <cellStyle name="Normal 41 2 2" xfId="2105" xr:uid="{00000000-0005-0000-0000-00005F130000}"/>
    <cellStyle name="Normal 41 2 2 2" xfId="2106" xr:uid="{00000000-0005-0000-0000-000060130000}"/>
    <cellStyle name="Normal 41 2 2 3" xfId="4909" xr:uid="{00000000-0005-0000-0000-000061130000}"/>
    <cellStyle name="Normal 41 2 3" xfId="2107" xr:uid="{00000000-0005-0000-0000-000062130000}"/>
    <cellStyle name="Normal 41 2 4" xfId="4910" xr:uid="{00000000-0005-0000-0000-000063130000}"/>
    <cellStyle name="Normal 41 3" xfId="4911" xr:uid="{00000000-0005-0000-0000-000064130000}"/>
    <cellStyle name="Normal 41 4" xfId="5930" xr:uid="{00000000-0005-0000-0000-000065130000}"/>
    <cellStyle name="Normal 41 5" xfId="6881" xr:uid="{F8A32948-4B72-4084-96CB-24A8F59ED2C3}"/>
    <cellStyle name="Normal 42" xfId="748" xr:uid="{00000000-0005-0000-0000-000066130000}"/>
    <cellStyle name="Normal 42 2" xfId="4912" xr:uid="{00000000-0005-0000-0000-000067130000}"/>
    <cellStyle name="Normal 42 2 2" xfId="4913" xr:uid="{00000000-0005-0000-0000-000068130000}"/>
    <cellStyle name="Normal 42 3" xfId="4914" xr:uid="{00000000-0005-0000-0000-000069130000}"/>
    <cellStyle name="Normal 42 4" xfId="6884" xr:uid="{92B455B0-4840-4F0C-A64C-D9D8E52D427A}"/>
    <cellStyle name="Normal 43" xfId="749" xr:uid="{00000000-0005-0000-0000-00006A130000}"/>
    <cellStyle name="Normal 43 12" xfId="2331" xr:uid="{00000000-0005-0000-0000-00006B130000}"/>
    <cellStyle name="Normal 43 12 2" xfId="2108" xr:uid="{00000000-0005-0000-0000-00006C130000}"/>
    <cellStyle name="Normal 43 12 2 2" xfId="2337" xr:uid="{00000000-0005-0000-0000-00006D130000}"/>
    <cellStyle name="Normal 43 12 2 3" xfId="6370" xr:uid="{E5E232E6-C655-4ADC-9B01-159C5ECB8B2D}"/>
    <cellStyle name="Normal 43 17" xfId="2329" xr:uid="{00000000-0005-0000-0000-00006E130000}"/>
    <cellStyle name="Normal 43 17 2" xfId="2109" xr:uid="{00000000-0005-0000-0000-00006F130000}"/>
    <cellStyle name="Normal 43 17 2 2" xfId="2333" xr:uid="{00000000-0005-0000-0000-000070130000}"/>
    <cellStyle name="Normal 43 17 2 3" xfId="6367" xr:uid="{02549635-EF1D-4A1F-9A3A-4FF7C1EDFBC1}"/>
    <cellStyle name="Normal 43 17 3" xfId="6360" xr:uid="{40D13A1C-A077-4C3A-B6E4-3DED922D21A4}"/>
    <cellStyle name="Normal 43 17 3 2" xfId="7108" xr:uid="{BD94D4C5-0F3E-4215-A9AF-2A6904D48A91}"/>
    <cellStyle name="Normal 43 17 4" xfId="6365" xr:uid="{DB3A4D01-CEE6-41EC-AEBE-7A524BE90B66}"/>
    <cellStyle name="Normal 43 17 5" xfId="6375" xr:uid="{71ADD3A3-7436-4500-8B9D-F59E89E0B89A}"/>
    <cellStyle name="Normal 43 2" xfId="750" xr:uid="{00000000-0005-0000-0000-000071130000}"/>
    <cellStyle name="Normal 43 2 2" xfId="2110" xr:uid="{00000000-0005-0000-0000-000072130000}"/>
    <cellStyle name="Normal 43 2 2 2" xfId="4915" xr:uid="{00000000-0005-0000-0000-000073130000}"/>
    <cellStyle name="Normal 43 2 3" xfId="4916" xr:uid="{00000000-0005-0000-0000-000074130000}"/>
    <cellStyle name="Normal 43 2 4" xfId="4917" xr:uid="{00000000-0005-0000-0000-000075130000}"/>
    <cellStyle name="Normal 43 3" xfId="2" xr:uid="{00000000-0005-0000-0000-000076130000}"/>
    <cellStyle name="Normal 43 3 10" xfId="1040" xr:uid="{00000000-0005-0000-0000-000077130000}"/>
    <cellStyle name="Normal 43 3 2" xfId="989" xr:uid="{00000000-0005-0000-0000-000078130000}"/>
    <cellStyle name="Normal 43 3 2 2" xfId="1004" xr:uid="{00000000-0005-0000-0000-000079130000}"/>
    <cellStyle name="Normal 43 3 2 2 2" xfId="1050" xr:uid="{00000000-0005-0000-0000-00007A130000}"/>
    <cellStyle name="Normal 43 3 2 3" xfId="1011" xr:uid="{00000000-0005-0000-0000-00007B130000}"/>
    <cellStyle name="Normal 43 3 2 4" xfId="1023" xr:uid="{00000000-0005-0000-0000-00007C130000}"/>
    <cellStyle name="Normal 43 3 2 5" xfId="1030" xr:uid="{00000000-0005-0000-0000-00007D130000}"/>
    <cellStyle name="Normal 43 3 2 6" xfId="1037" xr:uid="{00000000-0005-0000-0000-00007E130000}"/>
    <cellStyle name="Normal 43 3 2 7" xfId="1044" xr:uid="{00000000-0005-0000-0000-00007F130000}"/>
    <cellStyle name="Normal 43 3 3" xfId="994" xr:uid="{00000000-0005-0000-0000-000080130000}"/>
    <cellStyle name="Normal 43 3 4" xfId="985" xr:uid="{00000000-0005-0000-0000-000081130000}"/>
    <cellStyle name="Normal 43 3 4 2" xfId="996" xr:uid="{00000000-0005-0000-0000-000082130000}"/>
    <cellStyle name="Normal 43 3 4 2 2" xfId="1049" xr:uid="{00000000-0005-0000-0000-000083130000}"/>
    <cellStyle name="Normal 43 3 4 3" xfId="1001" xr:uid="{00000000-0005-0000-0000-000084130000}"/>
    <cellStyle name="Normal 43 3 4 4" xfId="1009" xr:uid="{00000000-0005-0000-0000-000085130000}"/>
    <cellStyle name="Normal 43 3 4 5" xfId="1021" xr:uid="{00000000-0005-0000-0000-000086130000}"/>
    <cellStyle name="Normal 43 3 4 6" xfId="1028" xr:uid="{00000000-0005-0000-0000-000087130000}"/>
    <cellStyle name="Normal 43 3 4 7" xfId="1035" xr:uid="{00000000-0005-0000-0000-000088130000}"/>
    <cellStyle name="Normal 43 3 4 8" xfId="1042" xr:uid="{00000000-0005-0000-0000-000089130000}"/>
    <cellStyle name="Normal 43 3 5" xfId="999" xr:uid="{00000000-0005-0000-0000-00008A130000}"/>
    <cellStyle name="Normal 43 3 5 2" xfId="1048" xr:uid="{00000000-0005-0000-0000-00008B130000}"/>
    <cellStyle name="Normal 43 3 6" xfId="1007" xr:uid="{00000000-0005-0000-0000-00008C130000}"/>
    <cellStyle name="Normal 43 3 7" xfId="1019" xr:uid="{00000000-0005-0000-0000-00008D130000}"/>
    <cellStyle name="Normal 43 3 8" xfId="1026" xr:uid="{00000000-0005-0000-0000-00008E130000}"/>
    <cellStyle name="Normal 43 3 9" xfId="1033" xr:uid="{00000000-0005-0000-0000-00008F130000}"/>
    <cellStyle name="Normal 43 4" xfId="5" xr:uid="{00000000-0005-0000-0000-000090130000}"/>
    <cellStyle name="Normal 43 4 2" xfId="7" xr:uid="{00000000-0005-0000-0000-000091130000}"/>
    <cellStyle name="Normal 43 4 2 2" xfId="987" xr:uid="{00000000-0005-0000-0000-000092130000}"/>
    <cellStyle name="Normal 43 4 2 2 2" xfId="1003" xr:uid="{00000000-0005-0000-0000-000093130000}"/>
    <cellStyle name="Normal 43 4 2 3" xfId="4918" xr:uid="{00000000-0005-0000-0000-000094130000}"/>
    <cellStyle name="Normal 43 4 3" xfId="1017" xr:uid="{00000000-0005-0000-0000-000095130000}"/>
    <cellStyle name="Normal 43 4 4" xfId="4919" xr:uid="{00000000-0005-0000-0000-000096130000}"/>
    <cellStyle name="Normal 43 5" xfId="1051" xr:uid="{00000000-0005-0000-0000-000097130000}"/>
    <cellStyle name="Normal 43 5 2" xfId="4920" xr:uid="{00000000-0005-0000-0000-000098130000}"/>
    <cellStyle name="Normal 43 5 3" xfId="6361" xr:uid="{2BCD5DC6-4673-4536-8F0A-23A7BD08FE55}"/>
    <cellStyle name="Normal 43 5 4" xfId="6366" xr:uid="{A9A6F883-CC68-4D72-B3D9-3BEF4D443DBF}"/>
    <cellStyle name="Normal 43 6" xfId="6" xr:uid="{00000000-0005-0000-0000-000099130000}"/>
    <cellStyle name="Normal 43 7" xfId="1054" xr:uid="{00000000-0005-0000-0000-00009A130000}"/>
    <cellStyle name="Normal 43 8" xfId="1056" xr:uid="{00000000-0005-0000-0000-00009B130000}"/>
    <cellStyle name="Normal 43 9" xfId="6930" xr:uid="{37B48F3C-E602-4690-A46F-5071B0817DAB}"/>
    <cellStyle name="Normal 43_BukuBesar" xfId="4921" xr:uid="{00000000-0005-0000-0000-00009C130000}"/>
    <cellStyle name="Normal 44" xfId="751" xr:uid="{00000000-0005-0000-0000-00009D130000}"/>
    <cellStyle name="Normal 44 2" xfId="2111" xr:uid="{00000000-0005-0000-0000-00009E130000}"/>
    <cellStyle name="Normal 44 2 2" xfId="4922" xr:uid="{00000000-0005-0000-0000-00009F130000}"/>
    <cellStyle name="Normal 44 2 3" xfId="4923" xr:uid="{00000000-0005-0000-0000-0000A0130000}"/>
    <cellStyle name="Normal 44 3" xfId="2112" xr:uid="{00000000-0005-0000-0000-0000A1130000}"/>
    <cellStyle name="Normal 44 4" xfId="6511" xr:uid="{30F3F17F-C6AF-4253-AFCE-8C29CFAE0FC3}"/>
    <cellStyle name="Normal 45" xfId="752" xr:uid="{00000000-0005-0000-0000-0000A2130000}"/>
    <cellStyle name="Normal 45 2" xfId="2113" xr:uid="{00000000-0005-0000-0000-0000A3130000}"/>
    <cellStyle name="Normal 45 2 2" xfId="4924" xr:uid="{00000000-0005-0000-0000-0000A4130000}"/>
    <cellStyle name="Normal 45 2 3" xfId="4925" xr:uid="{00000000-0005-0000-0000-0000A5130000}"/>
    <cellStyle name="Normal 45 3" xfId="4926" xr:uid="{00000000-0005-0000-0000-0000A6130000}"/>
    <cellStyle name="Normal 45 4" xfId="6707" xr:uid="{6F491C82-115B-4E40-BA09-2F9F59FCFD85}"/>
    <cellStyle name="Normal 46" xfId="753" xr:uid="{00000000-0005-0000-0000-0000A7130000}"/>
    <cellStyle name="Normal 46 2" xfId="2114" xr:uid="{00000000-0005-0000-0000-0000A8130000}"/>
    <cellStyle name="Normal 46 2 2" xfId="4927" xr:uid="{00000000-0005-0000-0000-0000A9130000}"/>
    <cellStyle name="Normal 46 2 3" xfId="4928" xr:uid="{00000000-0005-0000-0000-0000AA130000}"/>
    <cellStyle name="Normal 46 3" xfId="4929" xr:uid="{00000000-0005-0000-0000-0000AB130000}"/>
    <cellStyle name="Normal 46 4" xfId="6712" xr:uid="{CA453F7B-3C5D-4677-8DFD-CB9E32CA6DA0}"/>
    <cellStyle name="Normal 47" xfId="754" xr:uid="{00000000-0005-0000-0000-0000AC130000}"/>
    <cellStyle name="Normal 47 2" xfId="2115" xr:uid="{00000000-0005-0000-0000-0000AD130000}"/>
    <cellStyle name="Normal 47 2 2" xfId="4930" xr:uid="{00000000-0005-0000-0000-0000AE130000}"/>
    <cellStyle name="Normal 47 2 3" xfId="4931" xr:uid="{00000000-0005-0000-0000-0000AF130000}"/>
    <cellStyle name="Normal 47 3" xfId="6721" xr:uid="{E569D74F-23EC-4B5C-9E00-D0EFF9721780}"/>
    <cellStyle name="Normal 48" xfId="755" xr:uid="{00000000-0005-0000-0000-0000B0130000}"/>
    <cellStyle name="Normal 48 2" xfId="4932" xr:uid="{00000000-0005-0000-0000-0000B1130000}"/>
    <cellStyle name="Normal 48 3" xfId="4933" xr:uid="{00000000-0005-0000-0000-0000B2130000}"/>
    <cellStyle name="Normal 48 4" xfId="6729" xr:uid="{44EDDAE3-FE3D-432B-914A-C9D20E410C27}"/>
    <cellStyle name="Normal 49" xfId="756" xr:uid="{00000000-0005-0000-0000-0000B3130000}"/>
    <cellStyle name="Normal 49 2" xfId="4934" xr:uid="{00000000-0005-0000-0000-0000B4130000}"/>
    <cellStyle name="Normal 49 3" xfId="4935" xr:uid="{00000000-0005-0000-0000-0000B5130000}"/>
    <cellStyle name="Normal 49 4" xfId="2116" xr:uid="{00000000-0005-0000-0000-0000B6130000}"/>
    <cellStyle name="Normal 49 5" xfId="6738" xr:uid="{0948364D-1DBF-4D56-AA40-F49296433DDE}"/>
    <cellStyle name="Normal 5" xfId="757" xr:uid="{00000000-0005-0000-0000-0000B7130000}"/>
    <cellStyle name="Normal 5 10" xfId="4936" xr:uid="{00000000-0005-0000-0000-0000B8130000}"/>
    <cellStyle name="Normal 5 10 2" xfId="4937" xr:uid="{00000000-0005-0000-0000-0000B9130000}"/>
    <cellStyle name="Normal 5 11" xfId="4938" xr:uid="{00000000-0005-0000-0000-0000BA130000}"/>
    <cellStyle name="Normal 5 11 2" xfId="7083" xr:uid="{CE84CA44-DA9B-4F14-9115-A006E1DF755C}"/>
    <cellStyle name="Normal 5 2" xfId="758" xr:uid="{00000000-0005-0000-0000-0000BB130000}"/>
    <cellStyle name="Normal 5 2 2" xfId="759" xr:uid="{00000000-0005-0000-0000-0000BC130000}"/>
    <cellStyle name="Normal 5 2 2 2" xfId="760" xr:uid="{00000000-0005-0000-0000-0000BD130000}"/>
    <cellStyle name="Normal 5 2 2 2 2" xfId="2117" xr:uid="{00000000-0005-0000-0000-0000BE130000}"/>
    <cellStyle name="Normal 5 2 2 3" xfId="2118" xr:uid="{00000000-0005-0000-0000-0000BF130000}"/>
    <cellStyle name="Normal 5 2 2 4" xfId="5934" xr:uid="{00000000-0005-0000-0000-0000C0130000}"/>
    <cellStyle name="Normal 5 2 3" xfId="761" xr:uid="{00000000-0005-0000-0000-0000C1130000}"/>
    <cellStyle name="Normal 5 2 3 2" xfId="2119" xr:uid="{00000000-0005-0000-0000-0000C2130000}"/>
    <cellStyle name="Normal 5 2 3 2 2" xfId="4939" xr:uid="{00000000-0005-0000-0000-0000C3130000}"/>
    <cellStyle name="Normal 5 2 3 3" xfId="2120" xr:uid="{00000000-0005-0000-0000-0000C4130000}"/>
    <cellStyle name="Normal 5 2 3 4" xfId="4940" xr:uid="{00000000-0005-0000-0000-0000C5130000}"/>
    <cellStyle name="Normal 5 2 3 5" xfId="6971" xr:uid="{A1D3FB38-28BA-4D12-9475-7824CECDB9DE}"/>
    <cellStyle name="Normal 5 2 4" xfId="4941" xr:uid="{00000000-0005-0000-0000-0000C6130000}"/>
    <cellStyle name="Normal 5 2 4 2" xfId="6891" xr:uid="{EDA4A8E2-2B7A-4F24-9476-9248557703C5}"/>
    <cellStyle name="Normal 5 2 5" xfId="4942" xr:uid="{00000000-0005-0000-0000-0000C7130000}"/>
    <cellStyle name="Normal 5 2 6" xfId="5933" xr:uid="{00000000-0005-0000-0000-0000C8130000}"/>
    <cellStyle name="Normal 5 3" xfId="762" xr:uid="{00000000-0005-0000-0000-0000C9130000}"/>
    <cellStyle name="Normal 5 3 2" xfId="2121" xr:uid="{00000000-0005-0000-0000-0000CA130000}"/>
    <cellStyle name="Normal 5 3 2 2" xfId="4943" xr:uid="{00000000-0005-0000-0000-0000CB130000}"/>
    <cellStyle name="Normal 5 3 2 3" xfId="7109" xr:uid="{825A640C-59D7-4CF7-A132-8DDD20C47212}"/>
    <cellStyle name="Normal 5 3 3" xfId="5935" xr:uid="{00000000-0005-0000-0000-0000CC130000}"/>
    <cellStyle name="Normal 5 3 4" xfId="7091" xr:uid="{510003F7-FE9A-4F0B-87ED-6438EB11ED23}"/>
    <cellStyle name="Normal 5 4" xfId="763" xr:uid="{00000000-0005-0000-0000-0000CD130000}"/>
    <cellStyle name="Normal 5 4 2" xfId="4944" xr:uid="{00000000-0005-0000-0000-0000CE130000}"/>
    <cellStyle name="Normal 5 4 2 2" xfId="7110" xr:uid="{136A1640-FDFD-4EFD-AAD0-0539B5B97583}"/>
    <cellStyle name="Normal 5 4 3" xfId="6293" xr:uid="{00000000-0005-0000-0000-0000CF130000}"/>
    <cellStyle name="Normal 5 4 4" xfId="7092" xr:uid="{82A11B84-BF89-4271-8A39-66232B939A98}"/>
    <cellStyle name="Normal 5 5" xfId="764" xr:uid="{00000000-0005-0000-0000-0000D0130000}"/>
    <cellStyle name="Normal 5 5 2" xfId="2122" xr:uid="{00000000-0005-0000-0000-0000D1130000}"/>
    <cellStyle name="Normal 5 5 2 2" xfId="4945" xr:uid="{00000000-0005-0000-0000-0000D2130000}"/>
    <cellStyle name="Normal 5 5 3" xfId="7094" xr:uid="{E453868F-8970-4B64-AD3F-0A33715B075A}"/>
    <cellStyle name="Normal 5 6" xfId="765" xr:uid="{00000000-0005-0000-0000-0000D3130000}"/>
    <cellStyle name="Normal 5 6 2" xfId="2123" xr:uid="{00000000-0005-0000-0000-0000D4130000}"/>
    <cellStyle name="Normal 5 6 2 2" xfId="2124" xr:uid="{00000000-0005-0000-0000-0000D5130000}"/>
    <cellStyle name="Normal 5 6 3" xfId="2125" xr:uid="{00000000-0005-0000-0000-0000D6130000}"/>
    <cellStyle name="Normal 5 6 4" xfId="4946" xr:uid="{00000000-0005-0000-0000-0000D7130000}"/>
    <cellStyle name="Normal 5 7" xfId="766" xr:uid="{00000000-0005-0000-0000-0000D8130000}"/>
    <cellStyle name="Normal 5 7 2" xfId="2126" xr:uid="{00000000-0005-0000-0000-0000D9130000}"/>
    <cellStyle name="Normal 5 7 3" xfId="4947" xr:uid="{00000000-0005-0000-0000-0000DA130000}"/>
    <cellStyle name="Normal 5 8" xfId="767" xr:uid="{00000000-0005-0000-0000-0000DB130000}"/>
    <cellStyle name="Normal 5 8 2" xfId="4948" xr:uid="{00000000-0005-0000-0000-0000DC130000}"/>
    <cellStyle name="Normal 5 9" xfId="4949" xr:uid="{00000000-0005-0000-0000-0000DD130000}"/>
    <cellStyle name="Normal 5 9 2" xfId="7111" xr:uid="{9B7D5503-B8E7-46EC-B146-DE947CEAF19B}"/>
    <cellStyle name="Normal 5_20091215 Pinjaman RKAP 2010-COD-8%-091215-triwulanan2" xfId="768" xr:uid="{00000000-0005-0000-0000-0000DE130000}"/>
    <cellStyle name="Normal 50" xfId="769" xr:uid="{00000000-0005-0000-0000-0000DF130000}"/>
    <cellStyle name="Normal 50 2" xfId="4950" xr:uid="{00000000-0005-0000-0000-0000E0130000}"/>
    <cellStyle name="Normal 50 3" xfId="4951" xr:uid="{00000000-0005-0000-0000-0000E1130000}"/>
    <cellStyle name="Normal 50 4" xfId="6708" xr:uid="{8ADEFCAC-DD27-4821-85B1-5B1B741C668F}"/>
    <cellStyle name="Normal 51" xfId="770" xr:uid="{00000000-0005-0000-0000-0000E2130000}"/>
    <cellStyle name="Normal 51 2" xfId="4952" xr:uid="{00000000-0005-0000-0000-0000E3130000}"/>
    <cellStyle name="Normal 51 3" xfId="4953" xr:uid="{00000000-0005-0000-0000-0000E4130000}"/>
    <cellStyle name="Normal 51 4" xfId="6713" xr:uid="{2DE06C51-356C-44A9-AF6B-28F8FF26FA1C}"/>
    <cellStyle name="Normal 52" xfId="771" xr:uid="{00000000-0005-0000-0000-0000E5130000}"/>
    <cellStyle name="Normal 52 2" xfId="4954" xr:uid="{00000000-0005-0000-0000-0000E6130000}"/>
    <cellStyle name="Normal 52 2 2" xfId="4955" xr:uid="{00000000-0005-0000-0000-0000E7130000}"/>
    <cellStyle name="Normal 52 3" xfId="4956" xr:uid="{00000000-0005-0000-0000-0000E8130000}"/>
    <cellStyle name="Normal 52 4" xfId="6722" xr:uid="{FBB2D790-64C8-4BB9-A962-A6C113B299A0}"/>
    <cellStyle name="Normal 53" xfId="772" xr:uid="{00000000-0005-0000-0000-0000E9130000}"/>
    <cellStyle name="Normal 53 2" xfId="4957" xr:uid="{00000000-0005-0000-0000-0000EA130000}"/>
    <cellStyle name="Normal 53 2 2" xfId="6730" xr:uid="{4B59B412-57F3-4815-987D-502B65072BB2}"/>
    <cellStyle name="Normal 53 3" xfId="4958" xr:uid="{00000000-0005-0000-0000-0000EB130000}"/>
    <cellStyle name="Normal 53 4" xfId="6390" xr:uid="{BCAF4F90-FA2D-4764-B601-275579CD8E4D}"/>
    <cellStyle name="Normal 54" xfId="773" xr:uid="{00000000-0005-0000-0000-0000EC130000}"/>
    <cellStyle name="Normal 54 2" xfId="4959" xr:uid="{00000000-0005-0000-0000-0000ED130000}"/>
    <cellStyle name="Normal 54 2 2" xfId="5939" xr:uid="{00000000-0005-0000-0000-0000EE130000}"/>
    <cellStyle name="Normal 54 3" xfId="4960" xr:uid="{00000000-0005-0000-0000-0000EF130000}"/>
    <cellStyle name="Normal 54 3 2" xfId="6295" xr:uid="{00000000-0005-0000-0000-0000F0130000}"/>
    <cellStyle name="Normal 54 4" xfId="5938" xr:uid="{00000000-0005-0000-0000-0000F1130000}"/>
    <cellStyle name="Normal 54 5" xfId="6294" xr:uid="{00000000-0005-0000-0000-0000F2130000}"/>
    <cellStyle name="Normal 55" xfId="774" xr:uid="{00000000-0005-0000-0000-0000F3130000}"/>
    <cellStyle name="Normal 55 2" xfId="4961" xr:uid="{00000000-0005-0000-0000-0000F4130000}"/>
    <cellStyle name="Normal 55 3" xfId="4962" xr:uid="{00000000-0005-0000-0000-0000F5130000}"/>
    <cellStyle name="Normal 55 4" xfId="6296" xr:uid="{00000000-0005-0000-0000-0000F6130000}"/>
    <cellStyle name="Normal 55 5" xfId="6744" xr:uid="{EABD5063-882C-4EF4-85B7-F798F3F95956}"/>
    <cellStyle name="Normal 56" xfId="775" xr:uid="{00000000-0005-0000-0000-0000F7130000}"/>
    <cellStyle name="Normal 56 2" xfId="4963" xr:uid="{00000000-0005-0000-0000-0000F8130000}"/>
    <cellStyle name="Normal 56 3" xfId="4964" xr:uid="{00000000-0005-0000-0000-0000F9130000}"/>
    <cellStyle name="Normal 56 4" xfId="6297" xr:uid="{00000000-0005-0000-0000-0000FA130000}"/>
    <cellStyle name="Normal 56 5" xfId="6750" xr:uid="{2D4AE441-5C2F-49BB-86CB-4D76A2014184}"/>
    <cellStyle name="Normal 57" xfId="776" xr:uid="{00000000-0005-0000-0000-0000FB130000}"/>
    <cellStyle name="Normal 57 2" xfId="4965" xr:uid="{00000000-0005-0000-0000-0000FC130000}"/>
    <cellStyle name="Normal 57 2 2" xfId="4966" xr:uid="{00000000-0005-0000-0000-0000FD130000}"/>
    <cellStyle name="Normal 57 3" xfId="4967" xr:uid="{00000000-0005-0000-0000-0000FE130000}"/>
    <cellStyle name="Normal 57 4" xfId="4968" xr:uid="{00000000-0005-0000-0000-0000FF130000}"/>
    <cellStyle name="Normal 57 5" xfId="6298" xr:uid="{00000000-0005-0000-0000-000000140000}"/>
    <cellStyle name="Normal 58" xfId="777" xr:uid="{00000000-0005-0000-0000-000001140000}"/>
    <cellStyle name="Normal 58 2" xfId="4969" xr:uid="{00000000-0005-0000-0000-000002140000}"/>
    <cellStyle name="Normal 58 2 2" xfId="4970" xr:uid="{00000000-0005-0000-0000-000003140000}"/>
    <cellStyle name="Normal 58 3" xfId="4971" xr:uid="{00000000-0005-0000-0000-000004140000}"/>
    <cellStyle name="Normal 58 4" xfId="4972" xr:uid="{00000000-0005-0000-0000-000005140000}"/>
    <cellStyle name="Normal 58 5" xfId="6299" xr:uid="{00000000-0005-0000-0000-000006140000}"/>
    <cellStyle name="Normal 59" xfId="778" xr:uid="{00000000-0005-0000-0000-000007140000}"/>
    <cellStyle name="Normal 59 2" xfId="4973" xr:uid="{00000000-0005-0000-0000-000008140000}"/>
    <cellStyle name="Normal 59 2 2" xfId="4974" xr:uid="{00000000-0005-0000-0000-000009140000}"/>
    <cellStyle name="Normal 59 3" xfId="4975" xr:uid="{00000000-0005-0000-0000-00000A140000}"/>
    <cellStyle name="Normal 59 4" xfId="6300" xr:uid="{00000000-0005-0000-0000-00000B140000}"/>
    <cellStyle name="Normal 6" xfId="779" xr:uid="{00000000-0005-0000-0000-00000C140000}"/>
    <cellStyle name="Normal 6 10" xfId="4976" xr:uid="{00000000-0005-0000-0000-00000D140000}"/>
    <cellStyle name="Normal 6 10 2" xfId="4977" xr:uid="{00000000-0005-0000-0000-00000E140000}"/>
    <cellStyle name="Normal 6 10 3" xfId="6720" xr:uid="{1CA30022-11C2-4E8F-BD4F-535586EA73E9}"/>
    <cellStyle name="Normal 6 11" xfId="4978" xr:uid="{00000000-0005-0000-0000-00000F140000}"/>
    <cellStyle name="Normal 6 11 2" xfId="6728" xr:uid="{83672781-584E-410C-BD3D-5601E7E7ABF1}"/>
    <cellStyle name="Normal 6 12" xfId="5940" xr:uid="{00000000-0005-0000-0000-000010140000}"/>
    <cellStyle name="Normal 6 12 2" xfId="6737" xr:uid="{CCE807B9-71FD-4730-AFB8-5A279ED459E3}"/>
    <cellStyle name="Normal 6 13" xfId="6743" xr:uid="{3CCD325F-C521-455C-ACC9-0DE6B9C63658}"/>
    <cellStyle name="Normal 6 14" xfId="7113" xr:uid="{344DAA53-E4C1-434E-A2C2-FF189F90B067}"/>
    <cellStyle name="Normal 6 2" xfId="780" xr:uid="{00000000-0005-0000-0000-000011140000}"/>
    <cellStyle name="Normal 6 2 2" xfId="781" xr:uid="{00000000-0005-0000-0000-000012140000}"/>
    <cellStyle name="Normal 6 2 2 2" xfId="2127" xr:uid="{00000000-0005-0000-0000-000013140000}"/>
    <cellStyle name="Normal 6 2 2 2 2" xfId="4979" xr:uid="{00000000-0005-0000-0000-000014140000}"/>
    <cellStyle name="Normal 6 2 2 2 3" xfId="4980" xr:uid="{00000000-0005-0000-0000-000015140000}"/>
    <cellStyle name="Normal 6 2 2 3" xfId="4981" xr:uid="{00000000-0005-0000-0000-000016140000}"/>
    <cellStyle name="Normal 6 2 2 4" xfId="4982" xr:uid="{00000000-0005-0000-0000-000017140000}"/>
    <cellStyle name="Normal 6 2 3" xfId="2128" xr:uid="{00000000-0005-0000-0000-000018140000}"/>
    <cellStyle name="Normal 6 3" xfId="782" xr:uid="{00000000-0005-0000-0000-000019140000}"/>
    <cellStyle name="Normal 6 3 2" xfId="2129" xr:uid="{00000000-0005-0000-0000-00001A140000}"/>
    <cellStyle name="Normal 6 3 2 2" xfId="4983" xr:uid="{00000000-0005-0000-0000-00001B140000}"/>
    <cellStyle name="Normal 6 3 2 3" xfId="4984" xr:uid="{00000000-0005-0000-0000-00001C140000}"/>
    <cellStyle name="Normal 6 3 2 4" xfId="7114" xr:uid="{A9F90F4E-D46F-41D4-A9CD-F24C294C8407}"/>
    <cellStyle name="Normal 6 3 3" xfId="5942" xr:uid="{00000000-0005-0000-0000-00001D140000}"/>
    <cellStyle name="Normal 6 4" xfId="783" xr:uid="{00000000-0005-0000-0000-00001E140000}"/>
    <cellStyle name="Normal 6 4 2" xfId="2130" xr:uid="{00000000-0005-0000-0000-00001F140000}"/>
    <cellStyle name="Normal 6 4 2 2" xfId="4985" xr:uid="{00000000-0005-0000-0000-000020140000}"/>
    <cellStyle name="Normal 6 4 2 3" xfId="4986" xr:uid="{00000000-0005-0000-0000-000021140000}"/>
    <cellStyle name="Normal 6 5" xfId="784" xr:uid="{00000000-0005-0000-0000-000022140000}"/>
    <cellStyle name="Normal 6 5 2" xfId="2131" xr:uid="{00000000-0005-0000-0000-000023140000}"/>
    <cellStyle name="Normal 6 5 2 2" xfId="4987" xr:uid="{00000000-0005-0000-0000-000024140000}"/>
    <cellStyle name="Normal 6 5 2 3" xfId="4988" xr:uid="{00000000-0005-0000-0000-000025140000}"/>
    <cellStyle name="Normal 6 5 3" xfId="4989" xr:uid="{00000000-0005-0000-0000-000026140000}"/>
    <cellStyle name="Normal 6 6" xfId="785" xr:uid="{00000000-0005-0000-0000-000027140000}"/>
    <cellStyle name="Normal 6 6 2" xfId="4990" xr:uid="{00000000-0005-0000-0000-000028140000}"/>
    <cellStyle name="Normal 6 6 2 2" xfId="4991" xr:uid="{00000000-0005-0000-0000-000029140000}"/>
    <cellStyle name="Normal 6 7" xfId="786" xr:uid="{00000000-0005-0000-0000-00002A140000}"/>
    <cellStyle name="Normal 6 7 2" xfId="4992" xr:uid="{00000000-0005-0000-0000-00002B140000}"/>
    <cellStyle name="Normal 6 7 2 2" xfId="4993" xr:uid="{00000000-0005-0000-0000-00002C140000}"/>
    <cellStyle name="Normal 6 8" xfId="787" xr:uid="{00000000-0005-0000-0000-00002D140000}"/>
    <cellStyle name="Normal 6 9" xfId="788" xr:uid="{00000000-0005-0000-0000-00002E140000}"/>
    <cellStyle name="Normal 6 9 2" xfId="4994" xr:uid="{00000000-0005-0000-0000-00002F140000}"/>
    <cellStyle name="Normal 6 9 2 2" xfId="4995" xr:uid="{00000000-0005-0000-0000-000030140000}"/>
    <cellStyle name="Normal 6 9 3" xfId="4996" xr:uid="{00000000-0005-0000-0000-000031140000}"/>
    <cellStyle name="Normal 6 9 4" xfId="4997" xr:uid="{00000000-0005-0000-0000-000032140000}"/>
    <cellStyle name="Normal 6_REAL KINERJA GTLO 2009" xfId="4998" xr:uid="{00000000-0005-0000-0000-000033140000}"/>
    <cellStyle name="Normal 60" xfId="789" xr:uid="{00000000-0005-0000-0000-000034140000}"/>
    <cellStyle name="Normal 60 2" xfId="6301" xr:uid="{00000000-0005-0000-0000-000035140000}"/>
    <cellStyle name="Normal 61" xfId="790" xr:uid="{00000000-0005-0000-0000-000036140000}"/>
    <cellStyle name="Normal 61 2" xfId="4999" xr:uid="{00000000-0005-0000-0000-000037140000}"/>
    <cellStyle name="Normal 61 3" xfId="6302" xr:uid="{00000000-0005-0000-0000-000038140000}"/>
    <cellStyle name="Normal 61 4" xfId="6749" xr:uid="{5FDA91D7-4443-4FF0-A7FF-4F266DEE0133}"/>
    <cellStyle name="Normal 62" xfId="791" xr:uid="{00000000-0005-0000-0000-000039140000}"/>
    <cellStyle name="Normal 62 2" xfId="5000" xr:uid="{00000000-0005-0000-0000-00003A140000}"/>
    <cellStyle name="Normal 62 2 2" xfId="5001" xr:uid="{00000000-0005-0000-0000-00003B140000}"/>
    <cellStyle name="Normal 62 3" xfId="5002" xr:uid="{00000000-0005-0000-0000-00003C140000}"/>
    <cellStyle name="Normal 62 4" xfId="6303" xr:uid="{00000000-0005-0000-0000-00003D140000}"/>
    <cellStyle name="Normal 63" xfId="792" xr:uid="{00000000-0005-0000-0000-00003E140000}"/>
    <cellStyle name="Normal 63 10" xfId="2340" xr:uid="{00000000-0005-0000-0000-00003F140000}"/>
    <cellStyle name="Normal 63 11" xfId="6417" xr:uid="{A8D3D2A8-891F-4065-BD7C-B9F22248B569}"/>
    <cellStyle name="Normal 63 2" xfId="11" xr:uid="{00000000-0005-0000-0000-000040140000}"/>
    <cellStyle name="Normal 63 2 2" xfId="982" xr:uid="{00000000-0005-0000-0000-000041140000}"/>
    <cellStyle name="Normal 63 2 3" xfId="983" xr:uid="{00000000-0005-0000-0000-000042140000}"/>
    <cellStyle name="Normal 63 2 4" xfId="984" xr:uid="{00000000-0005-0000-0000-000043140000}"/>
    <cellStyle name="Normal 63 2 5" xfId="1018" xr:uid="{00000000-0005-0000-0000-000044140000}"/>
    <cellStyle name="Normal 63 2 6" xfId="6355" xr:uid="{00000000-0005-0000-0000-000045140000}"/>
    <cellStyle name="Normal 63 3" xfId="10" xr:uid="{00000000-0005-0000-0000-000046140000}"/>
    <cellStyle name="Normal 63 3 2" xfId="992" xr:uid="{00000000-0005-0000-0000-000047140000}"/>
    <cellStyle name="Normal 63 3 3" xfId="1005" xr:uid="{00000000-0005-0000-0000-000048140000}"/>
    <cellStyle name="Normal 63 3 4" xfId="1012" xr:uid="{00000000-0005-0000-0000-000049140000}"/>
    <cellStyle name="Normal 63 3 5" xfId="1024" xr:uid="{00000000-0005-0000-0000-00004A140000}"/>
    <cellStyle name="Normal 63 3 6" xfId="1031" xr:uid="{00000000-0005-0000-0000-00004B140000}"/>
    <cellStyle name="Normal 63 3 7" xfId="1038" xr:uid="{00000000-0005-0000-0000-00004C140000}"/>
    <cellStyle name="Normal 63 3 8" xfId="1045" xr:uid="{00000000-0005-0000-0000-00004D140000}"/>
    <cellStyle name="Normal 63 4" xfId="1006" xr:uid="{00000000-0005-0000-0000-00004E140000}"/>
    <cellStyle name="Normal 63 5" xfId="1013" xr:uid="{00000000-0005-0000-0000-00004F140000}"/>
    <cellStyle name="Normal 63 6" xfId="1025" xr:uid="{00000000-0005-0000-0000-000050140000}"/>
    <cellStyle name="Normal 63 7" xfId="1032" xr:uid="{00000000-0005-0000-0000-000051140000}"/>
    <cellStyle name="Normal 63 8" xfId="1039" xr:uid="{00000000-0005-0000-0000-000052140000}"/>
    <cellStyle name="Normal 63 9" xfId="1046" xr:uid="{00000000-0005-0000-0000-000053140000}"/>
    <cellStyle name="Normal 64" xfId="793" xr:uid="{00000000-0005-0000-0000-000054140000}"/>
    <cellStyle name="Normal 64 2" xfId="5003" xr:uid="{00000000-0005-0000-0000-000055140000}"/>
    <cellStyle name="Normal 64 3" xfId="5004" xr:uid="{00000000-0005-0000-0000-000056140000}"/>
    <cellStyle name="Normal 64 4" xfId="5005" xr:uid="{00000000-0005-0000-0000-000057140000}"/>
    <cellStyle name="Normal 64 5" xfId="5006" xr:uid="{00000000-0005-0000-0000-000058140000}"/>
    <cellStyle name="Normal 64 6" xfId="5007" xr:uid="{00000000-0005-0000-0000-000059140000}"/>
    <cellStyle name="Normal 64 7" xfId="7112" xr:uid="{EA1960AF-A4B0-4AEF-8029-3049542EACC8}"/>
    <cellStyle name="Normal 65" xfId="5008" xr:uid="{00000000-0005-0000-0000-00005A140000}"/>
    <cellStyle name="Normal 65 2" xfId="5009" xr:uid="{00000000-0005-0000-0000-00005B140000}"/>
    <cellStyle name="Normal 65 3" xfId="7116" xr:uid="{AA825CEE-A9E7-46E7-9673-1D0DC0901CCB}"/>
    <cellStyle name="Normal 66" xfId="5010" xr:uid="{00000000-0005-0000-0000-00005C140000}"/>
    <cellStyle name="Normal 66 2" xfId="5011" xr:uid="{00000000-0005-0000-0000-00005D140000}"/>
    <cellStyle name="Normal 66 3" xfId="7118" xr:uid="{D65B6E5E-E61C-4F62-AA37-B573651AF4AF}"/>
    <cellStyle name="Normal 67" xfId="5012" xr:uid="{00000000-0005-0000-0000-00005E140000}"/>
    <cellStyle name="Normal 67 2" xfId="5013" xr:uid="{00000000-0005-0000-0000-00005F140000}"/>
    <cellStyle name="Normal 68" xfId="5014" xr:uid="{00000000-0005-0000-0000-000060140000}"/>
    <cellStyle name="Normal 68 2" xfId="5015" xr:uid="{00000000-0005-0000-0000-000061140000}"/>
    <cellStyle name="Normal 68 3" xfId="7119" xr:uid="{0F599A6B-6294-4CA1-9EFC-06BBC1068319}"/>
    <cellStyle name="Normal 69" xfId="5016" xr:uid="{00000000-0005-0000-0000-000062140000}"/>
    <cellStyle name="Normal 69 2" xfId="5017" xr:uid="{00000000-0005-0000-0000-000063140000}"/>
    <cellStyle name="Normal 69 3" xfId="7121" xr:uid="{0ED6BFEB-EBAD-4ABB-977F-035828862005}"/>
    <cellStyle name="Normal 7" xfId="794" xr:uid="{00000000-0005-0000-0000-000064140000}"/>
    <cellStyle name="Normal 7 2" xfId="795" xr:uid="{00000000-0005-0000-0000-000065140000}"/>
    <cellStyle name="Normal 7 2 2" xfId="796" xr:uid="{00000000-0005-0000-0000-000066140000}"/>
    <cellStyle name="Normal 7 2 2 2" xfId="797" xr:uid="{00000000-0005-0000-0000-000067140000}"/>
    <cellStyle name="Normal 7 2 2 2 2" xfId="5018" xr:uid="{00000000-0005-0000-0000-000068140000}"/>
    <cellStyle name="Normal 7 2 2 2 2 2" xfId="7051" xr:uid="{125229BF-2301-4AA3-9806-6710A93B558A}"/>
    <cellStyle name="Normal 7 2 2 2 3" xfId="7031" xr:uid="{C4D455DC-BEF6-41C9-B443-B4285F07F712}"/>
    <cellStyle name="Normal 7 2 2 3" xfId="5019" xr:uid="{00000000-0005-0000-0000-000069140000}"/>
    <cellStyle name="Normal 7 2 2 4" xfId="5020" xr:uid="{00000000-0005-0000-0000-00006A140000}"/>
    <cellStyle name="Normal 7 2 3" xfId="5021" xr:uid="{00000000-0005-0000-0000-00006B140000}"/>
    <cellStyle name="Normal 7 2 3 2" xfId="6992" xr:uid="{91A9E7A1-C78B-4580-BA5A-48CEE88BB011}"/>
    <cellStyle name="Normal 7 2 4" xfId="6414" xr:uid="{0B1B7451-0C44-4B55-B83B-72AA60FBEC23}"/>
    <cellStyle name="Normal 7 3" xfId="798" xr:uid="{00000000-0005-0000-0000-00006C140000}"/>
    <cellStyle name="Normal 7 3 2" xfId="2132" xr:uid="{00000000-0005-0000-0000-00006D140000}"/>
    <cellStyle name="Normal 7 3 3" xfId="5022" xr:uid="{00000000-0005-0000-0000-00006E140000}"/>
    <cellStyle name="Normal 7 3 4" xfId="5944" xr:uid="{00000000-0005-0000-0000-00006F140000}"/>
    <cellStyle name="Normal 7 4" xfId="799" xr:uid="{00000000-0005-0000-0000-000070140000}"/>
    <cellStyle name="Normal 7 4 2" xfId="5023" xr:uid="{00000000-0005-0000-0000-000071140000}"/>
    <cellStyle name="Normal 7 5" xfId="800" xr:uid="{00000000-0005-0000-0000-000072140000}"/>
    <cellStyle name="Normal 7 5 2" xfId="2133" xr:uid="{00000000-0005-0000-0000-000073140000}"/>
    <cellStyle name="Normal 7 5 3" xfId="7075" xr:uid="{8A5B5A80-3316-48A3-B793-AF911EEB5F39}"/>
    <cellStyle name="Normal 7 6" xfId="2134" xr:uid="{00000000-0005-0000-0000-000074140000}"/>
    <cellStyle name="Normal 7 6 2" xfId="5024" xr:uid="{00000000-0005-0000-0000-000075140000}"/>
    <cellStyle name="Normal 7 6 3" xfId="6784" xr:uid="{C649C4D3-AA64-4FBF-943A-F58E992B5977}"/>
    <cellStyle name="Normal 7 7" xfId="5025" xr:uid="{00000000-0005-0000-0000-000076140000}"/>
    <cellStyle name="Normal 7 8" xfId="5943" xr:uid="{00000000-0005-0000-0000-000077140000}"/>
    <cellStyle name="Normal 70" xfId="5026" xr:uid="{00000000-0005-0000-0000-000078140000}"/>
    <cellStyle name="Normal 70 2" xfId="5027" xr:uid="{00000000-0005-0000-0000-000079140000}"/>
    <cellStyle name="Normal 70 3" xfId="5028" xr:uid="{00000000-0005-0000-0000-00007A140000}"/>
    <cellStyle name="Normal 70 4" xfId="7115" xr:uid="{2586730F-F1A8-4B38-8294-455F4BB6AF93}"/>
    <cellStyle name="Normal 71" xfId="5029" xr:uid="{00000000-0005-0000-0000-00007B140000}"/>
    <cellStyle name="Normal 71 2" xfId="5030" xr:uid="{00000000-0005-0000-0000-00007C140000}"/>
    <cellStyle name="Normal 71 3" xfId="7117" xr:uid="{1EE2F53A-ED22-4DBA-8664-9695D1BFB91A}"/>
    <cellStyle name="Normal 72" xfId="5031" xr:uid="{00000000-0005-0000-0000-00007D140000}"/>
    <cellStyle name="Normal 72 2" xfId="5032" xr:uid="{00000000-0005-0000-0000-00007E140000}"/>
    <cellStyle name="Normal 72 3" xfId="6418" xr:uid="{17A26B0D-135B-486D-81B7-0436D137DF59}"/>
    <cellStyle name="Normal 73" xfId="5033" xr:uid="{00000000-0005-0000-0000-00007F140000}"/>
    <cellStyle name="Normal 73 2" xfId="5034" xr:uid="{00000000-0005-0000-0000-000080140000}"/>
    <cellStyle name="Normal 73 3" xfId="5035" xr:uid="{00000000-0005-0000-0000-000081140000}"/>
    <cellStyle name="Normal 73 3 2" xfId="6415" xr:uid="{58BCFDEE-637C-4007-9930-40B841757172}"/>
    <cellStyle name="Normal 74" xfId="5036" xr:uid="{00000000-0005-0000-0000-000082140000}"/>
    <cellStyle name="Normal 74 2" xfId="5037" xr:uid="{00000000-0005-0000-0000-000083140000}"/>
    <cellStyle name="Normal 74 3" xfId="7120" xr:uid="{23538D12-AC3D-45D5-8A84-F4F0EE265B72}"/>
    <cellStyle name="Normal 75" xfId="5038" xr:uid="{00000000-0005-0000-0000-000084140000}"/>
    <cellStyle name="Normal 75 2" xfId="7124" xr:uid="{92C8A4C3-F81C-4A09-937B-8C7DF8AAD304}"/>
    <cellStyle name="Normal 76" xfId="5039" xr:uid="{00000000-0005-0000-0000-000085140000}"/>
    <cellStyle name="Normal 77" xfId="5040" xr:uid="{00000000-0005-0000-0000-000086140000}"/>
    <cellStyle name="Normal 77 2" xfId="6405" xr:uid="{8D0D8B29-FEB8-4926-B110-CEE7A05EBB28}"/>
    <cellStyle name="Normal 78" xfId="5041" xr:uid="{00000000-0005-0000-0000-000087140000}"/>
    <cellStyle name="Normal 79" xfId="5653" xr:uid="{00000000-0005-0000-0000-000088140000}"/>
    <cellStyle name="Normal 8" xfId="801" xr:uid="{00000000-0005-0000-0000-000089140000}"/>
    <cellStyle name="Normal 8 2" xfId="802" xr:uid="{00000000-0005-0000-0000-00008A140000}"/>
    <cellStyle name="Normal 8 2 2" xfId="803" xr:uid="{00000000-0005-0000-0000-00008B140000}"/>
    <cellStyle name="Normal 8 2 2 2" xfId="2135" xr:uid="{00000000-0005-0000-0000-00008C140000}"/>
    <cellStyle name="Normal 8 2 2 3" xfId="7025" xr:uid="{7BD922A1-F44F-4B17-8B73-99BDBFC0F9A0}"/>
    <cellStyle name="Normal 8 2 3" xfId="2136" xr:uid="{00000000-0005-0000-0000-00008D140000}"/>
    <cellStyle name="Normal 8 2 4" xfId="5042" xr:uid="{00000000-0005-0000-0000-00008E140000}"/>
    <cellStyle name="Normal 8 2 6" xfId="2137" xr:uid="{00000000-0005-0000-0000-00008F140000}"/>
    <cellStyle name="Normal 8 3" xfId="804" xr:uid="{00000000-0005-0000-0000-000090140000}"/>
    <cellStyle name="Normal 8 3 2" xfId="5043" xr:uid="{00000000-0005-0000-0000-000091140000}"/>
    <cellStyle name="Normal 8 4" xfId="805" xr:uid="{00000000-0005-0000-0000-000092140000}"/>
    <cellStyle name="Normal 8 4 2" xfId="5044" xr:uid="{00000000-0005-0000-0000-000093140000}"/>
    <cellStyle name="Normal 8 4 3" xfId="7125" xr:uid="{ED5FEA0C-24E1-4503-94CB-7464BDF31622}"/>
    <cellStyle name="Normal 8 5" xfId="806" xr:uid="{00000000-0005-0000-0000-000094140000}"/>
    <cellStyle name="Normal 8 5 2" xfId="2138" xr:uid="{00000000-0005-0000-0000-000095140000}"/>
    <cellStyle name="Normal 8 6" xfId="2139" xr:uid="{00000000-0005-0000-0000-000096140000}"/>
    <cellStyle name="Normal 8 7" xfId="5045" xr:uid="{00000000-0005-0000-0000-000097140000}"/>
    <cellStyle name="Normal 8 8" xfId="5945" xr:uid="{00000000-0005-0000-0000-000098140000}"/>
    <cellStyle name="Normal 8 9" xfId="6392" xr:uid="{5552D2D1-CB75-43CD-A128-E0CEF056358E}"/>
    <cellStyle name="Normal 80" xfId="2330" xr:uid="{00000000-0005-0000-0000-000099140000}"/>
    <cellStyle name="Normal 80 2" xfId="2140" xr:uid="{00000000-0005-0000-0000-00009A140000}"/>
    <cellStyle name="Normal 80 2 2" xfId="2338" xr:uid="{00000000-0005-0000-0000-00009B140000}"/>
    <cellStyle name="Normal 80 2 3" xfId="6372" xr:uid="{62FF7306-09B2-4EDB-9114-00C07A3C0816}"/>
    <cellStyle name="Normal 80 3" xfId="6376" xr:uid="{EE20FFF4-EEAD-450A-8BF3-C64FA77978B7}"/>
    <cellStyle name="Normal 81" xfId="5976" xr:uid="{00000000-0005-0000-0000-00009C140000}"/>
    <cellStyle name="Normal 82" xfId="6008" xr:uid="{00000000-0005-0000-0000-00009D140000}"/>
    <cellStyle name="Normal 83" xfId="6011" xr:uid="{00000000-0005-0000-0000-00009E140000}"/>
    <cellStyle name="Normal 84" xfId="6012" xr:uid="{00000000-0005-0000-0000-00009F140000}"/>
    <cellStyle name="Normal 85" xfId="6013" xr:uid="{00000000-0005-0000-0000-0000A0140000}"/>
    <cellStyle name="Normal 86" xfId="6014" xr:uid="{00000000-0005-0000-0000-0000A1140000}"/>
    <cellStyle name="Normal 87" xfId="6015" xr:uid="{00000000-0005-0000-0000-0000A2140000}"/>
    <cellStyle name="Normal 88" xfId="6016" xr:uid="{00000000-0005-0000-0000-0000A3140000}"/>
    <cellStyle name="Normal 89" xfId="6017" xr:uid="{00000000-0005-0000-0000-0000A4140000}"/>
    <cellStyle name="Normal 9" xfId="807" xr:uid="{00000000-0005-0000-0000-0000A5140000}"/>
    <cellStyle name="Normal 9 2" xfId="808" xr:uid="{00000000-0005-0000-0000-0000A6140000}"/>
    <cellStyle name="Normal 9 2 2" xfId="809" xr:uid="{00000000-0005-0000-0000-0000A7140000}"/>
    <cellStyle name="Normal 9 2 2 2" xfId="810" xr:uid="{00000000-0005-0000-0000-0000A8140000}"/>
    <cellStyle name="Normal 9 2 2 3" xfId="5046" xr:uid="{00000000-0005-0000-0000-0000A9140000}"/>
    <cellStyle name="Normal 9 2 2 4" xfId="5047" xr:uid="{00000000-0005-0000-0000-0000AA140000}"/>
    <cellStyle name="Normal 9 2 2 5" xfId="7128" xr:uid="{2621619A-D1A3-4436-B022-380C25C9A7B6}"/>
    <cellStyle name="Normal 9 2 3" xfId="5048" xr:uid="{00000000-0005-0000-0000-0000AB140000}"/>
    <cellStyle name="Normal 9 2 4" xfId="7127" xr:uid="{DE6E21DD-B938-4EAE-99A2-49E8C30E9103}"/>
    <cellStyle name="Normal 9 2_BukuBesar" xfId="5049" xr:uid="{00000000-0005-0000-0000-0000AC140000}"/>
    <cellStyle name="Normal 9 3" xfId="811" xr:uid="{00000000-0005-0000-0000-0000AD140000}"/>
    <cellStyle name="Normal 9 3 2" xfId="2141" xr:uid="{00000000-0005-0000-0000-0000AE140000}"/>
    <cellStyle name="Normal 9 3 2 2" xfId="5050" xr:uid="{00000000-0005-0000-0000-0000AF140000}"/>
    <cellStyle name="Normal 9 3 3" xfId="7129" xr:uid="{8230B350-754B-46A9-BB70-0B14BE78075D}"/>
    <cellStyle name="Normal 9 4" xfId="812" xr:uid="{00000000-0005-0000-0000-0000B0140000}"/>
    <cellStyle name="Normal 9 4 2" xfId="2142" xr:uid="{00000000-0005-0000-0000-0000B1140000}"/>
    <cellStyle name="Normal 9 4 3" xfId="7130" xr:uid="{9D3E69CD-3411-4126-8F7E-ACFA9437EF01}"/>
    <cellStyle name="Normal 9 5" xfId="2143" xr:uid="{00000000-0005-0000-0000-0000B2140000}"/>
    <cellStyle name="Normal 9 5 2" xfId="5051" xr:uid="{00000000-0005-0000-0000-0000B3140000}"/>
    <cellStyle name="Normal 9 5 3" xfId="7126" xr:uid="{5AFC7AA9-9D78-413E-A2B6-533EE7029F45}"/>
    <cellStyle name="Normal 9 6" xfId="5052" xr:uid="{00000000-0005-0000-0000-0000B4140000}"/>
    <cellStyle name="Normal 9 7" xfId="5053" xr:uid="{00000000-0005-0000-0000-0000B5140000}"/>
    <cellStyle name="Normal 9 8" xfId="5054" xr:uid="{00000000-0005-0000-0000-0000B6140000}"/>
    <cellStyle name="Normal 9_BukuBesar" xfId="5055" xr:uid="{00000000-0005-0000-0000-0000B7140000}"/>
    <cellStyle name="Normal 90" xfId="6018" xr:uid="{00000000-0005-0000-0000-0000B8140000}"/>
    <cellStyle name="Normal 91" xfId="6356" xr:uid="{A60329A2-E5DE-4F08-AEED-7480F05E45ED}"/>
    <cellStyle name="Normal 92" xfId="7182" xr:uid="{442195C3-84E9-46BD-AA95-69DF21B7FCFB}"/>
    <cellStyle name="Normale_pldt" xfId="813" xr:uid="{00000000-0005-0000-0000-0000B9140000}"/>
    <cellStyle name="Note 10" xfId="814" xr:uid="{00000000-0005-0000-0000-0000BA140000}"/>
    <cellStyle name="Note 10 2" xfId="2144" xr:uid="{00000000-0005-0000-0000-0000BB140000}"/>
    <cellStyle name="Note 10 2 2" xfId="5056" xr:uid="{00000000-0005-0000-0000-0000BC140000}"/>
    <cellStyle name="Note 10 2 3" xfId="5057" xr:uid="{00000000-0005-0000-0000-0000BD140000}"/>
    <cellStyle name="Note 10 3" xfId="2145" xr:uid="{00000000-0005-0000-0000-0000BE140000}"/>
    <cellStyle name="Note 10 3 2" xfId="5058" xr:uid="{00000000-0005-0000-0000-0000BF140000}"/>
    <cellStyle name="Note 10 4" xfId="5059" xr:uid="{00000000-0005-0000-0000-0000C0140000}"/>
    <cellStyle name="Note 10 5" xfId="5060" xr:uid="{00000000-0005-0000-0000-0000C1140000}"/>
    <cellStyle name="Note 10_BukuBesar" xfId="5061" xr:uid="{00000000-0005-0000-0000-0000C2140000}"/>
    <cellStyle name="Note 11" xfId="815" xr:uid="{00000000-0005-0000-0000-0000C3140000}"/>
    <cellStyle name="Note 11 2" xfId="2146" xr:uid="{00000000-0005-0000-0000-0000C4140000}"/>
    <cellStyle name="Note 11 2 2" xfId="5062" xr:uid="{00000000-0005-0000-0000-0000C5140000}"/>
    <cellStyle name="Note 11 2 3" xfId="5063" xr:uid="{00000000-0005-0000-0000-0000C6140000}"/>
    <cellStyle name="Note 11 3" xfId="2147" xr:uid="{00000000-0005-0000-0000-0000C7140000}"/>
    <cellStyle name="Note 11 3 2" xfId="5064" xr:uid="{00000000-0005-0000-0000-0000C8140000}"/>
    <cellStyle name="Note 11 4" xfId="5065" xr:uid="{00000000-0005-0000-0000-0000C9140000}"/>
    <cellStyle name="Note 11 5" xfId="5066" xr:uid="{00000000-0005-0000-0000-0000CA140000}"/>
    <cellStyle name="Note 11_BukuBesar" xfId="5067" xr:uid="{00000000-0005-0000-0000-0000CB140000}"/>
    <cellStyle name="Note 12" xfId="816" xr:uid="{00000000-0005-0000-0000-0000CC140000}"/>
    <cellStyle name="Note 12 2" xfId="2148" xr:uid="{00000000-0005-0000-0000-0000CD140000}"/>
    <cellStyle name="Note 12 2 2" xfId="2149" xr:uid="{00000000-0005-0000-0000-0000CE140000}"/>
    <cellStyle name="Note 12 2 2 2" xfId="5068" xr:uid="{00000000-0005-0000-0000-0000CF140000}"/>
    <cellStyle name="Note 12 2 3" xfId="5069" xr:uid="{00000000-0005-0000-0000-0000D0140000}"/>
    <cellStyle name="Note 12 3" xfId="2150" xr:uid="{00000000-0005-0000-0000-0000D1140000}"/>
    <cellStyle name="Note 12 3 2" xfId="2151" xr:uid="{00000000-0005-0000-0000-0000D2140000}"/>
    <cellStyle name="Note 12 3 3" xfId="5070" xr:uid="{00000000-0005-0000-0000-0000D3140000}"/>
    <cellStyle name="Note 12 4" xfId="2152" xr:uid="{00000000-0005-0000-0000-0000D4140000}"/>
    <cellStyle name="Note 12 4 2" xfId="5071" xr:uid="{00000000-0005-0000-0000-0000D5140000}"/>
    <cellStyle name="Note 12_BukuBesar" xfId="5072" xr:uid="{00000000-0005-0000-0000-0000D6140000}"/>
    <cellStyle name="Note 13" xfId="817" xr:uid="{00000000-0005-0000-0000-0000D7140000}"/>
    <cellStyle name="Note 13 2" xfId="2153" xr:uid="{00000000-0005-0000-0000-0000D8140000}"/>
    <cellStyle name="Note 13 2 2" xfId="2154" xr:uid="{00000000-0005-0000-0000-0000D9140000}"/>
    <cellStyle name="Note 13 2 2 2" xfId="5073" xr:uid="{00000000-0005-0000-0000-0000DA140000}"/>
    <cellStyle name="Note 13 2 3" xfId="5074" xr:uid="{00000000-0005-0000-0000-0000DB140000}"/>
    <cellStyle name="Note 13 3" xfId="2155" xr:uid="{00000000-0005-0000-0000-0000DC140000}"/>
    <cellStyle name="Note 13 3 2" xfId="2156" xr:uid="{00000000-0005-0000-0000-0000DD140000}"/>
    <cellStyle name="Note 13 3 3" xfId="5075" xr:uid="{00000000-0005-0000-0000-0000DE140000}"/>
    <cellStyle name="Note 13 4" xfId="2157" xr:uid="{00000000-0005-0000-0000-0000DF140000}"/>
    <cellStyle name="Note 13 4 2" xfId="5076" xr:uid="{00000000-0005-0000-0000-0000E0140000}"/>
    <cellStyle name="Note 13_BukuBesar" xfId="5077" xr:uid="{00000000-0005-0000-0000-0000E1140000}"/>
    <cellStyle name="Note 14" xfId="5078" xr:uid="{00000000-0005-0000-0000-0000E2140000}"/>
    <cellStyle name="Note 14 2" xfId="5079" xr:uid="{00000000-0005-0000-0000-0000E3140000}"/>
    <cellStyle name="Note 14 2 2" xfId="5080" xr:uid="{00000000-0005-0000-0000-0000E4140000}"/>
    <cellStyle name="Note 14 3" xfId="5081" xr:uid="{00000000-0005-0000-0000-0000E5140000}"/>
    <cellStyle name="Note 14_BukuBesar" xfId="5082" xr:uid="{00000000-0005-0000-0000-0000E6140000}"/>
    <cellStyle name="Note 15" xfId="5083" xr:uid="{00000000-0005-0000-0000-0000E7140000}"/>
    <cellStyle name="Note 15 2" xfId="5084" xr:uid="{00000000-0005-0000-0000-0000E8140000}"/>
    <cellStyle name="Note 15 2 2" xfId="5085" xr:uid="{00000000-0005-0000-0000-0000E9140000}"/>
    <cellStyle name="Note 15 3" xfId="5086" xr:uid="{00000000-0005-0000-0000-0000EA140000}"/>
    <cellStyle name="Note 15_BukuBesar" xfId="5087" xr:uid="{00000000-0005-0000-0000-0000EB140000}"/>
    <cellStyle name="Note 16" xfId="5088" xr:uid="{00000000-0005-0000-0000-0000EC140000}"/>
    <cellStyle name="Note 16 2" xfId="5089" xr:uid="{00000000-0005-0000-0000-0000ED140000}"/>
    <cellStyle name="Note 16 2 2" xfId="5090" xr:uid="{00000000-0005-0000-0000-0000EE140000}"/>
    <cellStyle name="Note 16 3" xfId="5091" xr:uid="{00000000-0005-0000-0000-0000EF140000}"/>
    <cellStyle name="Note 16_BukuBesar" xfId="5092" xr:uid="{00000000-0005-0000-0000-0000F0140000}"/>
    <cellStyle name="Note 17" xfId="5093" xr:uid="{00000000-0005-0000-0000-0000F1140000}"/>
    <cellStyle name="Note 17 2" xfId="5094" xr:uid="{00000000-0005-0000-0000-0000F2140000}"/>
    <cellStyle name="Note 17 2 2" xfId="5095" xr:uid="{00000000-0005-0000-0000-0000F3140000}"/>
    <cellStyle name="Note 17 3" xfId="5096" xr:uid="{00000000-0005-0000-0000-0000F4140000}"/>
    <cellStyle name="Note 17_BukuBesar" xfId="5097" xr:uid="{00000000-0005-0000-0000-0000F5140000}"/>
    <cellStyle name="Note 18" xfId="5098" xr:uid="{00000000-0005-0000-0000-0000F6140000}"/>
    <cellStyle name="Note 18 2" xfId="5099" xr:uid="{00000000-0005-0000-0000-0000F7140000}"/>
    <cellStyle name="Note 18 2 2" xfId="5100" xr:uid="{00000000-0005-0000-0000-0000F8140000}"/>
    <cellStyle name="Note 18 3" xfId="5101" xr:uid="{00000000-0005-0000-0000-0000F9140000}"/>
    <cellStyle name="Note 18_BukuBesar" xfId="5102" xr:uid="{00000000-0005-0000-0000-0000FA140000}"/>
    <cellStyle name="Note 19" xfId="5103" xr:uid="{00000000-0005-0000-0000-0000FB140000}"/>
    <cellStyle name="Note 19 2" xfId="5104" xr:uid="{00000000-0005-0000-0000-0000FC140000}"/>
    <cellStyle name="Note 19 2 2" xfId="5105" xr:uid="{00000000-0005-0000-0000-0000FD140000}"/>
    <cellStyle name="Note 19 3" xfId="5106" xr:uid="{00000000-0005-0000-0000-0000FE140000}"/>
    <cellStyle name="Note 19_BukuBesar" xfId="5107" xr:uid="{00000000-0005-0000-0000-0000FF140000}"/>
    <cellStyle name="Note 2" xfId="818" xr:uid="{00000000-0005-0000-0000-000000150000}"/>
    <cellStyle name="Note 2 10" xfId="5108" xr:uid="{00000000-0005-0000-0000-000001150000}"/>
    <cellStyle name="Note 2 10 2" xfId="5109" xr:uid="{00000000-0005-0000-0000-000002150000}"/>
    <cellStyle name="Note 2 10 2 2" xfId="5110" xr:uid="{00000000-0005-0000-0000-000003150000}"/>
    <cellStyle name="Note 2 10 3" xfId="5111" xr:uid="{00000000-0005-0000-0000-000004150000}"/>
    <cellStyle name="Note 2 10_BukuBesar" xfId="5112" xr:uid="{00000000-0005-0000-0000-000005150000}"/>
    <cellStyle name="Note 2 11" xfId="5113" xr:uid="{00000000-0005-0000-0000-000006150000}"/>
    <cellStyle name="Note 2 11 2" xfId="5114" xr:uid="{00000000-0005-0000-0000-000007150000}"/>
    <cellStyle name="Note 2 11 2 2" xfId="5115" xr:uid="{00000000-0005-0000-0000-000008150000}"/>
    <cellStyle name="Note 2 11 3" xfId="5116" xr:uid="{00000000-0005-0000-0000-000009150000}"/>
    <cellStyle name="Note 2 11_BukuBesar" xfId="5117" xr:uid="{00000000-0005-0000-0000-00000A150000}"/>
    <cellStyle name="Note 2 12" xfId="5118" xr:uid="{00000000-0005-0000-0000-00000B150000}"/>
    <cellStyle name="Note 2 12 2" xfId="5119" xr:uid="{00000000-0005-0000-0000-00000C150000}"/>
    <cellStyle name="Note 2 12 2 2" xfId="5120" xr:uid="{00000000-0005-0000-0000-00000D150000}"/>
    <cellStyle name="Note 2 12 3" xfId="5121" xr:uid="{00000000-0005-0000-0000-00000E150000}"/>
    <cellStyle name="Note 2 12_BukuBesar" xfId="5122" xr:uid="{00000000-0005-0000-0000-00000F150000}"/>
    <cellStyle name="Note 2 13" xfId="5123" xr:uid="{00000000-0005-0000-0000-000010150000}"/>
    <cellStyle name="Note 2 13 2" xfId="5124" xr:uid="{00000000-0005-0000-0000-000011150000}"/>
    <cellStyle name="Note 2 13 2 2" xfId="5125" xr:uid="{00000000-0005-0000-0000-000012150000}"/>
    <cellStyle name="Note 2 13 3" xfId="5126" xr:uid="{00000000-0005-0000-0000-000013150000}"/>
    <cellStyle name="Note 2 13_BukuBesar" xfId="5127" xr:uid="{00000000-0005-0000-0000-000014150000}"/>
    <cellStyle name="Note 2 14" xfId="5128" xr:uid="{00000000-0005-0000-0000-000015150000}"/>
    <cellStyle name="Note 2 14 2" xfId="5129" xr:uid="{00000000-0005-0000-0000-000016150000}"/>
    <cellStyle name="Note 2 14 2 2" xfId="5130" xr:uid="{00000000-0005-0000-0000-000017150000}"/>
    <cellStyle name="Note 2 14 3" xfId="5131" xr:uid="{00000000-0005-0000-0000-000018150000}"/>
    <cellStyle name="Note 2 14_BukuBesar" xfId="5132" xr:uid="{00000000-0005-0000-0000-000019150000}"/>
    <cellStyle name="Note 2 15" xfId="5133" xr:uid="{00000000-0005-0000-0000-00001A150000}"/>
    <cellStyle name="Note 2 15 2" xfId="5134" xr:uid="{00000000-0005-0000-0000-00001B150000}"/>
    <cellStyle name="Note 2 15 2 2" xfId="5135" xr:uid="{00000000-0005-0000-0000-00001C150000}"/>
    <cellStyle name="Note 2 15 3" xfId="5136" xr:uid="{00000000-0005-0000-0000-00001D150000}"/>
    <cellStyle name="Note 2 15_BukuBesar" xfId="5137" xr:uid="{00000000-0005-0000-0000-00001E150000}"/>
    <cellStyle name="Note 2 16" xfId="5138" xr:uid="{00000000-0005-0000-0000-00001F150000}"/>
    <cellStyle name="Note 2 16 2" xfId="5139" xr:uid="{00000000-0005-0000-0000-000020150000}"/>
    <cellStyle name="Note 2 16 2 2" xfId="5140" xr:uid="{00000000-0005-0000-0000-000021150000}"/>
    <cellStyle name="Note 2 16 3" xfId="5141" xr:uid="{00000000-0005-0000-0000-000022150000}"/>
    <cellStyle name="Note 2 16_BukuBesar" xfId="5142" xr:uid="{00000000-0005-0000-0000-000023150000}"/>
    <cellStyle name="Note 2 17" xfId="5143" xr:uid="{00000000-0005-0000-0000-000024150000}"/>
    <cellStyle name="Note 2 17 2" xfId="5144" xr:uid="{00000000-0005-0000-0000-000025150000}"/>
    <cellStyle name="Note 2 17 2 2" xfId="5145" xr:uid="{00000000-0005-0000-0000-000026150000}"/>
    <cellStyle name="Note 2 17 3" xfId="5146" xr:uid="{00000000-0005-0000-0000-000027150000}"/>
    <cellStyle name="Note 2 17_BukuBesar" xfId="5147" xr:uid="{00000000-0005-0000-0000-000028150000}"/>
    <cellStyle name="Note 2 18" xfId="5148" xr:uid="{00000000-0005-0000-0000-000029150000}"/>
    <cellStyle name="Note 2 19" xfId="5149" xr:uid="{00000000-0005-0000-0000-00002A150000}"/>
    <cellStyle name="Note 2 2" xfId="2158" xr:uid="{00000000-0005-0000-0000-00002B150000}"/>
    <cellStyle name="Note 2 2 2" xfId="2159" xr:uid="{00000000-0005-0000-0000-00002C150000}"/>
    <cellStyle name="Note 2 2 2 2" xfId="5150" xr:uid="{00000000-0005-0000-0000-00002D150000}"/>
    <cellStyle name="Note 2 2 2 3" xfId="5151" xr:uid="{00000000-0005-0000-0000-00002E150000}"/>
    <cellStyle name="Note 2 2 3" xfId="5152" xr:uid="{00000000-0005-0000-0000-00002F150000}"/>
    <cellStyle name="Note 2 2 4" xfId="5153" xr:uid="{00000000-0005-0000-0000-000030150000}"/>
    <cellStyle name="Note 2 2 5" xfId="6305" xr:uid="{00000000-0005-0000-0000-000031150000}"/>
    <cellStyle name="Note 2 2_BukuBesar" xfId="5154" xr:uid="{00000000-0005-0000-0000-000032150000}"/>
    <cellStyle name="Note 2 20" xfId="5155" xr:uid="{00000000-0005-0000-0000-000033150000}"/>
    <cellStyle name="Note 2 21" xfId="5947" xr:uid="{00000000-0005-0000-0000-000034150000}"/>
    <cellStyle name="Note 2 22" xfId="5994" xr:uid="{00000000-0005-0000-0000-000035150000}"/>
    <cellStyle name="Note 2 23" xfId="5932" xr:uid="{00000000-0005-0000-0000-000036150000}"/>
    <cellStyle name="Note 2 24" xfId="5996" xr:uid="{00000000-0005-0000-0000-000037150000}"/>
    <cellStyle name="Note 2 25" xfId="5937" xr:uid="{00000000-0005-0000-0000-000038150000}"/>
    <cellStyle name="Note 2 26" xfId="5998" xr:uid="{00000000-0005-0000-0000-000039150000}"/>
    <cellStyle name="Note 2 27" xfId="5946" xr:uid="{00000000-0005-0000-0000-00003A150000}"/>
    <cellStyle name="Note 2 28" xfId="6000" xr:uid="{00000000-0005-0000-0000-00003B150000}"/>
    <cellStyle name="Note 2 29" xfId="5953" xr:uid="{00000000-0005-0000-0000-00003C150000}"/>
    <cellStyle name="Note 2 3" xfId="2160" xr:uid="{00000000-0005-0000-0000-00003D150000}"/>
    <cellStyle name="Note 2 3 2" xfId="2161" xr:uid="{00000000-0005-0000-0000-00003E150000}"/>
    <cellStyle name="Note 2 3 2 2" xfId="5156" xr:uid="{00000000-0005-0000-0000-00003F150000}"/>
    <cellStyle name="Note 2 3 3" xfId="5157" xr:uid="{00000000-0005-0000-0000-000040150000}"/>
    <cellStyle name="Note 2 3 4" xfId="6306" xr:uid="{00000000-0005-0000-0000-000041150000}"/>
    <cellStyle name="Note 2 3_BukuBesar" xfId="5158" xr:uid="{00000000-0005-0000-0000-000042150000}"/>
    <cellStyle name="Note 2 30" xfId="6304" xr:uid="{00000000-0005-0000-0000-000043150000}"/>
    <cellStyle name="Note 2 31" xfId="7131" xr:uid="{E8FF251D-2AE5-4839-8747-F2D492485FD3}"/>
    <cellStyle name="Note 2 4" xfId="2162" xr:uid="{00000000-0005-0000-0000-000044150000}"/>
    <cellStyle name="Note 2 4 2" xfId="5159" xr:uid="{00000000-0005-0000-0000-000045150000}"/>
    <cellStyle name="Note 2 4 2 2" xfId="5160" xr:uid="{00000000-0005-0000-0000-000046150000}"/>
    <cellStyle name="Note 2 4 3" xfId="5161" xr:uid="{00000000-0005-0000-0000-000047150000}"/>
    <cellStyle name="Note 2 4 4" xfId="6307" xr:uid="{00000000-0005-0000-0000-000048150000}"/>
    <cellStyle name="Note 2 4_BukuBesar" xfId="5162" xr:uid="{00000000-0005-0000-0000-000049150000}"/>
    <cellStyle name="Note 2 5" xfId="5163" xr:uid="{00000000-0005-0000-0000-00004A150000}"/>
    <cellStyle name="Note 2 5 2" xfId="5164" xr:uid="{00000000-0005-0000-0000-00004B150000}"/>
    <cellStyle name="Note 2 5 2 2" xfId="5165" xr:uid="{00000000-0005-0000-0000-00004C150000}"/>
    <cellStyle name="Note 2 5 3" xfId="5166" xr:uid="{00000000-0005-0000-0000-00004D150000}"/>
    <cellStyle name="Note 2 5_BukuBesar" xfId="5167" xr:uid="{00000000-0005-0000-0000-00004E150000}"/>
    <cellStyle name="Note 2 6" xfId="5168" xr:uid="{00000000-0005-0000-0000-00004F150000}"/>
    <cellStyle name="Note 2 6 2" xfId="5169" xr:uid="{00000000-0005-0000-0000-000050150000}"/>
    <cellStyle name="Note 2 6 2 2" xfId="5170" xr:uid="{00000000-0005-0000-0000-000051150000}"/>
    <cellStyle name="Note 2 6 3" xfId="5171" xr:uid="{00000000-0005-0000-0000-000052150000}"/>
    <cellStyle name="Note 2 6_BukuBesar" xfId="5172" xr:uid="{00000000-0005-0000-0000-000053150000}"/>
    <cellStyle name="Note 2 7" xfId="5173" xr:uid="{00000000-0005-0000-0000-000054150000}"/>
    <cellStyle name="Note 2 7 2" xfId="5174" xr:uid="{00000000-0005-0000-0000-000055150000}"/>
    <cellStyle name="Note 2 7 2 2" xfId="5175" xr:uid="{00000000-0005-0000-0000-000056150000}"/>
    <cellStyle name="Note 2 7 3" xfId="5176" xr:uid="{00000000-0005-0000-0000-000057150000}"/>
    <cellStyle name="Note 2 7_BukuBesar" xfId="5177" xr:uid="{00000000-0005-0000-0000-000058150000}"/>
    <cellStyle name="Note 2 8" xfId="5178" xr:uid="{00000000-0005-0000-0000-000059150000}"/>
    <cellStyle name="Note 2 8 2" xfId="5179" xr:uid="{00000000-0005-0000-0000-00005A150000}"/>
    <cellStyle name="Note 2 8 2 2" xfId="5180" xr:uid="{00000000-0005-0000-0000-00005B150000}"/>
    <cellStyle name="Note 2 8 3" xfId="5181" xr:uid="{00000000-0005-0000-0000-00005C150000}"/>
    <cellStyle name="Note 2 8_BukuBesar" xfId="5182" xr:uid="{00000000-0005-0000-0000-00005D150000}"/>
    <cellStyle name="Note 2 9" xfId="5183" xr:uid="{00000000-0005-0000-0000-00005E150000}"/>
    <cellStyle name="Note 2 9 2" xfId="5184" xr:uid="{00000000-0005-0000-0000-00005F150000}"/>
    <cellStyle name="Note 2 9 2 2" xfId="5185" xr:uid="{00000000-0005-0000-0000-000060150000}"/>
    <cellStyle name="Note 2 9 3" xfId="5186" xr:uid="{00000000-0005-0000-0000-000061150000}"/>
    <cellStyle name="Note 2 9_BukuBesar" xfId="5187" xr:uid="{00000000-0005-0000-0000-000062150000}"/>
    <cellStyle name="Note 20" xfId="5188" xr:uid="{00000000-0005-0000-0000-000063150000}"/>
    <cellStyle name="Note 20 2" xfId="5189" xr:uid="{00000000-0005-0000-0000-000064150000}"/>
    <cellStyle name="Note 20 2 2" xfId="5190" xr:uid="{00000000-0005-0000-0000-000065150000}"/>
    <cellStyle name="Note 20 3" xfId="5191" xr:uid="{00000000-0005-0000-0000-000066150000}"/>
    <cellStyle name="Note 20_BukuBesar" xfId="5192" xr:uid="{00000000-0005-0000-0000-000067150000}"/>
    <cellStyle name="Note 21" xfId="5193" xr:uid="{00000000-0005-0000-0000-000068150000}"/>
    <cellStyle name="Note 21 2" xfId="5194" xr:uid="{00000000-0005-0000-0000-000069150000}"/>
    <cellStyle name="Note 21 2 2" xfId="5195" xr:uid="{00000000-0005-0000-0000-00006A150000}"/>
    <cellStyle name="Note 21 3" xfId="5196" xr:uid="{00000000-0005-0000-0000-00006B150000}"/>
    <cellStyle name="Note 21_BukuBesar" xfId="5197" xr:uid="{00000000-0005-0000-0000-00006C150000}"/>
    <cellStyle name="Note 22" xfId="5198" xr:uid="{00000000-0005-0000-0000-00006D150000}"/>
    <cellStyle name="Note 22 2" xfId="5199" xr:uid="{00000000-0005-0000-0000-00006E150000}"/>
    <cellStyle name="Note 22 2 2" xfId="5200" xr:uid="{00000000-0005-0000-0000-00006F150000}"/>
    <cellStyle name="Note 22 3" xfId="5201" xr:uid="{00000000-0005-0000-0000-000070150000}"/>
    <cellStyle name="Note 22_BukuBesar" xfId="5202" xr:uid="{00000000-0005-0000-0000-000071150000}"/>
    <cellStyle name="Note 23" xfId="5203" xr:uid="{00000000-0005-0000-0000-000072150000}"/>
    <cellStyle name="Note 23 2" xfId="5204" xr:uid="{00000000-0005-0000-0000-000073150000}"/>
    <cellStyle name="Note 23 2 2" xfId="5205" xr:uid="{00000000-0005-0000-0000-000074150000}"/>
    <cellStyle name="Note 23 3" xfId="5206" xr:uid="{00000000-0005-0000-0000-000075150000}"/>
    <cellStyle name="Note 23_BukuBesar" xfId="5207" xr:uid="{00000000-0005-0000-0000-000076150000}"/>
    <cellStyle name="Note 24" xfId="5208" xr:uid="{00000000-0005-0000-0000-000077150000}"/>
    <cellStyle name="Note 24 2" xfId="5209" xr:uid="{00000000-0005-0000-0000-000078150000}"/>
    <cellStyle name="Note 24 2 2" xfId="5210" xr:uid="{00000000-0005-0000-0000-000079150000}"/>
    <cellStyle name="Note 24 3" xfId="5211" xr:uid="{00000000-0005-0000-0000-00007A150000}"/>
    <cellStyle name="Note 24_BukuBesar" xfId="5212" xr:uid="{00000000-0005-0000-0000-00007B150000}"/>
    <cellStyle name="Note 25" xfId="5213" xr:uid="{00000000-0005-0000-0000-00007C150000}"/>
    <cellStyle name="Note 25 2" xfId="5214" xr:uid="{00000000-0005-0000-0000-00007D150000}"/>
    <cellStyle name="Note 25 2 2" xfId="5215" xr:uid="{00000000-0005-0000-0000-00007E150000}"/>
    <cellStyle name="Note 25 3" xfId="5216" xr:uid="{00000000-0005-0000-0000-00007F150000}"/>
    <cellStyle name="Note 25_BukuBesar" xfId="5217" xr:uid="{00000000-0005-0000-0000-000080150000}"/>
    <cellStyle name="Note 26" xfId="5218" xr:uid="{00000000-0005-0000-0000-000081150000}"/>
    <cellStyle name="Note 26 2" xfId="5219" xr:uid="{00000000-0005-0000-0000-000082150000}"/>
    <cellStyle name="Note 26 2 2" xfId="5220" xr:uid="{00000000-0005-0000-0000-000083150000}"/>
    <cellStyle name="Note 26 3" xfId="5221" xr:uid="{00000000-0005-0000-0000-000084150000}"/>
    <cellStyle name="Note 26_BukuBesar" xfId="5222" xr:uid="{00000000-0005-0000-0000-000085150000}"/>
    <cellStyle name="Note 27" xfId="5223" xr:uid="{00000000-0005-0000-0000-000086150000}"/>
    <cellStyle name="Note 27 2" xfId="5224" xr:uid="{00000000-0005-0000-0000-000087150000}"/>
    <cellStyle name="Note 27 2 2" xfId="5225" xr:uid="{00000000-0005-0000-0000-000088150000}"/>
    <cellStyle name="Note 27 3" xfId="5226" xr:uid="{00000000-0005-0000-0000-000089150000}"/>
    <cellStyle name="Note 27_BukuBesar" xfId="5227" xr:uid="{00000000-0005-0000-0000-00008A150000}"/>
    <cellStyle name="Note 28" xfId="5228" xr:uid="{00000000-0005-0000-0000-00008B150000}"/>
    <cellStyle name="Note 28 2" xfId="5229" xr:uid="{00000000-0005-0000-0000-00008C150000}"/>
    <cellStyle name="Note 28 2 2" xfId="5230" xr:uid="{00000000-0005-0000-0000-00008D150000}"/>
    <cellStyle name="Note 28 3" xfId="5231" xr:uid="{00000000-0005-0000-0000-00008E150000}"/>
    <cellStyle name="Note 28_BukuBesar" xfId="5232" xr:uid="{00000000-0005-0000-0000-00008F150000}"/>
    <cellStyle name="Note 29" xfId="5233" xr:uid="{00000000-0005-0000-0000-000090150000}"/>
    <cellStyle name="Note 29 2" xfId="5234" xr:uid="{00000000-0005-0000-0000-000091150000}"/>
    <cellStyle name="Note 29 2 2" xfId="5235" xr:uid="{00000000-0005-0000-0000-000092150000}"/>
    <cellStyle name="Note 29 3" xfId="5236" xr:uid="{00000000-0005-0000-0000-000093150000}"/>
    <cellStyle name="Note 29_BukuBesar" xfId="5237" xr:uid="{00000000-0005-0000-0000-000094150000}"/>
    <cellStyle name="Note 3" xfId="819" xr:uid="{00000000-0005-0000-0000-000095150000}"/>
    <cellStyle name="Note 3 10" xfId="5238" xr:uid="{00000000-0005-0000-0000-000096150000}"/>
    <cellStyle name="Note 3 10 2" xfId="5239" xr:uid="{00000000-0005-0000-0000-000097150000}"/>
    <cellStyle name="Note 3 10 2 2" xfId="5240" xr:uid="{00000000-0005-0000-0000-000098150000}"/>
    <cellStyle name="Note 3 10 3" xfId="5241" xr:uid="{00000000-0005-0000-0000-000099150000}"/>
    <cellStyle name="Note 3 10_BukuBesar" xfId="5242" xr:uid="{00000000-0005-0000-0000-00009A150000}"/>
    <cellStyle name="Note 3 11" xfId="5243" xr:uid="{00000000-0005-0000-0000-00009B150000}"/>
    <cellStyle name="Note 3 11 2" xfId="5244" xr:uid="{00000000-0005-0000-0000-00009C150000}"/>
    <cellStyle name="Note 3 11 2 2" xfId="5245" xr:uid="{00000000-0005-0000-0000-00009D150000}"/>
    <cellStyle name="Note 3 11 3" xfId="5246" xr:uid="{00000000-0005-0000-0000-00009E150000}"/>
    <cellStyle name="Note 3 11_BukuBesar" xfId="5247" xr:uid="{00000000-0005-0000-0000-00009F150000}"/>
    <cellStyle name="Note 3 12" xfId="5248" xr:uid="{00000000-0005-0000-0000-0000A0150000}"/>
    <cellStyle name="Note 3 12 2" xfId="5249" xr:uid="{00000000-0005-0000-0000-0000A1150000}"/>
    <cellStyle name="Note 3 12 2 2" xfId="5250" xr:uid="{00000000-0005-0000-0000-0000A2150000}"/>
    <cellStyle name="Note 3 12 3" xfId="5251" xr:uid="{00000000-0005-0000-0000-0000A3150000}"/>
    <cellStyle name="Note 3 12_BukuBesar" xfId="5252" xr:uid="{00000000-0005-0000-0000-0000A4150000}"/>
    <cellStyle name="Note 3 13" xfId="5253" xr:uid="{00000000-0005-0000-0000-0000A5150000}"/>
    <cellStyle name="Note 3 13 2" xfId="5254" xr:uid="{00000000-0005-0000-0000-0000A6150000}"/>
    <cellStyle name="Note 3 13 2 2" xfId="5255" xr:uid="{00000000-0005-0000-0000-0000A7150000}"/>
    <cellStyle name="Note 3 13 3" xfId="5256" xr:uid="{00000000-0005-0000-0000-0000A8150000}"/>
    <cellStyle name="Note 3 13_BukuBesar" xfId="5257" xr:uid="{00000000-0005-0000-0000-0000A9150000}"/>
    <cellStyle name="Note 3 14" xfId="5258" xr:uid="{00000000-0005-0000-0000-0000AA150000}"/>
    <cellStyle name="Note 3 14 2" xfId="5259" xr:uid="{00000000-0005-0000-0000-0000AB150000}"/>
    <cellStyle name="Note 3 14 2 2" xfId="5260" xr:uid="{00000000-0005-0000-0000-0000AC150000}"/>
    <cellStyle name="Note 3 14 3" xfId="5261" xr:uid="{00000000-0005-0000-0000-0000AD150000}"/>
    <cellStyle name="Note 3 14_BukuBesar" xfId="5262" xr:uid="{00000000-0005-0000-0000-0000AE150000}"/>
    <cellStyle name="Note 3 15" xfId="5263" xr:uid="{00000000-0005-0000-0000-0000AF150000}"/>
    <cellStyle name="Note 3 15 2" xfId="5264" xr:uid="{00000000-0005-0000-0000-0000B0150000}"/>
    <cellStyle name="Note 3 15 2 2" xfId="5265" xr:uid="{00000000-0005-0000-0000-0000B1150000}"/>
    <cellStyle name="Note 3 15 3" xfId="5266" xr:uid="{00000000-0005-0000-0000-0000B2150000}"/>
    <cellStyle name="Note 3 15_BukuBesar" xfId="5267" xr:uid="{00000000-0005-0000-0000-0000B3150000}"/>
    <cellStyle name="Note 3 16" xfId="5268" xr:uid="{00000000-0005-0000-0000-0000B4150000}"/>
    <cellStyle name="Note 3 16 2" xfId="5269" xr:uid="{00000000-0005-0000-0000-0000B5150000}"/>
    <cellStyle name="Note 3 16 2 2" xfId="5270" xr:uid="{00000000-0005-0000-0000-0000B6150000}"/>
    <cellStyle name="Note 3 16 3" xfId="5271" xr:uid="{00000000-0005-0000-0000-0000B7150000}"/>
    <cellStyle name="Note 3 16_BukuBesar" xfId="5272" xr:uid="{00000000-0005-0000-0000-0000B8150000}"/>
    <cellStyle name="Note 3 17" xfId="5273" xr:uid="{00000000-0005-0000-0000-0000B9150000}"/>
    <cellStyle name="Note 3 17 2" xfId="5274" xr:uid="{00000000-0005-0000-0000-0000BA150000}"/>
    <cellStyle name="Note 3 17 2 2" xfId="5275" xr:uid="{00000000-0005-0000-0000-0000BB150000}"/>
    <cellStyle name="Note 3 17 3" xfId="5276" xr:uid="{00000000-0005-0000-0000-0000BC150000}"/>
    <cellStyle name="Note 3 17_BukuBesar" xfId="5277" xr:uid="{00000000-0005-0000-0000-0000BD150000}"/>
    <cellStyle name="Note 3 18" xfId="5278" xr:uid="{00000000-0005-0000-0000-0000BE150000}"/>
    <cellStyle name="Note 3 19" xfId="5279" xr:uid="{00000000-0005-0000-0000-0000BF150000}"/>
    <cellStyle name="Note 3 2" xfId="2163" xr:uid="{00000000-0005-0000-0000-0000C0150000}"/>
    <cellStyle name="Note 3 2 2" xfId="2164" xr:uid="{00000000-0005-0000-0000-0000C1150000}"/>
    <cellStyle name="Note 3 2 2 2" xfId="5280" xr:uid="{00000000-0005-0000-0000-0000C2150000}"/>
    <cellStyle name="Note 3 2 2 3" xfId="5281" xr:uid="{00000000-0005-0000-0000-0000C3150000}"/>
    <cellStyle name="Note 3 2 3" xfId="5282" xr:uid="{00000000-0005-0000-0000-0000C4150000}"/>
    <cellStyle name="Note 3 2 4" xfId="5283" xr:uid="{00000000-0005-0000-0000-0000C5150000}"/>
    <cellStyle name="Note 3 2 5" xfId="6309" xr:uid="{00000000-0005-0000-0000-0000C6150000}"/>
    <cellStyle name="Note 3 2_BukuBesar" xfId="5284" xr:uid="{00000000-0005-0000-0000-0000C7150000}"/>
    <cellStyle name="Note 3 20" xfId="5285" xr:uid="{00000000-0005-0000-0000-0000C8150000}"/>
    <cellStyle name="Note 3 21" xfId="5948" xr:uid="{00000000-0005-0000-0000-0000C9150000}"/>
    <cellStyle name="Note 3 22" xfId="5995" xr:uid="{00000000-0005-0000-0000-0000CA150000}"/>
    <cellStyle name="Note 3 23" xfId="5936" xr:uid="{00000000-0005-0000-0000-0000CB150000}"/>
    <cellStyle name="Note 3 24" xfId="5997" xr:uid="{00000000-0005-0000-0000-0000CC150000}"/>
    <cellStyle name="Note 3 25" xfId="5941" xr:uid="{00000000-0005-0000-0000-0000CD150000}"/>
    <cellStyle name="Note 3 26" xfId="5999" xr:uid="{00000000-0005-0000-0000-0000CE150000}"/>
    <cellStyle name="Note 3 27" xfId="5951" xr:uid="{00000000-0005-0000-0000-0000CF150000}"/>
    <cellStyle name="Note 3 28" xfId="6001" xr:uid="{00000000-0005-0000-0000-0000D0150000}"/>
    <cellStyle name="Note 3 29" xfId="5956" xr:uid="{00000000-0005-0000-0000-0000D1150000}"/>
    <cellStyle name="Note 3 3" xfId="2165" xr:uid="{00000000-0005-0000-0000-0000D2150000}"/>
    <cellStyle name="Note 3 3 2" xfId="2166" xr:uid="{00000000-0005-0000-0000-0000D3150000}"/>
    <cellStyle name="Note 3 3 2 2" xfId="5286" xr:uid="{00000000-0005-0000-0000-0000D4150000}"/>
    <cellStyle name="Note 3 3 3" xfId="5287" xr:uid="{00000000-0005-0000-0000-0000D5150000}"/>
    <cellStyle name="Note 3 3 4" xfId="6310" xr:uid="{00000000-0005-0000-0000-0000D6150000}"/>
    <cellStyle name="Note 3 3_BukuBesar" xfId="5288" xr:uid="{00000000-0005-0000-0000-0000D7150000}"/>
    <cellStyle name="Note 3 30" xfId="6308" xr:uid="{00000000-0005-0000-0000-0000D8150000}"/>
    <cellStyle name="Note 3 4" xfId="2167" xr:uid="{00000000-0005-0000-0000-0000D9150000}"/>
    <cellStyle name="Note 3 4 2" xfId="5289" xr:uid="{00000000-0005-0000-0000-0000DA150000}"/>
    <cellStyle name="Note 3 4 2 2" xfId="5290" xr:uid="{00000000-0005-0000-0000-0000DB150000}"/>
    <cellStyle name="Note 3 4 3" xfId="5291" xr:uid="{00000000-0005-0000-0000-0000DC150000}"/>
    <cellStyle name="Note 3 4 4" xfId="6311" xr:uid="{00000000-0005-0000-0000-0000DD150000}"/>
    <cellStyle name="Note 3 4_BukuBesar" xfId="5292" xr:uid="{00000000-0005-0000-0000-0000DE150000}"/>
    <cellStyle name="Note 3 5" xfId="5293" xr:uid="{00000000-0005-0000-0000-0000DF150000}"/>
    <cellStyle name="Note 3 5 2" xfId="5294" xr:uid="{00000000-0005-0000-0000-0000E0150000}"/>
    <cellStyle name="Note 3 5 2 2" xfId="5295" xr:uid="{00000000-0005-0000-0000-0000E1150000}"/>
    <cellStyle name="Note 3 5 3" xfId="5296" xr:uid="{00000000-0005-0000-0000-0000E2150000}"/>
    <cellStyle name="Note 3 5_BukuBesar" xfId="5297" xr:uid="{00000000-0005-0000-0000-0000E3150000}"/>
    <cellStyle name="Note 3 6" xfId="5298" xr:uid="{00000000-0005-0000-0000-0000E4150000}"/>
    <cellStyle name="Note 3 6 2" xfId="5299" xr:uid="{00000000-0005-0000-0000-0000E5150000}"/>
    <cellStyle name="Note 3 6 2 2" xfId="5300" xr:uid="{00000000-0005-0000-0000-0000E6150000}"/>
    <cellStyle name="Note 3 6 3" xfId="5301" xr:uid="{00000000-0005-0000-0000-0000E7150000}"/>
    <cellStyle name="Note 3 6_BukuBesar" xfId="5302" xr:uid="{00000000-0005-0000-0000-0000E8150000}"/>
    <cellStyle name="Note 3 7" xfId="5303" xr:uid="{00000000-0005-0000-0000-0000E9150000}"/>
    <cellStyle name="Note 3 7 2" xfId="5304" xr:uid="{00000000-0005-0000-0000-0000EA150000}"/>
    <cellStyle name="Note 3 7 2 2" xfId="5305" xr:uid="{00000000-0005-0000-0000-0000EB150000}"/>
    <cellStyle name="Note 3 7 3" xfId="5306" xr:uid="{00000000-0005-0000-0000-0000EC150000}"/>
    <cellStyle name="Note 3 7_BukuBesar" xfId="5307" xr:uid="{00000000-0005-0000-0000-0000ED150000}"/>
    <cellStyle name="Note 3 8" xfId="5308" xr:uid="{00000000-0005-0000-0000-0000EE150000}"/>
    <cellStyle name="Note 3 8 2" xfId="5309" xr:uid="{00000000-0005-0000-0000-0000EF150000}"/>
    <cellStyle name="Note 3 8 2 2" xfId="5310" xr:uid="{00000000-0005-0000-0000-0000F0150000}"/>
    <cellStyle name="Note 3 8 3" xfId="5311" xr:uid="{00000000-0005-0000-0000-0000F1150000}"/>
    <cellStyle name="Note 3 8_BukuBesar" xfId="5312" xr:uid="{00000000-0005-0000-0000-0000F2150000}"/>
    <cellStyle name="Note 3 9" xfId="5313" xr:uid="{00000000-0005-0000-0000-0000F3150000}"/>
    <cellStyle name="Note 3 9 2" xfId="5314" xr:uid="{00000000-0005-0000-0000-0000F4150000}"/>
    <cellStyle name="Note 3 9 2 2" xfId="5315" xr:uid="{00000000-0005-0000-0000-0000F5150000}"/>
    <cellStyle name="Note 3 9 3" xfId="5316" xr:uid="{00000000-0005-0000-0000-0000F6150000}"/>
    <cellStyle name="Note 3 9_BukuBesar" xfId="5317" xr:uid="{00000000-0005-0000-0000-0000F7150000}"/>
    <cellStyle name="Note 30" xfId="5318" xr:uid="{00000000-0005-0000-0000-0000F8150000}"/>
    <cellStyle name="Note 30 2" xfId="5319" xr:uid="{00000000-0005-0000-0000-0000F9150000}"/>
    <cellStyle name="Note 30 2 2" xfId="5320" xr:uid="{00000000-0005-0000-0000-0000FA150000}"/>
    <cellStyle name="Note 30 3" xfId="5321" xr:uid="{00000000-0005-0000-0000-0000FB150000}"/>
    <cellStyle name="Note 30_BukuBesar" xfId="5322" xr:uid="{00000000-0005-0000-0000-0000FC150000}"/>
    <cellStyle name="Note 31" xfId="5323" xr:uid="{00000000-0005-0000-0000-0000FD150000}"/>
    <cellStyle name="Note 31 2" xfId="5324" xr:uid="{00000000-0005-0000-0000-0000FE150000}"/>
    <cellStyle name="Note 31 2 2" xfId="5325" xr:uid="{00000000-0005-0000-0000-0000FF150000}"/>
    <cellStyle name="Note 31 3" xfId="5326" xr:uid="{00000000-0005-0000-0000-000000160000}"/>
    <cellStyle name="Note 31_BukuBesar" xfId="5327" xr:uid="{00000000-0005-0000-0000-000001160000}"/>
    <cellStyle name="Note 32" xfId="5328" xr:uid="{00000000-0005-0000-0000-000002160000}"/>
    <cellStyle name="Note 32 2" xfId="5329" xr:uid="{00000000-0005-0000-0000-000003160000}"/>
    <cellStyle name="Note 32 2 2" xfId="5330" xr:uid="{00000000-0005-0000-0000-000004160000}"/>
    <cellStyle name="Note 32 3" xfId="5331" xr:uid="{00000000-0005-0000-0000-000005160000}"/>
    <cellStyle name="Note 32_BukuBesar" xfId="5332" xr:uid="{00000000-0005-0000-0000-000006160000}"/>
    <cellStyle name="Note 33" xfId="5333" xr:uid="{00000000-0005-0000-0000-000007160000}"/>
    <cellStyle name="Note 33 2" xfId="5334" xr:uid="{00000000-0005-0000-0000-000008160000}"/>
    <cellStyle name="Note 33 2 2" xfId="5335" xr:uid="{00000000-0005-0000-0000-000009160000}"/>
    <cellStyle name="Note 33 3" xfId="5336" xr:uid="{00000000-0005-0000-0000-00000A160000}"/>
    <cellStyle name="Note 33_BukuBesar" xfId="5337" xr:uid="{00000000-0005-0000-0000-00000B160000}"/>
    <cellStyle name="Note 34" xfId="5338" xr:uid="{00000000-0005-0000-0000-00000C160000}"/>
    <cellStyle name="Note 34 2" xfId="5339" xr:uid="{00000000-0005-0000-0000-00000D160000}"/>
    <cellStyle name="Note 34 2 2" xfId="5340" xr:uid="{00000000-0005-0000-0000-00000E160000}"/>
    <cellStyle name="Note 34 3" xfId="5341" xr:uid="{00000000-0005-0000-0000-00000F160000}"/>
    <cellStyle name="Note 34_BukuBesar" xfId="5342" xr:uid="{00000000-0005-0000-0000-000010160000}"/>
    <cellStyle name="Note 35" xfId="5343" xr:uid="{00000000-0005-0000-0000-000011160000}"/>
    <cellStyle name="Note 35 2" xfId="5344" xr:uid="{00000000-0005-0000-0000-000012160000}"/>
    <cellStyle name="Note 35 2 2" xfId="5345" xr:uid="{00000000-0005-0000-0000-000013160000}"/>
    <cellStyle name="Note 35 3" xfId="5346" xr:uid="{00000000-0005-0000-0000-000014160000}"/>
    <cellStyle name="Note 35_BukuBesar" xfId="5347" xr:uid="{00000000-0005-0000-0000-000015160000}"/>
    <cellStyle name="Note 36" xfId="5348" xr:uid="{00000000-0005-0000-0000-000016160000}"/>
    <cellStyle name="Note 36 2" xfId="5349" xr:uid="{00000000-0005-0000-0000-000017160000}"/>
    <cellStyle name="Note 36 2 2" xfId="5350" xr:uid="{00000000-0005-0000-0000-000018160000}"/>
    <cellStyle name="Note 36 3" xfId="5351" xr:uid="{00000000-0005-0000-0000-000019160000}"/>
    <cellStyle name="Note 36_BukuBesar" xfId="5352" xr:uid="{00000000-0005-0000-0000-00001A160000}"/>
    <cellStyle name="Note 37" xfId="5353" xr:uid="{00000000-0005-0000-0000-00001B160000}"/>
    <cellStyle name="Note 37 2" xfId="5354" xr:uid="{00000000-0005-0000-0000-00001C160000}"/>
    <cellStyle name="Note 37 2 2" xfId="5355" xr:uid="{00000000-0005-0000-0000-00001D160000}"/>
    <cellStyle name="Note 37 3" xfId="5356" xr:uid="{00000000-0005-0000-0000-00001E160000}"/>
    <cellStyle name="Note 37_BukuBesar" xfId="5357" xr:uid="{00000000-0005-0000-0000-00001F160000}"/>
    <cellStyle name="Note 38" xfId="5358" xr:uid="{00000000-0005-0000-0000-000020160000}"/>
    <cellStyle name="Note 38 2" xfId="5359" xr:uid="{00000000-0005-0000-0000-000021160000}"/>
    <cellStyle name="Note 38 2 2" xfId="5360" xr:uid="{00000000-0005-0000-0000-000022160000}"/>
    <cellStyle name="Note 38 3" xfId="5361" xr:uid="{00000000-0005-0000-0000-000023160000}"/>
    <cellStyle name="Note 38_BukuBesar" xfId="5362" xr:uid="{00000000-0005-0000-0000-000024160000}"/>
    <cellStyle name="Note 39" xfId="5363" xr:uid="{00000000-0005-0000-0000-000025160000}"/>
    <cellStyle name="Note 39 2" xfId="5364" xr:uid="{00000000-0005-0000-0000-000026160000}"/>
    <cellStyle name="Note 39 2 2" xfId="5365" xr:uid="{00000000-0005-0000-0000-000027160000}"/>
    <cellStyle name="Note 39 3" xfId="5366" xr:uid="{00000000-0005-0000-0000-000028160000}"/>
    <cellStyle name="Note 39_BukuBesar" xfId="5367" xr:uid="{00000000-0005-0000-0000-000029160000}"/>
    <cellStyle name="Note 4" xfId="820" xr:uid="{00000000-0005-0000-0000-00002A160000}"/>
    <cellStyle name="Note 4 10" xfId="5368" xr:uid="{00000000-0005-0000-0000-00002B160000}"/>
    <cellStyle name="Note 4 2" xfId="2168" xr:uid="{00000000-0005-0000-0000-00002C160000}"/>
    <cellStyle name="Note 4 2 2" xfId="2169" xr:uid="{00000000-0005-0000-0000-00002D160000}"/>
    <cellStyle name="Note 4 2 2 2" xfId="5369" xr:uid="{00000000-0005-0000-0000-00002E160000}"/>
    <cellStyle name="Note 4 2 2 2 2" xfId="5370" xr:uid="{00000000-0005-0000-0000-00002F160000}"/>
    <cellStyle name="Note 4 2 2 3" xfId="5371" xr:uid="{00000000-0005-0000-0000-000030160000}"/>
    <cellStyle name="Note 4 2 2 4" xfId="5372" xr:uid="{00000000-0005-0000-0000-000031160000}"/>
    <cellStyle name="Note 4 2 2_BukuBesar" xfId="5373" xr:uid="{00000000-0005-0000-0000-000032160000}"/>
    <cellStyle name="Note 4 2 3" xfId="5374" xr:uid="{00000000-0005-0000-0000-000033160000}"/>
    <cellStyle name="Note 4 2 3 2" xfId="5375" xr:uid="{00000000-0005-0000-0000-000034160000}"/>
    <cellStyle name="Note 4 2 4" xfId="5376" xr:uid="{00000000-0005-0000-0000-000035160000}"/>
    <cellStyle name="Note 4 2 5" xfId="5377" xr:uid="{00000000-0005-0000-0000-000036160000}"/>
    <cellStyle name="Note 4 2_BukuBesar" xfId="5378" xr:uid="{00000000-0005-0000-0000-000037160000}"/>
    <cellStyle name="Note 4 3" xfId="2170" xr:uid="{00000000-0005-0000-0000-000038160000}"/>
    <cellStyle name="Note 4 3 2" xfId="2171" xr:uid="{00000000-0005-0000-0000-000039160000}"/>
    <cellStyle name="Note 4 3 2 2" xfId="5379" xr:uid="{00000000-0005-0000-0000-00003A160000}"/>
    <cellStyle name="Note 4 3 3" xfId="5380" xr:uid="{00000000-0005-0000-0000-00003B160000}"/>
    <cellStyle name="Note 4 3_BukuBesar" xfId="5381" xr:uid="{00000000-0005-0000-0000-00003C160000}"/>
    <cellStyle name="Note 4 4" xfId="2172" xr:uid="{00000000-0005-0000-0000-00003D160000}"/>
    <cellStyle name="Note 4 4 2" xfId="5382" xr:uid="{00000000-0005-0000-0000-00003E160000}"/>
    <cellStyle name="Note 4 5" xfId="5383" xr:uid="{00000000-0005-0000-0000-00003F160000}"/>
    <cellStyle name="Note 4 5 2" xfId="5384" xr:uid="{00000000-0005-0000-0000-000040160000}"/>
    <cellStyle name="Note 4 6" xfId="5385" xr:uid="{00000000-0005-0000-0000-000041160000}"/>
    <cellStyle name="Note 4 7" xfId="5386" xr:uid="{00000000-0005-0000-0000-000042160000}"/>
    <cellStyle name="Note 4 8" xfId="5387" xr:uid="{00000000-0005-0000-0000-000043160000}"/>
    <cellStyle name="Note 4 9" xfId="5388" xr:uid="{00000000-0005-0000-0000-000044160000}"/>
    <cellStyle name="Note 40" xfId="5389" xr:uid="{00000000-0005-0000-0000-000045160000}"/>
    <cellStyle name="Note 40 2" xfId="5390" xr:uid="{00000000-0005-0000-0000-000046160000}"/>
    <cellStyle name="Note 40 2 2" xfId="5391" xr:uid="{00000000-0005-0000-0000-000047160000}"/>
    <cellStyle name="Note 40 3" xfId="5392" xr:uid="{00000000-0005-0000-0000-000048160000}"/>
    <cellStyle name="Note 40_BukuBesar" xfId="5393" xr:uid="{00000000-0005-0000-0000-000049160000}"/>
    <cellStyle name="Note 41" xfId="5394" xr:uid="{00000000-0005-0000-0000-00004A160000}"/>
    <cellStyle name="Note 41 2" xfId="5395" xr:uid="{00000000-0005-0000-0000-00004B160000}"/>
    <cellStyle name="Note 41 2 2" xfId="5396" xr:uid="{00000000-0005-0000-0000-00004C160000}"/>
    <cellStyle name="Note 41 3" xfId="5397" xr:uid="{00000000-0005-0000-0000-00004D160000}"/>
    <cellStyle name="Note 41_BukuBesar" xfId="5398" xr:uid="{00000000-0005-0000-0000-00004E160000}"/>
    <cellStyle name="Note 42" xfId="5399" xr:uid="{00000000-0005-0000-0000-00004F160000}"/>
    <cellStyle name="Note 42 2" xfId="5400" xr:uid="{00000000-0005-0000-0000-000050160000}"/>
    <cellStyle name="Note 42 2 2" xfId="5401" xr:uid="{00000000-0005-0000-0000-000051160000}"/>
    <cellStyle name="Note 42 3" xfId="5402" xr:uid="{00000000-0005-0000-0000-000052160000}"/>
    <cellStyle name="Note 42_BukuBesar" xfId="5403" xr:uid="{00000000-0005-0000-0000-000053160000}"/>
    <cellStyle name="Note 43" xfId="5404" xr:uid="{00000000-0005-0000-0000-000054160000}"/>
    <cellStyle name="Note 43 2" xfId="5405" xr:uid="{00000000-0005-0000-0000-000055160000}"/>
    <cellStyle name="Note 43 2 2" xfId="5406" xr:uid="{00000000-0005-0000-0000-000056160000}"/>
    <cellStyle name="Note 43 3" xfId="5407" xr:uid="{00000000-0005-0000-0000-000057160000}"/>
    <cellStyle name="Note 43_BukuBesar" xfId="5408" xr:uid="{00000000-0005-0000-0000-000058160000}"/>
    <cellStyle name="Note 44" xfId="5409" xr:uid="{00000000-0005-0000-0000-000059160000}"/>
    <cellStyle name="Note 44 2" xfId="5410" xr:uid="{00000000-0005-0000-0000-00005A160000}"/>
    <cellStyle name="Note 44 2 2" xfId="5411" xr:uid="{00000000-0005-0000-0000-00005B160000}"/>
    <cellStyle name="Note 44 3" xfId="5412" xr:uid="{00000000-0005-0000-0000-00005C160000}"/>
    <cellStyle name="Note 44_BukuBesar" xfId="5413" xr:uid="{00000000-0005-0000-0000-00005D160000}"/>
    <cellStyle name="Note 45" xfId="5414" xr:uid="{00000000-0005-0000-0000-00005E160000}"/>
    <cellStyle name="Note 45 2" xfId="5415" xr:uid="{00000000-0005-0000-0000-00005F160000}"/>
    <cellStyle name="Note 45 2 2" xfId="5416" xr:uid="{00000000-0005-0000-0000-000060160000}"/>
    <cellStyle name="Note 45 3" xfId="5417" xr:uid="{00000000-0005-0000-0000-000061160000}"/>
    <cellStyle name="Note 45_BukuBesar" xfId="5418" xr:uid="{00000000-0005-0000-0000-000062160000}"/>
    <cellStyle name="Note 46" xfId="5419" xr:uid="{00000000-0005-0000-0000-000063160000}"/>
    <cellStyle name="Note 46 2" xfId="5420" xr:uid="{00000000-0005-0000-0000-000064160000}"/>
    <cellStyle name="Note 46 2 2" xfId="5421" xr:uid="{00000000-0005-0000-0000-000065160000}"/>
    <cellStyle name="Note 46 3" xfId="5422" xr:uid="{00000000-0005-0000-0000-000066160000}"/>
    <cellStyle name="Note 46_BukuBesar" xfId="5423" xr:uid="{00000000-0005-0000-0000-000067160000}"/>
    <cellStyle name="Note 47" xfId="5424" xr:uid="{00000000-0005-0000-0000-000068160000}"/>
    <cellStyle name="Note 47 2" xfId="5425" xr:uid="{00000000-0005-0000-0000-000069160000}"/>
    <cellStyle name="Note 47 2 2" xfId="5426" xr:uid="{00000000-0005-0000-0000-00006A160000}"/>
    <cellStyle name="Note 47 3" xfId="5427" xr:uid="{00000000-0005-0000-0000-00006B160000}"/>
    <cellStyle name="Note 47_BukuBesar" xfId="5428" xr:uid="{00000000-0005-0000-0000-00006C160000}"/>
    <cellStyle name="Note 48" xfId="5429" xr:uid="{00000000-0005-0000-0000-00006D160000}"/>
    <cellStyle name="Note 48 2" xfId="5430" xr:uid="{00000000-0005-0000-0000-00006E160000}"/>
    <cellStyle name="Note 48 2 2" xfId="5431" xr:uid="{00000000-0005-0000-0000-00006F160000}"/>
    <cellStyle name="Note 48 3" xfId="5432" xr:uid="{00000000-0005-0000-0000-000070160000}"/>
    <cellStyle name="Note 48_BukuBesar" xfId="5433" xr:uid="{00000000-0005-0000-0000-000071160000}"/>
    <cellStyle name="Note 49" xfId="5434" xr:uid="{00000000-0005-0000-0000-000072160000}"/>
    <cellStyle name="Note 49 2" xfId="5435" xr:uid="{00000000-0005-0000-0000-000073160000}"/>
    <cellStyle name="Note 49 2 2" xfId="5436" xr:uid="{00000000-0005-0000-0000-000074160000}"/>
    <cellStyle name="Note 49 3" xfId="5437" xr:uid="{00000000-0005-0000-0000-000075160000}"/>
    <cellStyle name="Note 49_BukuBesar" xfId="5438" xr:uid="{00000000-0005-0000-0000-000076160000}"/>
    <cellStyle name="Note 5" xfId="821" xr:uid="{00000000-0005-0000-0000-000077160000}"/>
    <cellStyle name="Note 5 10" xfId="5439" xr:uid="{00000000-0005-0000-0000-000078160000}"/>
    <cellStyle name="Note 5 2" xfId="2173" xr:uid="{00000000-0005-0000-0000-000079160000}"/>
    <cellStyle name="Note 5 2 2" xfId="5440" xr:uid="{00000000-0005-0000-0000-00007A160000}"/>
    <cellStyle name="Note 5 2 2 2" xfId="5441" xr:uid="{00000000-0005-0000-0000-00007B160000}"/>
    <cellStyle name="Note 5 2 2 2 2" xfId="5442" xr:uid="{00000000-0005-0000-0000-00007C160000}"/>
    <cellStyle name="Note 5 2 2 3" xfId="5443" xr:uid="{00000000-0005-0000-0000-00007D160000}"/>
    <cellStyle name="Note 5 2 2_BukuBesar" xfId="5444" xr:uid="{00000000-0005-0000-0000-00007E160000}"/>
    <cellStyle name="Note 5 2 3" xfId="5445" xr:uid="{00000000-0005-0000-0000-00007F160000}"/>
    <cellStyle name="Note 5 2 3 2" xfId="5446" xr:uid="{00000000-0005-0000-0000-000080160000}"/>
    <cellStyle name="Note 5 2 4" xfId="5447" xr:uid="{00000000-0005-0000-0000-000081160000}"/>
    <cellStyle name="Note 5 2 5" xfId="5448" xr:uid="{00000000-0005-0000-0000-000082160000}"/>
    <cellStyle name="Note 5 2 6" xfId="5449" xr:uid="{00000000-0005-0000-0000-000083160000}"/>
    <cellStyle name="Note 5 2 7" xfId="5450" xr:uid="{00000000-0005-0000-0000-000084160000}"/>
    <cellStyle name="Note 5 2_BukuBesar" xfId="5451" xr:uid="{00000000-0005-0000-0000-000085160000}"/>
    <cellStyle name="Note 5 3" xfId="2174" xr:uid="{00000000-0005-0000-0000-000086160000}"/>
    <cellStyle name="Note 5 3 2" xfId="5452" xr:uid="{00000000-0005-0000-0000-000087160000}"/>
    <cellStyle name="Note 5 3 2 2" xfId="5453" xr:uid="{00000000-0005-0000-0000-000088160000}"/>
    <cellStyle name="Note 5 3 3" xfId="5454" xr:uid="{00000000-0005-0000-0000-000089160000}"/>
    <cellStyle name="Note 5 3 4" xfId="5455" xr:uid="{00000000-0005-0000-0000-00008A160000}"/>
    <cellStyle name="Note 5 3_BukuBesar" xfId="5456" xr:uid="{00000000-0005-0000-0000-00008B160000}"/>
    <cellStyle name="Note 5 4" xfId="5457" xr:uid="{00000000-0005-0000-0000-00008C160000}"/>
    <cellStyle name="Note 5 4 2" xfId="5458" xr:uid="{00000000-0005-0000-0000-00008D160000}"/>
    <cellStyle name="Note 5 5" xfId="5459" xr:uid="{00000000-0005-0000-0000-00008E160000}"/>
    <cellStyle name="Note 5 5 2" xfId="5460" xr:uid="{00000000-0005-0000-0000-00008F160000}"/>
    <cellStyle name="Note 5 6" xfId="5461" xr:uid="{00000000-0005-0000-0000-000090160000}"/>
    <cellStyle name="Note 5 7" xfId="5462" xr:uid="{00000000-0005-0000-0000-000091160000}"/>
    <cellStyle name="Note 5 8" xfId="5463" xr:uid="{00000000-0005-0000-0000-000092160000}"/>
    <cellStyle name="Note 5 9" xfId="5464" xr:uid="{00000000-0005-0000-0000-000093160000}"/>
    <cellStyle name="Note 50" xfId="5465" xr:uid="{00000000-0005-0000-0000-000094160000}"/>
    <cellStyle name="Note 50 2" xfId="5466" xr:uid="{00000000-0005-0000-0000-000095160000}"/>
    <cellStyle name="Note 6" xfId="822" xr:uid="{00000000-0005-0000-0000-000096160000}"/>
    <cellStyle name="Note 6 10" xfId="5467" xr:uid="{00000000-0005-0000-0000-000097160000}"/>
    <cellStyle name="Note 6 2" xfId="2175" xr:uid="{00000000-0005-0000-0000-000098160000}"/>
    <cellStyle name="Note 6 2 2" xfId="5468" xr:uid="{00000000-0005-0000-0000-000099160000}"/>
    <cellStyle name="Note 6 2 2 2" xfId="5469" xr:uid="{00000000-0005-0000-0000-00009A160000}"/>
    <cellStyle name="Note 6 2 3" xfId="5470" xr:uid="{00000000-0005-0000-0000-00009B160000}"/>
    <cellStyle name="Note 6 2 4" xfId="5471" xr:uid="{00000000-0005-0000-0000-00009C160000}"/>
    <cellStyle name="Note 6 2_BukuBesar" xfId="5472" xr:uid="{00000000-0005-0000-0000-00009D160000}"/>
    <cellStyle name="Note 6 3" xfId="2176" xr:uid="{00000000-0005-0000-0000-00009E160000}"/>
    <cellStyle name="Note 6 3 2" xfId="5473" xr:uid="{00000000-0005-0000-0000-00009F160000}"/>
    <cellStyle name="Note 6 3 3" xfId="5474" xr:uid="{00000000-0005-0000-0000-0000A0160000}"/>
    <cellStyle name="Note 6 4" xfId="5475" xr:uid="{00000000-0005-0000-0000-0000A1160000}"/>
    <cellStyle name="Note 6 4 2" xfId="5476" xr:uid="{00000000-0005-0000-0000-0000A2160000}"/>
    <cellStyle name="Note 6 5" xfId="5477" xr:uid="{00000000-0005-0000-0000-0000A3160000}"/>
    <cellStyle name="Note 6 5 2" xfId="5478" xr:uid="{00000000-0005-0000-0000-0000A4160000}"/>
    <cellStyle name="Note 6 6" xfId="5479" xr:uid="{00000000-0005-0000-0000-0000A5160000}"/>
    <cellStyle name="Note 6 7" xfId="5480" xr:uid="{00000000-0005-0000-0000-0000A6160000}"/>
    <cellStyle name="Note 6 8" xfId="5481" xr:uid="{00000000-0005-0000-0000-0000A7160000}"/>
    <cellStyle name="Note 6 9" xfId="5482" xr:uid="{00000000-0005-0000-0000-0000A8160000}"/>
    <cellStyle name="Note 6_BukuBesar" xfId="5483" xr:uid="{00000000-0005-0000-0000-0000A9160000}"/>
    <cellStyle name="Note 7" xfId="823" xr:uid="{00000000-0005-0000-0000-0000AA160000}"/>
    <cellStyle name="Note 7 2" xfId="2177" xr:uid="{00000000-0005-0000-0000-0000AB160000}"/>
    <cellStyle name="Note 7 2 2" xfId="5484" xr:uid="{00000000-0005-0000-0000-0000AC160000}"/>
    <cellStyle name="Note 7 2 3" xfId="5485" xr:uid="{00000000-0005-0000-0000-0000AD160000}"/>
    <cellStyle name="Note 7 3" xfId="2178" xr:uid="{00000000-0005-0000-0000-0000AE160000}"/>
    <cellStyle name="Note 7 3 2" xfId="5486" xr:uid="{00000000-0005-0000-0000-0000AF160000}"/>
    <cellStyle name="Note 7 4" xfId="5487" xr:uid="{00000000-0005-0000-0000-0000B0160000}"/>
    <cellStyle name="Note 7 5" xfId="5488" xr:uid="{00000000-0005-0000-0000-0000B1160000}"/>
    <cellStyle name="Note 7_BukuBesar" xfId="5489" xr:uid="{00000000-0005-0000-0000-0000B2160000}"/>
    <cellStyle name="Note 8" xfId="824" xr:uid="{00000000-0005-0000-0000-0000B3160000}"/>
    <cellStyle name="Note 8 2" xfId="2179" xr:uid="{00000000-0005-0000-0000-0000B4160000}"/>
    <cellStyle name="Note 8 2 2" xfId="5490" xr:uid="{00000000-0005-0000-0000-0000B5160000}"/>
    <cellStyle name="Note 8 2 3" xfId="5491" xr:uid="{00000000-0005-0000-0000-0000B6160000}"/>
    <cellStyle name="Note 8 3" xfId="2180" xr:uid="{00000000-0005-0000-0000-0000B7160000}"/>
    <cellStyle name="Note 8 3 2" xfId="5492" xr:uid="{00000000-0005-0000-0000-0000B8160000}"/>
    <cellStyle name="Note 8 4" xfId="5493" xr:uid="{00000000-0005-0000-0000-0000B9160000}"/>
    <cellStyle name="Note 8 5" xfId="5494" xr:uid="{00000000-0005-0000-0000-0000BA160000}"/>
    <cellStyle name="Note 8_BukuBesar" xfId="5495" xr:uid="{00000000-0005-0000-0000-0000BB160000}"/>
    <cellStyle name="Note 9" xfId="825" xr:uid="{00000000-0005-0000-0000-0000BC160000}"/>
    <cellStyle name="Note 9 2" xfId="2181" xr:uid="{00000000-0005-0000-0000-0000BD160000}"/>
    <cellStyle name="Note 9 2 2" xfId="5496" xr:uid="{00000000-0005-0000-0000-0000BE160000}"/>
    <cellStyle name="Note 9 2 3" xfId="5497" xr:uid="{00000000-0005-0000-0000-0000BF160000}"/>
    <cellStyle name="Note 9 3" xfId="2182" xr:uid="{00000000-0005-0000-0000-0000C0160000}"/>
    <cellStyle name="Note 9 3 2" xfId="5498" xr:uid="{00000000-0005-0000-0000-0000C1160000}"/>
    <cellStyle name="Note 9 4" xfId="5499" xr:uid="{00000000-0005-0000-0000-0000C2160000}"/>
    <cellStyle name="Note 9 5" xfId="5500" xr:uid="{00000000-0005-0000-0000-0000C3160000}"/>
    <cellStyle name="Note 9_BukuBesar" xfId="5501" xr:uid="{00000000-0005-0000-0000-0000C4160000}"/>
    <cellStyle name="Œ…‹æØ‚è [0.00]_Region Orders (2)" xfId="826" xr:uid="{00000000-0005-0000-0000-0000C5160000}"/>
    <cellStyle name="Œ…‹æØ‚è_Region Orders (2)" xfId="827" xr:uid="{00000000-0005-0000-0000-0000C6160000}"/>
    <cellStyle name="Output 2" xfId="828" xr:uid="{00000000-0005-0000-0000-0000C7160000}"/>
    <cellStyle name="Output 2 2" xfId="2183" xr:uid="{00000000-0005-0000-0000-0000C8160000}"/>
    <cellStyle name="Output 2 2 2" xfId="5502" xr:uid="{00000000-0005-0000-0000-0000C9160000}"/>
    <cellStyle name="Output 2 2 3" xfId="5503" xr:uid="{00000000-0005-0000-0000-0000CA160000}"/>
    <cellStyle name="Output 2 2 4" xfId="6312" xr:uid="{00000000-0005-0000-0000-0000CB160000}"/>
    <cellStyle name="Output 2 3" xfId="2184" xr:uid="{00000000-0005-0000-0000-0000CC160000}"/>
    <cellStyle name="Output 2 3 2" xfId="6313" xr:uid="{00000000-0005-0000-0000-0000CD160000}"/>
    <cellStyle name="Output 2 4" xfId="5504" xr:uid="{00000000-0005-0000-0000-0000CE160000}"/>
    <cellStyle name="Output 2 4 2" xfId="6314" xr:uid="{00000000-0005-0000-0000-0000CF160000}"/>
    <cellStyle name="Output 2 5" xfId="5949" xr:uid="{00000000-0005-0000-0000-0000D0160000}"/>
    <cellStyle name="Output 2 6" xfId="7132" xr:uid="{76EC526E-3606-478E-BC44-52F1A5D4901A}"/>
    <cellStyle name="Output 3" xfId="5950" xr:uid="{00000000-0005-0000-0000-0000D1160000}"/>
    <cellStyle name="Output 3 2" xfId="6315" xr:uid="{00000000-0005-0000-0000-0000D2160000}"/>
    <cellStyle name="Output 3 3" xfId="6316" xr:uid="{00000000-0005-0000-0000-0000D3160000}"/>
    <cellStyle name="Output 3 4" xfId="6317" xr:uid="{00000000-0005-0000-0000-0000D4160000}"/>
    <cellStyle name="per.style" xfId="829" xr:uid="{00000000-0005-0000-0000-0000D5160000}"/>
    <cellStyle name="per.style 2" xfId="2185" xr:uid="{00000000-0005-0000-0000-0000D6160000}"/>
    <cellStyle name="Percent" xfId="6362" builtinId="5"/>
    <cellStyle name="Percent [0]" xfId="830" xr:uid="{00000000-0005-0000-0000-0000D7160000}"/>
    <cellStyle name="Percent [0] 2" xfId="7133" xr:uid="{0DDC0502-D0C8-49AD-BD6C-6D1C75641137}"/>
    <cellStyle name="Percent [00]" xfId="831" xr:uid="{00000000-0005-0000-0000-0000D8160000}"/>
    <cellStyle name="Percent [00] 2" xfId="5952" xr:uid="{00000000-0005-0000-0000-0000D9160000}"/>
    <cellStyle name="Percent [00] 2 2" xfId="6320" xr:uid="{00000000-0005-0000-0000-0000DA160000}"/>
    <cellStyle name="Percent [00] 2 3" xfId="7135" xr:uid="{C3AFDCA9-59CC-4E18-A60E-E943A43A35BE}"/>
    <cellStyle name="Percent [00] 3" xfId="6321" xr:uid="{00000000-0005-0000-0000-0000DB160000}"/>
    <cellStyle name="Percent [00] 4" xfId="6319" xr:uid="{00000000-0005-0000-0000-0000DC160000}"/>
    <cellStyle name="Percent [00] 5" xfId="7134" xr:uid="{CA1C102B-F420-4FB8-82E7-07DF123642DE}"/>
    <cellStyle name="Percent [2]" xfId="832" xr:uid="{00000000-0005-0000-0000-0000DD160000}"/>
    <cellStyle name="Percent [2] 2" xfId="833" xr:uid="{00000000-0005-0000-0000-0000DE160000}"/>
    <cellStyle name="Percent [2] 2 2" xfId="2186" xr:uid="{00000000-0005-0000-0000-0000DF160000}"/>
    <cellStyle name="Percent [2] 3" xfId="2187" xr:uid="{00000000-0005-0000-0000-0000E0160000}"/>
    <cellStyle name="Percent 10" xfId="834" xr:uid="{00000000-0005-0000-0000-0000E1160000}"/>
    <cellStyle name="Percent 10 2" xfId="2188" xr:uid="{00000000-0005-0000-0000-0000E2160000}"/>
    <cellStyle name="Percent 10 3" xfId="7136" xr:uid="{05093D14-F191-468C-9FCC-C10BF1D97107}"/>
    <cellStyle name="Percent 11" xfId="835" xr:uid="{00000000-0005-0000-0000-0000E3160000}"/>
    <cellStyle name="Percent 11 2" xfId="836" xr:uid="{00000000-0005-0000-0000-0000E4160000}"/>
    <cellStyle name="Percent 11 2 2" xfId="2189" xr:uid="{00000000-0005-0000-0000-0000E5160000}"/>
    <cellStyle name="Percent 11 3" xfId="2190" xr:uid="{00000000-0005-0000-0000-0000E6160000}"/>
    <cellStyle name="Percent 12" xfId="837" xr:uid="{00000000-0005-0000-0000-0000E7160000}"/>
    <cellStyle name="Percent 12 2" xfId="838" xr:uid="{00000000-0005-0000-0000-0000E8160000}"/>
    <cellStyle name="Percent 12 2 2" xfId="2191" xr:uid="{00000000-0005-0000-0000-0000E9160000}"/>
    <cellStyle name="Percent 12 3" xfId="2192" xr:uid="{00000000-0005-0000-0000-0000EA160000}"/>
    <cellStyle name="Percent 13" xfId="839" xr:uid="{00000000-0005-0000-0000-0000EB160000}"/>
    <cellStyle name="Percent 13 2" xfId="840" xr:uid="{00000000-0005-0000-0000-0000EC160000}"/>
    <cellStyle name="Percent 13 2 2" xfId="2193" xr:uid="{00000000-0005-0000-0000-0000ED160000}"/>
    <cellStyle name="Percent 13 2 2 2" xfId="5505" xr:uid="{00000000-0005-0000-0000-0000EE160000}"/>
    <cellStyle name="Percent 13 2 3" xfId="2194" xr:uid="{00000000-0005-0000-0000-0000EF160000}"/>
    <cellStyle name="Percent 13 2 3 2" xfId="5506" xr:uid="{00000000-0005-0000-0000-0000F0160000}"/>
    <cellStyle name="Percent 13 2 4" xfId="5507" xr:uid="{00000000-0005-0000-0000-0000F1160000}"/>
    <cellStyle name="Percent 13 2 5" xfId="7122" xr:uid="{4CDDBB5D-9235-431A-8D18-07D24C0BAE49}"/>
    <cellStyle name="Percent 13 3" xfId="2195" xr:uid="{00000000-0005-0000-0000-0000F2160000}"/>
    <cellStyle name="Percent 13 3 2" xfId="5508" xr:uid="{00000000-0005-0000-0000-0000F3160000}"/>
    <cellStyle name="Percent 13 4" xfId="2196" xr:uid="{00000000-0005-0000-0000-0000F4160000}"/>
    <cellStyle name="Percent 13 4 2" xfId="5509" xr:uid="{00000000-0005-0000-0000-0000F5160000}"/>
    <cellStyle name="Percent 13 5" xfId="5510" xr:uid="{00000000-0005-0000-0000-0000F6160000}"/>
    <cellStyle name="Percent 13 6" xfId="5954" xr:uid="{00000000-0005-0000-0000-0000F7160000}"/>
    <cellStyle name="Percent 13 7" xfId="7137" xr:uid="{F33B2A99-748D-4527-85F7-31462C95A744}"/>
    <cellStyle name="Percent 14" xfId="841" xr:uid="{00000000-0005-0000-0000-0000F8160000}"/>
    <cellStyle name="Percent 14 2" xfId="2197" xr:uid="{00000000-0005-0000-0000-0000F9160000}"/>
    <cellStyle name="Percent 14 2 2" xfId="5511" xr:uid="{00000000-0005-0000-0000-0000FA160000}"/>
    <cellStyle name="Percent 14 3" xfId="2198" xr:uid="{00000000-0005-0000-0000-0000FB160000}"/>
    <cellStyle name="Percent 14 4" xfId="7138" xr:uid="{A89C3D40-91AC-476F-A8FC-B2852BA8D293}"/>
    <cellStyle name="Percent 15" xfId="2199" xr:uid="{00000000-0005-0000-0000-0000FC160000}"/>
    <cellStyle name="Percent 15 2" xfId="5512" xr:uid="{00000000-0005-0000-0000-0000FD160000}"/>
    <cellStyle name="Percent 15 3" xfId="5513" xr:uid="{00000000-0005-0000-0000-0000FE160000}"/>
    <cellStyle name="Percent 15 4" xfId="7139" xr:uid="{D5D6577D-C6BD-453C-A18E-A50D50A1F58B}"/>
    <cellStyle name="Percent 16" xfId="2200" xr:uid="{00000000-0005-0000-0000-0000FF160000}"/>
    <cellStyle name="Percent 16 2" xfId="7140" xr:uid="{C00D11B5-1876-4781-97DE-4371D59B5ECB}"/>
    <cellStyle name="Percent 17" xfId="2201" xr:uid="{00000000-0005-0000-0000-000000170000}"/>
    <cellStyle name="Percent 17 2" xfId="5514" xr:uid="{00000000-0005-0000-0000-000001170000}"/>
    <cellStyle name="Percent 18" xfId="5515" xr:uid="{00000000-0005-0000-0000-000002170000}"/>
    <cellStyle name="Percent 18 2" xfId="5516" xr:uid="{00000000-0005-0000-0000-000003170000}"/>
    <cellStyle name="Percent 19" xfId="5517" xr:uid="{00000000-0005-0000-0000-000004170000}"/>
    <cellStyle name="Percent 19 2" xfId="5518" xr:uid="{00000000-0005-0000-0000-000005170000}"/>
    <cellStyle name="Percent 2" xfId="842" xr:uid="{00000000-0005-0000-0000-000006170000}"/>
    <cellStyle name="Percent 2 10" xfId="843" xr:uid="{00000000-0005-0000-0000-000007170000}"/>
    <cellStyle name="Percent 2 10 2" xfId="2202" xr:uid="{00000000-0005-0000-0000-000008170000}"/>
    <cellStyle name="Percent 2 11" xfId="844" xr:uid="{00000000-0005-0000-0000-000009170000}"/>
    <cellStyle name="Percent 2 11 2" xfId="2203" xr:uid="{00000000-0005-0000-0000-00000A170000}"/>
    <cellStyle name="Percent 2 12" xfId="845" xr:uid="{00000000-0005-0000-0000-00000B170000}"/>
    <cellStyle name="Percent 2 12 2" xfId="2204" xr:uid="{00000000-0005-0000-0000-00000C170000}"/>
    <cellStyle name="Percent 2 13" xfId="846" xr:uid="{00000000-0005-0000-0000-00000D170000}"/>
    <cellStyle name="Percent 2 13 2" xfId="2205" xr:uid="{00000000-0005-0000-0000-00000E170000}"/>
    <cellStyle name="Percent 2 14" xfId="847" xr:uid="{00000000-0005-0000-0000-00000F170000}"/>
    <cellStyle name="Percent 2 14 2" xfId="2206" xr:uid="{00000000-0005-0000-0000-000010170000}"/>
    <cellStyle name="Percent 2 15" xfId="848" xr:uid="{00000000-0005-0000-0000-000011170000}"/>
    <cellStyle name="Percent 2 15 2" xfId="2207" xr:uid="{00000000-0005-0000-0000-000012170000}"/>
    <cellStyle name="Percent 2 16" xfId="849" xr:uid="{00000000-0005-0000-0000-000013170000}"/>
    <cellStyle name="Percent 2 16 2" xfId="2208" xr:uid="{00000000-0005-0000-0000-000014170000}"/>
    <cellStyle name="Percent 2 17" xfId="850" xr:uid="{00000000-0005-0000-0000-000015170000}"/>
    <cellStyle name="Percent 2 17 2" xfId="2209" xr:uid="{00000000-0005-0000-0000-000016170000}"/>
    <cellStyle name="Percent 2 18" xfId="851" xr:uid="{00000000-0005-0000-0000-000017170000}"/>
    <cellStyle name="Percent 2 18 2" xfId="2210" xr:uid="{00000000-0005-0000-0000-000018170000}"/>
    <cellStyle name="Percent 2 19" xfId="852" xr:uid="{00000000-0005-0000-0000-000019170000}"/>
    <cellStyle name="Percent 2 19 2" xfId="2211" xr:uid="{00000000-0005-0000-0000-00001A170000}"/>
    <cellStyle name="Percent 2 2" xfId="853" xr:uid="{00000000-0005-0000-0000-00001B170000}"/>
    <cellStyle name="Percent 2 2 2" xfId="854" xr:uid="{00000000-0005-0000-0000-00001C170000}"/>
    <cellStyle name="Percent 2 2 2 2" xfId="2212" xr:uid="{00000000-0005-0000-0000-00001D170000}"/>
    <cellStyle name="Percent 2 2 3" xfId="2213" xr:uid="{00000000-0005-0000-0000-00001E170000}"/>
    <cellStyle name="Percent 2 2 4" xfId="7186" xr:uid="{916B645B-05C8-4172-961D-3559AAA4543F}"/>
    <cellStyle name="Percent 2 20" xfId="855" xr:uid="{00000000-0005-0000-0000-00001F170000}"/>
    <cellStyle name="Percent 2 20 2" xfId="2214" xr:uid="{00000000-0005-0000-0000-000020170000}"/>
    <cellStyle name="Percent 2 21" xfId="856" xr:uid="{00000000-0005-0000-0000-000021170000}"/>
    <cellStyle name="Percent 2 21 2" xfId="2215" xr:uid="{00000000-0005-0000-0000-000022170000}"/>
    <cellStyle name="Percent 2 22" xfId="857" xr:uid="{00000000-0005-0000-0000-000023170000}"/>
    <cellStyle name="Percent 2 22 2" xfId="2216" xr:uid="{00000000-0005-0000-0000-000024170000}"/>
    <cellStyle name="Percent 2 23" xfId="858" xr:uid="{00000000-0005-0000-0000-000025170000}"/>
    <cellStyle name="Percent 2 23 2" xfId="2217" xr:uid="{00000000-0005-0000-0000-000026170000}"/>
    <cellStyle name="Percent 2 24" xfId="859" xr:uid="{00000000-0005-0000-0000-000027170000}"/>
    <cellStyle name="Percent 2 24 2" xfId="2218" xr:uid="{00000000-0005-0000-0000-000028170000}"/>
    <cellStyle name="Percent 2 25" xfId="860" xr:uid="{00000000-0005-0000-0000-000029170000}"/>
    <cellStyle name="Percent 2 25 2" xfId="2219" xr:uid="{00000000-0005-0000-0000-00002A170000}"/>
    <cellStyle name="Percent 2 26" xfId="861" xr:uid="{00000000-0005-0000-0000-00002B170000}"/>
    <cellStyle name="Percent 2 26 2" xfId="2220" xr:uid="{00000000-0005-0000-0000-00002C170000}"/>
    <cellStyle name="Percent 2 27" xfId="2221" xr:uid="{00000000-0005-0000-0000-00002D170000}"/>
    <cellStyle name="Percent 2 27 2" xfId="2222" xr:uid="{00000000-0005-0000-0000-00002E170000}"/>
    <cellStyle name="Percent 2 28" xfId="5955" xr:uid="{00000000-0005-0000-0000-00002F170000}"/>
    <cellStyle name="Percent 2 29" xfId="6391" xr:uid="{8AEE05EA-3E40-43A0-AE0B-F8CEB31D007E}"/>
    <cellStyle name="Percent 2 3" xfId="862" xr:uid="{00000000-0005-0000-0000-000030170000}"/>
    <cellStyle name="Percent 2 3 10" xfId="2223" xr:uid="{00000000-0005-0000-0000-000031170000}"/>
    <cellStyle name="Percent 2 3 11" xfId="2224" xr:uid="{00000000-0005-0000-0000-000032170000}"/>
    <cellStyle name="Percent 2 3 12" xfId="2225" xr:uid="{00000000-0005-0000-0000-000033170000}"/>
    <cellStyle name="Percent 2 3 13" xfId="2226" xr:uid="{00000000-0005-0000-0000-000034170000}"/>
    <cellStyle name="Percent 2 3 14" xfId="2227" xr:uid="{00000000-0005-0000-0000-000035170000}"/>
    <cellStyle name="Percent 2 3 15" xfId="2228" xr:uid="{00000000-0005-0000-0000-000036170000}"/>
    <cellStyle name="Percent 2 3 16" xfId="2229" xr:uid="{00000000-0005-0000-0000-000037170000}"/>
    <cellStyle name="Percent 2 3 17" xfId="2230" xr:uid="{00000000-0005-0000-0000-000038170000}"/>
    <cellStyle name="Percent 2 3 18" xfId="2231" xr:uid="{00000000-0005-0000-0000-000039170000}"/>
    <cellStyle name="Percent 2 3 19" xfId="2232" xr:uid="{00000000-0005-0000-0000-00003A170000}"/>
    <cellStyle name="Percent 2 3 2" xfId="2233" xr:uid="{00000000-0005-0000-0000-00003B170000}"/>
    <cellStyle name="Percent 2 3 20" xfId="2234" xr:uid="{00000000-0005-0000-0000-00003C170000}"/>
    <cellStyle name="Percent 2 3 21" xfId="2235" xr:uid="{00000000-0005-0000-0000-00003D170000}"/>
    <cellStyle name="Percent 2 3 22" xfId="2236" xr:uid="{00000000-0005-0000-0000-00003E170000}"/>
    <cellStyle name="Percent 2 3 23" xfId="2237" xr:uid="{00000000-0005-0000-0000-00003F170000}"/>
    <cellStyle name="Percent 2 3 24" xfId="2238" xr:uid="{00000000-0005-0000-0000-000040170000}"/>
    <cellStyle name="Percent 2 3 25" xfId="2239" xr:uid="{00000000-0005-0000-0000-000041170000}"/>
    <cellStyle name="Percent 2 3 26" xfId="2240" xr:uid="{00000000-0005-0000-0000-000042170000}"/>
    <cellStyle name="Percent 2 3 27" xfId="2241" xr:uid="{00000000-0005-0000-0000-000043170000}"/>
    <cellStyle name="Percent 2 3 28" xfId="2242" xr:uid="{00000000-0005-0000-0000-000044170000}"/>
    <cellStyle name="Percent 2 3 29" xfId="2243" xr:uid="{00000000-0005-0000-0000-000045170000}"/>
    <cellStyle name="Percent 2 3 3" xfId="2244" xr:uid="{00000000-0005-0000-0000-000046170000}"/>
    <cellStyle name="Percent 2 3 30" xfId="2245" xr:uid="{00000000-0005-0000-0000-000047170000}"/>
    <cellStyle name="Percent 2 3 31" xfId="2246" xr:uid="{00000000-0005-0000-0000-000048170000}"/>
    <cellStyle name="Percent 2 3 32" xfId="2247" xr:uid="{00000000-0005-0000-0000-000049170000}"/>
    <cellStyle name="Percent 2 3 33" xfId="2248" xr:uid="{00000000-0005-0000-0000-00004A170000}"/>
    <cellStyle name="Percent 2 3 34" xfId="2249" xr:uid="{00000000-0005-0000-0000-00004B170000}"/>
    <cellStyle name="Percent 2 3 35" xfId="2250" xr:uid="{00000000-0005-0000-0000-00004C170000}"/>
    <cellStyle name="Percent 2 3 36" xfId="2251" xr:uid="{00000000-0005-0000-0000-00004D170000}"/>
    <cellStyle name="Percent 2 3 37" xfId="2252" xr:uid="{00000000-0005-0000-0000-00004E170000}"/>
    <cellStyle name="Percent 2 3 38" xfId="2253" xr:uid="{00000000-0005-0000-0000-00004F170000}"/>
    <cellStyle name="Percent 2 3 39" xfId="5519" xr:uid="{00000000-0005-0000-0000-000050170000}"/>
    <cellStyle name="Percent 2 3 4" xfId="2254" xr:uid="{00000000-0005-0000-0000-000051170000}"/>
    <cellStyle name="Percent 2 3 5" xfId="2255" xr:uid="{00000000-0005-0000-0000-000052170000}"/>
    <cellStyle name="Percent 2 3 6" xfId="2256" xr:uid="{00000000-0005-0000-0000-000053170000}"/>
    <cellStyle name="Percent 2 3 7" xfId="2257" xr:uid="{00000000-0005-0000-0000-000054170000}"/>
    <cellStyle name="Percent 2 3 8" xfId="2258" xr:uid="{00000000-0005-0000-0000-000055170000}"/>
    <cellStyle name="Percent 2 3 9" xfId="2259" xr:uid="{00000000-0005-0000-0000-000056170000}"/>
    <cellStyle name="Percent 2 4" xfId="863" xr:uid="{00000000-0005-0000-0000-000057170000}"/>
    <cellStyle name="Percent 2 4 2" xfId="2260" xr:uid="{00000000-0005-0000-0000-000058170000}"/>
    <cellStyle name="Percent 2 5" xfId="864" xr:uid="{00000000-0005-0000-0000-000059170000}"/>
    <cellStyle name="Percent 2 5 2" xfId="2261" xr:uid="{00000000-0005-0000-0000-00005A170000}"/>
    <cellStyle name="Percent 2 5 2 2" xfId="5520" xr:uid="{00000000-0005-0000-0000-00005B170000}"/>
    <cellStyle name="Percent 2 5 3" xfId="5521" xr:uid="{00000000-0005-0000-0000-00005C170000}"/>
    <cellStyle name="Percent 2 5 4" xfId="6819" xr:uid="{A193D123-BE4F-4D1A-A035-51FAD1B01633}"/>
    <cellStyle name="Percent 2 6" xfId="865" xr:uid="{00000000-0005-0000-0000-00005D170000}"/>
    <cellStyle name="Percent 2 6 2" xfId="2262" xr:uid="{00000000-0005-0000-0000-00005E170000}"/>
    <cellStyle name="Percent 2 7" xfId="866" xr:uid="{00000000-0005-0000-0000-00005F170000}"/>
    <cellStyle name="Percent 2 7 2" xfId="2263" xr:uid="{00000000-0005-0000-0000-000060170000}"/>
    <cellStyle name="Percent 2 8" xfId="867" xr:uid="{00000000-0005-0000-0000-000061170000}"/>
    <cellStyle name="Percent 2 8 2" xfId="2264" xr:uid="{00000000-0005-0000-0000-000062170000}"/>
    <cellStyle name="Percent 2 9" xfId="868" xr:uid="{00000000-0005-0000-0000-000063170000}"/>
    <cellStyle name="Percent 2 9 2" xfId="2265" xr:uid="{00000000-0005-0000-0000-000064170000}"/>
    <cellStyle name="Percent 20" xfId="5522" xr:uid="{00000000-0005-0000-0000-000065170000}"/>
    <cellStyle name="Percent 20 2" xfId="5523" xr:uid="{00000000-0005-0000-0000-000066170000}"/>
    <cellStyle name="Percent 21" xfId="5524" xr:uid="{00000000-0005-0000-0000-000067170000}"/>
    <cellStyle name="Percent 22" xfId="5525" xr:uid="{00000000-0005-0000-0000-000068170000}"/>
    <cellStyle name="Percent 23" xfId="5526" xr:uid="{00000000-0005-0000-0000-000069170000}"/>
    <cellStyle name="Percent 24" xfId="6318" xr:uid="{00000000-0005-0000-0000-00006A170000}"/>
    <cellStyle name="Percent 25" xfId="6359" xr:uid="{82AB65F9-A394-4CF3-B2B9-7D43AE85269A}"/>
    <cellStyle name="Percent 3" xfId="869" xr:uid="{00000000-0005-0000-0000-00006B170000}"/>
    <cellStyle name="Percent 3 2" xfId="870" xr:uid="{00000000-0005-0000-0000-00006C170000}"/>
    <cellStyle name="Percent 3 2 2" xfId="2266" xr:uid="{00000000-0005-0000-0000-00006D170000}"/>
    <cellStyle name="Percent 3 2 2 2" xfId="5527" xr:uid="{00000000-0005-0000-0000-00006E170000}"/>
    <cellStyle name="Percent 3 2 3" xfId="5528" xr:uid="{00000000-0005-0000-0000-00006F170000}"/>
    <cellStyle name="Percent 3 3" xfId="871" xr:uid="{00000000-0005-0000-0000-000070170000}"/>
    <cellStyle name="Percent 3 3 2" xfId="2267" xr:uid="{00000000-0005-0000-0000-000071170000}"/>
    <cellStyle name="Percent 3 3 2 2" xfId="5529" xr:uid="{00000000-0005-0000-0000-000072170000}"/>
    <cellStyle name="Percent 3 3 3" xfId="2268" xr:uid="{00000000-0005-0000-0000-000073170000}"/>
    <cellStyle name="Percent 3 3 4" xfId="5958" xr:uid="{00000000-0005-0000-0000-000074170000}"/>
    <cellStyle name="Percent 3 4" xfId="872" xr:uid="{00000000-0005-0000-0000-000075170000}"/>
    <cellStyle name="Percent 3 4 2" xfId="2269" xr:uid="{00000000-0005-0000-0000-000076170000}"/>
    <cellStyle name="Percent 3 5" xfId="2270" xr:uid="{00000000-0005-0000-0000-000077170000}"/>
    <cellStyle name="Percent 3 6" xfId="5530" xr:uid="{00000000-0005-0000-0000-000078170000}"/>
    <cellStyle name="Percent 3 7" xfId="5957" xr:uid="{00000000-0005-0000-0000-000079170000}"/>
    <cellStyle name="Percent 3 8" xfId="6394" xr:uid="{C05208D1-67B5-4851-99A5-AC222AF416C4}"/>
    <cellStyle name="Percent 4" xfId="873" xr:uid="{00000000-0005-0000-0000-00007A170000}"/>
    <cellStyle name="Percent 4 2" xfId="874" xr:uid="{00000000-0005-0000-0000-00007B170000}"/>
    <cellStyle name="Percent 4 2 2" xfId="2271" xr:uid="{00000000-0005-0000-0000-00007C170000}"/>
    <cellStyle name="Percent 4 2 3" xfId="5531" xr:uid="{00000000-0005-0000-0000-00007D170000}"/>
    <cellStyle name="Percent 4 3" xfId="875" xr:uid="{00000000-0005-0000-0000-00007E170000}"/>
    <cellStyle name="Percent 4 3 2" xfId="2272" xr:uid="{00000000-0005-0000-0000-00007F170000}"/>
    <cellStyle name="Percent 4 4" xfId="876" xr:uid="{00000000-0005-0000-0000-000080170000}"/>
    <cellStyle name="Percent 4 4 2" xfId="2273" xr:uid="{00000000-0005-0000-0000-000081170000}"/>
    <cellStyle name="Percent 4 4 3" xfId="7141" xr:uid="{59033159-F71F-47F7-8699-543892DC6AF1}"/>
    <cellStyle name="Percent 4 5" xfId="877" xr:uid="{00000000-0005-0000-0000-000082170000}"/>
    <cellStyle name="Percent 4 5 2" xfId="2274" xr:uid="{00000000-0005-0000-0000-000083170000}"/>
    <cellStyle name="Percent 4 6" xfId="2275" xr:uid="{00000000-0005-0000-0000-000084170000}"/>
    <cellStyle name="Percent 4 7" xfId="5959" xr:uid="{00000000-0005-0000-0000-000085170000}"/>
    <cellStyle name="Percent 4 8" xfId="6403" xr:uid="{F00E184C-0F49-467F-B8C8-C9B5D371E680}"/>
    <cellStyle name="Percent 5" xfId="878" xr:uid="{00000000-0005-0000-0000-000086170000}"/>
    <cellStyle name="Percent 5 2" xfId="879" xr:uid="{00000000-0005-0000-0000-000087170000}"/>
    <cellStyle name="Percent 5 2 2" xfId="2276" xr:uid="{00000000-0005-0000-0000-000088170000}"/>
    <cellStyle name="Percent 5 2 3" xfId="5532" xr:uid="{00000000-0005-0000-0000-000089170000}"/>
    <cellStyle name="Percent 5 3" xfId="880" xr:uid="{00000000-0005-0000-0000-00008A170000}"/>
    <cellStyle name="Percent 5 3 2" xfId="2277" xr:uid="{00000000-0005-0000-0000-00008B170000}"/>
    <cellStyle name="Percent 5 4" xfId="881" xr:uid="{00000000-0005-0000-0000-00008C170000}"/>
    <cellStyle name="Percent 5 4 2" xfId="2278" xr:uid="{00000000-0005-0000-0000-00008D170000}"/>
    <cellStyle name="Percent 5 5" xfId="882" xr:uid="{00000000-0005-0000-0000-00008E170000}"/>
    <cellStyle name="Percent 5 5 2" xfId="2279" xr:uid="{00000000-0005-0000-0000-00008F170000}"/>
    <cellStyle name="Percent 5 6" xfId="2280" xr:uid="{00000000-0005-0000-0000-000090170000}"/>
    <cellStyle name="Percent 5 7" xfId="5533" xr:uid="{00000000-0005-0000-0000-000091170000}"/>
    <cellStyle name="Percent 6" xfId="883" xr:uid="{00000000-0005-0000-0000-000092170000}"/>
    <cellStyle name="Percent 6 2" xfId="2281" xr:uid="{00000000-0005-0000-0000-000093170000}"/>
    <cellStyle name="Percent 6 2 2" xfId="7144" xr:uid="{A30A5E4A-BF05-4716-92B7-F3AED7C6E853}"/>
    <cellStyle name="Percent 6 3" xfId="5534" xr:uid="{00000000-0005-0000-0000-000094170000}"/>
    <cellStyle name="Percent 6 4" xfId="7143" xr:uid="{642EBF4E-45AB-4847-A975-99F5C79A9C62}"/>
    <cellStyle name="Percent 7" xfId="884" xr:uid="{00000000-0005-0000-0000-000095170000}"/>
    <cellStyle name="Percent 7 2" xfId="885" xr:uid="{00000000-0005-0000-0000-000096170000}"/>
    <cellStyle name="Percent 7 2 2" xfId="2282" xr:uid="{00000000-0005-0000-0000-000097170000}"/>
    <cellStyle name="Percent 7 3" xfId="2283" xr:uid="{00000000-0005-0000-0000-000098170000}"/>
    <cellStyle name="Percent 7 3 2" xfId="7145" xr:uid="{8EFE939C-F2EF-48BC-A018-735064DE5203}"/>
    <cellStyle name="Percent 7 4" xfId="5535" xr:uid="{00000000-0005-0000-0000-000099170000}"/>
    <cellStyle name="Percent 8" xfId="886" xr:uid="{00000000-0005-0000-0000-00009A170000}"/>
    <cellStyle name="Percent 8 2" xfId="887" xr:uid="{00000000-0005-0000-0000-00009B170000}"/>
    <cellStyle name="Percent 8 2 2" xfId="2284" xr:uid="{00000000-0005-0000-0000-00009C170000}"/>
    <cellStyle name="Percent 8 3" xfId="2285" xr:uid="{00000000-0005-0000-0000-00009D170000}"/>
    <cellStyle name="Percent 8 4" xfId="5536" xr:uid="{00000000-0005-0000-0000-00009E170000}"/>
    <cellStyle name="Percent 9" xfId="888" xr:uid="{00000000-0005-0000-0000-00009F170000}"/>
    <cellStyle name="Percent 9 2" xfId="889" xr:uid="{00000000-0005-0000-0000-0000A0170000}"/>
    <cellStyle name="Percent 9 2 2" xfId="2286" xr:uid="{00000000-0005-0000-0000-0000A1170000}"/>
    <cellStyle name="Percent 9 3" xfId="2287" xr:uid="{00000000-0005-0000-0000-0000A2170000}"/>
    <cellStyle name="PERCENTAGE" xfId="890" xr:uid="{00000000-0005-0000-0000-0000A3170000}"/>
    <cellStyle name="PERCENTAGE 2" xfId="2288" xr:uid="{00000000-0005-0000-0000-0000A4170000}"/>
    <cellStyle name="PERCENTAGE 3" xfId="7146" xr:uid="{98AB9E51-E9D4-49C4-8993-915D56BE2684}"/>
    <cellStyle name="Persen" xfId="891" xr:uid="{00000000-0005-0000-0000-0000A5170000}"/>
    <cellStyle name="PrePop Currency (0)" xfId="892" xr:uid="{00000000-0005-0000-0000-0000A6170000}"/>
    <cellStyle name="PrePop Currency (0) 2" xfId="893" xr:uid="{00000000-0005-0000-0000-0000A7170000}"/>
    <cellStyle name="PrePop Currency (0) 2 2" xfId="6323" xr:uid="{00000000-0005-0000-0000-0000A8170000}"/>
    <cellStyle name="PrePop Currency (0) 3" xfId="5960" xr:uid="{00000000-0005-0000-0000-0000A9170000}"/>
    <cellStyle name="PrePop Currency (0) 3 2" xfId="6324" xr:uid="{00000000-0005-0000-0000-0000AA170000}"/>
    <cellStyle name="PrePop Currency (0) 4" xfId="6322" xr:uid="{00000000-0005-0000-0000-0000AB170000}"/>
    <cellStyle name="PrePop Currency (2)" xfId="894" xr:uid="{00000000-0005-0000-0000-0000AC170000}"/>
    <cellStyle name="PrePop Currency (2) 2" xfId="895" xr:uid="{00000000-0005-0000-0000-0000AD170000}"/>
    <cellStyle name="PrePop Currency (2) 2 2" xfId="6326" xr:uid="{00000000-0005-0000-0000-0000AE170000}"/>
    <cellStyle name="PrePop Currency (2) 3" xfId="5961" xr:uid="{00000000-0005-0000-0000-0000AF170000}"/>
    <cellStyle name="PrePop Currency (2) 3 2" xfId="6327" xr:uid="{00000000-0005-0000-0000-0000B0170000}"/>
    <cellStyle name="PrePop Currency (2) 4" xfId="6325" xr:uid="{00000000-0005-0000-0000-0000B1170000}"/>
    <cellStyle name="PrePop Units (0)" xfId="896" xr:uid="{00000000-0005-0000-0000-0000B2170000}"/>
    <cellStyle name="PrePop Units (0) 2" xfId="897" xr:uid="{00000000-0005-0000-0000-0000B3170000}"/>
    <cellStyle name="PrePop Units (0) 2 2" xfId="6329" xr:uid="{00000000-0005-0000-0000-0000B4170000}"/>
    <cellStyle name="PrePop Units (0) 3" xfId="5962" xr:uid="{00000000-0005-0000-0000-0000B5170000}"/>
    <cellStyle name="PrePop Units (0) 3 2" xfId="6330" xr:uid="{00000000-0005-0000-0000-0000B6170000}"/>
    <cellStyle name="PrePop Units (0) 4" xfId="6328" xr:uid="{00000000-0005-0000-0000-0000B7170000}"/>
    <cellStyle name="PrePop Units (1)" xfId="898" xr:uid="{00000000-0005-0000-0000-0000B8170000}"/>
    <cellStyle name="PrePop Units (1) 2" xfId="899" xr:uid="{00000000-0005-0000-0000-0000B9170000}"/>
    <cellStyle name="PrePop Units (1) 2 2" xfId="6332" xr:uid="{00000000-0005-0000-0000-0000BA170000}"/>
    <cellStyle name="PrePop Units (1) 3" xfId="5963" xr:uid="{00000000-0005-0000-0000-0000BB170000}"/>
    <cellStyle name="PrePop Units (1) 3 2" xfId="6333" xr:uid="{00000000-0005-0000-0000-0000BC170000}"/>
    <cellStyle name="PrePop Units (1) 4" xfId="6331" xr:uid="{00000000-0005-0000-0000-0000BD170000}"/>
    <cellStyle name="PrePop Units (2)" xfId="900" xr:uid="{00000000-0005-0000-0000-0000BE170000}"/>
    <cellStyle name="PrePop Units (2) 2" xfId="901" xr:uid="{00000000-0005-0000-0000-0000BF170000}"/>
    <cellStyle name="PrePop Units (2) 2 2" xfId="6335" xr:uid="{00000000-0005-0000-0000-0000C0170000}"/>
    <cellStyle name="PrePop Units (2) 3" xfId="5964" xr:uid="{00000000-0005-0000-0000-0000C1170000}"/>
    <cellStyle name="PrePop Units (2) 3 2" xfId="6336" xr:uid="{00000000-0005-0000-0000-0000C2170000}"/>
    <cellStyle name="PrePop Units (2) 4" xfId="6334" xr:uid="{00000000-0005-0000-0000-0000C3170000}"/>
    <cellStyle name="pricing" xfId="902" xr:uid="{00000000-0005-0000-0000-0000C4170000}"/>
    <cellStyle name="pricing 2" xfId="903" xr:uid="{00000000-0005-0000-0000-0000C5170000}"/>
    <cellStyle name="pricing 2 2" xfId="5537" xr:uid="{00000000-0005-0000-0000-0000C6170000}"/>
    <cellStyle name="pricing 2 3" xfId="7044" xr:uid="{6489D1F6-A613-462C-9BA7-A5150E4DD7D6}"/>
    <cellStyle name="pricing 3" xfId="2289" xr:uid="{00000000-0005-0000-0000-0000C7170000}"/>
    <cellStyle name="pricing 4" xfId="5538" xr:uid="{00000000-0005-0000-0000-0000C8170000}"/>
    <cellStyle name="pricing 5" xfId="7066" xr:uid="{D8F29B69-D9F5-413D-BB74-3259691D4E04}"/>
    <cellStyle name="PSChar" xfId="904" xr:uid="{00000000-0005-0000-0000-0000C9170000}"/>
    <cellStyle name="PSChar 2" xfId="2290" xr:uid="{00000000-0005-0000-0000-0000CA170000}"/>
    <cellStyle name="PSChar 2 2" xfId="5539" xr:uid="{00000000-0005-0000-0000-0000CB170000}"/>
    <cellStyle name="PSChar 3" xfId="6990" xr:uid="{6B43A3B7-447F-42CF-9411-F3FE97931671}"/>
    <cellStyle name="Reset range style to defaults" xfId="7147" xr:uid="{9CA426EA-D9C8-4D39-91BA-D5CB56C24014}"/>
    <cellStyle name="RevList" xfId="905" xr:uid="{00000000-0005-0000-0000-0000CC170000}"/>
    <cellStyle name="RevList 2" xfId="906" xr:uid="{00000000-0005-0000-0000-0000CD170000}"/>
    <cellStyle name="RevList 2 2" xfId="5540" xr:uid="{00000000-0005-0000-0000-0000CE170000}"/>
    <cellStyle name="RevList 3" xfId="2291" xr:uid="{00000000-0005-0000-0000-0000CF170000}"/>
    <cellStyle name="RevList 4" xfId="5541" xr:uid="{00000000-0005-0000-0000-0000D0170000}"/>
    <cellStyle name="RevList 5" xfId="6987" xr:uid="{E4367ADD-7A1B-4BB2-B7DD-5FFD744E0635}"/>
    <cellStyle name="Ribu" xfId="907" xr:uid="{00000000-0005-0000-0000-0000D1170000}"/>
    <cellStyle name="Ribu 2" xfId="2292" xr:uid="{00000000-0005-0000-0000-0000D2170000}"/>
    <cellStyle name="sbt2" xfId="908" xr:uid="{00000000-0005-0000-0000-0000D3170000}"/>
    <cellStyle name="sbt2 10" xfId="909" xr:uid="{00000000-0005-0000-0000-0000D4170000}"/>
    <cellStyle name="sbt2 10 2" xfId="7149" xr:uid="{46E629F0-EDFF-4826-BDEC-F5375A962716}"/>
    <cellStyle name="sbt2 11" xfId="5542" xr:uid="{00000000-0005-0000-0000-0000D5170000}"/>
    <cellStyle name="sbt2 12" xfId="5965" xr:uid="{00000000-0005-0000-0000-0000D6170000}"/>
    <cellStyle name="sbt2 13" xfId="7148" xr:uid="{3B8EC9AB-1372-437D-A329-3C201C8143E0}"/>
    <cellStyle name="sbt2 2" xfId="910" xr:uid="{00000000-0005-0000-0000-0000D7170000}"/>
    <cellStyle name="sbt2 2 2" xfId="2293" xr:uid="{00000000-0005-0000-0000-0000D8170000}"/>
    <cellStyle name="sbt2 2 3" xfId="2294" xr:uid="{00000000-0005-0000-0000-0000D9170000}"/>
    <cellStyle name="sbt2 2 4" xfId="5543" xr:uid="{00000000-0005-0000-0000-0000DA170000}"/>
    <cellStyle name="sbt2 2 5" xfId="6337" xr:uid="{00000000-0005-0000-0000-0000DB170000}"/>
    <cellStyle name="sbt2 2 6" xfId="7150" xr:uid="{66643B8B-D172-437D-8551-44AA6967FF97}"/>
    <cellStyle name="sbt2 3" xfId="911" xr:uid="{00000000-0005-0000-0000-0000DC170000}"/>
    <cellStyle name="sbt2 3 2" xfId="5544" xr:uid="{00000000-0005-0000-0000-0000DD170000}"/>
    <cellStyle name="sbt2 3 3" xfId="6338" xr:uid="{00000000-0005-0000-0000-0000DE170000}"/>
    <cellStyle name="sbt2 3 4" xfId="7151" xr:uid="{57C0EA6C-426B-481C-A590-9C4537EE014C}"/>
    <cellStyle name="sbt2 4" xfId="912" xr:uid="{00000000-0005-0000-0000-0000DF170000}"/>
    <cellStyle name="sbt2 4 2" xfId="5545" xr:uid="{00000000-0005-0000-0000-0000E0170000}"/>
    <cellStyle name="sbt2 4 3" xfId="6339" xr:uid="{00000000-0005-0000-0000-0000E1170000}"/>
    <cellStyle name="sbt2 4 4" xfId="7152" xr:uid="{2A43B824-32CA-408F-9D12-D7D888B626E7}"/>
    <cellStyle name="sbt2 5" xfId="913" xr:uid="{00000000-0005-0000-0000-0000E2170000}"/>
    <cellStyle name="sbt2 5 2" xfId="7153" xr:uid="{29AD2CFB-6EF2-4B67-ACC5-B1DAD836FAE2}"/>
    <cellStyle name="sbt2 6" xfId="914" xr:uid="{00000000-0005-0000-0000-0000E3170000}"/>
    <cellStyle name="sbt2 6 2" xfId="7154" xr:uid="{C345528A-20AF-4581-B685-20D87B13C8D4}"/>
    <cellStyle name="sbt2 7" xfId="915" xr:uid="{00000000-0005-0000-0000-0000E4170000}"/>
    <cellStyle name="sbt2 7 2" xfId="7155" xr:uid="{DC8D1BAA-0AE3-4783-BC34-822F0C33944C}"/>
    <cellStyle name="sbt2 8" xfId="916" xr:uid="{00000000-0005-0000-0000-0000E5170000}"/>
    <cellStyle name="sbt2 8 2" xfId="7156" xr:uid="{25C03E58-9AF3-4EBF-B127-79F3BFDC9CFB}"/>
    <cellStyle name="sbt2 9" xfId="917" xr:uid="{00000000-0005-0000-0000-0000E6170000}"/>
    <cellStyle name="sbt2 9 2" xfId="6605" xr:uid="{4AF07D46-2BF8-4F4F-81E6-04F641F6C775}"/>
    <cellStyle name="SHEET" xfId="918" xr:uid="{00000000-0005-0000-0000-0000E7170000}"/>
    <cellStyle name="SHEET 2" xfId="2295" xr:uid="{00000000-0005-0000-0000-0000E8170000}"/>
    <cellStyle name="SHEET 3" xfId="5546" xr:uid="{00000000-0005-0000-0000-0000E9170000}"/>
    <cellStyle name="SHEET 4" xfId="7157" xr:uid="{540D6A40-D60C-46EA-AED4-0A92E8E177F2}"/>
    <cellStyle name="SPOl" xfId="919" xr:uid="{00000000-0005-0000-0000-0000EA170000}"/>
    <cellStyle name="SPOl 2" xfId="2296" xr:uid="{00000000-0005-0000-0000-0000EB170000}"/>
    <cellStyle name="style" xfId="920" xr:uid="{00000000-0005-0000-0000-0000EC170000}"/>
    <cellStyle name="Style 1" xfId="921" xr:uid="{00000000-0005-0000-0000-0000ED170000}"/>
    <cellStyle name="Style 1 2" xfId="2297" xr:uid="{00000000-0005-0000-0000-0000EE170000}"/>
    <cellStyle name="style 10" xfId="922" xr:uid="{00000000-0005-0000-0000-0000EF170000}"/>
    <cellStyle name="style 10 2" xfId="5547" xr:uid="{00000000-0005-0000-0000-0000F0170000}"/>
    <cellStyle name="style 10 3" xfId="7158" xr:uid="{4CD1C794-22CB-42B4-A3EE-98DDDCA6A188}"/>
    <cellStyle name="style 11" xfId="923" xr:uid="{00000000-0005-0000-0000-0000F1170000}"/>
    <cellStyle name="style 11 2" xfId="5548" xr:uid="{00000000-0005-0000-0000-0000F2170000}"/>
    <cellStyle name="style 11 3" xfId="7159" xr:uid="{97E3E06E-31E5-482C-8CC3-5F1E2E3A5081}"/>
    <cellStyle name="style 12" xfId="924" xr:uid="{00000000-0005-0000-0000-0000F3170000}"/>
    <cellStyle name="style 12 2" xfId="5549" xr:uid="{00000000-0005-0000-0000-0000F4170000}"/>
    <cellStyle name="style 12 3" xfId="7160" xr:uid="{40BEDAC6-7017-4050-B5E6-1A7D29834D03}"/>
    <cellStyle name="style 13" xfId="925" xr:uid="{00000000-0005-0000-0000-0000F5170000}"/>
    <cellStyle name="style 13 2" xfId="5550" xr:uid="{00000000-0005-0000-0000-0000F6170000}"/>
    <cellStyle name="style 13 3" xfId="7161" xr:uid="{5625076B-A1AB-4A87-8F84-71B3181E50BF}"/>
    <cellStyle name="style 14" xfId="926" xr:uid="{00000000-0005-0000-0000-0000F7170000}"/>
    <cellStyle name="style 14 2" xfId="5551" xr:uid="{00000000-0005-0000-0000-0000F8170000}"/>
    <cellStyle name="style 14 3" xfId="7162" xr:uid="{3587A3D8-7730-400C-BC34-5F5110F9308D}"/>
    <cellStyle name="style 15" xfId="927" xr:uid="{00000000-0005-0000-0000-0000F9170000}"/>
    <cellStyle name="style 15 2" xfId="5552" xr:uid="{00000000-0005-0000-0000-0000FA170000}"/>
    <cellStyle name="style 15 3" xfId="7164" xr:uid="{544BFD98-D9D2-429F-AEAB-D726CC1999A8}"/>
    <cellStyle name="style 16" xfId="928" xr:uid="{00000000-0005-0000-0000-0000FB170000}"/>
    <cellStyle name="style 16 2" xfId="5553" xr:uid="{00000000-0005-0000-0000-0000FC170000}"/>
    <cellStyle name="style 16 3" xfId="7166" xr:uid="{54C1FF80-A35C-49CE-B51D-87CBF815BEB7}"/>
    <cellStyle name="style 17" xfId="929" xr:uid="{00000000-0005-0000-0000-0000FD170000}"/>
    <cellStyle name="style 17 2" xfId="5554" xr:uid="{00000000-0005-0000-0000-0000FE170000}"/>
    <cellStyle name="style 17 3" xfId="7168" xr:uid="{5ABA0DC6-67F2-485C-B988-90CD5B325067}"/>
    <cellStyle name="style 18" xfId="930" xr:uid="{00000000-0005-0000-0000-0000FF170000}"/>
    <cellStyle name="style 18 2" xfId="5555" xr:uid="{00000000-0005-0000-0000-000000180000}"/>
    <cellStyle name="style 18 3" xfId="7169" xr:uid="{153D16C8-7DEC-4572-B1B3-0476A618C3A2}"/>
    <cellStyle name="style 19" xfId="931" xr:uid="{00000000-0005-0000-0000-000001180000}"/>
    <cellStyle name="style 19 2" xfId="5556" xr:uid="{00000000-0005-0000-0000-000002180000}"/>
    <cellStyle name="style 19 3" xfId="7170" xr:uid="{0BC5856A-9A6D-496C-ABC7-D6E7E6C7315A}"/>
    <cellStyle name="style 2" xfId="932" xr:uid="{00000000-0005-0000-0000-000003180000}"/>
    <cellStyle name="style 2 2" xfId="2298" xr:uid="{00000000-0005-0000-0000-000004180000}"/>
    <cellStyle name="style 2 2 2" xfId="5557" xr:uid="{00000000-0005-0000-0000-000005180000}"/>
    <cellStyle name="style 2 3" xfId="2299" xr:uid="{00000000-0005-0000-0000-000006180000}"/>
    <cellStyle name="style 2 4" xfId="2300" xr:uid="{00000000-0005-0000-0000-000007180000}"/>
    <cellStyle name="style 2 5" xfId="5558" xr:uid="{00000000-0005-0000-0000-000008180000}"/>
    <cellStyle name="style 2 6" xfId="6341" xr:uid="{00000000-0005-0000-0000-000009180000}"/>
    <cellStyle name="style 2 7" xfId="7171" xr:uid="{21C197C3-FE0F-4106-AB12-3B304282ABC0}"/>
    <cellStyle name="style 20" xfId="933" xr:uid="{00000000-0005-0000-0000-00000A180000}"/>
    <cellStyle name="style 20 2" xfId="5559" xr:uid="{00000000-0005-0000-0000-00000B180000}"/>
    <cellStyle name="style 20 3" xfId="7163" xr:uid="{52C7705F-611A-42D7-BE0F-C0BB2239F586}"/>
    <cellStyle name="style 21" xfId="934" xr:uid="{00000000-0005-0000-0000-00000C180000}"/>
    <cellStyle name="style 21 2" xfId="5560" xr:uid="{00000000-0005-0000-0000-00000D180000}"/>
    <cellStyle name="style 21 3" xfId="7165" xr:uid="{6B2D8247-E7B7-42FA-93CC-C5B2D70B840A}"/>
    <cellStyle name="style 22" xfId="935" xr:uid="{00000000-0005-0000-0000-00000E180000}"/>
    <cellStyle name="style 22 2" xfId="5561" xr:uid="{00000000-0005-0000-0000-00000F180000}"/>
    <cellStyle name="style 22 3" xfId="7167" xr:uid="{35BA47FF-94CC-4CC7-910B-B2B204380759}"/>
    <cellStyle name="style 23" xfId="5562" xr:uid="{00000000-0005-0000-0000-000010180000}"/>
    <cellStyle name="style 24" xfId="5563" xr:uid="{00000000-0005-0000-0000-000011180000}"/>
    <cellStyle name="style 25" xfId="5564" xr:uid="{00000000-0005-0000-0000-000012180000}"/>
    <cellStyle name="style 26" xfId="5565" xr:uid="{00000000-0005-0000-0000-000013180000}"/>
    <cellStyle name="style 27" xfId="5566" xr:uid="{00000000-0005-0000-0000-000014180000}"/>
    <cellStyle name="style 28" xfId="5567" xr:uid="{00000000-0005-0000-0000-000015180000}"/>
    <cellStyle name="style 29" xfId="5966" xr:uid="{00000000-0005-0000-0000-000016180000}"/>
    <cellStyle name="style 3" xfId="936" xr:uid="{00000000-0005-0000-0000-000017180000}"/>
    <cellStyle name="style 3 2" xfId="5568" xr:uid="{00000000-0005-0000-0000-000018180000}"/>
    <cellStyle name="style 3 3" xfId="5569" xr:uid="{00000000-0005-0000-0000-000019180000}"/>
    <cellStyle name="style 3 4" xfId="6342" xr:uid="{00000000-0005-0000-0000-00001A180000}"/>
    <cellStyle name="style 3 5" xfId="6802" xr:uid="{8341F54A-88A7-4214-8735-8D953E326969}"/>
    <cellStyle name="style 30" xfId="6002" xr:uid="{00000000-0005-0000-0000-00001B180000}"/>
    <cellStyle name="style 31" xfId="5969" xr:uid="{00000000-0005-0000-0000-00001C180000}"/>
    <cellStyle name="style 32" xfId="6003" xr:uid="{00000000-0005-0000-0000-00001D180000}"/>
    <cellStyle name="style 33" xfId="5974" xr:uid="{00000000-0005-0000-0000-00001E180000}"/>
    <cellStyle name="style 34" xfId="6006" xr:uid="{00000000-0005-0000-0000-00001F180000}"/>
    <cellStyle name="style 35" xfId="5975" xr:uid="{00000000-0005-0000-0000-000020180000}"/>
    <cellStyle name="style 36" xfId="6007" xr:uid="{00000000-0005-0000-0000-000021180000}"/>
    <cellStyle name="style 37" xfId="6010" xr:uid="{00000000-0005-0000-0000-000022180000}"/>
    <cellStyle name="style 38" xfId="6340" xr:uid="{00000000-0005-0000-0000-000023180000}"/>
    <cellStyle name="style 39" xfId="7123" xr:uid="{0529E73D-440B-47B7-8512-FCD7BDC07183}"/>
    <cellStyle name="style 4" xfId="937" xr:uid="{00000000-0005-0000-0000-000024180000}"/>
    <cellStyle name="style 4 2" xfId="5570" xr:uid="{00000000-0005-0000-0000-000025180000}"/>
    <cellStyle name="style 4 3" xfId="5571" xr:uid="{00000000-0005-0000-0000-000026180000}"/>
    <cellStyle name="style 4 4" xfId="7172" xr:uid="{A05BC3A3-7D80-48AE-8627-A563C210D081}"/>
    <cellStyle name="style 5" xfId="938" xr:uid="{00000000-0005-0000-0000-000027180000}"/>
    <cellStyle name="style 5 2" xfId="5572" xr:uid="{00000000-0005-0000-0000-000028180000}"/>
    <cellStyle name="style 5 3" xfId="5573" xr:uid="{00000000-0005-0000-0000-000029180000}"/>
    <cellStyle name="style 5 4" xfId="7173" xr:uid="{07237E58-7108-4FD9-87AA-4D6B8BA5C95D}"/>
    <cellStyle name="style 6" xfId="939" xr:uid="{00000000-0005-0000-0000-00002A180000}"/>
    <cellStyle name="style 6 2" xfId="5574" xr:uid="{00000000-0005-0000-0000-00002B180000}"/>
    <cellStyle name="style 6 3" xfId="5575" xr:uid="{00000000-0005-0000-0000-00002C180000}"/>
    <cellStyle name="style 6 4" xfId="7174" xr:uid="{C181BAAD-E97A-4856-AA68-2A4ABA165331}"/>
    <cellStyle name="style 7" xfId="940" xr:uid="{00000000-0005-0000-0000-00002D180000}"/>
    <cellStyle name="style 7 2" xfId="5576" xr:uid="{00000000-0005-0000-0000-00002E180000}"/>
    <cellStyle name="style 7 3" xfId="7175" xr:uid="{B5627F7F-24F2-423C-B70D-3FBDA0FAAF29}"/>
    <cellStyle name="style 8" xfId="941" xr:uid="{00000000-0005-0000-0000-00002F180000}"/>
    <cellStyle name="style 8 2" xfId="5577" xr:uid="{00000000-0005-0000-0000-000030180000}"/>
    <cellStyle name="style 8 3" xfId="7176" xr:uid="{1E2BC45B-35A3-4CAE-914F-B8DB1F9B1E8F}"/>
    <cellStyle name="style 9" xfId="942" xr:uid="{00000000-0005-0000-0000-000031180000}"/>
    <cellStyle name="style 9 2" xfId="5578" xr:uid="{00000000-0005-0000-0000-000032180000}"/>
    <cellStyle name="style 9 3" xfId="7177" xr:uid="{D7BC10E8-2646-430C-97A4-671FDC108D04}"/>
    <cellStyle name="style1" xfId="943" xr:uid="{00000000-0005-0000-0000-000033180000}"/>
    <cellStyle name="style1 2" xfId="2301" xr:uid="{00000000-0005-0000-0000-000034180000}"/>
    <cellStyle name="style1 3" xfId="5579" xr:uid="{00000000-0005-0000-0000-000035180000}"/>
    <cellStyle name="style1 4" xfId="7178" xr:uid="{C0FABD57-CB45-422D-A9F6-65B266F4187D}"/>
    <cellStyle name="style2" xfId="944" xr:uid="{00000000-0005-0000-0000-000036180000}"/>
    <cellStyle name="style2 2" xfId="2302" xr:uid="{00000000-0005-0000-0000-000037180000}"/>
    <cellStyle name="style2 3" xfId="5580" xr:uid="{00000000-0005-0000-0000-000038180000}"/>
    <cellStyle name="style2 4" xfId="7179" xr:uid="{55405CC0-F804-40D7-839E-48D9B4158CC8}"/>
    <cellStyle name="subt1" xfId="945" xr:uid="{00000000-0005-0000-0000-000039180000}"/>
    <cellStyle name="subt1 2" xfId="2303" xr:uid="{00000000-0005-0000-0000-00003A180000}"/>
    <cellStyle name="subt1 3" xfId="2304" xr:uid="{00000000-0005-0000-0000-00003B180000}"/>
    <cellStyle name="subt1 4" xfId="5581" xr:uid="{00000000-0005-0000-0000-00003C180000}"/>
    <cellStyle name="subt1 5" xfId="6586" xr:uid="{ACD5D341-AED9-4FBF-A700-0DB1B2A95309}"/>
    <cellStyle name="Subtotal" xfId="946" xr:uid="{00000000-0005-0000-0000-00003D180000}"/>
    <cellStyle name="Subtotal 2" xfId="947" xr:uid="{00000000-0005-0000-0000-00003E180000}"/>
    <cellStyle name="Subtotal 2 2" xfId="2305" xr:uid="{00000000-0005-0000-0000-00003F180000}"/>
    <cellStyle name="Subtotal 3" xfId="2306" xr:uid="{00000000-0005-0000-0000-000040180000}"/>
    <cellStyle name="Subtotal 4" xfId="5582" xr:uid="{00000000-0005-0000-0000-000041180000}"/>
    <cellStyle name="Subtotal 5" xfId="6706" xr:uid="{0A15CA87-7184-43C7-8865-9954BACA132B}"/>
    <cellStyle name="tahap" xfId="948" xr:uid="{00000000-0005-0000-0000-000042180000}"/>
    <cellStyle name="tahap 2" xfId="949" xr:uid="{00000000-0005-0000-0000-000043180000}"/>
    <cellStyle name="tahap 2 2" xfId="2307" xr:uid="{00000000-0005-0000-0000-000044180000}"/>
    <cellStyle name="tahap 3" xfId="2308" xr:uid="{00000000-0005-0000-0000-000045180000}"/>
    <cellStyle name="Text Indent A" xfId="950" xr:uid="{00000000-0005-0000-0000-000046180000}"/>
    <cellStyle name="Text Indent A 2" xfId="2309" xr:uid="{00000000-0005-0000-0000-000047180000}"/>
    <cellStyle name="Text Indent B" xfId="951" xr:uid="{00000000-0005-0000-0000-000048180000}"/>
    <cellStyle name="Text Indent B 2" xfId="6683" xr:uid="{44B30D60-E77F-4BF1-BA87-8A4ECF7206FC}"/>
    <cellStyle name="Text Indent C" xfId="952" xr:uid="{00000000-0005-0000-0000-000049180000}"/>
    <cellStyle name="Text Indent C 2" xfId="953" xr:uid="{00000000-0005-0000-0000-00004A180000}"/>
    <cellStyle name="Text Indent C 2 2" xfId="6344" xr:uid="{00000000-0005-0000-0000-00004B180000}"/>
    <cellStyle name="Text Indent C 3" xfId="5967" xr:uid="{00000000-0005-0000-0000-00004C180000}"/>
    <cellStyle name="Text Indent C 3 2" xfId="6345" xr:uid="{00000000-0005-0000-0000-00004D180000}"/>
    <cellStyle name="Text Indent C 4" xfId="6343" xr:uid="{00000000-0005-0000-0000-00004E180000}"/>
    <cellStyle name="þ_x001d_ð &amp;ý&amp;†ýG_x0008_ X_x000a__x0007__x0001__x0001_" xfId="954" xr:uid="{00000000-0005-0000-0000-00004F180000}"/>
    <cellStyle name="þ_x001d_ð &amp;ý&amp;†ýG_x0008_ X_x000a__x0007__x0001__x0001_ 2" xfId="5968" xr:uid="{00000000-0005-0000-0000-000050180000}"/>
    <cellStyle name="þ_x001d_ð &amp;ý&amp;†ýG_x0008_ X_x000a__x0007__x0001__x0001_ 2 2" xfId="6347" xr:uid="{00000000-0005-0000-0000-000051180000}"/>
    <cellStyle name="þ_x001d_ð &amp;ý&amp;†ýG_x0008_ X_x000a__x0007__x0001__x0001_ 3" xfId="6348" xr:uid="{00000000-0005-0000-0000-000052180000}"/>
    <cellStyle name="þ_x001d_ð &amp;ý&amp;†ýG_x0008_ X_x000a__x0007__x0001__x0001_ 4" xfId="6346" xr:uid="{00000000-0005-0000-0000-000053180000}"/>
    <cellStyle name="þ_x001d_ð &amp;ý&amp;†ýG_x0008_ X_x000d__x0007__x0001__x0001_" xfId="6767" xr:uid="{E41D7373-5DE7-494B-818C-E0C925F91C84}"/>
    <cellStyle name="þ_x001d_ð &amp;ý&amp;†ýG_x0008_ X_x000d__x0007__x0001__x0001_ 2" xfId="7180" xr:uid="{D061B6B7-ACBE-4144-B8AC-DADEE6E4181A}"/>
    <cellStyle name="Title 2" xfId="955" xr:uid="{00000000-0005-0000-0000-000054180000}"/>
    <cellStyle name="Title 2 2" xfId="2310" xr:uid="{00000000-0005-0000-0000-000055180000}"/>
    <cellStyle name="Title 2 2 2" xfId="5583" xr:uid="{00000000-0005-0000-0000-000056180000}"/>
    <cellStyle name="Title 2 3" xfId="7142" xr:uid="{BB8A3974-CC9B-4C6C-9356-D4A470066404}"/>
    <cellStyle name="Title 3" xfId="5970" xr:uid="{00000000-0005-0000-0000-000057180000}"/>
    <cellStyle name="Total 10" xfId="5584" xr:uid="{00000000-0005-0000-0000-000058180000}"/>
    <cellStyle name="Total 11" xfId="5585" xr:uid="{00000000-0005-0000-0000-000059180000}"/>
    <cellStyle name="Total 12" xfId="5586" xr:uid="{00000000-0005-0000-0000-00005A180000}"/>
    <cellStyle name="Total 13" xfId="5587" xr:uid="{00000000-0005-0000-0000-00005B180000}"/>
    <cellStyle name="Total 14" xfId="5588" xr:uid="{00000000-0005-0000-0000-00005C180000}"/>
    <cellStyle name="Total 15" xfId="5589" xr:uid="{00000000-0005-0000-0000-00005D180000}"/>
    <cellStyle name="Total 16" xfId="5590" xr:uid="{00000000-0005-0000-0000-00005E180000}"/>
    <cellStyle name="Total 17" xfId="5591" xr:uid="{00000000-0005-0000-0000-00005F180000}"/>
    <cellStyle name="Total 18" xfId="5592" xr:uid="{00000000-0005-0000-0000-000060180000}"/>
    <cellStyle name="Total 19" xfId="5593" xr:uid="{00000000-0005-0000-0000-000061180000}"/>
    <cellStyle name="Total 2" xfId="956" xr:uid="{00000000-0005-0000-0000-000062180000}"/>
    <cellStyle name="Total 2 10" xfId="6004" xr:uid="{00000000-0005-0000-0000-000063180000}"/>
    <cellStyle name="Total 2 2" xfId="2311" xr:uid="{00000000-0005-0000-0000-000064180000}"/>
    <cellStyle name="Total 2 2 2" xfId="5594" xr:uid="{00000000-0005-0000-0000-000065180000}"/>
    <cellStyle name="Total 2 2 2 2" xfId="5595" xr:uid="{00000000-0005-0000-0000-000066180000}"/>
    <cellStyle name="Total 2 2 3" xfId="5596" xr:uid="{00000000-0005-0000-0000-000067180000}"/>
    <cellStyle name="Total 2 2 4" xfId="6349" xr:uid="{00000000-0005-0000-0000-000068180000}"/>
    <cellStyle name="Total 2 2_BukuBesar" xfId="5597" xr:uid="{00000000-0005-0000-0000-000069180000}"/>
    <cellStyle name="Total 2 3" xfId="2312" xr:uid="{00000000-0005-0000-0000-00006A180000}"/>
    <cellStyle name="Total 2 3 2" xfId="5598" xr:uid="{00000000-0005-0000-0000-00006B180000}"/>
    <cellStyle name="Total 2 3 3" xfId="6350" xr:uid="{00000000-0005-0000-0000-00006C180000}"/>
    <cellStyle name="Total 2 4" xfId="5599" xr:uid="{00000000-0005-0000-0000-00006D180000}"/>
    <cellStyle name="Total 2 4 2" xfId="6351" xr:uid="{00000000-0005-0000-0000-00006E180000}"/>
    <cellStyle name="Total 2 5" xfId="5600" xr:uid="{00000000-0005-0000-0000-00006F180000}"/>
    <cellStyle name="Total 2 6" xfId="5601" xr:uid="{00000000-0005-0000-0000-000070180000}"/>
    <cellStyle name="Total 2 7" xfId="5602" xr:uid="{00000000-0005-0000-0000-000071180000}"/>
    <cellStyle name="Total 2 8" xfId="5603" xr:uid="{00000000-0005-0000-0000-000072180000}"/>
    <cellStyle name="Total 2 9" xfId="5971" xr:uid="{00000000-0005-0000-0000-000073180000}"/>
    <cellStyle name="Total 20" xfId="5604" xr:uid="{00000000-0005-0000-0000-000074180000}"/>
    <cellStyle name="Total 21" xfId="5605" xr:uid="{00000000-0005-0000-0000-000075180000}"/>
    <cellStyle name="Total 22" xfId="5606" xr:uid="{00000000-0005-0000-0000-000076180000}"/>
    <cellStyle name="Total 23" xfId="5607" xr:uid="{00000000-0005-0000-0000-000077180000}"/>
    <cellStyle name="Total 24" xfId="5608" xr:uid="{00000000-0005-0000-0000-000078180000}"/>
    <cellStyle name="Total 25" xfId="5609" xr:uid="{00000000-0005-0000-0000-000079180000}"/>
    <cellStyle name="Total 26" xfId="5610" xr:uid="{00000000-0005-0000-0000-00007A180000}"/>
    <cellStyle name="Total 27" xfId="5611" xr:uid="{00000000-0005-0000-0000-00007B180000}"/>
    <cellStyle name="Total 28" xfId="5612" xr:uid="{00000000-0005-0000-0000-00007C180000}"/>
    <cellStyle name="Total 29" xfId="5613" xr:uid="{00000000-0005-0000-0000-00007D180000}"/>
    <cellStyle name="Total 3" xfId="957" xr:uid="{00000000-0005-0000-0000-00007E180000}"/>
    <cellStyle name="Total 3 10" xfId="6009" xr:uid="{00000000-0005-0000-0000-00007F180000}"/>
    <cellStyle name="Total 3 2" xfId="2313" xr:uid="{00000000-0005-0000-0000-000080180000}"/>
    <cellStyle name="Total 3 2 2" xfId="5614" xr:uid="{00000000-0005-0000-0000-000081180000}"/>
    <cellStyle name="Total 3 2 2 2" xfId="5615" xr:uid="{00000000-0005-0000-0000-000082180000}"/>
    <cellStyle name="Total 3 2 3" xfId="5616" xr:uid="{00000000-0005-0000-0000-000083180000}"/>
    <cellStyle name="Total 3 2 4" xfId="6352" xr:uid="{00000000-0005-0000-0000-000084180000}"/>
    <cellStyle name="Total 3 2_BukuBesar" xfId="5617" xr:uid="{00000000-0005-0000-0000-000085180000}"/>
    <cellStyle name="Total 3 3" xfId="2314" xr:uid="{00000000-0005-0000-0000-000086180000}"/>
    <cellStyle name="Total 3 3 2" xfId="5618" xr:uid="{00000000-0005-0000-0000-000087180000}"/>
    <cellStyle name="Total 3 3 3" xfId="6353" xr:uid="{00000000-0005-0000-0000-000088180000}"/>
    <cellStyle name="Total 3 4" xfId="5619" xr:uid="{00000000-0005-0000-0000-000089180000}"/>
    <cellStyle name="Total 3 4 2" xfId="6354" xr:uid="{00000000-0005-0000-0000-00008A180000}"/>
    <cellStyle name="Total 3 5" xfId="5620" xr:uid="{00000000-0005-0000-0000-00008B180000}"/>
    <cellStyle name="Total 3 6" xfId="5621" xr:uid="{00000000-0005-0000-0000-00008C180000}"/>
    <cellStyle name="Total 3 7" xfId="5622" xr:uid="{00000000-0005-0000-0000-00008D180000}"/>
    <cellStyle name="Total 3 8" xfId="5972" xr:uid="{00000000-0005-0000-0000-00008E180000}"/>
    <cellStyle name="Total 3 9" xfId="6005" xr:uid="{00000000-0005-0000-0000-00008F180000}"/>
    <cellStyle name="Total 30" xfId="5623" xr:uid="{00000000-0005-0000-0000-000090180000}"/>
    <cellStyle name="Total 31" xfId="5624" xr:uid="{00000000-0005-0000-0000-000091180000}"/>
    <cellStyle name="Total 32" xfId="5625" xr:uid="{00000000-0005-0000-0000-000092180000}"/>
    <cellStyle name="Total 33" xfId="5626" xr:uid="{00000000-0005-0000-0000-000093180000}"/>
    <cellStyle name="Total 34" xfId="5627" xr:uid="{00000000-0005-0000-0000-000094180000}"/>
    <cellStyle name="Total 35" xfId="5628" xr:uid="{00000000-0005-0000-0000-000095180000}"/>
    <cellStyle name="Total 4" xfId="958" xr:uid="{00000000-0005-0000-0000-000096180000}"/>
    <cellStyle name="Total 4 2" xfId="2315" xr:uid="{00000000-0005-0000-0000-000097180000}"/>
    <cellStyle name="Total 4 2 2" xfId="5629" xr:uid="{00000000-0005-0000-0000-000098180000}"/>
    <cellStyle name="Total 4 2 2 2" xfId="5630" xr:uid="{00000000-0005-0000-0000-000099180000}"/>
    <cellStyle name="Total 4 2 3" xfId="5631" xr:uid="{00000000-0005-0000-0000-00009A180000}"/>
    <cellStyle name="Total 4 2_BukuBesar" xfId="5632" xr:uid="{00000000-0005-0000-0000-00009B180000}"/>
    <cellStyle name="Total 4 3" xfId="2316" xr:uid="{00000000-0005-0000-0000-00009C180000}"/>
    <cellStyle name="Total 4 3 2" xfId="5633" xr:uid="{00000000-0005-0000-0000-00009D180000}"/>
    <cellStyle name="Total 4 4" xfId="5634" xr:uid="{00000000-0005-0000-0000-00009E180000}"/>
    <cellStyle name="Total 4 5" xfId="5635" xr:uid="{00000000-0005-0000-0000-00009F180000}"/>
    <cellStyle name="Total 4 6" xfId="5636" xr:uid="{00000000-0005-0000-0000-0000A0180000}"/>
    <cellStyle name="Total 4 7" xfId="5637" xr:uid="{00000000-0005-0000-0000-0000A1180000}"/>
    <cellStyle name="Total 5" xfId="959" xr:uid="{00000000-0005-0000-0000-0000A2180000}"/>
    <cellStyle name="Total 5 2" xfId="2317" xr:uid="{00000000-0005-0000-0000-0000A3180000}"/>
    <cellStyle name="Total 5 2 2" xfId="5638" xr:uid="{00000000-0005-0000-0000-0000A4180000}"/>
    <cellStyle name="Total 5 2 2 2" xfId="5639" xr:uid="{00000000-0005-0000-0000-0000A5180000}"/>
    <cellStyle name="Total 5 2 3" xfId="5640" xr:uid="{00000000-0005-0000-0000-0000A6180000}"/>
    <cellStyle name="Total 5 2_BukuBesar" xfId="5641" xr:uid="{00000000-0005-0000-0000-0000A7180000}"/>
    <cellStyle name="Total 5 3" xfId="2318" xr:uid="{00000000-0005-0000-0000-0000A8180000}"/>
    <cellStyle name="Total 5 3 2" xfId="5642" xr:uid="{00000000-0005-0000-0000-0000A9180000}"/>
    <cellStyle name="Total 5 4" xfId="5643" xr:uid="{00000000-0005-0000-0000-0000AA180000}"/>
    <cellStyle name="Total 5 5" xfId="5644" xr:uid="{00000000-0005-0000-0000-0000AB180000}"/>
    <cellStyle name="Total 5 6" xfId="5645" xr:uid="{00000000-0005-0000-0000-0000AC180000}"/>
    <cellStyle name="Total 5 7" xfId="5646" xr:uid="{00000000-0005-0000-0000-0000AD180000}"/>
    <cellStyle name="Total 6" xfId="960" xr:uid="{00000000-0005-0000-0000-0000AE180000}"/>
    <cellStyle name="Total 6 2" xfId="2319" xr:uid="{00000000-0005-0000-0000-0000AF180000}"/>
    <cellStyle name="Total 6 2 2" xfId="5647" xr:uid="{00000000-0005-0000-0000-0000B0180000}"/>
    <cellStyle name="Total 6 3" xfId="2320" xr:uid="{00000000-0005-0000-0000-0000B1180000}"/>
    <cellStyle name="Total 7" xfId="961" xr:uid="{00000000-0005-0000-0000-0000B2180000}"/>
    <cellStyle name="Total 7 2" xfId="2321" xr:uid="{00000000-0005-0000-0000-0000B3180000}"/>
    <cellStyle name="Total 7 2 2" xfId="5648" xr:uid="{00000000-0005-0000-0000-0000B4180000}"/>
    <cellStyle name="Total 7 3" xfId="2322" xr:uid="{00000000-0005-0000-0000-0000B5180000}"/>
    <cellStyle name="Total 8" xfId="962" xr:uid="{00000000-0005-0000-0000-0000B6180000}"/>
    <cellStyle name="Total 8 2" xfId="2323" xr:uid="{00000000-0005-0000-0000-0000B7180000}"/>
    <cellStyle name="Total 8 2 2" xfId="5649" xr:uid="{00000000-0005-0000-0000-0000B8180000}"/>
    <cellStyle name="Total 8 3" xfId="2324" xr:uid="{00000000-0005-0000-0000-0000B9180000}"/>
    <cellStyle name="Total 9" xfId="963" xr:uid="{00000000-0005-0000-0000-0000BA180000}"/>
    <cellStyle name="Total 9 2" xfId="2325" xr:uid="{00000000-0005-0000-0000-0000BB180000}"/>
    <cellStyle name="Total 9 2 2" xfId="5650" xr:uid="{00000000-0005-0000-0000-0000BC180000}"/>
    <cellStyle name="Total 9 2 3" xfId="5651" xr:uid="{00000000-0005-0000-0000-0000BD180000}"/>
    <cellStyle name="Total 9 3" xfId="2326" xr:uid="{00000000-0005-0000-0000-0000BE180000}"/>
    <cellStyle name="Tusental_NPV" xfId="964" xr:uid="{00000000-0005-0000-0000-0000BF180000}"/>
    <cellStyle name="Valuta (0)_pldt" xfId="965" xr:uid="{00000000-0005-0000-0000-0000C0180000}"/>
    <cellStyle name="Valuta_NPV" xfId="966" xr:uid="{00000000-0005-0000-0000-0000C1180000}"/>
    <cellStyle name="Warning Text 2" xfId="967" xr:uid="{00000000-0005-0000-0000-0000C2180000}"/>
    <cellStyle name="Warning Text 2 2" xfId="2327" xr:uid="{00000000-0005-0000-0000-0000C3180000}"/>
    <cellStyle name="Warning Text 2 2 2" xfId="5652" xr:uid="{00000000-0005-0000-0000-0000C4180000}"/>
    <cellStyle name="Warning Text 3" xfId="5973" xr:uid="{00000000-0005-0000-0000-0000C5180000}"/>
    <cellStyle name="WHead - Style2" xfId="968" xr:uid="{00000000-0005-0000-0000-0000C6180000}"/>
    <cellStyle name="WHead - Style2 2" xfId="2328" xr:uid="{00000000-0005-0000-0000-0000C7180000}"/>
    <cellStyle name="똿뗦먛귟 [0.00]_PRODUCT DETAIL Q1" xfId="969" xr:uid="{00000000-0005-0000-0000-0000C8180000}"/>
    <cellStyle name="똿뗦먛귟_PRODUCT DETAIL Q1" xfId="970" xr:uid="{00000000-0005-0000-0000-0000C9180000}"/>
    <cellStyle name="믅됞 [0.00]_PRODUCT DETAIL Q1" xfId="971" xr:uid="{00000000-0005-0000-0000-0000CA180000}"/>
    <cellStyle name="믅됞_PRODUCT DETAIL Q1" xfId="972" xr:uid="{00000000-0005-0000-0000-0000CB180000}"/>
    <cellStyle name="백분율_HOBONG" xfId="973" xr:uid="{00000000-0005-0000-0000-0000CC180000}"/>
    <cellStyle name="뷭?_BOOKSHIP" xfId="974" xr:uid="{00000000-0005-0000-0000-0000CD180000}"/>
    <cellStyle name="쉼표_PAKET 10 HIPDS" xfId="975" xr:uid="{00000000-0005-0000-0000-0000CE180000}"/>
    <cellStyle name="콤마 [0]_1202" xfId="976" xr:uid="{00000000-0005-0000-0000-0000CF180000}"/>
    <cellStyle name="콤마_1202" xfId="977" xr:uid="{00000000-0005-0000-0000-0000D0180000}"/>
    <cellStyle name="통화 [0]_1202" xfId="978" xr:uid="{00000000-0005-0000-0000-0000D1180000}"/>
    <cellStyle name="통화_1202" xfId="979" xr:uid="{00000000-0005-0000-0000-0000D2180000}"/>
    <cellStyle name="표준_(정보부문)월별인원계획" xfId="980" xr:uid="{00000000-0005-0000-0000-0000D3180000}"/>
    <cellStyle name="標準_CJP Projection-model (2006SEP19)-AA(execost)2_Installment_schedule_per_Annex_17__JPY_(1)" xfId="981" xr:uid="{00000000-0005-0000-0000-0000D4180000}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4487925228858588"/>
          <c:y val="2.4518742885264656E-2"/>
          <c:w val="0.52703271237436788"/>
          <c:h val="0.91964170692573266"/>
        </c:manualLayout>
      </c:layout>
      <c:barChart>
        <c:barDir val="bar"/>
        <c:grouping val="stacked"/>
        <c:varyColors val="0"/>
        <c:ser>
          <c:idx val="0"/>
          <c:order val="0"/>
          <c:tx>
            <c:v>REAL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cat>
            <c:strRef>
              <c:f>scoreboard!$B$4:$B$16</c:f>
              <c:strCache>
                <c:ptCount val="13"/>
                <c:pt idx="0">
                  <c:v>Pertumbuhan Penjualan Tenaga Listrik</c:v>
                </c:pt>
                <c:pt idx="1">
                  <c:v>Delta Daya Tersambung</c:v>
                </c:pt>
                <c:pt idx="2">
                  <c:v>kWh Jual Multiguna Non Backfeeding</c:v>
                </c:pt>
                <c:pt idx="3">
                  <c:v>Pertumbuhan Penjualan Layanan Khusus</c:v>
                </c:pt>
                <c:pt idx="4">
                  <c:v>Penambahan Pelanggan Premium</c:v>
                </c:pt>
                <c:pt idx="5">
                  <c:v>Susut Jaringan (Tanpa E-Min)</c:v>
                </c:pt>
                <c:pt idx="6">
                  <c:v>SAIDI sesuai kewenangannya</c:v>
                </c:pt>
                <c:pt idx="7">
                  <c:v>SAIFI sesuai kewenangannya</c:v>
                </c:pt>
                <c:pt idx="8">
                  <c:v>Energy Not Served</c:v>
                </c:pt>
                <c:pt idx="9">
                  <c:v>Implementasi PLN Mobile</c:v>
                </c:pt>
                <c:pt idx="10">
                  <c:v>Jumlah Komplain Pelanggan</c:v>
                </c:pt>
                <c:pt idx="11">
                  <c:v>Aging Complaint</c:v>
                </c:pt>
                <c:pt idx="12">
                  <c:v>Rata-Rata Rasio Tunggakan </c:v>
                </c:pt>
              </c:strCache>
            </c:strRef>
          </c:cat>
          <c:val>
            <c:numRef>
              <c:f>scoreboard!$F$4:$F$16</c:f>
              <c:numCache>
                <c:formatCode>0%</c:formatCode>
                <c:ptCount val="13"/>
                <c:pt idx="0">
                  <c:v>0</c:v>
                </c:pt>
                <c:pt idx="1">
                  <c:v>0.75635988424441891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0.97994987468671679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C-4A88-B45A-E70ADF3CC66E}"/>
            </c:ext>
          </c:extLst>
        </c:ser>
        <c:ser>
          <c:idx val="1"/>
          <c:order val="1"/>
          <c:tx>
            <c:v>GAP</c:v>
          </c:tx>
          <c:spPr>
            <a:solidFill>
              <a:srgbClr val="FF0000"/>
            </a:solidFill>
            <a:scene3d>
              <a:camera prst="orthographicFront"/>
              <a:lightRig rig="threePt" dir="t"/>
            </a:scene3d>
            <a:sp3d prstMaterial="matte">
              <a:bevelT w="63500" h="63500" prst="artDeco"/>
              <a:contourClr>
                <a:srgbClr val="000000"/>
              </a:contourClr>
            </a:sp3d>
          </c:spPr>
          <c:invertIfNegative val="0"/>
          <c:cat>
            <c:strRef>
              <c:f>scoreboard!$B$4:$B$16</c:f>
              <c:strCache>
                <c:ptCount val="13"/>
                <c:pt idx="0">
                  <c:v>Pertumbuhan Penjualan Tenaga Listrik</c:v>
                </c:pt>
                <c:pt idx="1">
                  <c:v>Delta Daya Tersambung</c:v>
                </c:pt>
                <c:pt idx="2">
                  <c:v>kWh Jual Multiguna Non Backfeeding</c:v>
                </c:pt>
                <c:pt idx="3">
                  <c:v>Pertumbuhan Penjualan Layanan Khusus</c:v>
                </c:pt>
                <c:pt idx="4">
                  <c:v>Penambahan Pelanggan Premium</c:v>
                </c:pt>
                <c:pt idx="5">
                  <c:v>Susut Jaringan (Tanpa E-Min)</c:v>
                </c:pt>
                <c:pt idx="6">
                  <c:v>SAIDI sesuai kewenangannya</c:v>
                </c:pt>
                <c:pt idx="7">
                  <c:v>SAIFI sesuai kewenangannya</c:v>
                </c:pt>
                <c:pt idx="8">
                  <c:v>Energy Not Served</c:v>
                </c:pt>
                <c:pt idx="9">
                  <c:v>Implementasi PLN Mobile</c:v>
                </c:pt>
                <c:pt idx="10">
                  <c:v>Jumlah Komplain Pelanggan</c:v>
                </c:pt>
                <c:pt idx="11">
                  <c:v>Aging Complaint</c:v>
                </c:pt>
                <c:pt idx="12">
                  <c:v>Rata-Rata Rasio Tunggakan </c:v>
                </c:pt>
              </c:strCache>
            </c:strRef>
          </c:cat>
          <c:val>
            <c:numRef>
              <c:f>scoreboard!$G$4:$G$16</c:f>
              <c:numCache>
                <c:formatCode>0%</c:formatCode>
                <c:ptCount val="13"/>
                <c:pt idx="0">
                  <c:v>0</c:v>
                </c:pt>
                <c:pt idx="1">
                  <c:v>0.24364011575558109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2.0050125313283207E-2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C-4A88-B45A-E70ADF3CC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0174976"/>
        <c:axId val="240173440"/>
      </c:barChart>
      <c:valAx>
        <c:axId val="240173440"/>
        <c:scaling>
          <c:orientation val="minMax"/>
          <c:max val="1"/>
        </c:scaling>
        <c:delete val="0"/>
        <c:axPos val="b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240174976"/>
        <c:crosses val="autoZero"/>
        <c:crossBetween val="between"/>
        <c:majorUnit val="0.2"/>
      </c:valAx>
      <c:catAx>
        <c:axId val="24017497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24017344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8.5436271685551657E-4"/>
          <c:y val="0.93077159612894877"/>
          <c:w val="0.16608655398581931"/>
          <c:h val="6.8704032816178498E-2"/>
        </c:manualLayout>
      </c:layout>
      <c:overlay val="0"/>
      <c:txPr>
        <a:bodyPr/>
        <a:lstStyle/>
        <a:p>
          <a:pPr rtl="0">
            <a:defRPr sz="11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4487925228858588"/>
          <c:y val="2.4518742885264656E-2"/>
          <c:w val="0.52703271237436788"/>
          <c:h val="0.91964170692573266"/>
        </c:manualLayout>
      </c:layout>
      <c:barChart>
        <c:barDir val="bar"/>
        <c:grouping val="stacked"/>
        <c:varyColors val="0"/>
        <c:ser>
          <c:idx val="0"/>
          <c:order val="0"/>
          <c:tx>
            <c:v>REAL</c:v>
          </c:tx>
          <c:spPr>
            <a:solidFill>
              <a:srgbClr val="00B050"/>
            </a:solidFill>
            <a:ln>
              <a:solidFill>
                <a:srgbClr val="00B050"/>
              </a:solidFill>
            </a:ln>
            <a:scene3d>
              <a:camera prst="orthographicFront"/>
              <a:lightRig rig="balanced" dir="t">
                <a:rot lat="0" lon="0" rev="8700000"/>
              </a:lightRig>
            </a:scene3d>
            <a:sp3d>
              <a:bevelT w="190500" h="38100"/>
            </a:sp3d>
          </c:spPr>
          <c:invertIfNegative val="0"/>
          <c:cat>
            <c:strRef>
              <c:f>scoreboard!$B$17:$B$30</c:f>
              <c:strCache>
                <c:ptCount val="14"/>
                <c:pt idx="0">
                  <c:v>Jumlah ULP NIHIL</c:v>
                </c:pt>
                <c:pt idx="1">
                  <c:v>Migrasi LPB pelanggan menunggak berulang</c:v>
                </c:pt>
                <c:pt idx="2">
                  <c:v>BPP - Opex Non Fuel</c:v>
                </c:pt>
                <c:pt idx="3">
                  <c:v>CF Pembangkit Non BBM</c:v>
                </c:pt>
                <c:pt idx="4">
                  <c:v>SFC PLTD PLN</c:v>
                </c:pt>
                <c:pt idx="5">
                  <c:v>Manajemen SDM, Komunikasi, dan TJSL</c:v>
                </c:pt>
                <c:pt idx="6">
                  <c:v>b. Produktivitas Unit</c:v>
                </c:pt>
                <c:pt idx="7">
                  <c:v>c. Pengelolaan Komunikasi dan TJSL</c:v>
                </c:pt>
                <c:pt idx="8">
                  <c:v>b. Maturity Level Gudang</c:v>
                </c:pt>
                <c:pt idx="9">
                  <c:v>c. Maturity Level Sustainbility</c:v>
                </c:pt>
                <c:pt idx="10">
                  <c:v>d. Implementasi Roadmap Perbaikan Penerapan Manajemen Risiko dan Pencapaian Perlakuan Risiko</c:v>
                </c:pt>
                <c:pt idx="11">
                  <c:v>Kepatuhan :</c:v>
                </c:pt>
                <c:pt idx="12">
                  <c:v>a. Pengelolaan K3, Keamanan dan Lingkungan Hidup</c:v>
                </c:pt>
                <c:pt idx="13">
                  <c:v>c. Ketepatan penyampaian pelaporan dan
Akurasi Data Kinerja</c:v>
                </c:pt>
              </c:strCache>
            </c:strRef>
          </c:cat>
          <c:val>
            <c:numRef>
              <c:f>scoreboard!$F$17:$F$30</c:f>
              <c:numCache>
                <c:formatCode>0%</c:formatCode>
                <c:ptCount val="14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 formatCode="0.0%">
                  <c:v>0</c:v>
                </c:pt>
                <c:pt idx="6">
                  <c:v>0.9</c:v>
                </c:pt>
                <c:pt idx="7" formatCode="0.00%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D-4185-8793-72046A03A5AE}"/>
            </c:ext>
          </c:extLst>
        </c:ser>
        <c:ser>
          <c:idx val="1"/>
          <c:order val="1"/>
          <c:tx>
            <c:v>GAP</c:v>
          </c:tx>
          <c:spPr>
            <a:solidFill>
              <a:srgbClr val="FF0000"/>
            </a:solidFill>
            <a:scene3d>
              <a:camera prst="orthographicFront"/>
              <a:lightRig rig="threePt" dir="t"/>
            </a:scene3d>
            <a:sp3d prstMaterial="matte">
              <a:bevelT w="63500" h="63500" prst="artDeco"/>
              <a:contourClr>
                <a:srgbClr val="000000"/>
              </a:contourClr>
            </a:sp3d>
          </c:spPr>
          <c:invertIfNegative val="0"/>
          <c:cat>
            <c:strRef>
              <c:f>scoreboard!$B$17:$B$30</c:f>
              <c:strCache>
                <c:ptCount val="14"/>
                <c:pt idx="0">
                  <c:v>Jumlah ULP NIHIL</c:v>
                </c:pt>
                <c:pt idx="1">
                  <c:v>Migrasi LPB pelanggan menunggak berulang</c:v>
                </c:pt>
                <c:pt idx="2">
                  <c:v>BPP - Opex Non Fuel</c:v>
                </c:pt>
                <c:pt idx="3">
                  <c:v>CF Pembangkit Non BBM</c:v>
                </c:pt>
                <c:pt idx="4">
                  <c:v>SFC PLTD PLN</c:v>
                </c:pt>
                <c:pt idx="5">
                  <c:v>Manajemen SDM, Komunikasi, dan TJSL</c:v>
                </c:pt>
                <c:pt idx="6">
                  <c:v>b. Produktivitas Unit</c:v>
                </c:pt>
                <c:pt idx="7">
                  <c:v>c. Pengelolaan Komunikasi dan TJSL</c:v>
                </c:pt>
                <c:pt idx="8">
                  <c:v>b. Maturity Level Gudang</c:v>
                </c:pt>
                <c:pt idx="9">
                  <c:v>c. Maturity Level Sustainbility</c:v>
                </c:pt>
                <c:pt idx="10">
                  <c:v>d. Implementasi Roadmap Perbaikan Penerapan Manajemen Risiko dan Pencapaian Perlakuan Risiko</c:v>
                </c:pt>
                <c:pt idx="11">
                  <c:v>Kepatuhan :</c:v>
                </c:pt>
                <c:pt idx="12">
                  <c:v>a. Pengelolaan K3, Keamanan dan Lingkungan Hidup</c:v>
                </c:pt>
                <c:pt idx="13">
                  <c:v>c. Ketepatan penyampaian pelaporan dan
Akurasi Data Kinerja</c:v>
                </c:pt>
              </c:strCache>
            </c:strRef>
          </c:cat>
          <c:val>
            <c:numRef>
              <c:f>scoreboard!$G$17:$G$30</c:f>
              <c:numCache>
                <c:formatCode>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9.9999999999999978E-2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0D-4185-8793-72046A03A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5255424"/>
        <c:axId val="295253888"/>
      </c:barChart>
      <c:valAx>
        <c:axId val="295253888"/>
        <c:scaling>
          <c:orientation val="minMax"/>
          <c:max val="1"/>
        </c:scaling>
        <c:delete val="0"/>
        <c:axPos val="b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295255424"/>
        <c:crosses val="autoZero"/>
        <c:crossBetween val="between"/>
        <c:majorUnit val="0.2"/>
      </c:valAx>
      <c:catAx>
        <c:axId val="29525542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295253888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4487925228858588"/>
          <c:y val="2.4518742885264656E-2"/>
          <c:w val="0.52703271237436788"/>
          <c:h val="0.91964170692573266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00B050"/>
            </a:solidFill>
            <a:ln>
              <a:solidFill>
                <a:srgbClr val="00B050"/>
              </a:solidFill>
            </a:ln>
            <a:scene3d>
              <a:camera prst="orthographicFront"/>
              <a:lightRig rig="threePt" dir="t"/>
            </a:scene3d>
            <a:sp3d>
              <a:bevelT w="190500" h="38100"/>
            </a:sp3d>
          </c:spPr>
          <c:invertIfNegative val="0"/>
          <c:cat>
            <c:strRef>
              <c:f>scoreboard!$B$39:$B$43</c:f>
              <c:strCache>
                <c:ptCount val="5"/>
                <c:pt idx="0">
                  <c:v>SAIDI</c:v>
                </c:pt>
                <c:pt idx="1">
                  <c:v>Rasio Tunggakan</c:v>
                </c:pt>
                <c:pt idx="2">
                  <c:v>Multiguna</c:v>
                </c:pt>
                <c:pt idx="3">
                  <c:v>RE 99 %</c:v>
                </c:pt>
                <c:pt idx="4">
                  <c:v>Komplain Pelanggan</c:v>
                </c:pt>
              </c:strCache>
            </c:strRef>
          </c:cat>
          <c:val>
            <c:numRef>
              <c:f>scoreboard!$F$39:$F$43</c:f>
              <c:numCache>
                <c:formatCode>0%</c:formatCode>
                <c:ptCount val="5"/>
                <c:pt idx="0">
                  <c:v>1</c:v>
                </c:pt>
                <c:pt idx="1">
                  <c:v>0.97994987468671679</c:v>
                </c:pt>
                <c:pt idx="2">
                  <c:v>0</c:v>
                </c:pt>
                <c:pt idx="3">
                  <c:v>0.9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E75-BC42-058CEE5626D6}"/>
            </c:ext>
          </c:extLst>
        </c:ser>
        <c:ser>
          <c:idx val="1"/>
          <c:order val="1"/>
          <c:spPr>
            <a:solidFill>
              <a:srgbClr val="FF0000"/>
            </a:solidFill>
            <a:scene3d>
              <a:camera prst="orthographicFront"/>
              <a:lightRig rig="threePt" dir="t"/>
            </a:scene3d>
            <a:sp3d prstMaterial="matte">
              <a:bevelT w="63500" h="63500" prst="artDeco"/>
              <a:contourClr>
                <a:srgbClr val="000000"/>
              </a:contourClr>
            </a:sp3d>
          </c:spPr>
          <c:invertIfNegative val="0"/>
          <c:cat>
            <c:strRef>
              <c:f>scoreboard!$B$39:$B$43</c:f>
              <c:strCache>
                <c:ptCount val="5"/>
                <c:pt idx="0">
                  <c:v>SAIDI</c:v>
                </c:pt>
                <c:pt idx="1">
                  <c:v>Rasio Tunggakan</c:v>
                </c:pt>
                <c:pt idx="2">
                  <c:v>Multiguna</c:v>
                </c:pt>
                <c:pt idx="3">
                  <c:v>RE 99 %</c:v>
                </c:pt>
                <c:pt idx="4">
                  <c:v>Komplain Pelanggan</c:v>
                </c:pt>
              </c:strCache>
            </c:strRef>
          </c:cat>
          <c:val>
            <c:numRef>
              <c:f>scoreboard!$G$39:$G$43</c:f>
              <c:numCache>
                <c:formatCode>0%</c:formatCode>
                <c:ptCount val="5"/>
                <c:pt idx="0">
                  <c:v>0</c:v>
                </c:pt>
                <c:pt idx="1">
                  <c:v>2.0050125313283207E-2</c:v>
                </c:pt>
                <c:pt idx="2">
                  <c:v>0</c:v>
                </c:pt>
                <c:pt idx="3">
                  <c:v>9.9999999999999978E-2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04-4E75-BC42-058CEE562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40223360"/>
        <c:axId val="240209280"/>
      </c:barChart>
      <c:valAx>
        <c:axId val="240209280"/>
        <c:scaling>
          <c:orientation val="minMax"/>
          <c:max val="1"/>
        </c:scaling>
        <c:delete val="0"/>
        <c:axPos val="b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240223360"/>
        <c:crosses val="autoZero"/>
        <c:crossBetween val="between"/>
        <c:majorUnit val="0.2"/>
      </c:valAx>
      <c:catAx>
        <c:axId val="24022336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240209280"/>
        <c:crosses val="autoZero"/>
        <c:auto val="1"/>
        <c:lblAlgn val="ctr"/>
        <c:lblOffset val="100"/>
        <c:noMultiLvlLbl val="0"/>
      </c:catAx>
    </c:plotArea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TREN!$B$4</c:f>
              <c:strCache>
                <c:ptCount val="1"/>
                <c:pt idx="0">
                  <c:v>UP3 Tolitoli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TREN!$C$3:$N$3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TREN!$C$4:$N$4</c:f>
              <c:numCache>
                <c:formatCode>General</c:formatCode>
                <c:ptCount val="12"/>
                <c:pt idx="0" formatCode="0.00">
                  <c:v>80.400000000000006</c:v>
                </c:pt>
                <c:pt idx="1">
                  <c:v>87.04</c:v>
                </c:pt>
                <c:pt idx="2">
                  <c:v>93.39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4-4680-B734-5D9BEF2470E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729746591"/>
        <c:axId val="729757407"/>
      </c:barChart>
      <c:catAx>
        <c:axId val="72974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57407"/>
        <c:crosses val="autoZero"/>
        <c:auto val="1"/>
        <c:lblAlgn val="ctr"/>
        <c:lblOffset val="100"/>
        <c:noMultiLvlLbl val="0"/>
      </c:catAx>
      <c:valAx>
        <c:axId val="7297574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4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TREN!$B$5</c:f>
              <c:strCache>
                <c:ptCount val="1"/>
                <c:pt idx="0">
                  <c:v>ULP Tolitoli Kota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TREN!$C$3:$N$3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TREN!$C$5:$N$5</c:f>
              <c:numCache>
                <c:formatCode>General</c:formatCode>
                <c:ptCount val="12"/>
                <c:pt idx="0">
                  <c:v>75.72</c:v>
                </c:pt>
                <c:pt idx="1">
                  <c:v>87.05</c:v>
                </c:pt>
                <c:pt idx="2">
                  <c:v>93.36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71-4575-A669-425C04D4B4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729746591"/>
        <c:axId val="729757407"/>
      </c:barChart>
      <c:catAx>
        <c:axId val="72974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57407"/>
        <c:crosses val="autoZero"/>
        <c:auto val="1"/>
        <c:lblAlgn val="ctr"/>
        <c:lblOffset val="100"/>
        <c:noMultiLvlLbl val="0"/>
      </c:catAx>
      <c:valAx>
        <c:axId val="7297574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4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TREN!$B$6</c:f>
              <c:strCache>
                <c:ptCount val="1"/>
                <c:pt idx="0">
                  <c:v>ULP Leok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TREN!$C$3:$N$3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TREN!$C$6:$N$6</c:f>
              <c:numCache>
                <c:formatCode>General</c:formatCode>
                <c:ptCount val="12"/>
                <c:pt idx="0">
                  <c:v>66.709999999999994</c:v>
                </c:pt>
                <c:pt idx="1">
                  <c:v>77.27</c:v>
                </c:pt>
                <c:pt idx="2">
                  <c:v>90.08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3-497B-82EE-6B14E1962B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729746591"/>
        <c:axId val="729757407"/>
      </c:barChart>
      <c:catAx>
        <c:axId val="72974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57407"/>
        <c:crosses val="autoZero"/>
        <c:auto val="1"/>
        <c:lblAlgn val="ctr"/>
        <c:lblOffset val="100"/>
        <c:noMultiLvlLbl val="0"/>
      </c:catAx>
      <c:valAx>
        <c:axId val="7297574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4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TREN!$B$7</c:f>
              <c:strCache>
                <c:ptCount val="1"/>
                <c:pt idx="0">
                  <c:v>ULP Bangkir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TREN!$C$3:$N$3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TREN!$C$7:$N$7</c:f>
              <c:numCache>
                <c:formatCode>General</c:formatCode>
                <c:ptCount val="12"/>
                <c:pt idx="0">
                  <c:v>74.87</c:v>
                </c:pt>
                <c:pt idx="1">
                  <c:v>75.95</c:v>
                </c:pt>
                <c:pt idx="2">
                  <c:v>87.94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0-4FC2-922B-73E72251B1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729746591"/>
        <c:axId val="729757407"/>
      </c:barChart>
      <c:catAx>
        <c:axId val="72974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57407"/>
        <c:crosses val="autoZero"/>
        <c:auto val="1"/>
        <c:lblAlgn val="ctr"/>
        <c:lblOffset val="100"/>
        <c:noMultiLvlLbl val="0"/>
      </c:catAx>
      <c:valAx>
        <c:axId val="7297574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4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TREN!$B$8</c:f>
              <c:strCache>
                <c:ptCount val="1"/>
                <c:pt idx="0">
                  <c:v>ULP Moutong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TREN!$C$3:$N$3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TREN!$C$8:$N$8</c:f>
              <c:numCache>
                <c:formatCode>General</c:formatCode>
                <c:ptCount val="12"/>
                <c:pt idx="0">
                  <c:v>88.26</c:v>
                </c:pt>
                <c:pt idx="1">
                  <c:v>86.77</c:v>
                </c:pt>
                <c:pt idx="2">
                  <c:v>86.59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50-4394-B8B7-61F7B45695B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729746591"/>
        <c:axId val="729757407"/>
      </c:barChart>
      <c:catAx>
        <c:axId val="72974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57407"/>
        <c:crosses val="autoZero"/>
        <c:auto val="1"/>
        <c:lblAlgn val="ctr"/>
        <c:lblOffset val="100"/>
        <c:noMultiLvlLbl val="0"/>
      </c:catAx>
      <c:valAx>
        <c:axId val="7297574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4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TREN!$B$9</c:f>
              <c:strCache>
                <c:ptCount val="1"/>
                <c:pt idx="0">
                  <c:v>ULP Kotaraya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TREN!$C$3:$N$3</c:f>
              <c:strCache>
                <c:ptCount val="12"/>
                <c:pt idx="0">
                  <c:v>Januari</c:v>
                </c:pt>
                <c:pt idx="1">
                  <c:v>Februari</c:v>
                </c:pt>
                <c:pt idx="2">
                  <c:v>Maret</c:v>
                </c:pt>
                <c:pt idx="3">
                  <c:v>April</c:v>
                </c:pt>
                <c:pt idx="4">
                  <c:v>Mei</c:v>
                </c:pt>
                <c:pt idx="5">
                  <c:v>Juni</c:v>
                </c:pt>
                <c:pt idx="6">
                  <c:v>Juli</c:v>
                </c:pt>
                <c:pt idx="7">
                  <c:v>Agustus</c:v>
                </c:pt>
                <c:pt idx="8">
                  <c:v>September</c:v>
                </c:pt>
                <c:pt idx="9">
                  <c:v>Oktober</c:v>
                </c:pt>
                <c:pt idx="10">
                  <c:v>November</c:v>
                </c:pt>
                <c:pt idx="11">
                  <c:v>Desember</c:v>
                </c:pt>
              </c:strCache>
            </c:strRef>
          </c:cat>
          <c:val>
            <c:numRef>
              <c:f>TREN!$C$9:$N$9</c:f>
              <c:numCache>
                <c:formatCode>General</c:formatCode>
                <c:ptCount val="12"/>
                <c:pt idx="0">
                  <c:v>65.25</c:v>
                </c:pt>
                <c:pt idx="1">
                  <c:v>74.42</c:v>
                </c:pt>
                <c:pt idx="2">
                  <c:v>79.989999999999995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12-442A-9517-FD339771A2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729746591"/>
        <c:axId val="729757407"/>
      </c:barChart>
      <c:catAx>
        <c:axId val="729746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57407"/>
        <c:crosses val="autoZero"/>
        <c:auto val="1"/>
        <c:lblAlgn val="ctr"/>
        <c:lblOffset val="100"/>
        <c:noMultiLvlLbl val="0"/>
      </c:catAx>
      <c:valAx>
        <c:axId val="72975740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465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AE-4D11-A92C-13AB5E234B3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AE-4D11-A92C-13AB5E234B3C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AE-4D11-A92C-13AB5E234B3C}"/>
              </c:ext>
            </c:extLst>
          </c:dPt>
          <c:cat>
            <c:strRef>
              <c:f>STRG!$CB$3:$CB$5</c:f>
              <c:strCache>
                <c:ptCount val="3"/>
                <c:pt idx="0">
                  <c:v>GREEN</c:v>
                </c:pt>
                <c:pt idx="1">
                  <c:v>YELLOW</c:v>
                </c:pt>
                <c:pt idx="2">
                  <c:v>RED</c:v>
                </c:pt>
              </c:strCache>
            </c:strRef>
          </c:cat>
          <c:val>
            <c:numRef>
              <c:f>STRG!$CC$3:$CC$5</c:f>
              <c:numCache>
                <c:formatCode>General</c:formatCode>
                <c:ptCount val="3"/>
                <c:pt idx="0">
                  <c:v>33</c:v>
                </c:pt>
                <c:pt idx="1">
                  <c:v>1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E-4D11-A92C-13AB5E234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STRG!$BS$3</c:f>
              <c:strCache>
                <c:ptCount val="1"/>
                <c:pt idx="0">
                  <c:v>GREEN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STRG!$BR$4:$BR$42</c:f>
              <c:strCache>
                <c:ptCount val="39"/>
                <c:pt idx="0">
                  <c:v>Penjualan Tenaga Listrik</c:v>
                </c:pt>
                <c:pt idx="1">
                  <c:v>SAIDI Sesuai Kewenangannya</c:v>
                </c:pt>
                <c:pt idx="2">
                  <c:v>SAIFI Sesuai Kewenangannya</c:v>
                </c:pt>
                <c:pt idx="3">
                  <c:v>ENS</c:v>
                </c:pt>
                <c:pt idx="4">
                  <c:v>Susut Distribusi Tanpa E-min (sesuai kewenangan)</c:v>
                </c:pt>
                <c:pt idx="5">
                  <c:v>Penyelesaian Temuan P2TL</c:v>
                </c:pt>
                <c:pt idx="6">
                  <c:v>Penyelesaian Ganti Meter</c:v>
                </c:pt>
                <c:pt idx="7">
                  <c:v>Gangguan TM &gt; 5 Menit</c:v>
                </c:pt>
                <c:pt idx="8">
                  <c:v>Gangguan TM ≤ 5 Menit</c:v>
                </c:pt>
                <c:pt idx="9">
                  <c:v>Kerusakan Peralatan Distribusi (PHB TM dan Trafo) Sesuai Kewenangan</c:v>
                </c:pt>
                <c:pt idx="10">
                  <c:v>Feedback Rating Negatif pada PLN Mobile - Gangguan</c:v>
                </c:pt>
                <c:pt idx="11">
                  <c:v>Pengaduan Gangguan Berulang pada PLN Mobile</c:v>
                </c:pt>
                <c:pt idx="12">
                  <c:v>Rating PLN Mobile</c:v>
                </c:pt>
                <c:pt idx="13">
                  <c:v>Jumlah Kali Transaksi Keuangan melalui PLN Mobile</c:v>
                </c:pt>
                <c:pt idx="14">
                  <c:v>Response Time atas Gangguan (diluar Clear Tamper)</c:v>
                </c:pt>
                <c:pt idx="15">
                  <c:v>Success Rate Auto Dispatch Gangguan Individual (diluar Clear Tamper)</c:v>
                </c:pt>
                <c:pt idx="16">
                  <c:v>Recovery Time Gangguan Meluas TM</c:v>
                </c:pt>
                <c:pt idx="17">
                  <c:v>Penormalan Siaga 1 Gangguan TM</c:v>
                </c:pt>
                <c:pt idx="18">
                  <c:v>Pengembangan EAM Distribusi</c:v>
                </c:pt>
                <c:pt idx="19">
                  <c:v>Penambahan Daya Tersambung</c:v>
                </c:pt>
                <c:pt idx="20">
                  <c:v>Penambahan Jumlah Pelanggan</c:v>
                </c:pt>
                <c:pt idx="21">
                  <c:v>Jumlah Penambahan Pelanggan Produk Tematik</c:v>
                </c:pt>
                <c:pt idx="22">
                  <c:v>Implementasi Kesesuaian Sektor Bisnis sesuai KBLI 2020</c:v>
                </c:pt>
                <c:pt idx="23">
                  <c:v>Penambahan Jumlah Pelanggan Rumah Tangga Lisdes</c:v>
                </c:pt>
                <c:pt idx="24">
                  <c:v>Peningkatan kWh Penjualan dari Pelanggan Rumah Tangga Lisdes</c:v>
                </c:pt>
                <c:pt idx="25">
                  <c:v>Jumlah Pengguna Swa Cam</c:v>
                </c:pt>
                <c:pt idx="26">
                  <c:v>Tindak Lanjut LBKB (Laporan Bulanan Kelainan Baca Meter)</c:v>
                </c:pt>
                <c:pt idx="27">
                  <c:v>Pencapaian Rata-Rata Saldo Tanggal 20 diluar Konsumen Instansi (Kementerian &amp; Lembaga)</c:v>
                </c:pt>
                <c:pt idx="28">
                  <c:v>Pencapaian Saldo Rata-Rata Akhir Bulan diluar Konsumen Instansi (Kementerian &amp; Lembaga)</c:v>
                </c:pt>
                <c:pt idx="29">
                  <c:v>Pencapaian Pelunasan PRR</c:v>
                </c:pt>
                <c:pt idx="30">
                  <c:v>Pengendalian Penggunaan Anggaran Investasi sesuai RKAP</c:v>
                </c:pt>
                <c:pt idx="31">
                  <c:v>Usulan Penghapusan ATTB</c:v>
                </c:pt>
                <c:pt idx="32">
                  <c:v>Usulan Penghapusan PRR</c:v>
                </c:pt>
                <c:pt idx="33">
                  <c:v>HCR, OCR, dan Produktivitas Pegawai</c:v>
                </c:pt>
                <c:pt idx="34">
                  <c:v>Produktivitas Unit</c:v>
                </c:pt>
                <c:pt idx="35">
                  <c:v>Pengelolaan Komunikasi dan TJSL</c:v>
                </c:pt>
                <c:pt idx="36">
                  <c:v>Peningkatan Layanan dan Budaya K3</c:v>
                </c:pt>
                <c:pt idx="37">
                  <c:v>Implementasi PLN Bisnis Ekselen</c:v>
                </c:pt>
                <c:pt idx="38">
                  <c:v>Maturity Level Gudang</c:v>
                </c:pt>
              </c:strCache>
            </c:strRef>
          </c:cat>
          <c:val>
            <c:numRef>
              <c:f>STRG!$BS$4:$BS$42</c:f>
              <c:numCache>
                <c:formatCode>_(* #,##0_);_(* \(#,##0\);_(* "-"??_);_(@_)</c:formatCode>
                <c:ptCount val="39"/>
                <c:pt idx="0">
                  <c:v>0</c:v>
                </c:pt>
                <c:pt idx="1">
                  <c:v>110</c:v>
                </c:pt>
                <c:pt idx="2">
                  <c:v>110</c:v>
                </c:pt>
                <c:pt idx="3">
                  <c:v>110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110</c:v>
                </c:pt>
                <c:pt idx="8">
                  <c:v>110</c:v>
                </c:pt>
                <c:pt idx="9">
                  <c:v>110</c:v>
                </c:pt>
                <c:pt idx="10">
                  <c:v>110</c:v>
                </c:pt>
                <c:pt idx="11">
                  <c:v>110</c:v>
                </c:pt>
                <c:pt idx="12">
                  <c:v>100</c:v>
                </c:pt>
                <c:pt idx="13">
                  <c:v>110</c:v>
                </c:pt>
                <c:pt idx="14">
                  <c:v>110</c:v>
                </c:pt>
                <c:pt idx="15">
                  <c:v>100</c:v>
                </c:pt>
                <c:pt idx="16">
                  <c:v>110.00000000000001</c:v>
                </c:pt>
                <c:pt idx="17">
                  <c:v>110.00000000000001</c:v>
                </c:pt>
                <c:pt idx="18">
                  <c:v>110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100</c:v>
                </c:pt>
                <c:pt idx="23">
                  <c:v>110</c:v>
                </c:pt>
                <c:pt idx="24">
                  <c:v>110</c:v>
                </c:pt>
                <c:pt idx="25">
                  <c:v>110</c:v>
                </c:pt>
                <c:pt idx="26">
                  <c:v>100</c:v>
                </c:pt>
                <c:pt idx="27">
                  <c:v>105.42061167375887</c:v>
                </c:pt>
                <c:pt idx="28">
                  <c:v>0</c:v>
                </c:pt>
                <c:pt idx="29">
                  <c:v>110</c:v>
                </c:pt>
                <c:pt idx="30">
                  <c:v>108.86000000000003</c:v>
                </c:pt>
                <c:pt idx="31">
                  <c:v>100</c:v>
                </c:pt>
                <c:pt idx="32">
                  <c:v>100</c:v>
                </c:pt>
                <c:pt idx="33">
                  <c:v>108.55</c:v>
                </c:pt>
                <c:pt idx="34">
                  <c:v>0</c:v>
                </c:pt>
                <c:pt idx="35">
                  <c:v>107.83500000000001</c:v>
                </c:pt>
                <c:pt idx="36">
                  <c:v>100</c:v>
                </c:pt>
                <c:pt idx="37">
                  <c:v>110</c:v>
                </c:pt>
                <c:pt idx="38">
                  <c:v>100.77777777777777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F0-4CCF-B02D-6D2B50B23834}"/>
            </c:ext>
          </c:extLst>
        </c:ser>
        <c:ser>
          <c:idx val="1"/>
          <c:order val="1"/>
          <c:tx>
            <c:strRef>
              <c:f>STRG!$BT$3</c:f>
              <c:strCache>
                <c:ptCount val="1"/>
                <c:pt idx="0">
                  <c:v>YELLOW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STRG!$BR$4:$BR$42</c:f>
              <c:strCache>
                <c:ptCount val="39"/>
                <c:pt idx="0">
                  <c:v>Penjualan Tenaga Listrik</c:v>
                </c:pt>
                <c:pt idx="1">
                  <c:v>SAIDI Sesuai Kewenangannya</c:v>
                </c:pt>
                <c:pt idx="2">
                  <c:v>SAIFI Sesuai Kewenangannya</c:v>
                </c:pt>
                <c:pt idx="3">
                  <c:v>ENS</c:v>
                </c:pt>
                <c:pt idx="4">
                  <c:v>Susut Distribusi Tanpa E-min (sesuai kewenangan)</c:v>
                </c:pt>
                <c:pt idx="5">
                  <c:v>Penyelesaian Temuan P2TL</c:v>
                </c:pt>
                <c:pt idx="6">
                  <c:v>Penyelesaian Ganti Meter</c:v>
                </c:pt>
                <c:pt idx="7">
                  <c:v>Gangguan TM &gt; 5 Menit</c:v>
                </c:pt>
                <c:pt idx="8">
                  <c:v>Gangguan TM ≤ 5 Menit</c:v>
                </c:pt>
                <c:pt idx="9">
                  <c:v>Kerusakan Peralatan Distribusi (PHB TM dan Trafo) Sesuai Kewenangan</c:v>
                </c:pt>
                <c:pt idx="10">
                  <c:v>Feedback Rating Negatif pada PLN Mobile - Gangguan</c:v>
                </c:pt>
                <c:pt idx="11">
                  <c:v>Pengaduan Gangguan Berulang pada PLN Mobile</c:v>
                </c:pt>
                <c:pt idx="12">
                  <c:v>Rating PLN Mobile</c:v>
                </c:pt>
                <c:pt idx="13">
                  <c:v>Jumlah Kali Transaksi Keuangan melalui PLN Mobile</c:v>
                </c:pt>
                <c:pt idx="14">
                  <c:v>Response Time atas Gangguan (diluar Clear Tamper)</c:v>
                </c:pt>
                <c:pt idx="15">
                  <c:v>Success Rate Auto Dispatch Gangguan Individual (diluar Clear Tamper)</c:v>
                </c:pt>
                <c:pt idx="16">
                  <c:v>Recovery Time Gangguan Meluas TM</c:v>
                </c:pt>
                <c:pt idx="17">
                  <c:v>Penormalan Siaga 1 Gangguan TM</c:v>
                </c:pt>
                <c:pt idx="18">
                  <c:v>Pengembangan EAM Distribusi</c:v>
                </c:pt>
                <c:pt idx="19">
                  <c:v>Penambahan Daya Tersambung</c:v>
                </c:pt>
                <c:pt idx="20">
                  <c:v>Penambahan Jumlah Pelanggan</c:v>
                </c:pt>
                <c:pt idx="21">
                  <c:v>Jumlah Penambahan Pelanggan Produk Tematik</c:v>
                </c:pt>
                <c:pt idx="22">
                  <c:v>Implementasi Kesesuaian Sektor Bisnis sesuai KBLI 2020</c:v>
                </c:pt>
                <c:pt idx="23">
                  <c:v>Penambahan Jumlah Pelanggan Rumah Tangga Lisdes</c:v>
                </c:pt>
                <c:pt idx="24">
                  <c:v>Peningkatan kWh Penjualan dari Pelanggan Rumah Tangga Lisdes</c:v>
                </c:pt>
                <c:pt idx="25">
                  <c:v>Jumlah Pengguna Swa Cam</c:v>
                </c:pt>
                <c:pt idx="26">
                  <c:v>Tindak Lanjut LBKB (Laporan Bulanan Kelainan Baca Meter)</c:v>
                </c:pt>
                <c:pt idx="27">
                  <c:v>Pencapaian Rata-Rata Saldo Tanggal 20 diluar Konsumen Instansi (Kementerian &amp; Lembaga)</c:v>
                </c:pt>
                <c:pt idx="28">
                  <c:v>Pencapaian Saldo Rata-Rata Akhir Bulan diluar Konsumen Instansi (Kementerian &amp; Lembaga)</c:v>
                </c:pt>
                <c:pt idx="29">
                  <c:v>Pencapaian Pelunasan PRR</c:v>
                </c:pt>
                <c:pt idx="30">
                  <c:v>Pengendalian Penggunaan Anggaran Investasi sesuai RKAP</c:v>
                </c:pt>
                <c:pt idx="31">
                  <c:v>Usulan Penghapusan ATTB</c:v>
                </c:pt>
                <c:pt idx="32">
                  <c:v>Usulan Penghapusan PRR</c:v>
                </c:pt>
                <c:pt idx="33">
                  <c:v>HCR, OCR, dan Produktivitas Pegawai</c:v>
                </c:pt>
                <c:pt idx="34">
                  <c:v>Produktivitas Unit</c:v>
                </c:pt>
                <c:pt idx="35">
                  <c:v>Pengelolaan Komunikasi dan TJSL</c:v>
                </c:pt>
                <c:pt idx="36">
                  <c:v>Peningkatan Layanan dan Budaya K3</c:v>
                </c:pt>
                <c:pt idx="37">
                  <c:v>Implementasi PLN Bisnis Ekselen</c:v>
                </c:pt>
                <c:pt idx="38">
                  <c:v>Maturity Level Gudang</c:v>
                </c:pt>
              </c:strCache>
            </c:strRef>
          </c:cat>
          <c:val>
            <c:numRef>
              <c:f>STRG!$BT$4:$BT$42</c:f>
              <c:numCache>
                <c:formatCode>_(* #,##0_);_(* \(#,##0\);_(* "-"??_);_(@_)</c:formatCode>
                <c:ptCount val="39"/>
                <c:pt idx="0">
                  <c:v>98.172485151675019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F0-4CCF-B02D-6D2B50B23834}"/>
            </c:ext>
          </c:extLst>
        </c:ser>
        <c:ser>
          <c:idx val="2"/>
          <c:order val="2"/>
          <c:tx>
            <c:strRef>
              <c:f>STRG!$BU$3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STRG!$BR$4:$BR$42</c:f>
              <c:strCache>
                <c:ptCount val="39"/>
                <c:pt idx="0">
                  <c:v>Penjualan Tenaga Listrik</c:v>
                </c:pt>
                <c:pt idx="1">
                  <c:v>SAIDI Sesuai Kewenangannya</c:v>
                </c:pt>
                <c:pt idx="2">
                  <c:v>SAIFI Sesuai Kewenangannya</c:v>
                </c:pt>
                <c:pt idx="3">
                  <c:v>ENS</c:v>
                </c:pt>
                <c:pt idx="4">
                  <c:v>Susut Distribusi Tanpa E-min (sesuai kewenangan)</c:v>
                </c:pt>
                <c:pt idx="5">
                  <c:v>Penyelesaian Temuan P2TL</c:v>
                </c:pt>
                <c:pt idx="6">
                  <c:v>Penyelesaian Ganti Meter</c:v>
                </c:pt>
                <c:pt idx="7">
                  <c:v>Gangguan TM &gt; 5 Menit</c:v>
                </c:pt>
                <c:pt idx="8">
                  <c:v>Gangguan TM ≤ 5 Menit</c:v>
                </c:pt>
                <c:pt idx="9">
                  <c:v>Kerusakan Peralatan Distribusi (PHB TM dan Trafo) Sesuai Kewenangan</c:v>
                </c:pt>
                <c:pt idx="10">
                  <c:v>Feedback Rating Negatif pada PLN Mobile - Gangguan</c:v>
                </c:pt>
                <c:pt idx="11">
                  <c:v>Pengaduan Gangguan Berulang pada PLN Mobile</c:v>
                </c:pt>
                <c:pt idx="12">
                  <c:v>Rating PLN Mobile</c:v>
                </c:pt>
                <c:pt idx="13">
                  <c:v>Jumlah Kali Transaksi Keuangan melalui PLN Mobile</c:v>
                </c:pt>
                <c:pt idx="14">
                  <c:v>Response Time atas Gangguan (diluar Clear Tamper)</c:v>
                </c:pt>
                <c:pt idx="15">
                  <c:v>Success Rate Auto Dispatch Gangguan Individual (diluar Clear Tamper)</c:v>
                </c:pt>
                <c:pt idx="16">
                  <c:v>Recovery Time Gangguan Meluas TM</c:v>
                </c:pt>
                <c:pt idx="17">
                  <c:v>Penormalan Siaga 1 Gangguan TM</c:v>
                </c:pt>
                <c:pt idx="18">
                  <c:v>Pengembangan EAM Distribusi</c:v>
                </c:pt>
                <c:pt idx="19">
                  <c:v>Penambahan Daya Tersambung</c:v>
                </c:pt>
                <c:pt idx="20">
                  <c:v>Penambahan Jumlah Pelanggan</c:v>
                </c:pt>
                <c:pt idx="21">
                  <c:v>Jumlah Penambahan Pelanggan Produk Tematik</c:v>
                </c:pt>
                <c:pt idx="22">
                  <c:v>Implementasi Kesesuaian Sektor Bisnis sesuai KBLI 2020</c:v>
                </c:pt>
                <c:pt idx="23">
                  <c:v>Penambahan Jumlah Pelanggan Rumah Tangga Lisdes</c:v>
                </c:pt>
                <c:pt idx="24">
                  <c:v>Peningkatan kWh Penjualan dari Pelanggan Rumah Tangga Lisdes</c:v>
                </c:pt>
                <c:pt idx="25">
                  <c:v>Jumlah Pengguna Swa Cam</c:v>
                </c:pt>
                <c:pt idx="26">
                  <c:v>Tindak Lanjut LBKB (Laporan Bulanan Kelainan Baca Meter)</c:v>
                </c:pt>
                <c:pt idx="27">
                  <c:v>Pencapaian Rata-Rata Saldo Tanggal 20 diluar Konsumen Instansi (Kementerian &amp; Lembaga)</c:v>
                </c:pt>
                <c:pt idx="28">
                  <c:v>Pencapaian Saldo Rata-Rata Akhir Bulan diluar Konsumen Instansi (Kementerian &amp; Lembaga)</c:v>
                </c:pt>
                <c:pt idx="29">
                  <c:v>Pencapaian Pelunasan PRR</c:v>
                </c:pt>
                <c:pt idx="30">
                  <c:v>Pengendalian Penggunaan Anggaran Investasi sesuai RKAP</c:v>
                </c:pt>
                <c:pt idx="31">
                  <c:v>Usulan Penghapusan ATTB</c:v>
                </c:pt>
                <c:pt idx="32">
                  <c:v>Usulan Penghapusan PRR</c:v>
                </c:pt>
                <c:pt idx="33">
                  <c:v>HCR, OCR, dan Produktivitas Pegawai</c:v>
                </c:pt>
                <c:pt idx="34">
                  <c:v>Produktivitas Unit</c:v>
                </c:pt>
                <c:pt idx="35">
                  <c:v>Pengelolaan Komunikasi dan TJSL</c:v>
                </c:pt>
                <c:pt idx="36">
                  <c:v>Peningkatan Layanan dan Budaya K3</c:v>
                </c:pt>
                <c:pt idx="37">
                  <c:v>Implementasi PLN Bisnis Ekselen</c:v>
                </c:pt>
                <c:pt idx="38">
                  <c:v>Maturity Level Gudang</c:v>
                </c:pt>
              </c:strCache>
            </c:strRef>
          </c:cat>
          <c:val>
            <c:numRef>
              <c:f>STRG!$BU$4:$BU$42</c:f>
              <c:numCache>
                <c:formatCode>_(* #,##0_);_(* \(#,##0\);_(* "-"??_);_(@_)</c:formatCode>
                <c:ptCount val="3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55.49874213836479</c:v>
                </c:pt>
                <c:pt idx="20">
                  <c:v>55.444901493829832</c:v>
                </c:pt>
                <c:pt idx="21">
                  <c:v>84.5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35.092020470185467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F0-4CCF-B02D-6D2B50B23834}"/>
            </c:ext>
          </c:extLst>
        </c:ser>
        <c:ser>
          <c:idx val="3"/>
          <c:order val="3"/>
          <c:tx>
            <c:strRef>
              <c:f>STRG!$BV$3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59EFBF4-7E36-4A9E-831F-FE850326513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AF0-4CCF-B02D-6D2B50B2383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0D27998-C0E5-48FF-AD78-2B284A9F33B7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AF0-4CCF-B02D-6D2B50B2383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DDDC5F8-BE30-4FBA-93E4-C94776BF460A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AF0-4CCF-B02D-6D2B50B2383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43B27CD-E946-4D2C-8FF5-EB16F523C743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AF0-4CCF-B02D-6D2B50B2383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722F4EC-37BF-44CC-BADD-BDFD409E04FC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AF0-4CCF-B02D-6D2B50B2383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5D97A8D-B04C-4CE0-AF14-815821F3946E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AF0-4CCF-B02D-6D2B50B2383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EA0F917-4C97-45E7-81F6-DEAD963DE5B6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AF0-4CCF-B02D-6D2B50B2383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11AF9CB-ED1B-412A-9683-F82C2FD5F44F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AF0-4CCF-B02D-6D2B50B2383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EC930CC-727C-4E27-A85C-4DD34DEE4542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AF0-4CCF-B02D-6D2B50B2383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8C13E4F-EC02-4216-866B-C9102736573C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AF0-4CCF-B02D-6D2B50B2383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C926066-7DC5-4F67-9232-15122E6F57D1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AF0-4CCF-B02D-6D2B50B2383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2623F0C-9C19-4C8A-BA9A-62C51F1E25A3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AF0-4CCF-B02D-6D2B50B2383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A7FEFC7-298E-496E-9DB5-24BCD0AF00E4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AF0-4CCF-B02D-6D2B50B2383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D39A551-9424-450F-9FC6-80C189E8B667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AF0-4CCF-B02D-6D2B50B2383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799BF90-FA88-4FD0-BC93-9AAFF4BDBB07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AF0-4CCF-B02D-6D2B50B2383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EF132BE-A186-4D9B-A688-F91C0CEC0F71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AF0-4CCF-B02D-6D2B50B2383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DBA8EB2-63C3-428E-B86A-ACC1D320FC82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AF0-4CCF-B02D-6D2B50B2383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ECC6FD9-01F1-4014-957B-5BC0F996C885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AF0-4CCF-B02D-6D2B50B23834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96711B5-BF77-4A0A-AF54-DA48420992FB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AF0-4CCF-B02D-6D2B50B2383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2863FA0-985D-45C1-B817-D27957656DE2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DAF0-4CCF-B02D-6D2B50B23834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313A894-7237-4207-8EE0-255FDB114FB9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AF0-4CCF-B02D-6D2B50B23834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8C6DC84-28FB-41B8-9AC2-666DC6A7ED89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DAF0-4CCF-B02D-6D2B50B2383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C3A95AB-2228-4A87-BA98-921D6F1832BD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AF0-4CCF-B02D-6D2B50B23834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6B414A0-DC08-49EC-82DA-66712899FCB3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AF0-4CCF-B02D-6D2B50B23834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1E8691F-0C7D-412C-BE9A-8BACDB85BB5B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AF0-4CCF-B02D-6D2B50B23834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F1B9CD9-69B0-49BF-94CD-145B4F57988C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AF0-4CCF-B02D-6D2B50B23834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558F04B1-9063-4271-A19F-FB5F48AA6E28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AF0-4CCF-B02D-6D2B50B23834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BF304273-3CA3-4549-8F8E-C1AEA46481F4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AF0-4CCF-B02D-6D2B50B23834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868909DE-BE66-43CB-AAE2-601C72A666B6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AF0-4CCF-B02D-6D2B50B2383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1766437C-E325-4D97-9E7A-5A035CAF6984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AF0-4CCF-B02D-6D2B50B2383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E7DA8C09-8FEF-4EDE-B792-3A9EBF771A00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AF0-4CCF-B02D-6D2B50B2383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EE923019-4142-45DB-B290-090BFD7DB6F2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AF0-4CCF-B02D-6D2B50B23834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1547240E-EFE9-4BFE-8C42-792DE66084D6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AF0-4CCF-B02D-6D2B50B23834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7ED82CA4-9023-4550-A818-8199EDAF8C90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AF0-4CCF-B02D-6D2B50B23834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EF599C57-5B2C-423A-B431-5872BE815FFF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AF0-4CCF-B02D-6D2B50B23834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7AC80F71-C70C-474E-84D9-91D94651DE0C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AF0-4CCF-B02D-6D2B50B23834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BAEAC21A-77F7-4AF4-AF05-A7AF67CE2771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AF0-4CCF-B02D-6D2B50B23834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BFF3CBAD-F625-45D2-92A4-D717A52949CC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AF0-4CCF-B02D-6D2B50B23834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C6FD6954-F535-4FCC-B267-71CA3D15ABFF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DAF0-4CCF-B02D-6D2B50B238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strRef>
              <c:f>STRG!$BR$4:$BR$42</c:f>
              <c:strCache>
                <c:ptCount val="39"/>
                <c:pt idx="0">
                  <c:v>Penjualan Tenaga Listrik</c:v>
                </c:pt>
                <c:pt idx="1">
                  <c:v>SAIDI Sesuai Kewenangannya</c:v>
                </c:pt>
                <c:pt idx="2">
                  <c:v>SAIFI Sesuai Kewenangannya</c:v>
                </c:pt>
                <c:pt idx="3">
                  <c:v>ENS</c:v>
                </c:pt>
                <c:pt idx="4">
                  <c:v>Susut Distribusi Tanpa E-min (sesuai kewenangan)</c:v>
                </c:pt>
                <c:pt idx="5">
                  <c:v>Penyelesaian Temuan P2TL</c:v>
                </c:pt>
                <c:pt idx="6">
                  <c:v>Penyelesaian Ganti Meter</c:v>
                </c:pt>
                <c:pt idx="7">
                  <c:v>Gangguan TM &gt; 5 Menit</c:v>
                </c:pt>
                <c:pt idx="8">
                  <c:v>Gangguan TM ≤ 5 Menit</c:v>
                </c:pt>
                <c:pt idx="9">
                  <c:v>Kerusakan Peralatan Distribusi (PHB TM dan Trafo) Sesuai Kewenangan</c:v>
                </c:pt>
                <c:pt idx="10">
                  <c:v>Feedback Rating Negatif pada PLN Mobile - Gangguan</c:v>
                </c:pt>
                <c:pt idx="11">
                  <c:v>Pengaduan Gangguan Berulang pada PLN Mobile</c:v>
                </c:pt>
                <c:pt idx="12">
                  <c:v>Rating PLN Mobile</c:v>
                </c:pt>
                <c:pt idx="13">
                  <c:v>Jumlah Kali Transaksi Keuangan melalui PLN Mobile</c:v>
                </c:pt>
                <c:pt idx="14">
                  <c:v>Response Time atas Gangguan (diluar Clear Tamper)</c:v>
                </c:pt>
                <c:pt idx="15">
                  <c:v>Success Rate Auto Dispatch Gangguan Individual (diluar Clear Tamper)</c:v>
                </c:pt>
                <c:pt idx="16">
                  <c:v>Recovery Time Gangguan Meluas TM</c:v>
                </c:pt>
                <c:pt idx="17">
                  <c:v>Penormalan Siaga 1 Gangguan TM</c:v>
                </c:pt>
                <c:pt idx="18">
                  <c:v>Pengembangan EAM Distribusi</c:v>
                </c:pt>
                <c:pt idx="19">
                  <c:v>Penambahan Daya Tersambung</c:v>
                </c:pt>
                <c:pt idx="20">
                  <c:v>Penambahan Jumlah Pelanggan</c:v>
                </c:pt>
                <c:pt idx="21">
                  <c:v>Jumlah Penambahan Pelanggan Produk Tematik</c:v>
                </c:pt>
                <c:pt idx="22">
                  <c:v>Implementasi Kesesuaian Sektor Bisnis sesuai KBLI 2020</c:v>
                </c:pt>
                <c:pt idx="23">
                  <c:v>Penambahan Jumlah Pelanggan Rumah Tangga Lisdes</c:v>
                </c:pt>
                <c:pt idx="24">
                  <c:v>Peningkatan kWh Penjualan dari Pelanggan Rumah Tangga Lisdes</c:v>
                </c:pt>
                <c:pt idx="25">
                  <c:v>Jumlah Pengguna Swa Cam</c:v>
                </c:pt>
                <c:pt idx="26">
                  <c:v>Tindak Lanjut LBKB (Laporan Bulanan Kelainan Baca Meter)</c:v>
                </c:pt>
                <c:pt idx="27">
                  <c:v>Pencapaian Rata-Rata Saldo Tanggal 20 diluar Konsumen Instansi (Kementerian &amp; Lembaga)</c:v>
                </c:pt>
                <c:pt idx="28">
                  <c:v>Pencapaian Saldo Rata-Rata Akhir Bulan diluar Konsumen Instansi (Kementerian &amp; Lembaga)</c:v>
                </c:pt>
                <c:pt idx="29">
                  <c:v>Pencapaian Pelunasan PRR</c:v>
                </c:pt>
                <c:pt idx="30">
                  <c:v>Pengendalian Penggunaan Anggaran Investasi sesuai RKAP</c:v>
                </c:pt>
                <c:pt idx="31">
                  <c:v>Usulan Penghapusan ATTB</c:v>
                </c:pt>
                <c:pt idx="32">
                  <c:v>Usulan Penghapusan PRR</c:v>
                </c:pt>
                <c:pt idx="33">
                  <c:v>HCR, OCR, dan Produktivitas Pegawai</c:v>
                </c:pt>
                <c:pt idx="34">
                  <c:v>Produktivitas Unit</c:v>
                </c:pt>
                <c:pt idx="35">
                  <c:v>Pengelolaan Komunikasi dan TJSL</c:v>
                </c:pt>
                <c:pt idx="36">
                  <c:v>Peningkatan Layanan dan Budaya K3</c:v>
                </c:pt>
                <c:pt idx="37">
                  <c:v>Implementasi PLN Bisnis Ekselen</c:v>
                </c:pt>
                <c:pt idx="38">
                  <c:v>Maturity Level Gudang</c:v>
                </c:pt>
              </c:strCache>
            </c:strRef>
          </c:cat>
          <c:val>
            <c:numRef>
              <c:f>STRG!$BV$4:$BV$42</c:f>
              <c:numCache>
                <c:formatCode>_(* #,##0.00_);_(* \(#,##0.00\);_(* "-"??_);_(@_)</c:formatCode>
                <c:ptCount val="39"/>
                <c:pt idx="0">
                  <c:v>0.98172485151675015</c:v>
                </c:pt>
                <c:pt idx="1">
                  <c:v>1.1000000000000001</c:v>
                </c:pt>
                <c:pt idx="2">
                  <c:v>1.1000000000000001</c:v>
                </c:pt>
                <c:pt idx="3">
                  <c:v>1.1000000000000001</c:v>
                </c:pt>
                <c:pt idx="4">
                  <c:v>1.1000000000000001</c:v>
                </c:pt>
                <c:pt idx="5">
                  <c:v>1.1000000000000001</c:v>
                </c:pt>
                <c:pt idx="6">
                  <c:v>1.1000000000000001</c:v>
                </c:pt>
                <c:pt idx="7">
                  <c:v>1.1000000000000001</c:v>
                </c:pt>
                <c:pt idx="8">
                  <c:v>1.1000000000000001</c:v>
                </c:pt>
                <c:pt idx="9">
                  <c:v>1.1000000000000001</c:v>
                </c:pt>
                <c:pt idx="10">
                  <c:v>1.1000000000000001</c:v>
                </c:pt>
                <c:pt idx="11">
                  <c:v>1.1000000000000001</c:v>
                </c:pt>
                <c:pt idx="12">
                  <c:v>1</c:v>
                </c:pt>
                <c:pt idx="13">
                  <c:v>1.1000000000000001</c:v>
                </c:pt>
                <c:pt idx="14">
                  <c:v>1.1000000000000001</c:v>
                </c:pt>
                <c:pt idx="15">
                  <c:v>1</c:v>
                </c:pt>
                <c:pt idx="16">
                  <c:v>1.1000000000000001</c:v>
                </c:pt>
                <c:pt idx="17">
                  <c:v>1.1000000000000001</c:v>
                </c:pt>
                <c:pt idx="18">
                  <c:v>1.1000000000000001</c:v>
                </c:pt>
                <c:pt idx="19">
                  <c:v>0.55498742138364787</c:v>
                </c:pt>
                <c:pt idx="20">
                  <c:v>0.55444901493829835</c:v>
                </c:pt>
                <c:pt idx="21">
                  <c:v>0.84499999999999997</c:v>
                </c:pt>
                <c:pt idx="22">
                  <c:v>1</c:v>
                </c:pt>
                <c:pt idx="23">
                  <c:v>1.1000000000000001</c:v>
                </c:pt>
                <c:pt idx="24">
                  <c:v>1.1000000000000001</c:v>
                </c:pt>
                <c:pt idx="25">
                  <c:v>1.1000000000000001</c:v>
                </c:pt>
                <c:pt idx="26">
                  <c:v>1</c:v>
                </c:pt>
                <c:pt idx="27">
                  <c:v>1.0542061167375887</c:v>
                </c:pt>
                <c:pt idx="28">
                  <c:v>0.3509202047018547</c:v>
                </c:pt>
                <c:pt idx="29">
                  <c:v>1.1000000000000001</c:v>
                </c:pt>
                <c:pt idx="30">
                  <c:v>1.0886000000000002</c:v>
                </c:pt>
                <c:pt idx="31">
                  <c:v>1</c:v>
                </c:pt>
                <c:pt idx="32">
                  <c:v>1</c:v>
                </c:pt>
                <c:pt idx="33">
                  <c:v>1.0854999999999999</c:v>
                </c:pt>
                <c:pt idx="34">
                  <c:v>0.9</c:v>
                </c:pt>
                <c:pt idx="35">
                  <c:v>1.0783500000000001</c:v>
                </c:pt>
                <c:pt idx="36">
                  <c:v>1</c:v>
                </c:pt>
                <c:pt idx="37">
                  <c:v>1.1000000000000001</c:v>
                </c:pt>
                <c:pt idx="38">
                  <c:v>1.0077777777777777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STRG!$BQ$4:$BQ$42</c15:f>
                <c15:dlblRangeCache>
                  <c:ptCount val="39"/>
                  <c:pt idx="0">
                    <c:v> 98 </c:v>
                  </c:pt>
                  <c:pt idx="1">
                    <c:v> 110 </c:v>
                  </c:pt>
                  <c:pt idx="2">
                    <c:v> 110 </c:v>
                  </c:pt>
                  <c:pt idx="3">
                    <c:v> 110 </c:v>
                  </c:pt>
                  <c:pt idx="4">
                    <c:v> 110 </c:v>
                  </c:pt>
                  <c:pt idx="5">
                    <c:v> 110 </c:v>
                  </c:pt>
                  <c:pt idx="6">
                    <c:v> 110 </c:v>
                  </c:pt>
                  <c:pt idx="7">
                    <c:v> 110 </c:v>
                  </c:pt>
                  <c:pt idx="8">
                    <c:v> 110 </c:v>
                  </c:pt>
                  <c:pt idx="9">
                    <c:v> 110 </c:v>
                  </c:pt>
                  <c:pt idx="10">
                    <c:v> 110 </c:v>
                  </c:pt>
                  <c:pt idx="11">
                    <c:v> 110 </c:v>
                  </c:pt>
                  <c:pt idx="12">
                    <c:v> 100 </c:v>
                  </c:pt>
                  <c:pt idx="13">
                    <c:v> 110 </c:v>
                  </c:pt>
                  <c:pt idx="14">
                    <c:v> 110 </c:v>
                  </c:pt>
                  <c:pt idx="15">
                    <c:v> 100 </c:v>
                  </c:pt>
                  <c:pt idx="16">
                    <c:v> 110 </c:v>
                  </c:pt>
                  <c:pt idx="17">
                    <c:v> 110 </c:v>
                  </c:pt>
                  <c:pt idx="18">
                    <c:v> 110 </c:v>
                  </c:pt>
                  <c:pt idx="19">
                    <c:v> 55 </c:v>
                  </c:pt>
                  <c:pt idx="20">
                    <c:v> 55 </c:v>
                  </c:pt>
                  <c:pt idx="21">
                    <c:v> 85 </c:v>
                  </c:pt>
                  <c:pt idx="22">
                    <c:v> 100 </c:v>
                  </c:pt>
                  <c:pt idx="23">
                    <c:v> 110 </c:v>
                  </c:pt>
                  <c:pt idx="24">
                    <c:v> 110 </c:v>
                  </c:pt>
                  <c:pt idx="25">
                    <c:v> 110 </c:v>
                  </c:pt>
                  <c:pt idx="26">
                    <c:v> 100 </c:v>
                  </c:pt>
                  <c:pt idx="27">
                    <c:v> 105 </c:v>
                  </c:pt>
                  <c:pt idx="28">
                    <c:v> 35 </c:v>
                  </c:pt>
                  <c:pt idx="29">
                    <c:v> 110 </c:v>
                  </c:pt>
                  <c:pt idx="30">
                    <c:v> 109 </c:v>
                  </c:pt>
                  <c:pt idx="31">
                    <c:v> 100 </c:v>
                  </c:pt>
                  <c:pt idx="32">
                    <c:v> 100 </c:v>
                  </c:pt>
                  <c:pt idx="33">
                    <c:v> 109 </c:v>
                  </c:pt>
                  <c:pt idx="34">
                    <c:v> 90 </c:v>
                  </c:pt>
                  <c:pt idx="35">
                    <c:v> 108 </c:v>
                  </c:pt>
                  <c:pt idx="36">
                    <c:v> 100 </c:v>
                  </c:pt>
                  <c:pt idx="37">
                    <c:v> 110 </c:v>
                  </c:pt>
                  <c:pt idx="38">
                    <c:v> 101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A-DAF0-4CCF-B02D-6D2B50B2383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74400335"/>
        <c:axId val="1974399375"/>
      </c:barChart>
      <c:catAx>
        <c:axId val="197440033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399375"/>
        <c:crosses val="autoZero"/>
        <c:auto val="1"/>
        <c:lblAlgn val="ctr"/>
        <c:lblOffset val="100"/>
        <c:noMultiLvlLbl val="0"/>
      </c:catAx>
      <c:valAx>
        <c:axId val="1974399375"/>
        <c:scaling>
          <c:orientation val="minMax"/>
        </c:scaling>
        <c:delete val="1"/>
        <c:axPos val="t"/>
        <c:numFmt formatCode="_(* #,##0_);_(* \(#,##0\);_(* &quot;-&quot;??_);_(@_)" sourceLinked="1"/>
        <c:majorTickMark val="none"/>
        <c:minorTickMark val="none"/>
        <c:tickLblPos val="nextTo"/>
        <c:crossAx val="1974400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STRG!$AZ$47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alpha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STRG!$BA$46:$BL$46</c:f>
              <c:numCache>
                <c:formatCode>mmm</c:formatCode>
                <c:ptCount val="12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</c:numCache>
            </c:numRef>
          </c:cat>
          <c:val>
            <c:numRef>
              <c:f>STRG!$BA$47:$BL$47</c:f>
              <c:numCache>
                <c:formatCode>General</c:formatCode>
                <c:ptCount val="12"/>
                <c:pt idx="0">
                  <c:v>93.03</c:v>
                </c:pt>
                <c:pt idx="1">
                  <c:v>101.02</c:v>
                </c:pt>
                <c:pt idx="2">
                  <c:v>97.37</c:v>
                </c:pt>
                <c:pt idx="3">
                  <c:v>101.25</c:v>
                </c:pt>
                <c:pt idx="4">
                  <c:v>103.83</c:v>
                </c:pt>
                <c:pt idx="5">
                  <c:v>104.94</c:v>
                </c:pt>
                <c:pt idx="6">
                  <c:v>104.61</c:v>
                </c:pt>
                <c:pt idx="7">
                  <c:v>106.6</c:v>
                </c:pt>
                <c:pt idx="8">
                  <c:v>105.02</c:v>
                </c:pt>
                <c:pt idx="9">
                  <c:v>105.61</c:v>
                </c:pt>
                <c:pt idx="10">
                  <c:v>106.87</c:v>
                </c:pt>
                <c:pt idx="11">
                  <c:v>107.09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2-45BA-A0CE-475DFBC335E3}"/>
            </c:ext>
          </c:extLst>
        </c:ser>
        <c:ser>
          <c:idx val="1"/>
          <c:order val="1"/>
          <c:tx>
            <c:strRef>
              <c:f>STRG!$AZ$48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STRG!$BA$46:$BL$46</c:f>
              <c:numCache>
                <c:formatCode>mmm</c:formatCode>
                <c:ptCount val="12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</c:numCache>
            </c:numRef>
          </c:cat>
          <c:val>
            <c:numRef>
              <c:f>STRG!$BA$48:$BL$48</c:f>
              <c:numCache>
                <c:formatCode>General</c:formatCode>
                <c:ptCount val="12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32-45BA-A0CE-475DFBC335E3}"/>
            </c:ext>
          </c:extLst>
        </c:ser>
        <c:ser>
          <c:idx val="2"/>
          <c:order val="2"/>
          <c:tx>
            <c:strRef>
              <c:f>STRG!$AZ$49</c:f>
              <c:strCache>
                <c:ptCount val="1"/>
                <c:pt idx="0">
                  <c:v>REALISASI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alpha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STRG!$BA$46:$BL$46</c:f>
              <c:numCache>
                <c:formatCode>mmm</c:formatCode>
                <c:ptCount val="12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  <c:pt idx="9">
                  <c:v>45961</c:v>
                </c:pt>
                <c:pt idx="10">
                  <c:v>45991</c:v>
                </c:pt>
                <c:pt idx="11">
                  <c:v>46022</c:v>
                </c:pt>
              </c:numCache>
            </c:numRef>
          </c:cat>
          <c:val>
            <c:numRef>
              <c:f>STRG!$BA$49:$BL$49</c:f>
              <c:numCache>
                <c:formatCode>_(* #,##0.00_);_(* \(#,##0.00\);_(* "-"??_);_(@_)</c:formatCode>
                <c:ptCount val="12"/>
                <c:pt idx="0">
                  <c:v>95.300000000000011</c:v>
                </c:pt>
                <c:pt idx="1">
                  <c:v>95.020000000000024</c:v>
                </c:pt>
                <c:pt idx="2">
                  <c:v>101.31000000000003</c:v>
                </c:pt>
                <c:pt idx="3">
                  <c:v>100.72000000000001</c:v>
                </c:pt>
                <c:pt idx="4">
                  <c:v>100.41000000000004</c:v>
                </c:pt>
                <c:pt idx="5">
                  <c:v>102.5</c:v>
                </c:pt>
                <c:pt idx="6">
                  <c:v>102.41000000000003</c:v>
                </c:pt>
                <c:pt idx="7">
                  <c:v>102.54</c:v>
                </c:pt>
                <c:pt idx="8">
                  <c:v>102.49000000000002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32-45BA-A0CE-475DFBC335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435487"/>
        <c:axId val="91435007"/>
      </c:barChart>
      <c:dateAx>
        <c:axId val="91435487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35007"/>
        <c:crosses val="autoZero"/>
        <c:auto val="1"/>
        <c:lblOffset val="100"/>
        <c:baseTimeUnit val="months"/>
      </c:dateAx>
      <c:valAx>
        <c:axId val="914350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143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STRG!$BY$12</c:f>
              <c:strCache>
                <c:ptCount val="1"/>
                <c:pt idx="0">
                  <c:v>YELLOW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alpha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STRG!$BX$13:$BX$41</c15:sqref>
                  </c15:fullRef>
                </c:ext>
              </c:extLst>
              <c:f>STRG!$BX$13:$BX$23</c:f>
              <c:strCache>
                <c:ptCount val="6"/>
                <c:pt idx="0">
                  <c:v>Penjualan Tenaga Listrik</c:v>
                </c:pt>
                <c:pt idx="1">
                  <c:v>Penambahan Daya Tersambung</c:v>
                </c:pt>
                <c:pt idx="2">
                  <c:v>Penambahan Jumlah Pelanggan</c:v>
                </c:pt>
                <c:pt idx="3">
                  <c:v>Jumlah Penambahan Pelanggan Produk Tematik</c:v>
                </c:pt>
                <c:pt idx="4">
                  <c:v>Pencapaian Saldo Rata-Rata Akhir Bulan diluar Konsumen Instansi (Kementerian &amp; Lembaga)</c:v>
                </c:pt>
                <c:pt idx="5">
                  <c:v>Produktivitas Unit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STRG!$BY$13:$BY$41</c15:sqref>
                  </c15:fullRef>
                </c:ext>
              </c:extLst>
              <c:f>STRG!$BY$13:$BY$23</c:f>
              <c:numCache>
                <c:formatCode>_(* #,##0.00_);_(* \(#,##0.00\);_(* "-"??_);_(@_)</c:formatCode>
                <c:ptCount val="11"/>
                <c:pt idx="0">
                  <c:v>98.172485151675019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73-4681-9631-BCAA36C9043A}"/>
            </c:ext>
          </c:extLst>
        </c:ser>
        <c:ser>
          <c:idx val="1"/>
          <c:order val="1"/>
          <c:tx>
            <c:strRef>
              <c:f>STRG!$BZ$12</c:f>
              <c:strCache>
                <c:ptCount val="1"/>
                <c:pt idx="0">
                  <c:v>RED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alpha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STRG!$BX$13:$BX$41</c15:sqref>
                  </c15:fullRef>
                </c:ext>
              </c:extLst>
              <c:f>STRG!$BX$13:$BX$23</c:f>
              <c:strCache>
                <c:ptCount val="6"/>
                <c:pt idx="0">
                  <c:v>Penjualan Tenaga Listrik</c:v>
                </c:pt>
                <c:pt idx="1">
                  <c:v>Penambahan Daya Tersambung</c:v>
                </c:pt>
                <c:pt idx="2">
                  <c:v>Penambahan Jumlah Pelanggan</c:v>
                </c:pt>
                <c:pt idx="3">
                  <c:v>Jumlah Penambahan Pelanggan Produk Tematik</c:v>
                </c:pt>
                <c:pt idx="4">
                  <c:v>Pencapaian Saldo Rata-Rata Akhir Bulan diluar Konsumen Instansi (Kementerian &amp; Lembaga)</c:v>
                </c:pt>
                <c:pt idx="5">
                  <c:v>Produktivitas Unit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STRG!$BZ$13:$BZ$41</c15:sqref>
                  </c15:fullRef>
                </c:ext>
              </c:extLst>
              <c:f>STRG!$BZ$13:$BZ$23</c:f>
              <c:numCache>
                <c:formatCode>_(* #,##0.00_);_(* \(#,##0.00\);_(* "-"??_);_(@_)</c:formatCode>
                <c:ptCount val="11"/>
                <c:pt idx="0">
                  <c:v>#N/A</c:v>
                </c:pt>
                <c:pt idx="1">
                  <c:v>55.49874213836479</c:v>
                </c:pt>
                <c:pt idx="2">
                  <c:v>55.444901493829832</c:v>
                </c:pt>
                <c:pt idx="3">
                  <c:v>84.5</c:v>
                </c:pt>
                <c:pt idx="4">
                  <c:v>35.092020470185467</c:v>
                </c:pt>
                <c:pt idx="5">
                  <c:v>90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73-4681-9631-BCAA36C9043A}"/>
            </c:ext>
          </c:extLst>
        </c:ser>
        <c:ser>
          <c:idx val="3"/>
          <c:order val="3"/>
          <c:tx>
            <c:strRef>
              <c:f>STRG!$CB$12</c:f>
              <c:strCache>
                <c:ptCount val="1"/>
                <c:pt idx="0">
                  <c:v>GAP KIN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STRG!$BX$13:$BX$41</c15:sqref>
                  </c15:fullRef>
                </c:ext>
              </c:extLst>
              <c:f>STRG!$BX$13:$BX$23</c:f>
              <c:strCache>
                <c:ptCount val="6"/>
                <c:pt idx="0">
                  <c:v>Penjualan Tenaga Listrik</c:v>
                </c:pt>
                <c:pt idx="1">
                  <c:v>Penambahan Daya Tersambung</c:v>
                </c:pt>
                <c:pt idx="2">
                  <c:v>Penambahan Jumlah Pelanggan</c:v>
                </c:pt>
                <c:pt idx="3">
                  <c:v>Jumlah Penambahan Pelanggan Produk Tematik</c:v>
                </c:pt>
                <c:pt idx="4">
                  <c:v>Pencapaian Saldo Rata-Rata Akhir Bulan diluar Konsumen Instansi (Kementerian &amp; Lembaga)</c:v>
                </c:pt>
                <c:pt idx="5">
                  <c:v>Produktivitas Unit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STRG!$CB$13:$CB$41</c15:sqref>
                  </c15:fullRef>
                </c:ext>
              </c:extLst>
              <c:f>STRG!$CB$13:$CB$23</c:f>
              <c:numCache>
                <c:formatCode>_(* #,##0.00_);_(* \(#,##0.00\);_(* "-"??_);_(@_)</c:formatCode>
                <c:ptCount val="11"/>
                <c:pt idx="0">
                  <c:v>1.8275148483249808</c:v>
                </c:pt>
                <c:pt idx="1">
                  <c:v>44.50125786163521</c:v>
                </c:pt>
                <c:pt idx="2">
                  <c:v>44.555098506170168</c:v>
                </c:pt>
                <c:pt idx="3">
                  <c:v>15.5</c:v>
                </c:pt>
                <c:pt idx="4">
                  <c:v>64.907979529814526</c:v>
                </c:pt>
                <c:pt idx="5">
                  <c:v>10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73-4681-9631-BCAA36C9043A}"/>
            </c:ext>
          </c:extLst>
        </c:ser>
        <c:ser>
          <c:idx val="5"/>
          <c:order val="5"/>
          <c:tx>
            <c:strRef>
              <c:f>STRG!$CD$12</c:f>
              <c:strCache>
                <c:ptCount val="1"/>
                <c:pt idx="0">
                  <c:v>GAP POIN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STRG!$BX$13:$BX$41</c15:sqref>
                  </c15:fullRef>
                </c:ext>
              </c:extLst>
              <c:f>STRG!$BX$13:$BX$23</c:f>
              <c:strCache>
                <c:ptCount val="6"/>
                <c:pt idx="0">
                  <c:v>Penjualan Tenaga Listrik</c:v>
                </c:pt>
                <c:pt idx="1">
                  <c:v>Penambahan Daya Tersambung</c:v>
                </c:pt>
                <c:pt idx="2">
                  <c:v>Penambahan Jumlah Pelanggan</c:v>
                </c:pt>
                <c:pt idx="3">
                  <c:v>Jumlah Penambahan Pelanggan Produk Tematik</c:v>
                </c:pt>
                <c:pt idx="4">
                  <c:v>Pencapaian Saldo Rata-Rata Akhir Bulan diluar Konsumen Instansi (Kementerian &amp; Lembaga)</c:v>
                </c:pt>
                <c:pt idx="5">
                  <c:v>Produktivitas Unit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STRG!$CD$13:$CD$41</c15:sqref>
                  </c15:fullRef>
                </c:ext>
              </c:extLst>
              <c:f>STRG!$CD$13:$CD$23</c:f>
              <c:numCache>
                <c:formatCode>_(* #,##0.00_);_(* \(#,##0.00\);_(* "-"??_);_(@_)</c:formatCode>
                <c:ptCount val="11"/>
                <c:pt idx="0">
                  <c:v>0.25585207876549731</c:v>
                </c:pt>
                <c:pt idx="1">
                  <c:v>0.89002515723270426</c:v>
                </c:pt>
                <c:pt idx="2">
                  <c:v>0.89110197012340331</c:v>
                </c:pt>
                <c:pt idx="3">
                  <c:v>0.23249999999999998</c:v>
                </c:pt>
                <c:pt idx="4">
                  <c:v>1.2981595905962906</c:v>
                </c:pt>
                <c:pt idx="5">
                  <c:v>0.1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73-4681-9631-BCAA36C9043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770424319"/>
        <c:axId val="1770415679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STRG!$CA$12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STRG!$BX$13:$BX$41</c15:sqref>
                        </c15:fullRef>
                        <c15:formulaRef>
                          <c15:sqref>STRG!$BX$13:$BX$23</c15:sqref>
                        </c15:formulaRef>
                      </c:ext>
                    </c:extLst>
                    <c:strCache>
                      <c:ptCount val="6"/>
                      <c:pt idx="0">
                        <c:v>Penjualan Tenaga Listrik</c:v>
                      </c:pt>
                      <c:pt idx="1">
                        <c:v>Penambahan Daya Tersambung</c:v>
                      </c:pt>
                      <c:pt idx="2">
                        <c:v>Penambahan Jumlah Pelanggan</c:v>
                      </c:pt>
                      <c:pt idx="3">
                        <c:v>Jumlah Penambahan Pelanggan Produk Tematik</c:v>
                      </c:pt>
                      <c:pt idx="4">
                        <c:v>Pencapaian Saldo Rata-Rata Akhir Bulan diluar Konsumen Instansi (Kementerian &amp; Lembaga)</c:v>
                      </c:pt>
                      <c:pt idx="5">
                        <c:v>Produktivitas Unit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STRG!$CA$13:$CA$41</c15:sqref>
                        </c15:fullRef>
                        <c15:formulaRef>
                          <c15:sqref>STRG!$CA$13:$CA$23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1"/>
                      <c:pt idx="0">
                        <c:v>98.172485151675019</c:v>
                      </c:pt>
                      <c:pt idx="1">
                        <c:v>55.49874213836479</c:v>
                      </c:pt>
                      <c:pt idx="2">
                        <c:v>55.444901493829832</c:v>
                      </c:pt>
                      <c:pt idx="3">
                        <c:v>84.5</c:v>
                      </c:pt>
                      <c:pt idx="4">
                        <c:v>35.092020470185467</c:v>
                      </c:pt>
                      <c:pt idx="5">
                        <c:v>90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4B73-4681-9631-BCAA36C9043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STRG!$CC$12</c15:sqref>
                        </c15:formulaRef>
                      </c:ext>
                    </c:extLst>
                    <c:strCache>
                      <c:ptCount val="1"/>
                      <c:pt idx="0">
                        <c:v>BOBOT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STRG!$BX$13:$BX$41</c15:sqref>
                        </c15:fullRef>
                        <c15:formulaRef>
                          <c15:sqref>STRG!$BX$13:$BX$23</c15:sqref>
                        </c15:formulaRef>
                      </c:ext>
                    </c:extLst>
                    <c:strCache>
                      <c:ptCount val="6"/>
                      <c:pt idx="0">
                        <c:v>Penjualan Tenaga Listrik</c:v>
                      </c:pt>
                      <c:pt idx="1">
                        <c:v>Penambahan Daya Tersambung</c:v>
                      </c:pt>
                      <c:pt idx="2">
                        <c:v>Penambahan Jumlah Pelanggan</c:v>
                      </c:pt>
                      <c:pt idx="3">
                        <c:v>Jumlah Penambahan Pelanggan Produk Tematik</c:v>
                      </c:pt>
                      <c:pt idx="4">
                        <c:v>Pencapaian Saldo Rata-Rata Akhir Bulan diluar Konsumen Instansi (Kementerian &amp; Lembaga)</c:v>
                      </c:pt>
                      <c:pt idx="5">
                        <c:v>Produktivitas Unit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STRG!$CC$13:$CC$41</c15:sqref>
                        </c15:fullRef>
                        <c15:formulaRef>
                          <c15:sqref>STRG!$CC$13:$CC$23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14</c:v>
                      </c:pt>
                      <c:pt idx="1">
                        <c:v>2</c:v>
                      </c:pt>
                      <c:pt idx="2">
                        <c:v>2</c:v>
                      </c:pt>
                      <c:pt idx="3">
                        <c:v>1.5</c:v>
                      </c:pt>
                      <c:pt idx="4">
                        <c:v>2</c:v>
                      </c:pt>
                      <c:pt idx="5">
                        <c:v>1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B73-4681-9631-BCAA36C9043A}"/>
                  </c:ext>
                </c:extLst>
              </c15:ser>
            </c15:filteredBarSeries>
          </c:ext>
        </c:extLst>
      </c:barChart>
      <c:catAx>
        <c:axId val="1770424319"/>
        <c:scaling>
          <c:orientation val="maxMin"/>
        </c:scaling>
        <c:delete val="0"/>
        <c:axPos val="l"/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415679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770415679"/>
        <c:scaling>
          <c:orientation val="minMax"/>
        </c:scaling>
        <c:delete val="1"/>
        <c:axPos val="t"/>
        <c:numFmt formatCode="0%" sourceLinked="1"/>
        <c:majorTickMark val="none"/>
        <c:minorTickMark val="none"/>
        <c:tickLblPos val="nextTo"/>
        <c:crossAx val="1770424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130735</xdr:colOff>
      <xdr:row>0</xdr:row>
      <xdr:rowOff>0</xdr:rowOff>
    </xdr:from>
    <xdr:ext cx="399148" cy="264560"/>
    <xdr:sp macro="" textlink="">
      <xdr:nvSpPr>
        <xdr:cNvPr id="52" name="TextBox 5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/>
      </xdr:nvSpPr>
      <xdr:spPr>
        <a:xfrm>
          <a:off x="3628315" y="8881147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100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420463</xdr:colOff>
      <xdr:row>0</xdr:row>
      <xdr:rowOff>0</xdr:rowOff>
    </xdr:from>
    <xdr:ext cx="327654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/>
      </xdr:nvSpPr>
      <xdr:spPr>
        <a:xfrm>
          <a:off x="3003643" y="7841017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50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178360</xdr:colOff>
      <xdr:row>0</xdr:row>
      <xdr:rowOff>0</xdr:rowOff>
    </xdr:from>
    <xdr:ext cx="327654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 txBox="1"/>
      </xdr:nvSpPr>
      <xdr:spPr>
        <a:xfrm>
          <a:off x="3675940" y="8168677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75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145494</xdr:colOff>
      <xdr:row>0</xdr:row>
      <xdr:rowOff>0</xdr:rowOff>
    </xdr:from>
    <xdr:ext cx="256160" cy="264560"/>
    <xdr:sp macro="" textlink="">
      <xdr:nvSpPr>
        <xdr:cNvPr id="108" name="TextBox 4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 txBox="1"/>
      </xdr:nvSpPr>
      <xdr:spPr>
        <a:xfrm>
          <a:off x="8862774" y="8894754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76306</xdr:colOff>
      <xdr:row>0</xdr:row>
      <xdr:rowOff>0</xdr:rowOff>
    </xdr:from>
    <xdr:ext cx="399148" cy="264560"/>
    <xdr:sp macro="" textlink="">
      <xdr:nvSpPr>
        <xdr:cNvPr id="109" name="TextBox 5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 txBox="1"/>
      </xdr:nvSpPr>
      <xdr:spPr>
        <a:xfrm>
          <a:off x="10043266" y="8894754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100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145494</xdr:colOff>
      <xdr:row>0</xdr:row>
      <xdr:rowOff>0</xdr:rowOff>
    </xdr:from>
    <xdr:ext cx="327654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SpPr txBox="1"/>
      </xdr:nvSpPr>
      <xdr:spPr>
        <a:xfrm>
          <a:off x="8862774" y="8229909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25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134713</xdr:colOff>
      <xdr:row>0</xdr:row>
      <xdr:rowOff>0</xdr:rowOff>
    </xdr:from>
    <xdr:ext cx="327654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SpPr txBox="1"/>
      </xdr:nvSpPr>
      <xdr:spPr>
        <a:xfrm>
          <a:off x="9476833" y="7854624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50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123931</xdr:colOff>
      <xdr:row>0</xdr:row>
      <xdr:rowOff>0</xdr:rowOff>
    </xdr:from>
    <xdr:ext cx="327654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SpPr txBox="1"/>
      </xdr:nvSpPr>
      <xdr:spPr>
        <a:xfrm>
          <a:off x="10090891" y="8182284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75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289036</xdr:colOff>
      <xdr:row>0</xdr:row>
      <xdr:rowOff>0</xdr:rowOff>
    </xdr:from>
    <xdr:ext cx="2438400" cy="790574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SpPr txBox="1"/>
      </xdr:nvSpPr>
      <xdr:spPr>
        <a:xfrm>
          <a:off x="8381476" y="8272946"/>
          <a:ext cx="2438400" cy="790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5A9026A1-FAF8-4926-80D1-35009DB2F15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</a:t>
          </a:fld>
          <a:endParaRPr lang="en-GB" sz="2800" b="1">
            <a:solidFill>
              <a:srgbClr val="FFFF00"/>
            </a:solidFill>
          </a:endParaRPr>
        </a:p>
      </xdr:txBody>
    </xdr:sp>
    <xdr:clientData/>
  </xdr:oneCellAnchor>
  <xdr:oneCellAnchor>
    <xdr:from>
      <xdr:col>28</xdr:col>
      <xdr:colOff>353312</xdr:colOff>
      <xdr:row>0</xdr:row>
      <xdr:rowOff>0</xdr:rowOff>
    </xdr:from>
    <xdr:ext cx="256160" cy="264560"/>
    <xdr:sp macro="" textlink="">
      <xdr:nvSpPr>
        <xdr:cNvPr id="223" name="TextBox 4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SpPr txBox="1"/>
      </xdr:nvSpPr>
      <xdr:spPr>
        <a:xfrm>
          <a:off x="19060412" y="8894754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30</xdr:col>
      <xdr:colOff>284124</xdr:colOff>
      <xdr:row>0</xdr:row>
      <xdr:rowOff>0</xdr:rowOff>
    </xdr:from>
    <xdr:ext cx="399148" cy="264560"/>
    <xdr:sp macro="" textlink="">
      <xdr:nvSpPr>
        <xdr:cNvPr id="224" name="TextBox 5">
          <a:extLst>
            <a:ext uri="{FF2B5EF4-FFF2-40B4-BE49-F238E27FC236}">
              <a16:creationId xmlns:a16="http://schemas.microsoft.com/office/drawing/2014/main" id="{00000000-0008-0000-0400-0000E0000000}"/>
            </a:ext>
          </a:extLst>
        </xdr:cNvPr>
        <xdr:cNvSpPr txBox="1"/>
      </xdr:nvSpPr>
      <xdr:spPr>
        <a:xfrm>
          <a:off x="20240904" y="8894754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100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28</xdr:col>
      <xdr:colOff>353312</xdr:colOff>
      <xdr:row>0</xdr:row>
      <xdr:rowOff>0</xdr:rowOff>
    </xdr:from>
    <xdr:ext cx="327654" cy="264560"/>
    <xdr:sp macro="" textlink="">
      <xdr:nvSpPr>
        <xdr:cNvPr id="226" name="TextBox 225">
          <a:extLst>
            <a:ext uri="{FF2B5EF4-FFF2-40B4-BE49-F238E27FC236}">
              <a16:creationId xmlns:a16="http://schemas.microsoft.com/office/drawing/2014/main" id="{00000000-0008-0000-0400-0000E2000000}"/>
            </a:ext>
          </a:extLst>
        </xdr:cNvPr>
        <xdr:cNvSpPr txBox="1"/>
      </xdr:nvSpPr>
      <xdr:spPr>
        <a:xfrm>
          <a:off x="19060412" y="8229909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25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29</xdr:col>
      <xdr:colOff>342532</xdr:colOff>
      <xdr:row>0</xdr:row>
      <xdr:rowOff>0</xdr:rowOff>
    </xdr:from>
    <xdr:ext cx="327654" cy="264560"/>
    <xdr:sp macro="" textlink="">
      <xdr:nvSpPr>
        <xdr:cNvPr id="227" name="TextBox 226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SpPr txBox="1"/>
      </xdr:nvSpPr>
      <xdr:spPr>
        <a:xfrm>
          <a:off x="19674472" y="7854624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50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30</xdr:col>
      <xdr:colOff>331749</xdr:colOff>
      <xdr:row>0</xdr:row>
      <xdr:rowOff>0</xdr:rowOff>
    </xdr:from>
    <xdr:ext cx="327654" cy="264560"/>
    <xdr:sp macro="" textlink="">
      <xdr:nvSpPr>
        <xdr:cNvPr id="228" name="TextBox 227">
          <a:extLst>
            <a:ext uri="{FF2B5EF4-FFF2-40B4-BE49-F238E27FC236}">
              <a16:creationId xmlns:a16="http://schemas.microsoft.com/office/drawing/2014/main" id="{00000000-0008-0000-0400-0000E4000000}"/>
            </a:ext>
          </a:extLst>
        </xdr:cNvPr>
        <xdr:cNvSpPr txBox="1"/>
      </xdr:nvSpPr>
      <xdr:spPr>
        <a:xfrm>
          <a:off x="20288529" y="8182284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75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27</xdr:col>
      <xdr:colOff>514172</xdr:colOff>
      <xdr:row>0</xdr:row>
      <xdr:rowOff>0</xdr:rowOff>
    </xdr:from>
    <xdr:ext cx="2438400" cy="790574"/>
    <xdr:sp macro="" textlink="">
      <xdr:nvSpPr>
        <xdr:cNvPr id="230" name="TextBox 229">
          <a:extLst>
            <a:ext uri="{FF2B5EF4-FFF2-40B4-BE49-F238E27FC236}">
              <a16:creationId xmlns:a16="http://schemas.microsoft.com/office/drawing/2014/main" id="{00000000-0008-0000-0400-0000E6000000}"/>
            </a:ext>
          </a:extLst>
        </xdr:cNvPr>
        <xdr:cNvSpPr txBox="1"/>
      </xdr:nvSpPr>
      <xdr:spPr>
        <a:xfrm>
          <a:off x="18596432" y="8263248"/>
          <a:ext cx="2438400" cy="790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5A9026A1-FAF8-4926-80D1-35009DB2F15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</a:t>
          </a:fld>
          <a:endParaRPr lang="en-GB" sz="2800" b="1">
            <a:solidFill>
              <a:srgbClr val="FFFF00"/>
            </a:solidFill>
          </a:endParaRPr>
        </a:p>
      </xdr:txBody>
    </xdr:sp>
    <xdr:clientData/>
  </xdr:oneCellAnchor>
  <xdr:oneCellAnchor>
    <xdr:from>
      <xdr:col>4</xdr:col>
      <xdr:colOff>130735</xdr:colOff>
      <xdr:row>0</xdr:row>
      <xdr:rowOff>0</xdr:rowOff>
    </xdr:from>
    <xdr:ext cx="399148" cy="264560"/>
    <xdr:sp macro="" textlink="">
      <xdr:nvSpPr>
        <xdr:cNvPr id="281" name="TextBox 5">
          <a:extLst>
            <a:ext uri="{FF2B5EF4-FFF2-40B4-BE49-F238E27FC236}">
              <a16:creationId xmlns:a16="http://schemas.microsoft.com/office/drawing/2014/main" id="{00000000-0008-0000-0400-000019010000}"/>
            </a:ext>
          </a:extLst>
        </xdr:cNvPr>
        <xdr:cNvSpPr txBox="1"/>
      </xdr:nvSpPr>
      <xdr:spPr>
        <a:xfrm>
          <a:off x="3628315" y="12024743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100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420463</xdr:colOff>
      <xdr:row>0</xdr:row>
      <xdr:rowOff>0</xdr:rowOff>
    </xdr:from>
    <xdr:ext cx="327654" cy="264560"/>
    <xdr:sp macro="" textlink="">
      <xdr:nvSpPr>
        <xdr:cNvPr id="284" name="TextBox 283">
          <a:extLst>
            <a:ext uri="{FF2B5EF4-FFF2-40B4-BE49-F238E27FC236}">
              <a16:creationId xmlns:a16="http://schemas.microsoft.com/office/drawing/2014/main" id="{00000000-0008-0000-0400-00001C010000}"/>
            </a:ext>
          </a:extLst>
        </xdr:cNvPr>
        <xdr:cNvSpPr txBox="1"/>
      </xdr:nvSpPr>
      <xdr:spPr>
        <a:xfrm>
          <a:off x="3003643" y="10984613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50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178360</xdr:colOff>
      <xdr:row>0</xdr:row>
      <xdr:rowOff>0</xdr:rowOff>
    </xdr:from>
    <xdr:ext cx="327654" cy="264560"/>
    <xdr:sp macro="" textlink="">
      <xdr:nvSpPr>
        <xdr:cNvPr id="285" name="TextBox 284">
          <a:extLst>
            <a:ext uri="{FF2B5EF4-FFF2-40B4-BE49-F238E27FC236}">
              <a16:creationId xmlns:a16="http://schemas.microsoft.com/office/drawing/2014/main" id="{00000000-0008-0000-0400-00001D010000}"/>
            </a:ext>
          </a:extLst>
        </xdr:cNvPr>
        <xdr:cNvSpPr txBox="1"/>
      </xdr:nvSpPr>
      <xdr:spPr>
        <a:xfrm>
          <a:off x="3675940" y="11312273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75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145494</xdr:colOff>
      <xdr:row>0</xdr:row>
      <xdr:rowOff>0</xdr:rowOff>
    </xdr:from>
    <xdr:ext cx="256160" cy="264560"/>
    <xdr:sp macro="" textlink="">
      <xdr:nvSpPr>
        <xdr:cNvPr id="337" name="TextBox 4">
          <a:extLst>
            <a:ext uri="{FF2B5EF4-FFF2-40B4-BE49-F238E27FC236}">
              <a16:creationId xmlns:a16="http://schemas.microsoft.com/office/drawing/2014/main" id="{00000000-0008-0000-0400-000051010000}"/>
            </a:ext>
          </a:extLst>
        </xdr:cNvPr>
        <xdr:cNvSpPr txBox="1"/>
      </xdr:nvSpPr>
      <xdr:spPr>
        <a:xfrm>
          <a:off x="8862774" y="120383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76306</xdr:colOff>
      <xdr:row>0</xdr:row>
      <xdr:rowOff>0</xdr:rowOff>
    </xdr:from>
    <xdr:ext cx="399148" cy="264560"/>
    <xdr:sp macro="" textlink="">
      <xdr:nvSpPr>
        <xdr:cNvPr id="338" name="TextBox 5">
          <a:extLst>
            <a:ext uri="{FF2B5EF4-FFF2-40B4-BE49-F238E27FC236}">
              <a16:creationId xmlns:a16="http://schemas.microsoft.com/office/drawing/2014/main" id="{00000000-0008-0000-0400-000052010000}"/>
            </a:ext>
          </a:extLst>
        </xdr:cNvPr>
        <xdr:cNvSpPr txBox="1"/>
      </xdr:nvSpPr>
      <xdr:spPr>
        <a:xfrm>
          <a:off x="10043266" y="1203835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100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145494</xdr:colOff>
      <xdr:row>0</xdr:row>
      <xdr:rowOff>0</xdr:rowOff>
    </xdr:from>
    <xdr:ext cx="327654" cy="264560"/>
    <xdr:sp macro="" textlink="">
      <xdr:nvSpPr>
        <xdr:cNvPr id="340" name="TextBox 339">
          <a:extLst>
            <a:ext uri="{FF2B5EF4-FFF2-40B4-BE49-F238E27FC236}">
              <a16:creationId xmlns:a16="http://schemas.microsoft.com/office/drawing/2014/main" id="{00000000-0008-0000-0400-000054010000}"/>
            </a:ext>
          </a:extLst>
        </xdr:cNvPr>
        <xdr:cNvSpPr txBox="1"/>
      </xdr:nvSpPr>
      <xdr:spPr>
        <a:xfrm>
          <a:off x="8862774" y="1136588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25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134713</xdr:colOff>
      <xdr:row>0</xdr:row>
      <xdr:rowOff>0</xdr:rowOff>
    </xdr:from>
    <xdr:ext cx="327654" cy="264560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00000000-0008-0000-0400-000055010000}"/>
            </a:ext>
          </a:extLst>
        </xdr:cNvPr>
        <xdr:cNvSpPr txBox="1"/>
      </xdr:nvSpPr>
      <xdr:spPr>
        <a:xfrm>
          <a:off x="9476833" y="1099822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50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123931</xdr:colOff>
      <xdr:row>0</xdr:row>
      <xdr:rowOff>0</xdr:rowOff>
    </xdr:from>
    <xdr:ext cx="327654" cy="264560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00000000-0008-0000-0400-000056010000}"/>
            </a:ext>
          </a:extLst>
        </xdr:cNvPr>
        <xdr:cNvSpPr txBox="1"/>
      </xdr:nvSpPr>
      <xdr:spPr>
        <a:xfrm>
          <a:off x="10090891" y="1132588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75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306354</xdr:colOff>
      <xdr:row>0</xdr:row>
      <xdr:rowOff>0</xdr:rowOff>
    </xdr:from>
    <xdr:ext cx="2438400" cy="790574"/>
    <xdr:sp macro="" textlink="">
      <xdr:nvSpPr>
        <xdr:cNvPr id="344" name="TextBox 343">
          <a:extLst>
            <a:ext uri="{FF2B5EF4-FFF2-40B4-BE49-F238E27FC236}">
              <a16:creationId xmlns:a16="http://schemas.microsoft.com/office/drawing/2014/main" id="{00000000-0008-0000-0400-000058010000}"/>
            </a:ext>
          </a:extLst>
        </xdr:cNvPr>
        <xdr:cNvSpPr txBox="1"/>
      </xdr:nvSpPr>
      <xdr:spPr>
        <a:xfrm>
          <a:off x="8398794" y="11399224"/>
          <a:ext cx="2438400" cy="790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5A9026A1-FAF8-4926-80D1-35009DB2F15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</a:t>
          </a:fld>
          <a:endParaRPr lang="en-GB" sz="2800" b="1">
            <a:solidFill>
              <a:srgbClr val="FFFF00"/>
            </a:solidFill>
          </a:endParaRPr>
        </a:p>
      </xdr:txBody>
    </xdr:sp>
    <xdr:clientData/>
  </xdr:oneCellAnchor>
  <xdr:oneCellAnchor>
    <xdr:from>
      <xdr:col>20</xdr:col>
      <xdr:colOff>682357</xdr:colOff>
      <xdr:row>0</xdr:row>
      <xdr:rowOff>0</xdr:rowOff>
    </xdr:from>
    <xdr:ext cx="256160" cy="264560"/>
    <xdr:sp macro="" textlink="">
      <xdr:nvSpPr>
        <xdr:cNvPr id="394" name="TextBox 4">
          <a:extLst>
            <a:ext uri="{FF2B5EF4-FFF2-40B4-BE49-F238E27FC236}">
              <a16:creationId xmlns:a16="http://schemas.microsoft.com/office/drawing/2014/main" id="{00000000-0008-0000-0400-00008A010000}"/>
            </a:ext>
          </a:extLst>
        </xdr:cNvPr>
        <xdr:cNvSpPr txBox="1"/>
      </xdr:nvSpPr>
      <xdr:spPr>
        <a:xfrm>
          <a:off x="14146897" y="120383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22</xdr:col>
      <xdr:colOff>370715</xdr:colOff>
      <xdr:row>0</xdr:row>
      <xdr:rowOff>0</xdr:rowOff>
    </xdr:from>
    <xdr:ext cx="399148" cy="264560"/>
    <xdr:sp macro="" textlink="">
      <xdr:nvSpPr>
        <xdr:cNvPr id="395" name="TextBox 5">
          <a:extLst>
            <a:ext uri="{FF2B5EF4-FFF2-40B4-BE49-F238E27FC236}">
              <a16:creationId xmlns:a16="http://schemas.microsoft.com/office/drawing/2014/main" id="{00000000-0008-0000-0400-00008B010000}"/>
            </a:ext>
          </a:extLst>
        </xdr:cNvPr>
        <xdr:cNvSpPr txBox="1"/>
      </xdr:nvSpPr>
      <xdr:spPr>
        <a:xfrm>
          <a:off x="15328775" y="1203835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100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682357</xdr:colOff>
      <xdr:row>0</xdr:row>
      <xdr:rowOff>0</xdr:rowOff>
    </xdr:from>
    <xdr:ext cx="327654" cy="264560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00000000-0008-0000-0400-00008D010000}"/>
            </a:ext>
          </a:extLst>
        </xdr:cNvPr>
        <xdr:cNvSpPr txBox="1"/>
      </xdr:nvSpPr>
      <xdr:spPr>
        <a:xfrm>
          <a:off x="14146897" y="1136588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25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21</xdr:col>
      <xdr:colOff>429123</xdr:colOff>
      <xdr:row>0</xdr:row>
      <xdr:rowOff>0</xdr:rowOff>
    </xdr:from>
    <xdr:ext cx="327654" cy="264560"/>
    <xdr:sp macro="" textlink="">
      <xdr:nvSpPr>
        <xdr:cNvPr id="398" name="TextBox 397">
          <a:extLst>
            <a:ext uri="{FF2B5EF4-FFF2-40B4-BE49-F238E27FC236}">
              <a16:creationId xmlns:a16="http://schemas.microsoft.com/office/drawing/2014/main" id="{00000000-0008-0000-0400-00008E010000}"/>
            </a:ext>
          </a:extLst>
        </xdr:cNvPr>
        <xdr:cNvSpPr txBox="1"/>
      </xdr:nvSpPr>
      <xdr:spPr>
        <a:xfrm>
          <a:off x="14762343" y="1099822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50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22</xdr:col>
      <xdr:colOff>418340</xdr:colOff>
      <xdr:row>0</xdr:row>
      <xdr:rowOff>0</xdr:rowOff>
    </xdr:from>
    <xdr:ext cx="327654" cy="264560"/>
    <xdr:sp macro="" textlink="">
      <xdr:nvSpPr>
        <xdr:cNvPr id="399" name="TextBox 398">
          <a:extLst>
            <a:ext uri="{FF2B5EF4-FFF2-40B4-BE49-F238E27FC236}">
              <a16:creationId xmlns:a16="http://schemas.microsoft.com/office/drawing/2014/main" id="{00000000-0008-0000-0400-00008F010000}"/>
            </a:ext>
          </a:extLst>
        </xdr:cNvPr>
        <xdr:cNvSpPr txBox="1"/>
      </xdr:nvSpPr>
      <xdr:spPr>
        <a:xfrm>
          <a:off x="15376400" y="1132588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75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237081</xdr:colOff>
      <xdr:row>0</xdr:row>
      <xdr:rowOff>0</xdr:rowOff>
    </xdr:from>
    <xdr:ext cx="2438400" cy="790574"/>
    <xdr:sp macro="" textlink="">
      <xdr:nvSpPr>
        <xdr:cNvPr id="401" name="TextBox 400">
          <a:extLst>
            <a:ext uri="{FF2B5EF4-FFF2-40B4-BE49-F238E27FC236}">
              <a16:creationId xmlns:a16="http://schemas.microsoft.com/office/drawing/2014/main" id="{00000000-0008-0000-0400-000091010000}"/>
            </a:ext>
          </a:extLst>
        </xdr:cNvPr>
        <xdr:cNvSpPr txBox="1"/>
      </xdr:nvSpPr>
      <xdr:spPr>
        <a:xfrm>
          <a:off x="13701621" y="11399224"/>
          <a:ext cx="2438400" cy="790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5A9026A1-FAF8-4926-80D1-35009DB2F15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</a:t>
          </a:fld>
          <a:endParaRPr lang="en-GB" sz="2800" b="1">
            <a:solidFill>
              <a:srgbClr val="FFFF00"/>
            </a:solidFill>
          </a:endParaRPr>
        </a:p>
      </xdr:txBody>
    </xdr:sp>
    <xdr:clientData/>
  </xdr:oneCellAnchor>
  <xdr:oneCellAnchor>
    <xdr:from>
      <xdr:col>28</xdr:col>
      <xdr:colOff>353312</xdr:colOff>
      <xdr:row>0</xdr:row>
      <xdr:rowOff>0</xdr:rowOff>
    </xdr:from>
    <xdr:ext cx="256160" cy="264560"/>
    <xdr:sp macro="" textlink="">
      <xdr:nvSpPr>
        <xdr:cNvPr id="451" name="TextBox 4">
          <a:extLst>
            <a:ext uri="{FF2B5EF4-FFF2-40B4-BE49-F238E27FC236}">
              <a16:creationId xmlns:a16="http://schemas.microsoft.com/office/drawing/2014/main" id="{00000000-0008-0000-0400-0000C3010000}"/>
            </a:ext>
          </a:extLst>
        </xdr:cNvPr>
        <xdr:cNvSpPr txBox="1"/>
      </xdr:nvSpPr>
      <xdr:spPr>
        <a:xfrm>
          <a:off x="19060412" y="1203835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30</xdr:col>
      <xdr:colOff>284124</xdr:colOff>
      <xdr:row>0</xdr:row>
      <xdr:rowOff>0</xdr:rowOff>
    </xdr:from>
    <xdr:ext cx="399148" cy="264560"/>
    <xdr:sp macro="" textlink="">
      <xdr:nvSpPr>
        <xdr:cNvPr id="452" name="TextBox 5">
          <a:extLst>
            <a:ext uri="{FF2B5EF4-FFF2-40B4-BE49-F238E27FC236}">
              <a16:creationId xmlns:a16="http://schemas.microsoft.com/office/drawing/2014/main" id="{00000000-0008-0000-0400-0000C4010000}"/>
            </a:ext>
          </a:extLst>
        </xdr:cNvPr>
        <xdr:cNvSpPr txBox="1"/>
      </xdr:nvSpPr>
      <xdr:spPr>
        <a:xfrm>
          <a:off x="20240904" y="1203835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100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28</xdr:col>
      <xdr:colOff>353312</xdr:colOff>
      <xdr:row>0</xdr:row>
      <xdr:rowOff>0</xdr:rowOff>
    </xdr:from>
    <xdr:ext cx="327654" cy="264560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00000000-0008-0000-0400-0000C6010000}"/>
            </a:ext>
          </a:extLst>
        </xdr:cNvPr>
        <xdr:cNvSpPr txBox="1"/>
      </xdr:nvSpPr>
      <xdr:spPr>
        <a:xfrm>
          <a:off x="19060412" y="1136588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25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29</xdr:col>
      <xdr:colOff>342532</xdr:colOff>
      <xdr:row>0</xdr:row>
      <xdr:rowOff>0</xdr:rowOff>
    </xdr:from>
    <xdr:ext cx="327654" cy="264560"/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00000000-0008-0000-0400-0000C7010000}"/>
            </a:ext>
          </a:extLst>
        </xdr:cNvPr>
        <xdr:cNvSpPr txBox="1"/>
      </xdr:nvSpPr>
      <xdr:spPr>
        <a:xfrm>
          <a:off x="19674472" y="1099822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50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30</xdr:col>
      <xdr:colOff>331749</xdr:colOff>
      <xdr:row>0</xdr:row>
      <xdr:rowOff>0</xdr:rowOff>
    </xdr:from>
    <xdr:ext cx="327654" cy="264560"/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00000000-0008-0000-0400-0000C8010000}"/>
            </a:ext>
          </a:extLst>
        </xdr:cNvPr>
        <xdr:cNvSpPr txBox="1"/>
      </xdr:nvSpPr>
      <xdr:spPr>
        <a:xfrm>
          <a:off x="20288529" y="1132588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75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27</xdr:col>
      <xdr:colOff>514172</xdr:colOff>
      <xdr:row>0</xdr:row>
      <xdr:rowOff>0</xdr:rowOff>
    </xdr:from>
    <xdr:ext cx="2438400" cy="790574"/>
    <xdr:sp macro="" textlink="">
      <xdr:nvSpPr>
        <xdr:cNvPr id="458" name="TextBox 457">
          <a:extLst>
            <a:ext uri="{FF2B5EF4-FFF2-40B4-BE49-F238E27FC236}">
              <a16:creationId xmlns:a16="http://schemas.microsoft.com/office/drawing/2014/main" id="{00000000-0008-0000-0400-0000CA010000}"/>
            </a:ext>
          </a:extLst>
        </xdr:cNvPr>
        <xdr:cNvSpPr txBox="1"/>
      </xdr:nvSpPr>
      <xdr:spPr>
        <a:xfrm>
          <a:off x="18596432" y="11399224"/>
          <a:ext cx="2438400" cy="790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5A9026A1-FAF8-4926-80D1-35009DB2F15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</a:t>
          </a:fld>
          <a:endParaRPr lang="en-GB" sz="2800" b="1">
            <a:solidFill>
              <a:srgbClr val="FFFF00"/>
            </a:solidFill>
          </a:endParaRPr>
        </a:p>
      </xdr:txBody>
    </xdr:sp>
    <xdr:clientData/>
  </xdr:oneCellAnchor>
  <xdr:oneCellAnchor>
    <xdr:from>
      <xdr:col>4</xdr:col>
      <xdr:colOff>130735</xdr:colOff>
      <xdr:row>0</xdr:row>
      <xdr:rowOff>0</xdr:rowOff>
    </xdr:from>
    <xdr:ext cx="399148" cy="264560"/>
    <xdr:sp macro="" textlink="">
      <xdr:nvSpPr>
        <xdr:cNvPr id="509" name="TextBox 5">
          <a:extLst>
            <a:ext uri="{FF2B5EF4-FFF2-40B4-BE49-F238E27FC236}">
              <a16:creationId xmlns:a16="http://schemas.microsoft.com/office/drawing/2014/main" id="{00000000-0008-0000-0400-0000FD010000}"/>
            </a:ext>
          </a:extLst>
        </xdr:cNvPr>
        <xdr:cNvSpPr txBox="1"/>
      </xdr:nvSpPr>
      <xdr:spPr>
        <a:xfrm>
          <a:off x="3628315" y="15047113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100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420463</xdr:colOff>
      <xdr:row>0</xdr:row>
      <xdr:rowOff>0</xdr:rowOff>
    </xdr:from>
    <xdr:ext cx="327654" cy="264560"/>
    <xdr:sp macro="" textlink="">
      <xdr:nvSpPr>
        <xdr:cNvPr id="512" name="TextBox 511">
          <a:extLst>
            <a:ext uri="{FF2B5EF4-FFF2-40B4-BE49-F238E27FC236}">
              <a16:creationId xmlns:a16="http://schemas.microsoft.com/office/drawing/2014/main" id="{00000000-0008-0000-0400-000000020000}"/>
            </a:ext>
          </a:extLst>
        </xdr:cNvPr>
        <xdr:cNvSpPr txBox="1"/>
      </xdr:nvSpPr>
      <xdr:spPr>
        <a:xfrm>
          <a:off x="3003643" y="14006983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50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178360</xdr:colOff>
      <xdr:row>0</xdr:row>
      <xdr:rowOff>0</xdr:rowOff>
    </xdr:from>
    <xdr:ext cx="327654" cy="264560"/>
    <xdr:sp macro="" textlink="">
      <xdr:nvSpPr>
        <xdr:cNvPr id="513" name="TextBox 512">
          <a:extLst>
            <a:ext uri="{FF2B5EF4-FFF2-40B4-BE49-F238E27FC236}">
              <a16:creationId xmlns:a16="http://schemas.microsoft.com/office/drawing/2014/main" id="{00000000-0008-0000-0400-000001020000}"/>
            </a:ext>
          </a:extLst>
        </xdr:cNvPr>
        <xdr:cNvSpPr txBox="1"/>
      </xdr:nvSpPr>
      <xdr:spPr>
        <a:xfrm>
          <a:off x="3675940" y="14334643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75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682357</xdr:colOff>
      <xdr:row>0</xdr:row>
      <xdr:rowOff>0</xdr:rowOff>
    </xdr:from>
    <xdr:ext cx="256160" cy="264560"/>
    <xdr:sp macro="" textlink="">
      <xdr:nvSpPr>
        <xdr:cNvPr id="623" name="TextBox 4">
          <a:extLst>
            <a:ext uri="{FF2B5EF4-FFF2-40B4-BE49-F238E27FC236}">
              <a16:creationId xmlns:a16="http://schemas.microsoft.com/office/drawing/2014/main" id="{00000000-0008-0000-0400-00006F020000}"/>
            </a:ext>
          </a:extLst>
        </xdr:cNvPr>
        <xdr:cNvSpPr txBox="1"/>
      </xdr:nvSpPr>
      <xdr:spPr>
        <a:xfrm>
          <a:off x="14146897" y="15060720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22</xdr:col>
      <xdr:colOff>370715</xdr:colOff>
      <xdr:row>0</xdr:row>
      <xdr:rowOff>0</xdr:rowOff>
    </xdr:from>
    <xdr:ext cx="399148" cy="264560"/>
    <xdr:sp macro="" textlink="">
      <xdr:nvSpPr>
        <xdr:cNvPr id="624" name="TextBox 5">
          <a:extLst>
            <a:ext uri="{FF2B5EF4-FFF2-40B4-BE49-F238E27FC236}">
              <a16:creationId xmlns:a16="http://schemas.microsoft.com/office/drawing/2014/main" id="{00000000-0008-0000-0400-000070020000}"/>
            </a:ext>
          </a:extLst>
        </xdr:cNvPr>
        <xdr:cNvSpPr txBox="1"/>
      </xdr:nvSpPr>
      <xdr:spPr>
        <a:xfrm>
          <a:off x="15328775" y="15060720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100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682357</xdr:colOff>
      <xdr:row>0</xdr:row>
      <xdr:rowOff>0</xdr:rowOff>
    </xdr:from>
    <xdr:ext cx="327654" cy="264560"/>
    <xdr:sp macro="" textlink="">
      <xdr:nvSpPr>
        <xdr:cNvPr id="626" name="TextBox 625">
          <a:extLst>
            <a:ext uri="{FF2B5EF4-FFF2-40B4-BE49-F238E27FC236}">
              <a16:creationId xmlns:a16="http://schemas.microsoft.com/office/drawing/2014/main" id="{00000000-0008-0000-0400-000072020000}"/>
            </a:ext>
          </a:extLst>
        </xdr:cNvPr>
        <xdr:cNvSpPr txBox="1"/>
      </xdr:nvSpPr>
      <xdr:spPr>
        <a:xfrm>
          <a:off x="14146897" y="14395875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25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21</xdr:col>
      <xdr:colOff>429123</xdr:colOff>
      <xdr:row>0</xdr:row>
      <xdr:rowOff>0</xdr:rowOff>
    </xdr:from>
    <xdr:ext cx="327654" cy="264560"/>
    <xdr:sp macro="" textlink="">
      <xdr:nvSpPr>
        <xdr:cNvPr id="627" name="TextBox 626">
          <a:extLst>
            <a:ext uri="{FF2B5EF4-FFF2-40B4-BE49-F238E27FC236}">
              <a16:creationId xmlns:a16="http://schemas.microsoft.com/office/drawing/2014/main" id="{00000000-0008-0000-0400-000073020000}"/>
            </a:ext>
          </a:extLst>
        </xdr:cNvPr>
        <xdr:cNvSpPr txBox="1"/>
      </xdr:nvSpPr>
      <xdr:spPr>
        <a:xfrm>
          <a:off x="14762343" y="1402059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50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22</xdr:col>
      <xdr:colOff>418340</xdr:colOff>
      <xdr:row>0</xdr:row>
      <xdr:rowOff>0</xdr:rowOff>
    </xdr:from>
    <xdr:ext cx="327654" cy="264560"/>
    <xdr:sp macro="" textlink="">
      <xdr:nvSpPr>
        <xdr:cNvPr id="628" name="TextBox 627">
          <a:extLst>
            <a:ext uri="{FF2B5EF4-FFF2-40B4-BE49-F238E27FC236}">
              <a16:creationId xmlns:a16="http://schemas.microsoft.com/office/drawing/2014/main" id="{00000000-0008-0000-0400-000074020000}"/>
            </a:ext>
          </a:extLst>
        </xdr:cNvPr>
        <xdr:cNvSpPr txBox="1"/>
      </xdr:nvSpPr>
      <xdr:spPr>
        <a:xfrm>
          <a:off x="15376400" y="14348250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75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20</xdr:col>
      <xdr:colOff>237081</xdr:colOff>
      <xdr:row>0</xdr:row>
      <xdr:rowOff>0</xdr:rowOff>
    </xdr:from>
    <xdr:ext cx="2438400" cy="790574"/>
    <xdr:sp macro="" textlink="">
      <xdr:nvSpPr>
        <xdr:cNvPr id="630" name="TextBox 629">
          <a:extLst>
            <a:ext uri="{FF2B5EF4-FFF2-40B4-BE49-F238E27FC236}">
              <a16:creationId xmlns:a16="http://schemas.microsoft.com/office/drawing/2014/main" id="{00000000-0008-0000-0400-000076020000}"/>
            </a:ext>
          </a:extLst>
        </xdr:cNvPr>
        <xdr:cNvSpPr txBox="1"/>
      </xdr:nvSpPr>
      <xdr:spPr>
        <a:xfrm>
          <a:off x="13701621" y="14429214"/>
          <a:ext cx="2438400" cy="790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5A9026A1-FAF8-4926-80D1-35009DB2F15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</a:t>
          </a:fld>
          <a:endParaRPr lang="en-GB" sz="2800" b="1">
            <a:solidFill>
              <a:srgbClr val="FFFF00"/>
            </a:solidFill>
          </a:endParaRPr>
        </a:p>
      </xdr:txBody>
    </xdr:sp>
    <xdr:clientData/>
  </xdr:oneCellAnchor>
  <xdr:twoCellAnchor>
    <xdr:from>
      <xdr:col>12</xdr:col>
      <xdr:colOff>103909</xdr:colOff>
      <xdr:row>3</xdr:row>
      <xdr:rowOff>69273</xdr:rowOff>
    </xdr:from>
    <xdr:to>
      <xdr:col>25</xdr:col>
      <xdr:colOff>34636</xdr:colOff>
      <xdr:row>31</xdr:row>
      <xdr:rowOff>51955</xdr:rowOff>
    </xdr:to>
    <xdr:graphicFrame macro="">
      <xdr:nvGraphicFramePr>
        <xdr:cNvPr id="632" name="Chart 631">
          <a:extLst>
            <a:ext uri="{FF2B5EF4-FFF2-40B4-BE49-F238E27FC236}">
              <a16:creationId xmlns:a16="http://schemas.microsoft.com/office/drawing/2014/main" id="{00000000-0008-0000-0400-00007802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36</xdr:col>
      <xdr:colOff>432687</xdr:colOff>
      <xdr:row>0</xdr:row>
      <xdr:rowOff>0</xdr:rowOff>
    </xdr:from>
    <xdr:ext cx="256160" cy="264560"/>
    <xdr:sp macro="" textlink="">
      <xdr:nvSpPr>
        <xdr:cNvPr id="681" name="TextBox 4">
          <a:extLst>
            <a:ext uri="{FF2B5EF4-FFF2-40B4-BE49-F238E27FC236}">
              <a16:creationId xmlns:a16="http://schemas.microsoft.com/office/drawing/2014/main" id="{00000000-0008-0000-0400-0000A9020000}"/>
            </a:ext>
          </a:extLst>
        </xdr:cNvPr>
        <xdr:cNvSpPr txBox="1"/>
      </xdr:nvSpPr>
      <xdr:spPr>
        <a:xfrm>
          <a:off x="24138507" y="8894754"/>
          <a:ext cx="25616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38</xdr:col>
      <xdr:colOff>363499</xdr:colOff>
      <xdr:row>0</xdr:row>
      <xdr:rowOff>0</xdr:rowOff>
    </xdr:from>
    <xdr:ext cx="399148" cy="264560"/>
    <xdr:sp macro="" textlink="">
      <xdr:nvSpPr>
        <xdr:cNvPr id="682" name="TextBox 5">
          <a:extLst>
            <a:ext uri="{FF2B5EF4-FFF2-40B4-BE49-F238E27FC236}">
              <a16:creationId xmlns:a16="http://schemas.microsoft.com/office/drawing/2014/main" id="{00000000-0008-0000-0400-0000AA020000}"/>
            </a:ext>
          </a:extLst>
        </xdr:cNvPr>
        <xdr:cNvSpPr txBox="1"/>
      </xdr:nvSpPr>
      <xdr:spPr>
        <a:xfrm>
          <a:off x="25318999" y="8894754"/>
          <a:ext cx="399148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100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36</xdr:col>
      <xdr:colOff>432687</xdr:colOff>
      <xdr:row>0</xdr:row>
      <xdr:rowOff>0</xdr:rowOff>
    </xdr:from>
    <xdr:ext cx="327654" cy="264560"/>
    <xdr:sp macro="" textlink="">
      <xdr:nvSpPr>
        <xdr:cNvPr id="684" name="TextBox 683">
          <a:extLst>
            <a:ext uri="{FF2B5EF4-FFF2-40B4-BE49-F238E27FC236}">
              <a16:creationId xmlns:a16="http://schemas.microsoft.com/office/drawing/2014/main" id="{00000000-0008-0000-0400-0000AC020000}"/>
            </a:ext>
          </a:extLst>
        </xdr:cNvPr>
        <xdr:cNvSpPr txBox="1"/>
      </xdr:nvSpPr>
      <xdr:spPr>
        <a:xfrm>
          <a:off x="24138507" y="8229909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25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37</xdr:col>
      <xdr:colOff>421907</xdr:colOff>
      <xdr:row>0</xdr:row>
      <xdr:rowOff>0</xdr:rowOff>
    </xdr:from>
    <xdr:ext cx="327654" cy="264560"/>
    <xdr:sp macro="" textlink="">
      <xdr:nvSpPr>
        <xdr:cNvPr id="685" name="TextBox 684">
          <a:extLst>
            <a:ext uri="{FF2B5EF4-FFF2-40B4-BE49-F238E27FC236}">
              <a16:creationId xmlns:a16="http://schemas.microsoft.com/office/drawing/2014/main" id="{00000000-0008-0000-0400-0000AD020000}"/>
            </a:ext>
          </a:extLst>
        </xdr:cNvPr>
        <xdr:cNvSpPr txBox="1"/>
      </xdr:nvSpPr>
      <xdr:spPr>
        <a:xfrm>
          <a:off x="24752567" y="7854624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50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38</xdr:col>
      <xdr:colOff>411124</xdr:colOff>
      <xdr:row>0</xdr:row>
      <xdr:rowOff>0</xdr:rowOff>
    </xdr:from>
    <xdr:ext cx="327654" cy="264560"/>
    <xdr:sp macro="" textlink="">
      <xdr:nvSpPr>
        <xdr:cNvPr id="686" name="TextBox 685">
          <a:extLst>
            <a:ext uri="{FF2B5EF4-FFF2-40B4-BE49-F238E27FC236}">
              <a16:creationId xmlns:a16="http://schemas.microsoft.com/office/drawing/2014/main" id="{00000000-0008-0000-0400-0000AE020000}"/>
            </a:ext>
          </a:extLst>
        </xdr:cNvPr>
        <xdr:cNvSpPr txBox="1"/>
      </xdr:nvSpPr>
      <xdr:spPr>
        <a:xfrm>
          <a:off x="25366624" y="8182284"/>
          <a:ext cx="32765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solidFill>
                <a:schemeClr val="bg1"/>
              </a:solidFill>
            </a:rPr>
            <a:t>75</a:t>
          </a:r>
          <a:endParaRPr lang="id-ID" sz="1100">
            <a:solidFill>
              <a:schemeClr val="bg1"/>
            </a:solidFill>
          </a:endParaRPr>
        </a:p>
      </xdr:txBody>
    </xdr:sp>
    <xdr:clientData/>
  </xdr:oneCellAnchor>
  <xdr:oneCellAnchor>
    <xdr:from>
      <xdr:col>35</xdr:col>
      <xdr:colOff>593547</xdr:colOff>
      <xdr:row>0</xdr:row>
      <xdr:rowOff>0</xdr:rowOff>
    </xdr:from>
    <xdr:ext cx="2438400" cy="790574"/>
    <xdr:sp macro="" textlink="">
      <xdr:nvSpPr>
        <xdr:cNvPr id="688" name="TextBox 687">
          <a:extLst>
            <a:ext uri="{FF2B5EF4-FFF2-40B4-BE49-F238E27FC236}">
              <a16:creationId xmlns:a16="http://schemas.microsoft.com/office/drawing/2014/main" id="{00000000-0008-0000-0400-0000B0020000}"/>
            </a:ext>
          </a:extLst>
        </xdr:cNvPr>
        <xdr:cNvSpPr txBox="1"/>
      </xdr:nvSpPr>
      <xdr:spPr>
        <a:xfrm>
          <a:off x="23674527" y="8263248"/>
          <a:ext cx="2438400" cy="7905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5A9026A1-FAF8-4926-80D1-35009DB2F15F}" type="TxLink">
            <a:rPr lang="en-US" sz="1100" b="0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</a:t>
          </a:fld>
          <a:endParaRPr lang="en-GB" sz="2800" b="1">
            <a:solidFill>
              <a:srgbClr val="FFFF00"/>
            </a:solidFill>
          </a:endParaRPr>
        </a:p>
      </xdr:txBody>
    </xdr:sp>
    <xdr:clientData/>
  </xdr:oneCellAnchor>
  <xdr:twoCellAnchor>
    <xdr:from>
      <xdr:col>25</xdr:col>
      <xdr:colOff>607373</xdr:colOff>
      <xdr:row>3</xdr:row>
      <xdr:rowOff>110094</xdr:rowOff>
    </xdr:from>
    <xdr:to>
      <xdr:col>38</xdr:col>
      <xdr:colOff>510885</xdr:colOff>
      <xdr:row>31</xdr:row>
      <xdr:rowOff>92776</xdr:rowOff>
    </xdr:to>
    <xdr:graphicFrame macro="">
      <xdr:nvGraphicFramePr>
        <xdr:cNvPr id="806" name="Chart 805">
          <a:extLst>
            <a:ext uri="{FF2B5EF4-FFF2-40B4-BE49-F238E27FC236}">
              <a16:creationId xmlns:a16="http://schemas.microsoft.com/office/drawing/2014/main" id="{00000000-0008-0000-0400-0000260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609601</xdr:colOff>
      <xdr:row>50</xdr:row>
      <xdr:rowOff>87086</xdr:rowOff>
    </xdr:from>
    <xdr:to>
      <xdr:col>22</xdr:col>
      <xdr:colOff>348343</xdr:colOff>
      <xdr:row>62</xdr:row>
      <xdr:rowOff>102425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7924</xdr:colOff>
      <xdr:row>0</xdr:row>
      <xdr:rowOff>7620</xdr:rowOff>
    </xdr:from>
    <xdr:to>
      <xdr:col>1</xdr:col>
      <xdr:colOff>15240</xdr:colOff>
      <xdr:row>3</xdr:row>
      <xdr:rowOff>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E218C4-FE2A-45B6-8E53-571AF4E9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" y="7620"/>
          <a:ext cx="395936" cy="57419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9</xdr:row>
      <xdr:rowOff>114300</xdr:rowOff>
    </xdr:from>
    <xdr:to>
      <xdr:col>5</xdr:col>
      <xdr:colOff>381000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8A46DA-C08D-461E-B213-7238F8AC4C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514350</xdr:colOff>
      <xdr:row>9</xdr:row>
      <xdr:rowOff>133350</xdr:rowOff>
    </xdr:from>
    <xdr:to>
      <xdr:col>12</xdr:col>
      <xdr:colOff>19050</xdr:colOff>
      <xdr:row>24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1BDC5A-09B7-49EC-BCA0-6F935D0754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114300</xdr:colOff>
      <xdr:row>9</xdr:row>
      <xdr:rowOff>123825</xdr:rowOff>
    </xdr:from>
    <xdr:to>
      <xdr:col>19</xdr:col>
      <xdr:colOff>190500</xdr:colOff>
      <xdr:row>24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21B62F-137F-4AE1-9A2D-39BA39584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24</xdr:row>
      <xdr:rowOff>104775</xdr:rowOff>
    </xdr:from>
    <xdr:to>
      <xdr:col>5</xdr:col>
      <xdr:colOff>361950</xdr:colOff>
      <xdr:row>38</xdr:row>
      <xdr:rowOff>180975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0418CD-9EF1-469F-A7C2-D2CB92E790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504825</xdr:colOff>
      <xdr:row>24</xdr:row>
      <xdr:rowOff>123825</xdr:rowOff>
    </xdr:from>
    <xdr:to>
      <xdr:col>12</xdr:col>
      <xdr:colOff>9525</xdr:colOff>
      <xdr:row>39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76EE77-1A5B-4CD4-8F60-E734C0FD7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104775</xdr:colOff>
      <xdr:row>24</xdr:row>
      <xdr:rowOff>114300</xdr:rowOff>
    </xdr:from>
    <xdr:to>
      <xdr:col>19</xdr:col>
      <xdr:colOff>180975</xdr:colOff>
      <xdr:row>39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2A154A-23AF-49AA-8A4C-2B55A75679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392105</xdr:colOff>
      <xdr:row>3</xdr:row>
      <xdr:rowOff>22860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798" cy="6172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7924</xdr:colOff>
      <xdr:row>0</xdr:row>
      <xdr:rowOff>7620</xdr:rowOff>
    </xdr:from>
    <xdr:to>
      <xdr:col>1</xdr:col>
      <xdr:colOff>15240</xdr:colOff>
      <xdr:row>2</xdr:row>
      <xdr:rowOff>170330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F5BED0-99B4-4535-952D-413DC8CF2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" y="7620"/>
          <a:ext cx="395936" cy="574190"/>
        </a:xfrm>
        <a:prstGeom prst="rect">
          <a:avLst/>
        </a:prstGeom>
      </xdr:spPr>
    </xdr:pic>
    <xdr:clientData/>
  </xdr:twoCellAnchor>
  <xdr:twoCellAnchor>
    <xdr:from>
      <xdr:col>1</xdr:col>
      <xdr:colOff>2832848</xdr:colOff>
      <xdr:row>45</xdr:row>
      <xdr:rowOff>179286</xdr:rowOff>
    </xdr:from>
    <xdr:to>
      <xdr:col>6</xdr:col>
      <xdr:colOff>403412</xdr:colOff>
      <xdr:row>56</xdr:row>
      <xdr:rowOff>98621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CDB846E-5440-46B9-B815-1C33647514E9}"/>
            </a:ext>
          </a:extLst>
        </xdr:cNvPr>
        <xdr:cNvSpPr txBox="1"/>
      </xdr:nvSpPr>
      <xdr:spPr>
        <a:xfrm>
          <a:off x="3221468" y="11258766"/>
          <a:ext cx="3361764" cy="19310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PT PLN (PERSERO) UP3 TOLITOLI</a:t>
          </a:r>
        </a:p>
        <a:p>
          <a:pPr algn="ctr"/>
          <a:r>
            <a:rPr lang="en-US" sz="1400" b="1"/>
            <a:t>MANAGER</a:t>
          </a:r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r>
            <a:rPr lang="en-US" sz="1400" b="1" baseline="0"/>
            <a:t>RUDIYANTO LOLEH</a:t>
          </a:r>
          <a:endParaRPr lang="en-US" sz="1400" b="1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3</xdr:row>
      <xdr:rowOff>19018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798" cy="6172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3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67D6E-8388-49F4-BA2A-94DFBA9C0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798" cy="6172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7924</xdr:colOff>
      <xdr:row>0</xdr:row>
      <xdr:rowOff>7620</xdr:rowOff>
    </xdr:from>
    <xdr:to>
      <xdr:col>1</xdr:col>
      <xdr:colOff>15240</xdr:colOff>
      <xdr:row>2</xdr:row>
      <xdr:rowOff>170330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" y="7620"/>
          <a:ext cx="392798" cy="575086"/>
        </a:xfrm>
        <a:prstGeom prst="rect">
          <a:avLst/>
        </a:prstGeom>
      </xdr:spPr>
    </xdr:pic>
    <xdr:clientData/>
  </xdr:twoCellAnchor>
  <xdr:twoCellAnchor>
    <xdr:from>
      <xdr:col>1</xdr:col>
      <xdr:colOff>3082230</xdr:colOff>
      <xdr:row>71</xdr:row>
      <xdr:rowOff>179286</xdr:rowOff>
    </xdr:from>
    <xdr:to>
      <xdr:col>6</xdr:col>
      <xdr:colOff>652794</xdr:colOff>
      <xdr:row>82</xdr:row>
      <xdr:rowOff>98621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3470157" y="18065504"/>
          <a:ext cx="3971364" cy="19005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PT PLN (PERSERO) UP3 TOLITOLI</a:t>
          </a:r>
        </a:p>
        <a:p>
          <a:pPr algn="ctr"/>
          <a:r>
            <a:rPr lang="en-US" sz="1400" b="1"/>
            <a:t>MANAGER UP3</a:t>
          </a:r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r>
            <a:rPr lang="en-US" sz="1400" b="1" baseline="0"/>
            <a:t>ICUK SULISTIANTO</a:t>
          </a:r>
          <a:endParaRPr lang="en-US" sz="14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7924</xdr:colOff>
      <xdr:row>0</xdr:row>
      <xdr:rowOff>7620</xdr:rowOff>
    </xdr:from>
    <xdr:to>
      <xdr:col>1</xdr:col>
      <xdr:colOff>15240</xdr:colOff>
      <xdr:row>2</xdr:row>
      <xdr:rowOff>170330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35691B-E7BA-4CB4-BA9B-FEE4FBD73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" y="7620"/>
          <a:ext cx="395936" cy="574190"/>
        </a:xfrm>
        <a:prstGeom prst="rect">
          <a:avLst/>
        </a:prstGeom>
      </xdr:spPr>
    </xdr:pic>
    <xdr:clientData/>
  </xdr:twoCellAnchor>
  <xdr:twoCellAnchor>
    <xdr:from>
      <xdr:col>1</xdr:col>
      <xdr:colOff>2832848</xdr:colOff>
      <xdr:row>52</xdr:row>
      <xdr:rowOff>179286</xdr:rowOff>
    </xdr:from>
    <xdr:to>
      <xdr:col>6</xdr:col>
      <xdr:colOff>403412</xdr:colOff>
      <xdr:row>63</xdr:row>
      <xdr:rowOff>98621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B72823B-E85F-466E-BB9F-57052473F372}"/>
            </a:ext>
          </a:extLst>
        </xdr:cNvPr>
        <xdr:cNvSpPr txBox="1"/>
      </xdr:nvSpPr>
      <xdr:spPr>
        <a:xfrm>
          <a:off x="3221468" y="13681926"/>
          <a:ext cx="3224604" cy="19310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PT PLN (PERSERO) UP3 TOLITOLI</a:t>
          </a:r>
        </a:p>
        <a:p>
          <a:pPr algn="ctr"/>
          <a:r>
            <a:rPr lang="en-US" sz="1400" b="1"/>
            <a:t>MANAGER UP3</a:t>
          </a:r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r>
            <a:rPr lang="en-US" sz="1400" b="1" baseline="0"/>
            <a:t>RUDIYANTO LOLEH</a:t>
          </a:r>
          <a:endParaRPr lang="en-US" sz="1400" b="1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90616</xdr:colOff>
      <xdr:row>1</xdr:row>
      <xdr:rowOff>75557</xdr:rowOff>
    </xdr:from>
    <xdr:to>
      <xdr:col>0</xdr:col>
      <xdr:colOff>402016</xdr:colOff>
      <xdr:row>3</xdr:row>
      <xdr:rowOff>82364</xdr:rowOff>
    </xdr:to>
    <xdr:sp macro="" textlink="">
      <xdr:nvSpPr>
        <xdr:cNvPr id="9" name="Right Arrow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 rot="16365972">
          <a:off x="47650" y="328073"/>
          <a:ext cx="397332" cy="311400"/>
        </a:xfrm>
        <a:prstGeom prst="rightArrow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id-ID" sz="1100"/>
        </a:p>
      </xdr:txBody>
    </xdr:sp>
    <xdr:clientData/>
  </xdr:twoCellAnchor>
  <xdr:twoCellAnchor editAs="oneCell">
    <xdr:from>
      <xdr:col>13</xdr:col>
      <xdr:colOff>26895</xdr:colOff>
      <xdr:row>1</xdr:row>
      <xdr:rowOff>179293</xdr:rowOff>
    </xdr:from>
    <xdr:to>
      <xdr:col>14</xdr:col>
      <xdr:colOff>2565</xdr:colOff>
      <xdr:row>4</xdr:row>
      <xdr:rowOff>90940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507" y="385481"/>
          <a:ext cx="356671" cy="488589"/>
        </a:xfrm>
        <a:prstGeom prst="rect">
          <a:avLst/>
        </a:prstGeom>
      </xdr:spPr>
    </xdr:pic>
    <xdr:clientData/>
  </xdr:twoCellAnchor>
  <xdr:twoCellAnchor editAs="oneCell">
    <xdr:from>
      <xdr:col>24</xdr:col>
      <xdr:colOff>26894</xdr:colOff>
      <xdr:row>2</xdr:row>
      <xdr:rowOff>8965</xdr:rowOff>
    </xdr:from>
    <xdr:to>
      <xdr:col>25</xdr:col>
      <xdr:colOff>2565</xdr:colOff>
      <xdr:row>4</xdr:row>
      <xdr:rowOff>105669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06518" y="394447"/>
          <a:ext cx="356671" cy="488589"/>
        </a:xfrm>
        <a:prstGeom prst="rect">
          <a:avLst/>
        </a:prstGeom>
      </xdr:spPr>
    </xdr:pic>
    <xdr:clientData/>
  </xdr:twoCellAnchor>
  <xdr:twoCellAnchor editAs="oneCell">
    <xdr:from>
      <xdr:col>35</xdr:col>
      <xdr:colOff>26894</xdr:colOff>
      <xdr:row>2</xdr:row>
      <xdr:rowOff>8964</xdr:rowOff>
    </xdr:from>
    <xdr:to>
      <xdr:col>36</xdr:col>
      <xdr:colOff>2565</xdr:colOff>
      <xdr:row>4</xdr:row>
      <xdr:rowOff>105668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88282" y="394446"/>
          <a:ext cx="356671" cy="488589"/>
        </a:xfrm>
        <a:prstGeom prst="rect">
          <a:avLst/>
        </a:prstGeom>
      </xdr:spPr>
    </xdr:pic>
    <xdr:clientData/>
  </xdr:twoCellAnchor>
  <xdr:twoCellAnchor editAs="oneCell">
    <xdr:from>
      <xdr:col>46</xdr:col>
      <xdr:colOff>26894</xdr:colOff>
      <xdr:row>2</xdr:row>
      <xdr:rowOff>8965</xdr:rowOff>
    </xdr:from>
    <xdr:to>
      <xdr:col>47</xdr:col>
      <xdr:colOff>2567</xdr:colOff>
      <xdr:row>4</xdr:row>
      <xdr:rowOff>105669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74847" y="394447"/>
          <a:ext cx="356671" cy="488589"/>
        </a:xfrm>
        <a:prstGeom prst="rect">
          <a:avLst/>
        </a:prstGeom>
      </xdr:spPr>
    </xdr:pic>
    <xdr:clientData/>
  </xdr:twoCellAnchor>
  <xdr:twoCellAnchor editAs="oneCell">
    <xdr:from>
      <xdr:col>2</xdr:col>
      <xdr:colOff>26895</xdr:colOff>
      <xdr:row>1</xdr:row>
      <xdr:rowOff>179293</xdr:rowOff>
    </xdr:from>
    <xdr:to>
      <xdr:col>3</xdr:col>
      <xdr:colOff>2566</xdr:colOff>
      <xdr:row>4</xdr:row>
      <xdr:rowOff>90940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6919" y="385481"/>
          <a:ext cx="356671" cy="488589"/>
        </a:xfrm>
        <a:prstGeom prst="rect">
          <a:avLst/>
        </a:prstGeom>
      </xdr:spPr>
    </xdr:pic>
    <xdr:clientData/>
  </xdr:twoCellAnchor>
  <xdr:twoCellAnchor>
    <xdr:from>
      <xdr:col>3</xdr:col>
      <xdr:colOff>2649976</xdr:colOff>
      <xdr:row>60</xdr:row>
      <xdr:rowOff>105674</xdr:rowOff>
    </xdr:from>
    <xdr:to>
      <xdr:col>9</xdr:col>
      <xdr:colOff>138546</xdr:colOff>
      <xdr:row>72</xdr:row>
      <xdr:rowOff>124692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/>
      </xdr:nvSpPr>
      <xdr:spPr>
        <a:xfrm>
          <a:off x="3896885" y="11618801"/>
          <a:ext cx="5607334" cy="218032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PT PLN (PERSERO) UP3 TOLITOLI</a:t>
          </a:r>
        </a:p>
        <a:p>
          <a:pPr algn="ctr"/>
          <a:r>
            <a:rPr lang="en-US" sz="1400" b="1"/>
            <a:t>MANAGER UP3</a:t>
          </a:r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ICUK SULISTIANTO</a:t>
          </a:r>
          <a:endParaRPr lang="en-ID" sz="1800">
            <a:effectLst/>
          </a:endParaRPr>
        </a:p>
      </xdr:txBody>
    </xdr:sp>
    <xdr:clientData/>
  </xdr:twoCellAnchor>
  <xdr:twoCellAnchor>
    <xdr:from>
      <xdr:col>14</xdr:col>
      <xdr:colOff>2396838</xdr:colOff>
      <xdr:row>60</xdr:row>
      <xdr:rowOff>63439</xdr:rowOff>
    </xdr:from>
    <xdr:to>
      <xdr:col>19</xdr:col>
      <xdr:colOff>455028</xdr:colOff>
      <xdr:row>70</xdr:row>
      <xdr:rowOff>138546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6AF48CD-088E-4379-B297-3D7773FBF461}"/>
            </a:ext>
          </a:extLst>
        </xdr:cNvPr>
        <xdr:cNvSpPr txBox="1"/>
      </xdr:nvSpPr>
      <xdr:spPr>
        <a:xfrm>
          <a:off x="15863456" y="11576566"/>
          <a:ext cx="4666808" cy="18761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PT PLN (PERSERO) UP3 TOLITOLI</a:t>
          </a:r>
        </a:p>
        <a:p>
          <a:pPr algn="ctr"/>
          <a:r>
            <a:rPr lang="en-US" sz="1400" b="1"/>
            <a:t>MANAGER UP3</a:t>
          </a:r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ICUK SULISTIANTO</a:t>
          </a:r>
          <a:endParaRPr lang="en-ID" sz="1800">
            <a:effectLst/>
          </a:endParaRPr>
        </a:p>
      </xdr:txBody>
    </xdr:sp>
    <xdr:clientData/>
  </xdr:twoCellAnchor>
  <xdr:twoCellAnchor>
    <xdr:from>
      <xdr:col>25</xdr:col>
      <xdr:colOff>2078182</xdr:colOff>
      <xdr:row>60</xdr:row>
      <xdr:rowOff>66842</xdr:rowOff>
    </xdr:from>
    <xdr:to>
      <xdr:col>30</xdr:col>
      <xdr:colOff>554926</xdr:colOff>
      <xdr:row>73</xdr:row>
      <xdr:rowOff>138546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24A62F7-D89C-4A82-89BD-E9938247B3C8}"/>
            </a:ext>
          </a:extLst>
        </xdr:cNvPr>
        <xdr:cNvSpPr txBox="1"/>
      </xdr:nvSpPr>
      <xdr:spPr>
        <a:xfrm>
          <a:off x="26282073" y="11579969"/>
          <a:ext cx="4794417" cy="24131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PT PLN (PERSERO) UP3 TOLITOLI</a:t>
          </a:r>
        </a:p>
        <a:p>
          <a:pPr algn="ctr"/>
          <a:r>
            <a:rPr lang="en-US" sz="1400" b="1"/>
            <a:t>MANAGER UP3</a:t>
          </a:r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ICUK SULISTIANTO</a:t>
          </a:r>
          <a:endParaRPr lang="en-ID" sz="1800">
            <a:effectLst/>
          </a:endParaRPr>
        </a:p>
      </xdr:txBody>
    </xdr:sp>
    <xdr:clientData/>
  </xdr:twoCellAnchor>
  <xdr:twoCellAnchor>
    <xdr:from>
      <xdr:col>36</xdr:col>
      <xdr:colOff>2382982</xdr:colOff>
      <xdr:row>60</xdr:row>
      <xdr:rowOff>106948</xdr:rowOff>
    </xdr:from>
    <xdr:to>
      <xdr:col>41</xdr:col>
      <xdr:colOff>486139</xdr:colOff>
      <xdr:row>70</xdr:row>
      <xdr:rowOff>166255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1BB4456-AFB4-4C5A-BDB8-13A8077EA508}"/>
            </a:ext>
          </a:extLst>
        </xdr:cNvPr>
        <xdr:cNvSpPr txBox="1"/>
      </xdr:nvSpPr>
      <xdr:spPr>
        <a:xfrm>
          <a:off x="37047055" y="11620075"/>
          <a:ext cx="4628648" cy="18603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PT PLN (PERSERO) UP3 TOLITOLI</a:t>
          </a:r>
        </a:p>
        <a:p>
          <a:pPr algn="ctr"/>
          <a:r>
            <a:rPr lang="en-US" sz="1400" b="1"/>
            <a:t>MANAGER UP3</a:t>
          </a:r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ICUK SULISTIANTO</a:t>
          </a:r>
          <a:endParaRPr lang="en-ID" sz="1800">
            <a:effectLst/>
          </a:endParaRPr>
        </a:p>
      </xdr:txBody>
    </xdr:sp>
    <xdr:clientData/>
  </xdr:twoCellAnchor>
  <xdr:twoCellAnchor>
    <xdr:from>
      <xdr:col>47</xdr:col>
      <xdr:colOff>2050472</xdr:colOff>
      <xdr:row>60</xdr:row>
      <xdr:rowOff>93579</xdr:rowOff>
    </xdr:from>
    <xdr:to>
      <xdr:col>53</xdr:col>
      <xdr:colOff>81439</xdr:colOff>
      <xdr:row>71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AE43062-7715-48E7-A2FE-36925EA90B24}"/>
            </a:ext>
          </a:extLst>
        </xdr:cNvPr>
        <xdr:cNvSpPr txBox="1"/>
      </xdr:nvSpPr>
      <xdr:spPr>
        <a:xfrm>
          <a:off x="47631927" y="11606706"/>
          <a:ext cx="4902821" cy="204002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/>
            <a:t>PT PLN (PERSERO) UP3 TOLITOLI</a:t>
          </a:r>
        </a:p>
        <a:p>
          <a:pPr algn="ctr"/>
          <a:r>
            <a:rPr lang="en-US" sz="1400" b="1"/>
            <a:t>MANAGER UP3</a:t>
          </a:r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endParaRPr lang="en-US" sz="1400" b="1" baseline="0"/>
        </a:p>
        <a:p>
          <a:pPr algn="ctr"/>
          <a:r>
            <a:rPr lang="en-US" sz="14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ICUK SULISTIANTO</a:t>
          </a:r>
          <a:endParaRPr lang="en-ID" sz="1800">
            <a:effectLst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10582</xdr:colOff>
      <xdr:row>3</xdr:row>
      <xdr:rowOff>19018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1582" cy="6133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4178</xdr:colOff>
      <xdr:row>3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1D7080-DF32-40F3-8051-B8408931D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798" cy="6172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10582</xdr:colOff>
      <xdr:row>3</xdr:row>
      <xdr:rowOff>19018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6064" cy="61068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10582</xdr:colOff>
      <xdr:row>3</xdr:row>
      <xdr:rowOff>19018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6D59B4-5F9A-4F82-A3EA-743853A80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1582" cy="61337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10582</xdr:colOff>
      <xdr:row>3</xdr:row>
      <xdr:rowOff>19018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780ED6-AEDA-429E-8140-4DA4C4DCD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1582" cy="61337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10582</xdr:colOff>
      <xdr:row>3</xdr:row>
      <xdr:rowOff>19018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DFF98B-6149-4735-978F-3A8845902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1582" cy="61337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10582</xdr:colOff>
      <xdr:row>3</xdr:row>
      <xdr:rowOff>19018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D9FBB7-22B6-4325-A769-E50FABC81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1582" cy="61337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4178</xdr:colOff>
      <xdr:row>3</xdr:row>
      <xdr:rowOff>22860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798" cy="61722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4178</xdr:colOff>
      <xdr:row>3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798" cy="61722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4178</xdr:colOff>
      <xdr:row>3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D9CF08-468D-491D-B5D3-63471EFE0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798" cy="61722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4178</xdr:colOff>
      <xdr:row>3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70EC17-7B60-431C-AF7A-012C953AE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798" cy="61722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4178</xdr:colOff>
      <xdr:row>3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5F3F83-0EEA-4165-820F-EDB0C7254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798" cy="61722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4178</xdr:colOff>
      <xdr:row>3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B69320-FD78-43A7-B401-367314E29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92798" cy="61722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19050</xdr:colOff>
      <xdr:row>11</xdr:row>
      <xdr:rowOff>43295</xdr:rowOff>
    </xdr:from>
    <xdr:to>
      <xdr:col>27</xdr:col>
      <xdr:colOff>268432</xdr:colOff>
      <xdr:row>28</xdr:row>
      <xdr:rowOff>101507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85CE2D3-B2E7-47EB-9E2E-000DEE4F82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15874</xdr:colOff>
      <xdr:row>1</xdr:row>
      <xdr:rowOff>90128</xdr:rowOff>
    </xdr:from>
    <xdr:to>
      <xdr:col>6</xdr:col>
      <xdr:colOff>227289</xdr:colOff>
      <xdr:row>56</xdr:row>
      <xdr:rowOff>23812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5F4E46E-1949-1149-E661-182B1F0EA138}"/>
            </a:ext>
          </a:extLst>
        </xdr:cNvPr>
        <xdr:cNvSpPr/>
      </xdr:nvSpPr>
      <xdr:spPr>
        <a:xfrm>
          <a:off x="3673474" y="283168"/>
          <a:ext cx="211415" cy="1000224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0</xdr:col>
      <xdr:colOff>272955</xdr:colOff>
      <xdr:row>0</xdr:row>
      <xdr:rowOff>113731</xdr:rowOff>
    </xdr:from>
    <xdr:to>
      <xdr:col>13</xdr:col>
      <xdr:colOff>216090</xdr:colOff>
      <xdr:row>55</xdr:row>
      <xdr:rowOff>68238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22603F-122E-4835-A7B2-0CECFC665B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312145</xdr:colOff>
      <xdr:row>14</xdr:row>
      <xdr:rowOff>55084</xdr:rowOff>
    </xdr:from>
    <xdr:to>
      <xdr:col>15</xdr:col>
      <xdr:colOff>330507</xdr:colOff>
      <xdr:row>17</xdr:row>
      <xdr:rowOff>119350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432518A1-A242-B8E8-B997-9CB7E6DA04FB}"/>
            </a:ext>
          </a:extLst>
        </xdr:cNvPr>
        <xdr:cNvSpPr/>
      </xdr:nvSpPr>
      <xdr:spPr>
        <a:xfrm>
          <a:off x="8795133" y="2653229"/>
          <a:ext cx="624290" cy="624290"/>
        </a:xfrm>
        <a:prstGeom prst="ellipse">
          <a:avLst/>
        </a:prstGeom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14</xdr:col>
      <xdr:colOff>317654</xdr:colOff>
      <xdr:row>18</xdr:row>
      <xdr:rowOff>46821</xdr:rowOff>
    </xdr:from>
    <xdr:to>
      <xdr:col>15</xdr:col>
      <xdr:colOff>336016</xdr:colOff>
      <xdr:row>21</xdr:row>
      <xdr:rowOff>120268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A9EEA6B5-ADEB-4638-9516-D3570D2CF747}"/>
            </a:ext>
          </a:extLst>
        </xdr:cNvPr>
        <xdr:cNvSpPr/>
      </xdr:nvSpPr>
      <xdr:spPr>
        <a:xfrm>
          <a:off x="8800642" y="3397785"/>
          <a:ext cx="624290" cy="624290"/>
        </a:xfrm>
        <a:prstGeom prst="ellipse">
          <a:avLst/>
        </a:prstGeom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14</xdr:col>
      <xdr:colOff>323163</xdr:colOff>
      <xdr:row>22</xdr:row>
      <xdr:rowOff>47740</xdr:rowOff>
    </xdr:from>
    <xdr:to>
      <xdr:col>15</xdr:col>
      <xdr:colOff>341525</xdr:colOff>
      <xdr:row>25</xdr:row>
      <xdr:rowOff>112005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4A2904BE-21CC-435D-AB81-3419AA56C13C}"/>
            </a:ext>
          </a:extLst>
        </xdr:cNvPr>
        <xdr:cNvSpPr/>
      </xdr:nvSpPr>
      <xdr:spPr>
        <a:xfrm>
          <a:off x="8806151" y="4142342"/>
          <a:ext cx="624290" cy="624290"/>
        </a:xfrm>
        <a:prstGeom prst="ellips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13</xdr:col>
      <xdr:colOff>606489</xdr:colOff>
      <xdr:row>29</xdr:row>
      <xdr:rowOff>110290</xdr:rowOff>
    </xdr:from>
    <xdr:to>
      <xdr:col>26</xdr:col>
      <xdr:colOff>10026</xdr:colOff>
      <xdr:row>55</xdr:row>
      <xdr:rowOff>15552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10BA46B-9BB8-4015-9FD5-4301899858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562841</xdr:colOff>
      <xdr:row>32</xdr:row>
      <xdr:rowOff>68321</xdr:rowOff>
    </xdr:from>
    <xdr:to>
      <xdr:col>34</xdr:col>
      <xdr:colOff>303070</xdr:colOff>
      <xdr:row>56</xdr:row>
      <xdr:rowOff>138545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17FDDA-C581-439E-AE28-FCE9834BE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19197</xdr:colOff>
      <xdr:row>14</xdr:row>
      <xdr:rowOff>35442</xdr:rowOff>
    </xdr:from>
    <xdr:to>
      <xdr:col>26</xdr:col>
      <xdr:colOff>267597</xdr:colOff>
      <xdr:row>25</xdr:row>
      <xdr:rowOff>106327</xdr:rowOff>
    </xdr:to>
    <xdr:sp macro="" textlink="STRG!$BR$47">
      <xdr:nvSpPr>
        <xdr:cNvPr id="16" name="Oval 15">
          <a:extLst>
            <a:ext uri="{FF2B5EF4-FFF2-40B4-BE49-F238E27FC236}">
              <a16:creationId xmlns:a16="http://schemas.microsoft.com/office/drawing/2014/main" id="{0A962DBD-8EBE-F73C-255A-37E4D317AB1F}"/>
            </a:ext>
          </a:extLst>
        </xdr:cNvPr>
        <xdr:cNvSpPr/>
      </xdr:nvSpPr>
      <xdr:spPr>
        <a:xfrm>
          <a:off x="14039997" y="2562742"/>
          <a:ext cx="2077200" cy="2077485"/>
        </a:xfrm>
        <a:prstGeom prst="ellipse">
          <a:avLst/>
        </a:prstGeom>
        <a:solidFill>
          <a:srgbClr val="92D050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7B233AA-7089-418B-A9FC-FC6AE49E978D}" type="TxLink">
            <a:rPr lang="en-US" sz="3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102,5</a:t>
          </a:fld>
          <a:endParaRPr lang="en-ID" sz="36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B1:M17"/>
  <sheetViews>
    <sheetView workbookViewId="0"/>
  </sheetViews>
  <sheetFormatPr defaultColWidth="9.140625" defaultRowHeight="15"/>
  <cols>
    <col min="1" max="1" width="4.28515625" style="18" customWidth="1"/>
    <col min="2" max="2" width="7.42578125" style="18" customWidth="1"/>
    <col min="3" max="3" width="30.7109375" style="18" customWidth="1"/>
    <col min="4" max="4" width="7.5703125" style="112" customWidth="1"/>
    <col min="5" max="5" width="22.85546875" style="18" customWidth="1"/>
    <col min="6" max="6" width="5.140625" style="187" customWidth="1"/>
    <col min="7" max="7" width="10.42578125" style="188" customWidth="1"/>
    <col min="8" max="8" width="15.42578125" style="187" bestFit="1" customWidth="1"/>
    <col min="9" max="9" width="9.140625" style="187"/>
    <col min="10" max="10" width="9.140625" style="174"/>
    <col min="11" max="16384" width="9.140625" style="18"/>
  </cols>
  <sheetData>
    <row r="1" spans="2:13" ht="11.45" customHeight="1"/>
    <row r="2" spans="2:13" s="17" customFormat="1" ht="21">
      <c r="B2" s="655" t="e">
        <f>"NILAI KINERJA UP3 TOLITOLI S.D "&amp;[0]!A&amp;" 2023"</f>
        <v>#REF!</v>
      </c>
      <c r="C2" s="655"/>
      <c r="D2" s="655"/>
      <c r="E2" s="655"/>
      <c r="F2" s="189"/>
      <c r="G2" s="190"/>
      <c r="H2" s="189"/>
      <c r="I2" s="189"/>
      <c r="J2" s="173"/>
      <c r="K2" s="173"/>
      <c r="L2" s="173"/>
    </row>
    <row r="3" spans="2:13" ht="7.9" customHeight="1">
      <c r="G3" s="197"/>
      <c r="H3" s="174"/>
      <c r="I3" s="174"/>
      <c r="K3" s="174"/>
      <c r="L3" s="174"/>
      <c r="M3" s="174"/>
    </row>
    <row r="4" spans="2:13" s="19" customFormat="1" ht="22.5" customHeight="1">
      <c r="B4" s="628" t="s">
        <v>0</v>
      </c>
      <c r="C4" s="628" t="s">
        <v>1</v>
      </c>
      <c r="D4" s="657" t="e">
        <f>"NKO S.D "&amp;[0]!A</f>
        <v>#REF!</v>
      </c>
      <c r="E4" s="657"/>
      <c r="F4" s="191"/>
      <c r="G4" s="379"/>
      <c r="H4" s="380"/>
      <c r="I4" s="380"/>
      <c r="J4" s="380"/>
      <c r="K4" s="175"/>
      <c r="L4" s="175"/>
      <c r="M4" s="175"/>
    </row>
    <row r="5" spans="2:13" s="19" customFormat="1" ht="24" customHeight="1">
      <c r="B5" s="629">
        <v>1</v>
      </c>
      <c r="C5" s="491" t="str">
        <f>VLOOKUP(B5,$G$5:$I$9,2,FALSE)</f>
        <v>ULP BANGKIR</v>
      </c>
      <c r="D5" s="658">
        <f>VLOOKUP(B5,$G$5:$I$9,3,FALSE)</f>
        <v>105.32999999999998</v>
      </c>
      <c r="E5" s="659"/>
      <c r="F5" s="191"/>
      <c r="G5" s="379">
        <f>RANK(I5,$I$5:$I$9)</f>
        <v>5</v>
      </c>
      <c r="H5" s="380" t="s">
        <v>2</v>
      </c>
      <c r="I5" s="381">
        <f>ULP!L58</f>
        <v>99.36</v>
      </c>
      <c r="J5" s="380"/>
      <c r="K5" s="175"/>
      <c r="L5" s="175"/>
      <c r="M5" s="175"/>
    </row>
    <row r="6" spans="2:13" s="19" customFormat="1" ht="24" customHeight="1">
      <c r="B6" s="629">
        <v>2</v>
      </c>
      <c r="C6" s="491" t="str">
        <f>VLOOKUP(B6,$G$5:$I$9,2,FALSE)</f>
        <v>ULP KOTARAYA</v>
      </c>
      <c r="D6" s="658">
        <f>VLOOKUP(B6,$G$5:$I$9,3,FALSE)</f>
        <v>103.59</v>
      </c>
      <c r="E6" s="659"/>
      <c r="F6" s="191"/>
      <c r="G6" s="379">
        <f>RANK(I6,$I$5:$I$9)</f>
        <v>4</v>
      </c>
      <c r="H6" s="381" t="s">
        <v>3</v>
      </c>
      <c r="I6" s="381">
        <f>ULP!W58</f>
        <v>99.740000000000009</v>
      </c>
      <c r="J6" s="380"/>
      <c r="K6" s="175"/>
      <c r="L6" s="175"/>
      <c r="M6" s="175"/>
    </row>
    <row r="7" spans="2:13" s="19" customFormat="1" ht="24" customHeight="1">
      <c r="B7" s="629">
        <v>3</v>
      </c>
      <c r="C7" s="491" t="str">
        <f>VLOOKUP(B7,$G$5:$I$9,2,FALSE)</f>
        <v>ULP MOUTONG</v>
      </c>
      <c r="D7" s="658">
        <f>VLOOKUP(B7,$G$5:$I$9,3,FALSE)</f>
        <v>100.84</v>
      </c>
      <c r="E7" s="659"/>
      <c r="F7" s="191"/>
      <c r="G7" s="379">
        <f>RANK(I7,$I$5:$I$9)</f>
        <v>1</v>
      </c>
      <c r="H7" s="381" t="s">
        <v>4</v>
      </c>
      <c r="I7" s="381">
        <f>ULP!AH58</f>
        <v>105.32999999999998</v>
      </c>
      <c r="J7" s="380"/>
      <c r="K7" s="175"/>
      <c r="L7" s="175"/>
      <c r="M7" s="175"/>
    </row>
    <row r="8" spans="2:13" s="19" customFormat="1" ht="24" customHeight="1">
      <c r="B8" s="629">
        <v>4</v>
      </c>
      <c r="C8" s="491" t="str">
        <f>VLOOKUP(B8,$G$5:$I$9,2,FALSE)</f>
        <v>ULP LEOK</v>
      </c>
      <c r="D8" s="658">
        <f>VLOOKUP(B8,$G$5:$I$9,3,FALSE)</f>
        <v>99.740000000000009</v>
      </c>
      <c r="E8" s="659"/>
      <c r="F8" s="191"/>
      <c r="G8" s="379">
        <f>RANK(I8,$I$5:$I$9)</f>
        <v>3</v>
      </c>
      <c r="H8" s="381" t="s">
        <v>5</v>
      </c>
      <c r="I8" s="381">
        <f>ULP!AS58</f>
        <v>100.84</v>
      </c>
      <c r="J8" s="380"/>
      <c r="K8" s="175"/>
      <c r="L8" s="175"/>
      <c r="M8" s="175"/>
    </row>
    <row r="9" spans="2:13" s="19" customFormat="1" ht="24" customHeight="1">
      <c r="B9" s="629">
        <v>5</v>
      </c>
      <c r="C9" s="491" t="str">
        <f>VLOOKUP(B9,$G$5:$I$9,2,FALSE)</f>
        <v>ULP TOLITOLI</v>
      </c>
      <c r="D9" s="658">
        <f>VLOOKUP(B9,$G$5:$I$9,3,FALSE)</f>
        <v>99.36</v>
      </c>
      <c r="E9" s="659"/>
      <c r="F9" s="191"/>
      <c r="G9" s="379">
        <f>RANK(I9,$I$5:$I$9)</f>
        <v>2</v>
      </c>
      <c r="H9" s="381" t="s">
        <v>6</v>
      </c>
      <c r="I9" s="381">
        <f>ULP!BD58</f>
        <v>103.59</v>
      </c>
      <c r="J9" s="380"/>
      <c r="K9" s="175"/>
      <c r="L9" s="175"/>
      <c r="M9" s="175"/>
    </row>
    <row r="10" spans="2:13" ht="24" customHeight="1">
      <c r="B10" s="628"/>
      <c r="C10" s="492" t="s">
        <v>7</v>
      </c>
      <c r="D10" s="656">
        <f>'UP3'!J70</f>
        <v>102.5</v>
      </c>
      <c r="E10" s="656"/>
      <c r="G10" s="382"/>
      <c r="H10" s="381"/>
      <c r="I10" s="383"/>
      <c r="J10" s="383"/>
      <c r="K10" s="174"/>
      <c r="L10" s="174"/>
      <c r="M10" s="174"/>
    </row>
    <row r="11" spans="2:13" ht="17.45" customHeight="1">
      <c r="F11" s="192"/>
      <c r="G11" s="198"/>
      <c r="H11" s="196"/>
      <c r="I11" s="174"/>
      <c r="K11" s="174"/>
      <c r="L11" s="174"/>
      <c r="M11" s="174"/>
    </row>
    <row r="12" spans="2:13">
      <c r="D12" s="267"/>
      <c r="G12" s="197"/>
      <c r="H12" s="196"/>
      <c r="I12" s="174"/>
      <c r="K12" s="174"/>
      <c r="L12" s="174"/>
      <c r="M12" s="174"/>
    </row>
    <row r="13" spans="2:13">
      <c r="D13" s="267"/>
      <c r="G13" s="197"/>
      <c r="H13" s="174"/>
      <c r="I13" s="174"/>
      <c r="K13" s="174"/>
      <c r="L13" s="174"/>
      <c r="M13" s="174"/>
    </row>
    <row r="14" spans="2:13">
      <c r="D14" s="267"/>
    </row>
    <row r="15" spans="2:13">
      <c r="D15" s="267"/>
    </row>
    <row r="16" spans="2:13">
      <c r="D16" s="267"/>
    </row>
    <row r="17" spans="4:5">
      <c r="D17" s="267"/>
      <c r="E17" s="20"/>
    </row>
  </sheetData>
  <mergeCells count="8">
    <mergeCell ref="B2:E2"/>
    <mergeCell ref="D10:E10"/>
    <mergeCell ref="D4:E4"/>
    <mergeCell ref="D5:E5"/>
    <mergeCell ref="D6:E6"/>
    <mergeCell ref="D7:E7"/>
    <mergeCell ref="D8:E8"/>
    <mergeCell ref="D9:E9"/>
  </mergeCells>
  <conditionalFormatting sqref="D10 D5:E9">
    <cfRule type="iconSet" priority="5">
      <iconSet iconSet="3Flags">
        <cfvo type="percent" val="0"/>
        <cfvo type="num" val="80"/>
        <cfvo type="num" val="90"/>
      </iconSet>
    </cfRule>
  </conditionalFormatting>
  <pageMargins left="0.70866141732283505" right="0.70866141732283505" top="0.74803149606299202" bottom="0.74803149606299202" header="0.31496062992126" footer="0.31496062992126"/>
  <pageSetup paperSize="9" scale="10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36"/>
  <sheetViews>
    <sheetView workbookViewId="0"/>
  </sheetViews>
  <sheetFormatPr defaultRowHeight="15"/>
  <cols>
    <col min="2" max="2" width="5" style="125" customWidth="1"/>
    <col min="3" max="3" width="60.28515625" style="124" customWidth="1"/>
    <col min="4" max="4" width="13.85546875" style="105" customWidth="1"/>
    <col min="5" max="8" width="14.28515625" style="105" customWidth="1"/>
  </cols>
  <sheetData>
    <row r="3" spans="2:8" s="126" customFormat="1" ht="43.5" customHeight="1">
      <c r="B3" s="493" t="s">
        <v>8</v>
      </c>
      <c r="C3" s="493" t="s">
        <v>9</v>
      </c>
      <c r="D3" s="493" t="s">
        <v>10</v>
      </c>
      <c r="E3" s="493" t="s">
        <v>11</v>
      </c>
      <c r="F3" s="493" t="s">
        <v>12</v>
      </c>
      <c r="G3" s="493" t="s">
        <v>13</v>
      </c>
      <c r="H3" s="493" t="s">
        <v>14</v>
      </c>
    </row>
    <row r="4" spans="2:8" ht="18.75">
      <c r="B4" s="494"/>
      <c r="C4" s="193" t="s">
        <v>15</v>
      </c>
      <c r="D4" s="495"/>
      <c r="E4" s="495"/>
      <c r="F4" s="495"/>
      <c r="G4" s="495"/>
      <c r="H4" s="495"/>
    </row>
    <row r="5" spans="2:8" ht="18.75">
      <c r="B5" s="496">
        <v>1</v>
      </c>
      <c r="C5" s="497" t="s">
        <v>16</v>
      </c>
      <c r="D5" s="498"/>
      <c r="E5" s="499"/>
      <c r="F5" s="499"/>
      <c r="G5" s="499"/>
      <c r="H5" s="499"/>
    </row>
    <row r="6" spans="2:8" ht="18.75">
      <c r="B6" s="496"/>
      <c r="C6" s="497" t="s">
        <v>17</v>
      </c>
      <c r="D6" s="498">
        <f>ULP!K11</f>
        <v>110</v>
      </c>
      <c r="E6" s="498">
        <f>ULP!V11</f>
        <v>110</v>
      </c>
      <c r="F6" s="498">
        <f>ULP!AG11</f>
        <v>110</v>
      </c>
      <c r="G6" s="498">
        <f>ULP!AR11</f>
        <v>110</v>
      </c>
      <c r="H6" s="498">
        <f>ULP!BC11</f>
        <v>110</v>
      </c>
    </row>
    <row r="7" spans="2:8" ht="18.75">
      <c r="B7" s="496"/>
      <c r="C7" s="497" t="s">
        <v>18</v>
      </c>
      <c r="D7" s="498">
        <f>ULP!K12</f>
        <v>110</v>
      </c>
      <c r="E7" s="498">
        <f>ULP!V12</f>
        <v>110</v>
      </c>
      <c r="F7" s="498">
        <f>ULP!AG12</f>
        <v>110</v>
      </c>
      <c r="G7" s="498">
        <f>ULP!AR12</f>
        <v>110</v>
      </c>
      <c r="H7" s="498">
        <f>ULP!BC12</f>
        <v>110</v>
      </c>
    </row>
    <row r="8" spans="2:8" ht="18.75">
      <c r="B8" s="496">
        <v>2</v>
      </c>
      <c r="C8" s="497" t="s">
        <v>19</v>
      </c>
      <c r="D8" s="498" t="e">
        <f>ULP!#REF!</f>
        <v>#REF!</v>
      </c>
      <c r="E8" s="498" t="e">
        <f>ULP!#REF!</f>
        <v>#REF!</v>
      </c>
      <c r="F8" s="498" t="e">
        <f>ULP!#REF!</f>
        <v>#REF!</v>
      </c>
      <c r="G8" s="498" t="e">
        <f>ULP!#REF!</f>
        <v>#REF!</v>
      </c>
      <c r="H8" s="498" t="e">
        <f>ULP!#REF!</f>
        <v>#REF!</v>
      </c>
    </row>
    <row r="9" spans="2:8" ht="18.75">
      <c r="B9" s="496">
        <v>3</v>
      </c>
      <c r="C9" s="497" t="s">
        <v>20</v>
      </c>
      <c r="D9" s="498" t="e">
        <f>ULP!#REF!</f>
        <v>#REF!</v>
      </c>
      <c r="E9" s="498" t="e">
        <f>ULP!#REF!</f>
        <v>#REF!</v>
      </c>
      <c r="F9" s="498" t="e">
        <f>ULP!#REF!</f>
        <v>#REF!</v>
      </c>
      <c r="G9" s="498" t="e">
        <f>ULP!#REF!</f>
        <v>#REF!</v>
      </c>
      <c r="H9" s="498" t="e">
        <f>ULP!#REF!</f>
        <v>#REF!</v>
      </c>
    </row>
    <row r="10" spans="2:8" ht="18.75">
      <c r="B10" s="494"/>
      <c r="C10" s="193" t="s">
        <v>21</v>
      </c>
      <c r="D10" s="500"/>
      <c r="E10" s="500"/>
      <c r="F10" s="500"/>
      <c r="G10" s="500"/>
      <c r="H10" s="500"/>
    </row>
    <row r="11" spans="2:8" ht="18.75">
      <c r="B11" s="496">
        <v>4</v>
      </c>
      <c r="C11" s="497" t="s">
        <v>22</v>
      </c>
      <c r="D11" s="499"/>
      <c r="E11" s="499"/>
      <c r="F11" s="499"/>
      <c r="G11" s="499"/>
      <c r="H11" s="499"/>
    </row>
    <row r="12" spans="2:8" ht="18.75">
      <c r="B12" s="496"/>
      <c r="C12" s="497" t="s">
        <v>23</v>
      </c>
      <c r="D12" s="498">
        <f>ULP!K21</f>
        <v>108</v>
      </c>
      <c r="E12" s="498">
        <f>ULP!V21</f>
        <v>110</v>
      </c>
      <c r="F12" s="498">
        <f>ULP!AG21</f>
        <v>110</v>
      </c>
      <c r="G12" s="498">
        <f>ULP!AR21</f>
        <v>110</v>
      </c>
      <c r="H12" s="498">
        <f>ULP!BC21</f>
        <v>110</v>
      </c>
    </row>
    <row r="13" spans="2:8" ht="18.75">
      <c r="B13" s="496"/>
      <c r="C13" s="497" t="s">
        <v>24</v>
      </c>
      <c r="D13" s="498">
        <f>ULP!K22</f>
        <v>110</v>
      </c>
      <c r="E13" s="498">
        <f>ULP!V22</f>
        <v>110</v>
      </c>
      <c r="F13" s="498">
        <f>ULP!AG22</f>
        <v>110</v>
      </c>
      <c r="G13" s="498">
        <f>ULP!AR22</f>
        <v>110</v>
      </c>
      <c r="H13" s="498">
        <f>ULP!BC22</f>
        <v>110</v>
      </c>
    </row>
    <row r="14" spans="2:8" ht="18.75">
      <c r="B14" s="496"/>
      <c r="C14" s="497" t="s">
        <v>25</v>
      </c>
      <c r="D14" s="498">
        <f>ULP!K23</f>
        <v>50</v>
      </c>
      <c r="E14" s="498">
        <f>ULP!V23</f>
        <v>110</v>
      </c>
      <c r="F14" s="498">
        <f>ULP!AG23</f>
        <v>110</v>
      </c>
      <c r="G14" s="498">
        <f>ULP!AR23</f>
        <v>110</v>
      </c>
      <c r="H14" s="498">
        <f>ULP!BC23</f>
        <v>110</v>
      </c>
    </row>
    <row r="15" spans="2:8" ht="18.75">
      <c r="B15" s="496"/>
      <c r="C15" s="497" t="s">
        <v>26</v>
      </c>
      <c r="D15" s="498">
        <f>ULP!K24</f>
        <v>107.5</v>
      </c>
      <c r="E15" s="498">
        <f>ULP!V24</f>
        <v>107.5</v>
      </c>
      <c r="F15" s="498">
        <f>ULP!AG24</f>
        <v>107.5</v>
      </c>
      <c r="G15" s="498">
        <f>ULP!AR24</f>
        <v>107.5</v>
      </c>
      <c r="H15" s="498">
        <f>ULP!BC24</f>
        <v>107.5</v>
      </c>
    </row>
    <row r="16" spans="2:8" ht="18.75">
      <c r="B16" s="496">
        <v>5</v>
      </c>
      <c r="C16" s="497" t="s">
        <v>27</v>
      </c>
      <c r="D16" s="498">
        <f>ULP!K26</f>
        <v>110</v>
      </c>
      <c r="E16" s="498">
        <f>ULP!V26</f>
        <v>110</v>
      </c>
      <c r="F16" s="498">
        <f>ULP!AG26</f>
        <v>110</v>
      </c>
      <c r="G16" s="498">
        <f>ULP!AR26</f>
        <v>110</v>
      </c>
      <c r="H16" s="498">
        <f>ULP!BC26</f>
        <v>110</v>
      </c>
    </row>
    <row r="17" spans="2:8" ht="18.75">
      <c r="B17" s="496">
        <v>6</v>
      </c>
      <c r="C17" s="497" t="s">
        <v>28</v>
      </c>
      <c r="D17" s="498"/>
      <c r="E17" s="498"/>
      <c r="F17" s="498"/>
      <c r="G17" s="498"/>
      <c r="H17" s="498"/>
    </row>
    <row r="18" spans="2:8" ht="18.75">
      <c r="B18" s="496"/>
      <c r="C18" s="497" t="s">
        <v>29</v>
      </c>
      <c r="D18" s="498">
        <f>ULP!K28</f>
        <v>110</v>
      </c>
      <c r="E18" s="498">
        <f>ULP!V28</f>
        <v>110</v>
      </c>
      <c r="F18" s="498">
        <f>ULP!AG28</f>
        <v>110</v>
      </c>
      <c r="G18" s="498">
        <f>ULP!AR28</f>
        <v>110</v>
      </c>
      <c r="H18" s="498">
        <f>ULP!BC28</f>
        <v>110</v>
      </c>
    </row>
    <row r="19" spans="2:8" ht="18.75">
      <c r="B19" s="496"/>
      <c r="C19" s="497" t="s">
        <v>30</v>
      </c>
      <c r="D19" s="498">
        <f>ULP!K32</f>
        <v>110</v>
      </c>
      <c r="E19" s="498">
        <f>ULP!V32</f>
        <v>110</v>
      </c>
      <c r="F19" s="498">
        <f>ULP!AG32</f>
        <v>110</v>
      </c>
      <c r="G19" s="498">
        <f>ULP!AR32</f>
        <v>110</v>
      </c>
      <c r="H19" s="498">
        <f>ULP!BC32</f>
        <v>110</v>
      </c>
    </row>
    <row r="20" spans="2:8" ht="18.75">
      <c r="B20" s="496">
        <v>7</v>
      </c>
      <c r="C20" s="497" t="s">
        <v>31</v>
      </c>
      <c r="D20" s="498"/>
      <c r="E20" s="498"/>
      <c r="F20" s="498"/>
      <c r="G20" s="498"/>
      <c r="H20" s="498"/>
    </row>
    <row r="21" spans="2:8" ht="18.75">
      <c r="B21" s="496"/>
      <c r="C21" s="497" t="s">
        <v>32</v>
      </c>
      <c r="D21" s="498">
        <f>ULP!K46</f>
        <v>100</v>
      </c>
      <c r="E21" s="498">
        <f>ULP!V46</f>
        <v>100</v>
      </c>
      <c r="F21" s="498">
        <f>ULP!AG46</f>
        <v>100</v>
      </c>
      <c r="G21" s="498">
        <f>ULP!AR46</f>
        <v>100</v>
      </c>
      <c r="H21" s="498">
        <f>ULP!BC46</f>
        <v>100</v>
      </c>
    </row>
    <row r="22" spans="2:8" ht="18.75">
      <c r="B22" s="496">
        <v>8</v>
      </c>
      <c r="C22" s="497" t="s">
        <v>33</v>
      </c>
      <c r="D22" s="498">
        <f>ULP!K48</f>
        <v>110</v>
      </c>
      <c r="E22" s="498">
        <f>ULP!V48</f>
        <v>110</v>
      </c>
      <c r="F22" s="498">
        <f>ULP!AG48</f>
        <v>110</v>
      </c>
      <c r="G22" s="498">
        <f>ULP!AR48</f>
        <v>87.576701773604569</v>
      </c>
      <c r="H22" s="498">
        <f>ULP!BC48</f>
        <v>95.137952287581712</v>
      </c>
    </row>
    <row r="23" spans="2:8" ht="18.75">
      <c r="B23" s="496">
        <v>9</v>
      </c>
      <c r="C23" s="497" t="s">
        <v>34</v>
      </c>
      <c r="D23" s="498" t="e">
        <f>ULP!#REF!</f>
        <v>#REF!</v>
      </c>
      <c r="E23" s="498" t="e">
        <f>ULP!#REF!</f>
        <v>#REF!</v>
      </c>
      <c r="F23" s="498" t="e">
        <f>ULP!#REF!</f>
        <v>#REF!</v>
      </c>
      <c r="G23" s="498" t="e">
        <f>ULP!#REF!</f>
        <v>#REF!</v>
      </c>
      <c r="H23" s="498" t="e">
        <f>ULP!#REF!</f>
        <v>#REF!</v>
      </c>
    </row>
    <row r="24" spans="2:8" ht="18.75">
      <c r="B24" s="496">
        <v>10</v>
      </c>
      <c r="C24" s="497" t="s">
        <v>35</v>
      </c>
      <c r="D24" s="498"/>
      <c r="E24" s="498"/>
      <c r="F24" s="498"/>
      <c r="G24" s="498"/>
      <c r="H24" s="498"/>
    </row>
    <row r="25" spans="2:8" ht="18.75">
      <c r="B25" s="496"/>
      <c r="C25" s="497" t="s">
        <v>36</v>
      </c>
      <c r="D25" s="498" t="e">
        <f>ULP!#REF!</f>
        <v>#REF!</v>
      </c>
      <c r="E25" s="498" t="e">
        <f>ULP!#REF!</f>
        <v>#REF!</v>
      </c>
      <c r="F25" s="498" t="e">
        <f>ULP!#REF!</f>
        <v>#REF!</v>
      </c>
      <c r="G25" s="498" t="e">
        <f>ULP!#REF!</f>
        <v>#REF!</v>
      </c>
      <c r="H25" s="498" t="e">
        <f>ULP!#REF!</f>
        <v>#REF!</v>
      </c>
    </row>
    <row r="26" spans="2:8" ht="18.75">
      <c r="B26" s="496"/>
      <c r="C26" s="497" t="s">
        <v>37</v>
      </c>
      <c r="D26" s="498">
        <f>ULP!K49</f>
        <v>87.808336102300771</v>
      </c>
      <c r="E26" s="498">
        <f>ULP!V49</f>
        <v>110</v>
      </c>
      <c r="F26" s="498">
        <f>ULP!AG49</f>
        <v>110</v>
      </c>
      <c r="G26" s="498">
        <f>ULP!AR49</f>
        <v>89.56567622287011</v>
      </c>
      <c r="H26" s="498">
        <f>ULP!BC49</f>
        <v>83.11701769978572</v>
      </c>
    </row>
    <row r="27" spans="2:8" ht="18.75">
      <c r="B27" s="496">
        <v>11</v>
      </c>
      <c r="C27" s="497" t="s">
        <v>38</v>
      </c>
      <c r="D27" s="498">
        <f>ULP!K53</f>
        <v>0</v>
      </c>
      <c r="E27" s="498">
        <f>ULP!V53</f>
        <v>0</v>
      </c>
      <c r="F27" s="498">
        <f>ULP!AG53</f>
        <v>0</v>
      </c>
      <c r="G27" s="498">
        <f>ULP!AR53</f>
        <v>0</v>
      </c>
      <c r="H27" s="498">
        <f>ULP!BC53</f>
        <v>0</v>
      </c>
    </row>
    <row r="28" spans="2:8" ht="34.5">
      <c r="B28" s="496">
        <v>12</v>
      </c>
      <c r="C28" s="501" t="s">
        <v>39</v>
      </c>
      <c r="D28" s="498"/>
      <c r="E28" s="498"/>
      <c r="F28" s="498"/>
      <c r="G28" s="498"/>
      <c r="H28" s="498"/>
    </row>
    <row r="29" spans="2:8" ht="18.75">
      <c r="B29" s="496"/>
      <c r="C29" s="497" t="s">
        <v>40</v>
      </c>
      <c r="D29" s="498">
        <f>ULP!K56</f>
        <v>0</v>
      </c>
      <c r="E29" s="498">
        <f>ULP!V56</f>
        <v>0</v>
      </c>
      <c r="F29" s="498">
        <f>ULP!AG56</f>
        <v>0</v>
      </c>
      <c r="G29" s="498">
        <f>ULP!AR56</f>
        <v>0</v>
      </c>
      <c r="H29" s="498">
        <f>ULP!BC56</f>
        <v>0</v>
      </c>
    </row>
    <row r="30" spans="2:8" ht="18.75">
      <c r="B30" s="496"/>
      <c r="C30" s="497" t="s">
        <v>41</v>
      </c>
      <c r="D30" s="498" t="e">
        <f>ULP!#REF!</f>
        <v>#REF!</v>
      </c>
      <c r="E30" s="498" t="e">
        <f>ULP!#REF!</f>
        <v>#REF!</v>
      </c>
      <c r="F30" s="498" t="e">
        <f>ULP!#REF!</f>
        <v>#REF!</v>
      </c>
      <c r="G30" s="498" t="e">
        <f>ULP!#REF!</f>
        <v>#REF!</v>
      </c>
      <c r="H30" s="498" t="e">
        <f>ULP!#REF!</f>
        <v>#REF!</v>
      </c>
    </row>
    <row r="31" spans="2:8" ht="18.75">
      <c r="B31" s="496">
        <v>13</v>
      </c>
      <c r="C31" s="497" t="s">
        <v>42</v>
      </c>
      <c r="D31" s="502"/>
      <c r="E31" s="502"/>
      <c r="F31" s="502"/>
      <c r="G31" s="502"/>
      <c r="H31" s="502"/>
    </row>
    <row r="32" spans="2:8" ht="18.75">
      <c r="B32" s="496"/>
      <c r="C32" s="497" t="s">
        <v>43</v>
      </c>
      <c r="D32" s="502"/>
      <c r="E32" s="502"/>
      <c r="F32" s="502"/>
      <c r="G32" s="502"/>
      <c r="H32" s="502"/>
    </row>
    <row r="33" spans="2:8" ht="18.75">
      <c r="B33" s="496"/>
      <c r="C33" s="497" t="s">
        <v>44</v>
      </c>
      <c r="D33" s="502"/>
      <c r="E33" s="502"/>
      <c r="F33" s="502"/>
      <c r="G33" s="502"/>
      <c r="H33" s="502"/>
    </row>
    <row r="34" spans="2:8" ht="18.75">
      <c r="B34" s="496"/>
      <c r="C34" s="497" t="s">
        <v>45</v>
      </c>
      <c r="D34" s="502"/>
      <c r="E34" s="502"/>
      <c r="F34" s="502"/>
      <c r="G34" s="502"/>
      <c r="H34" s="502"/>
    </row>
    <row r="35" spans="2:8" ht="18.75">
      <c r="B35" s="496"/>
      <c r="C35" s="497" t="s">
        <v>46</v>
      </c>
      <c r="D35" s="502"/>
      <c r="E35" s="502"/>
      <c r="F35" s="502"/>
      <c r="G35" s="502"/>
      <c r="H35" s="502"/>
    </row>
    <row r="36" spans="2:8" ht="18.75">
      <c r="B36" s="660" t="s">
        <v>47</v>
      </c>
      <c r="C36" s="660"/>
      <c r="D36" s="503">
        <f>ULP!L58</f>
        <v>99.36</v>
      </c>
      <c r="E36" s="503">
        <f>RANK!D6</f>
        <v>103.59</v>
      </c>
      <c r="F36" s="503">
        <f>ULP!AH58</f>
        <v>105.32999999999998</v>
      </c>
      <c r="G36" s="503">
        <f>ULP!AS58</f>
        <v>100.84</v>
      </c>
      <c r="H36" s="503">
        <f>ULP!BD58</f>
        <v>103.59</v>
      </c>
    </row>
  </sheetData>
  <mergeCells count="1">
    <mergeCell ref="B36:C36"/>
  </mergeCells>
  <conditionalFormatting sqref="D5:H35">
    <cfRule type="iconSet" priority="1">
      <iconSet iconSet="3Symbols" showValue="0">
        <cfvo type="percent" val="0"/>
        <cfvo type="num" val="95"/>
        <cfvo type="num" val="100"/>
      </iconSet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O43"/>
  <sheetViews>
    <sheetView workbookViewId="0"/>
  </sheetViews>
  <sheetFormatPr defaultColWidth="9.140625" defaultRowHeight="15"/>
  <cols>
    <col min="1" max="1" width="9.140625" style="131"/>
    <col min="2" max="2" width="16.85546875" style="131" customWidth="1"/>
    <col min="3" max="3" width="11.7109375" style="131" customWidth="1"/>
    <col min="4" max="4" width="13.28515625" style="131" customWidth="1"/>
    <col min="5" max="5" width="11.5703125" style="131" customWidth="1"/>
    <col min="6" max="6" width="9.85546875" style="131" bestFit="1" customWidth="1"/>
    <col min="7" max="11" width="9.140625" style="131"/>
    <col min="12" max="12" width="9.140625" style="131" customWidth="1"/>
    <col min="13" max="16" width="9.140625" style="131"/>
    <col min="17" max="17" width="12.7109375" style="131" customWidth="1"/>
    <col min="18" max="18" width="9.140625" style="131"/>
    <col min="19" max="19" width="1.85546875" style="131" customWidth="1"/>
    <col min="20" max="20" width="9.140625" style="131"/>
    <col min="21" max="21" width="12.7109375" style="131" customWidth="1"/>
    <col min="22" max="16384" width="9.140625" style="131"/>
  </cols>
  <sheetData>
    <row r="2" spans="1:7">
      <c r="B2" s="131" t="s">
        <v>9</v>
      </c>
      <c r="C2" s="131" t="s">
        <v>48</v>
      </c>
      <c r="D2" s="131" t="s">
        <v>49</v>
      </c>
    </row>
    <row r="3" spans="1:7">
      <c r="A3" s="133" t="s">
        <v>15</v>
      </c>
    </row>
    <row r="4" spans="1:7">
      <c r="B4" s="131" t="s">
        <v>50</v>
      </c>
      <c r="C4" s="132">
        <f>'UP3'!G9</f>
        <v>0</v>
      </c>
      <c r="D4" s="132">
        <f>'UP3'!H9</f>
        <v>0</v>
      </c>
      <c r="E4" s="132" t="e">
        <f>D4/C4</f>
        <v>#DIV/0!</v>
      </c>
      <c r="F4" s="134" t="e">
        <f t="shared" ref="F4:F13" si="0">IF(E4&gt;1,1,E4)</f>
        <v>#DIV/0!</v>
      </c>
      <c r="G4" s="134" t="e">
        <f t="shared" ref="G4:G30" si="1">1-F4</f>
        <v>#DIV/0!</v>
      </c>
    </row>
    <row r="5" spans="1:7">
      <c r="B5" s="131" t="s">
        <v>51</v>
      </c>
      <c r="C5" s="132">
        <f>'UP3'!G10</f>
        <v>210.5</v>
      </c>
      <c r="D5" s="132">
        <f>'UP3'!H10</f>
        <v>159.21375563345018</v>
      </c>
      <c r="E5" s="132">
        <f>D5/C5</f>
        <v>0.75635988424441891</v>
      </c>
      <c r="F5" s="134">
        <f t="shared" si="0"/>
        <v>0.75635988424441891</v>
      </c>
      <c r="G5" s="134">
        <f t="shared" si="1"/>
        <v>0.24364011575558109</v>
      </c>
    </row>
    <row r="6" spans="1:7">
      <c r="B6" s="131" t="s">
        <v>52</v>
      </c>
      <c r="C6" s="132">
        <f>'UP3'!G17</f>
        <v>0</v>
      </c>
      <c r="D6" s="132">
        <f>'UP3'!H17</f>
        <v>0</v>
      </c>
      <c r="E6" s="132" t="e">
        <f>D6/C6</f>
        <v>#DIV/0!</v>
      </c>
      <c r="F6" s="134" t="e">
        <f t="shared" si="0"/>
        <v>#DIV/0!</v>
      </c>
      <c r="G6" s="134" t="e">
        <f t="shared" si="1"/>
        <v>#DIV/0!</v>
      </c>
    </row>
    <row r="7" spans="1:7">
      <c r="B7" s="131" t="s">
        <v>53</v>
      </c>
      <c r="C7" s="132" t="e">
        <f>'UP3'!#REF!</f>
        <v>#REF!</v>
      </c>
      <c r="D7" s="132" t="e">
        <f>'UP3'!#REF!</f>
        <v>#REF!</v>
      </c>
      <c r="E7" s="132" t="e">
        <f>D7/C7</f>
        <v>#REF!</v>
      </c>
      <c r="F7" s="134" t="e">
        <f t="shared" si="0"/>
        <v>#REF!</v>
      </c>
      <c r="G7" s="134" t="e">
        <f t="shared" si="1"/>
        <v>#REF!</v>
      </c>
    </row>
    <row r="8" spans="1:7">
      <c r="B8" s="131" t="s">
        <v>54</v>
      </c>
      <c r="C8" s="132">
        <f>'UP3'!G18</f>
        <v>0</v>
      </c>
      <c r="D8" s="132">
        <f>'UP3'!H18</f>
        <v>0</v>
      </c>
      <c r="E8" s="132" t="e">
        <f>D8/C8</f>
        <v>#DIV/0!</v>
      </c>
      <c r="F8" s="134" t="e">
        <f t="shared" si="0"/>
        <v>#DIV/0!</v>
      </c>
      <c r="G8" s="134" t="e">
        <f t="shared" si="1"/>
        <v>#DIV/0!</v>
      </c>
    </row>
    <row r="9" spans="1:7">
      <c r="B9" s="131" t="s">
        <v>20</v>
      </c>
      <c r="C9" s="132">
        <f>'UP3'!G19</f>
        <v>134</v>
      </c>
      <c r="D9" s="132">
        <f>'UP3'!H19</f>
        <v>98</v>
      </c>
      <c r="E9" s="132">
        <f>2-(D9/C9)</f>
        <v>1.2686567164179103</v>
      </c>
      <c r="F9" s="134">
        <f t="shared" si="0"/>
        <v>1</v>
      </c>
      <c r="G9" s="134">
        <f t="shared" si="1"/>
        <v>0</v>
      </c>
    </row>
    <row r="10" spans="1:7">
      <c r="A10" s="133"/>
      <c r="B10" s="131" t="s">
        <v>55</v>
      </c>
      <c r="C10" s="132">
        <f>'UP3'!G21</f>
        <v>5</v>
      </c>
      <c r="D10" s="132">
        <f>'UP3'!H21</f>
        <v>3</v>
      </c>
      <c r="E10" s="132">
        <f>2-(D10/C10)</f>
        <v>1.4</v>
      </c>
      <c r="F10" s="134">
        <f t="shared" si="0"/>
        <v>1</v>
      </c>
      <c r="G10" s="134">
        <f t="shared" si="1"/>
        <v>0</v>
      </c>
    </row>
    <row r="11" spans="1:7">
      <c r="B11" s="131" t="s">
        <v>56</v>
      </c>
      <c r="C11" s="132">
        <f>'UP3'!G22</f>
        <v>0</v>
      </c>
      <c r="D11" s="132">
        <f>'UP3'!H22</f>
        <v>0</v>
      </c>
      <c r="E11" s="132" t="e">
        <f>2-(D11/C11)</f>
        <v>#DIV/0!</v>
      </c>
      <c r="F11" s="134" t="e">
        <f t="shared" si="0"/>
        <v>#DIV/0!</v>
      </c>
      <c r="G11" s="134" t="e">
        <f t="shared" si="1"/>
        <v>#DIV/0!</v>
      </c>
    </row>
    <row r="12" spans="1:7">
      <c r="B12" s="131" t="s">
        <v>57</v>
      </c>
      <c r="C12" s="132">
        <f>'UP3'!G24</f>
        <v>0.04</v>
      </c>
      <c r="D12" s="132">
        <f>'UP3'!H24</f>
        <v>0</v>
      </c>
      <c r="E12" s="132">
        <f>2-(D12/C12)</f>
        <v>2</v>
      </c>
      <c r="F12" s="134">
        <f t="shared" si="0"/>
        <v>1</v>
      </c>
      <c r="G12" s="134">
        <f t="shared" si="1"/>
        <v>0</v>
      </c>
    </row>
    <row r="13" spans="1:7">
      <c r="B13" s="131" t="s">
        <v>58</v>
      </c>
      <c r="C13" s="132">
        <f>'UP3'!G25</f>
        <v>4.9000000000000004</v>
      </c>
      <c r="D13" s="132">
        <v>100</v>
      </c>
      <c r="E13" s="132">
        <f>D13/C13</f>
        <v>20.408163265306122</v>
      </c>
      <c r="F13" s="134">
        <f t="shared" si="0"/>
        <v>1</v>
      </c>
      <c r="G13" s="134">
        <f t="shared" si="1"/>
        <v>0</v>
      </c>
    </row>
    <row r="14" spans="1:7">
      <c r="B14" s="131" t="s">
        <v>59</v>
      </c>
      <c r="C14" s="132" t="e">
        <f>'UP3'!#REF!</f>
        <v>#REF!</v>
      </c>
      <c r="D14" s="132" t="e">
        <f>'UP3'!#REF!</f>
        <v>#REF!</v>
      </c>
      <c r="E14" s="132" t="e">
        <f>D14/C14</f>
        <v>#REF!</v>
      </c>
      <c r="F14" s="134">
        <v>0</v>
      </c>
      <c r="G14" s="134">
        <f t="shared" si="1"/>
        <v>1</v>
      </c>
    </row>
    <row r="15" spans="1:7">
      <c r="A15" s="133"/>
      <c r="B15" s="131" t="s">
        <v>60</v>
      </c>
      <c r="C15" s="132">
        <f>'UP3'!G33</f>
        <v>0</v>
      </c>
      <c r="D15" s="132">
        <f>'UP3'!H33</f>
        <v>0</v>
      </c>
      <c r="E15" s="132" t="e">
        <f>2-(D15/C15)</f>
        <v>#DIV/0!</v>
      </c>
      <c r="F15" s="134" t="e">
        <f t="shared" ref="F15:F21" si="2">IF(E15&gt;1,1,E15)</f>
        <v>#DIV/0!</v>
      </c>
      <c r="G15" s="134" t="e">
        <f t="shared" si="1"/>
        <v>#DIV/0!</v>
      </c>
    </row>
    <row r="16" spans="1:7">
      <c r="B16" s="131" t="s">
        <v>61</v>
      </c>
      <c r="C16" s="132">
        <f>'UP3'!G38</f>
        <v>798</v>
      </c>
      <c r="D16" s="132">
        <f>'UP3'!H38</f>
        <v>814</v>
      </c>
      <c r="E16" s="132">
        <f>2-(D16/C16)</f>
        <v>0.97994987468671679</v>
      </c>
      <c r="F16" s="134">
        <f t="shared" si="2"/>
        <v>0.97994987468671679</v>
      </c>
      <c r="G16" s="134">
        <f t="shared" si="1"/>
        <v>2.0050125313283207E-2</v>
      </c>
    </row>
    <row r="17" spans="1:41">
      <c r="B17" s="131" t="s">
        <v>62</v>
      </c>
      <c r="C17" s="132">
        <f>'UP3'!G41</f>
        <v>13233.896000000001</v>
      </c>
      <c r="D17" s="132">
        <f>'UP3'!H41</f>
        <v>64005.7</v>
      </c>
      <c r="E17" s="132">
        <f>D17/C17</f>
        <v>4.8364971282833107</v>
      </c>
      <c r="F17" s="134">
        <f t="shared" si="2"/>
        <v>1</v>
      </c>
      <c r="G17" s="134">
        <f t="shared" si="1"/>
        <v>0</v>
      </c>
    </row>
    <row r="18" spans="1:41">
      <c r="A18" s="133"/>
      <c r="B18" s="131" t="s">
        <v>63</v>
      </c>
      <c r="C18" s="132">
        <f>'UP3'!G42</f>
        <v>0</v>
      </c>
      <c r="D18" s="132">
        <f>'UP3'!H42</f>
        <v>0</v>
      </c>
      <c r="E18" s="132" t="e">
        <f>D18/C18</f>
        <v>#DIV/0!</v>
      </c>
      <c r="F18" s="134" t="e">
        <f t="shared" si="2"/>
        <v>#DIV/0!</v>
      </c>
      <c r="G18" s="134" t="e">
        <f t="shared" si="1"/>
        <v>#DIV/0!</v>
      </c>
    </row>
    <row r="19" spans="1:41">
      <c r="B19" s="131" t="s">
        <v>64</v>
      </c>
      <c r="C19" s="132">
        <f>'UP3'!G46</f>
        <v>1175</v>
      </c>
      <c r="D19" s="132">
        <f>'UP3'!H46</f>
        <v>1001.4119882222224</v>
      </c>
      <c r="E19" s="132">
        <f>2-(D19/C19)</f>
        <v>1.1477344781087471</v>
      </c>
      <c r="F19" s="134">
        <f t="shared" si="2"/>
        <v>1</v>
      </c>
      <c r="G19" s="134">
        <f t="shared" si="1"/>
        <v>0</v>
      </c>
    </row>
    <row r="20" spans="1:41">
      <c r="B20" s="131" t="s">
        <v>65</v>
      </c>
      <c r="C20" s="132" t="str">
        <f>'UP3'!G50</f>
        <v>95-100</v>
      </c>
      <c r="D20" s="132">
        <f>'UP3'!H50</f>
        <v>96</v>
      </c>
      <c r="E20" s="132" t="e">
        <f>D20/C20</f>
        <v>#VALUE!</v>
      </c>
      <c r="F20" s="134" t="e">
        <f t="shared" si="2"/>
        <v>#VALUE!</v>
      </c>
      <c r="G20" s="134" t="e">
        <f t="shared" si="1"/>
        <v>#VALUE!</v>
      </c>
    </row>
    <row r="21" spans="1:41">
      <c r="B21" s="131" t="s">
        <v>66</v>
      </c>
      <c r="C21" s="132">
        <f>'UP3'!G51</f>
        <v>0</v>
      </c>
      <c r="D21" s="132">
        <f>'UP3'!H51</f>
        <v>0</v>
      </c>
      <c r="E21" s="132" t="e">
        <f>2-(D21/C21)</f>
        <v>#DIV/0!</v>
      </c>
      <c r="F21" s="134" t="e">
        <f t="shared" si="2"/>
        <v>#DIV/0!</v>
      </c>
      <c r="G21" s="134" t="e">
        <f t="shared" si="1"/>
        <v>#DIV/0!</v>
      </c>
    </row>
    <row r="22" spans="1:41">
      <c r="B22" s="131" t="str">
        <f>'UP3'!B53</f>
        <v>Manajemen SDM, Komunikasi, dan TJSL</v>
      </c>
      <c r="C22" s="132">
        <f>'UP3'!G53</f>
        <v>0</v>
      </c>
      <c r="D22" s="132">
        <f>'UP3'!H53</f>
        <v>0</v>
      </c>
      <c r="E22" s="148" t="e">
        <f>D22/C22</f>
        <v>#DIV/0!</v>
      </c>
      <c r="F22" s="149" t="e">
        <f>E22</f>
        <v>#DIV/0!</v>
      </c>
      <c r="G22" s="134" t="e">
        <f t="shared" si="1"/>
        <v>#DIV/0!</v>
      </c>
      <c r="AO22" s="131">
        <v>264116</v>
      </c>
    </row>
    <row r="23" spans="1:41">
      <c r="B23" s="131" t="str">
        <f>'UP3'!B55</f>
        <v>b. Produktivitas Unit</v>
      </c>
      <c r="C23" s="132">
        <f>'UP3'!G55</f>
        <v>100</v>
      </c>
      <c r="D23" s="132">
        <f>'UP3'!H55</f>
        <v>90</v>
      </c>
      <c r="E23" s="132">
        <f>D23/C23</f>
        <v>0.9</v>
      </c>
      <c r="F23" s="134">
        <f t="shared" ref="F23:F30" si="3">IF(E23&gt;1,1,E23)</f>
        <v>0.9</v>
      </c>
      <c r="G23" s="134">
        <f t="shared" si="1"/>
        <v>9.9999999999999978E-2</v>
      </c>
      <c r="AO23" s="131">
        <f>AO22-39</f>
        <v>264077</v>
      </c>
    </row>
    <row r="24" spans="1:41">
      <c r="B24" s="131" t="str">
        <f>'UP3'!B56</f>
        <v>c. Pengelolaan Komunikasi dan TJSL</v>
      </c>
      <c r="C24" s="132">
        <f>'UP3'!G56</f>
        <v>100</v>
      </c>
      <c r="D24" s="132">
        <f>'UP3'!H56</f>
        <v>110</v>
      </c>
      <c r="E24" s="132">
        <v>100</v>
      </c>
      <c r="F24" s="135">
        <f t="shared" si="3"/>
        <v>1</v>
      </c>
      <c r="G24" s="134">
        <f t="shared" si="1"/>
        <v>0</v>
      </c>
    </row>
    <row r="25" spans="1:41">
      <c r="A25" s="133"/>
      <c r="B25" s="131" t="str">
        <f>'UP3'!B60</f>
        <v>b. Maturity Level Gudang</v>
      </c>
      <c r="C25" s="132">
        <f>'UP3'!G60</f>
        <v>3.5</v>
      </c>
      <c r="D25" s="132">
        <f>'UP3'!H60</f>
        <v>3.5</v>
      </c>
      <c r="E25" s="132">
        <v>100</v>
      </c>
      <c r="F25" s="134">
        <f t="shared" si="3"/>
        <v>1</v>
      </c>
      <c r="G25" s="134">
        <f t="shared" si="1"/>
        <v>0</v>
      </c>
    </row>
    <row r="26" spans="1:41">
      <c r="B26" s="131" t="str">
        <f>'UP3'!B61</f>
        <v>c. Maturity Level Sustainbility</v>
      </c>
      <c r="C26" s="132">
        <f>'UP3'!G61</f>
        <v>100</v>
      </c>
      <c r="D26" s="132">
        <f>'UP3'!H61</f>
        <v>110</v>
      </c>
      <c r="E26" s="132">
        <f>D26/C26</f>
        <v>1.1000000000000001</v>
      </c>
      <c r="F26" s="134">
        <f t="shared" si="3"/>
        <v>1</v>
      </c>
      <c r="G26" s="134">
        <f t="shared" si="1"/>
        <v>0</v>
      </c>
    </row>
    <row r="27" spans="1:41">
      <c r="B27" s="131" t="str">
        <f>'UP3'!B62</f>
        <v>d. Implementasi Roadmap Perbaikan Penerapan Manajemen Risiko dan Pencapaian Perlakuan Risiko</v>
      </c>
      <c r="C27" s="132">
        <f>'UP3'!G62</f>
        <v>100</v>
      </c>
      <c r="D27" s="132">
        <f>'UP3'!H62</f>
        <v>100</v>
      </c>
      <c r="E27" s="132">
        <f>D27/C27</f>
        <v>1</v>
      </c>
      <c r="F27" s="134">
        <f t="shared" si="3"/>
        <v>1</v>
      </c>
      <c r="G27" s="134">
        <f t="shared" si="1"/>
        <v>0</v>
      </c>
    </row>
    <row r="28" spans="1:41">
      <c r="B28" s="131" t="str">
        <f>'UP3'!B63</f>
        <v>Kepatuhan :</v>
      </c>
      <c r="C28" s="132">
        <f>'UP3'!G63</f>
        <v>0</v>
      </c>
      <c r="D28" s="132">
        <f>'UP3'!H63</f>
        <v>0</v>
      </c>
      <c r="E28" s="132" t="e">
        <f>D28/C28</f>
        <v>#DIV/0!</v>
      </c>
      <c r="F28" s="134" t="e">
        <f t="shared" si="3"/>
        <v>#DIV/0!</v>
      </c>
      <c r="G28" s="134" t="e">
        <f t="shared" si="1"/>
        <v>#DIV/0!</v>
      </c>
    </row>
    <row r="29" spans="1:41">
      <c r="B29" s="131" t="str">
        <f>'UP3'!B64</f>
        <v>a. Pengelolaan K3, Keamanan dan Lingkungan Hidup</v>
      </c>
      <c r="C29" s="132">
        <f>'UP3'!G64</f>
        <v>0</v>
      </c>
      <c r="D29" s="132">
        <f>'UP3'!H64</f>
        <v>0</v>
      </c>
      <c r="E29" s="132">
        <v>100</v>
      </c>
      <c r="F29" s="134">
        <f t="shared" si="3"/>
        <v>1</v>
      </c>
      <c r="G29" s="134">
        <f t="shared" si="1"/>
        <v>0</v>
      </c>
    </row>
    <row r="30" spans="1:41">
      <c r="B30" s="131" t="str">
        <f>'UP3'!B66</f>
        <v>c. Ketepatan penyampaian pelaporan dan
Akurasi Data Kinerja</v>
      </c>
      <c r="C30" s="132">
        <f>'UP3'!G66</f>
        <v>0</v>
      </c>
      <c r="D30" s="132">
        <f>'UP3'!H66</f>
        <v>0</v>
      </c>
      <c r="E30" s="132">
        <v>100</v>
      </c>
      <c r="F30" s="134">
        <f t="shared" si="3"/>
        <v>1</v>
      </c>
      <c r="G30" s="134">
        <f t="shared" si="1"/>
        <v>0</v>
      </c>
    </row>
    <row r="39" spans="2:7">
      <c r="B39" s="131" t="s">
        <v>67</v>
      </c>
      <c r="C39" s="132">
        <f>'UP3'!G21</f>
        <v>5</v>
      </c>
      <c r="D39" s="132">
        <f>'UP3'!H21</f>
        <v>3</v>
      </c>
      <c r="E39" s="132">
        <f>2-(D39/C39)</f>
        <v>1.4</v>
      </c>
      <c r="F39" s="134">
        <f>IF(E39&gt;1,1,E39)</f>
        <v>1</v>
      </c>
      <c r="G39" s="134">
        <f>1-F39</f>
        <v>0</v>
      </c>
    </row>
    <row r="40" spans="2:7">
      <c r="B40" s="131" t="s">
        <v>68</v>
      </c>
      <c r="C40" s="132">
        <f>'UP3'!G38</f>
        <v>798</v>
      </c>
      <c r="D40" s="132">
        <f>'UP3'!H38</f>
        <v>814</v>
      </c>
      <c r="E40" s="132">
        <f>2-(D40/C40)</f>
        <v>0.97994987468671679</v>
      </c>
      <c r="F40" s="134">
        <f>IF(E40&gt;1,1,E40)</f>
        <v>0.97994987468671679</v>
      </c>
      <c r="G40" s="134">
        <f>1-F40</f>
        <v>2.0050125313283207E-2</v>
      </c>
    </row>
    <row r="41" spans="2:7">
      <c r="B41" s="131" t="s">
        <v>69</v>
      </c>
      <c r="C41" s="132">
        <f>'UP3'!G17</f>
        <v>0</v>
      </c>
      <c r="D41" s="132">
        <f>'UP3'!H17</f>
        <v>0</v>
      </c>
      <c r="E41" s="132" t="e">
        <f>D41/C41</f>
        <v>#DIV/0!</v>
      </c>
      <c r="F41" s="134" t="e">
        <f>IF(E41&gt;1,1,E41)</f>
        <v>#DIV/0!</v>
      </c>
      <c r="G41" s="134" t="e">
        <f>1-F41</f>
        <v>#DIV/0!</v>
      </c>
    </row>
    <row r="42" spans="2:7">
      <c r="B42" s="131" t="s">
        <v>70</v>
      </c>
      <c r="C42" s="155">
        <f>'UP3'!G55</f>
        <v>100</v>
      </c>
      <c r="D42" s="155">
        <f>'UP3'!H55</f>
        <v>90</v>
      </c>
      <c r="E42" s="132">
        <f>D42/C42</f>
        <v>0.9</v>
      </c>
      <c r="F42" s="134">
        <f>IF(E42&gt;1,1,E42)</f>
        <v>0.9</v>
      </c>
      <c r="G42" s="134">
        <f>1-F42</f>
        <v>9.9999999999999978E-2</v>
      </c>
    </row>
    <row r="43" spans="2:7">
      <c r="B43" s="131" t="s">
        <v>71</v>
      </c>
      <c r="C43" s="132" t="e">
        <f>'UP3'!#REF!</f>
        <v>#REF!</v>
      </c>
      <c r="D43" s="132" t="e">
        <f>'UP3'!#REF!</f>
        <v>#REF!</v>
      </c>
      <c r="E43" s="132" t="e">
        <f>D43/C43</f>
        <v>#REF!</v>
      </c>
      <c r="F43" s="134">
        <v>0</v>
      </c>
      <c r="G43" s="134">
        <f>1-F43</f>
        <v>1</v>
      </c>
    </row>
  </sheetData>
  <pageMargins left="0.7" right="0.7" top="0.75" bottom="0.75" header="0.3" footer="0.3"/>
  <pageSetup paperSize="162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8"/>
  <sheetViews>
    <sheetView workbookViewId="0"/>
  </sheetViews>
  <sheetFormatPr defaultRowHeight="15"/>
  <cols>
    <col min="2" max="2" width="27.7109375" customWidth="1"/>
    <col min="16" max="16" width="15.7109375" bestFit="1" customWidth="1"/>
  </cols>
  <sheetData>
    <row r="2" spans="2:16">
      <c r="B2" s="664" t="s">
        <v>72</v>
      </c>
      <c r="C2" s="661" t="s">
        <v>73</v>
      </c>
      <c r="D2" s="662"/>
      <c r="E2" s="662"/>
      <c r="F2" s="662"/>
      <c r="G2" s="662"/>
      <c r="H2" s="662"/>
      <c r="I2" s="662"/>
      <c r="J2" s="662"/>
      <c r="K2" s="662"/>
      <c r="L2" s="662"/>
      <c r="M2" s="662"/>
      <c r="N2" s="663"/>
      <c r="P2" s="256"/>
    </row>
    <row r="3" spans="2:16">
      <c r="B3" s="665"/>
      <c r="C3" s="504" t="s">
        <v>74</v>
      </c>
      <c r="D3" s="504" t="s">
        <v>75</v>
      </c>
      <c r="E3" s="504" t="s">
        <v>76</v>
      </c>
      <c r="F3" s="504" t="s">
        <v>77</v>
      </c>
      <c r="G3" s="504" t="s">
        <v>78</v>
      </c>
      <c r="H3" s="504" t="s">
        <v>79</v>
      </c>
      <c r="I3" s="504" t="s">
        <v>80</v>
      </c>
      <c r="J3" s="504" t="s">
        <v>81</v>
      </c>
      <c r="K3" s="504" t="s">
        <v>82</v>
      </c>
      <c r="L3" s="504" t="s">
        <v>83</v>
      </c>
      <c r="M3" s="504" t="s">
        <v>84</v>
      </c>
      <c r="N3" s="504" t="s">
        <v>85</v>
      </c>
    </row>
    <row r="4" spans="2:16">
      <c r="B4" s="489" t="s">
        <v>86</v>
      </c>
      <c r="C4" s="489"/>
      <c r="D4" s="489"/>
      <c r="E4" s="489"/>
      <c r="F4" s="489"/>
      <c r="G4" s="489"/>
      <c r="H4" s="489"/>
      <c r="I4" s="489"/>
      <c r="J4" s="489"/>
      <c r="K4" s="489"/>
      <c r="L4" s="489"/>
      <c r="M4" s="489"/>
      <c r="N4" s="489"/>
    </row>
    <row r="5" spans="2:16">
      <c r="B5" s="489" t="s">
        <v>87</v>
      </c>
      <c r="C5" s="489"/>
      <c r="D5" s="489"/>
      <c r="E5" s="489"/>
      <c r="F5" s="489"/>
      <c r="G5" s="489"/>
      <c r="H5" s="489"/>
      <c r="I5" s="489"/>
      <c r="J5" s="489"/>
      <c r="K5" s="489"/>
      <c r="L5" s="489"/>
      <c r="M5" s="489"/>
      <c r="N5" s="489"/>
    </row>
    <row r="6" spans="2:16">
      <c r="B6" s="489" t="s">
        <v>88</v>
      </c>
      <c r="C6" s="489"/>
      <c r="D6" s="489"/>
      <c r="E6" s="489"/>
      <c r="F6" s="489"/>
      <c r="G6" s="489"/>
      <c r="H6" s="489"/>
      <c r="I6" s="489"/>
      <c r="J6" s="489"/>
      <c r="K6" s="489"/>
      <c r="L6" s="489"/>
      <c r="M6" s="489"/>
      <c r="N6" s="489"/>
    </row>
    <row r="7" spans="2:16">
      <c r="B7" s="489" t="s">
        <v>89</v>
      </c>
      <c r="C7" s="489"/>
      <c r="D7" s="489"/>
      <c r="E7" s="489"/>
      <c r="F7" s="489"/>
      <c r="G7" s="489"/>
      <c r="H7" s="489"/>
      <c r="I7" s="489"/>
      <c r="J7" s="489"/>
      <c r="K7" s="489"/>
      <c r="L7" s="489"/>
      <c r="M7" s="489"/>
      <c r="N7" s="489"/>
    </row>
    <row r="8" spans="2:16">
      <c r="B8" s="490" t="s">
        <v>90</v>
      </c>
      <c r="C8" s="505" t="e">
        <f>DETAIL!J43</f>
        <v>#REF!</v>
      </c>
      <c r="D8" s="505" t="e">
        <f>DETAIL!P43</f>
        <v>#REF!</v>
      </c>
      <c r="E8" s="505" t="e">
        <f>DETAIL!V43</f>
        <v>#REF!</v>
      </c>
      <c r="F8" s="505" t="e">
        <f>DETAIL!AB43</f>
        <v>#REF!</v>
      </c>
      <c r="G8" s="490"/>
      <c r="H8" s="490"/>
      <c r="I8" s="490"/>
      <c r="J8" s="490"/>
      <c r="K8" s="490"/>
      <c r="L8" s="490"/>
      <c r="M8" s="490"/>
      <c r="N8" s="490"/>
    </row>
  </sheetData>
  <mergeCells count="2">
    <mergeCell ref="C2:N2"/>
    <mergeCell ref="B2:B3"/>
  </mergeCells>
  <phoneticPr fontId="137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H45"/>
  <sheetViews>
    <sheetView workbookViewId="0"/>
  </sheetViews>
  <sheetFormatPr defaultRowHeight="15"/>
  <cols>
    <col min="1" max="1" width="5.7109375" customWidth="1"/>
    <col min="2" max="2" width="49.28515625" customWidth="1"/>
    <col min="3" max="3" width="2.85546875" customWidth="1"/>
    <col min="4" max="4" width="9.5703125" customWidth="1"/>
    <col min="5" max="5" width="2.28515625" customWidth="1"/>
    <col min="6" max="6" width="11" customWidth="1"/>
    <col min="7" max="7" width="12.28515625" customWidth="1"/>
    <col min="8" max="8" width="12.7109375" customWidth="1"/>
    <col min="9" max="9" width="16.85546875" style="105" bestFit="1" customWidth="1"/>
    <col min="10" max="10" width="12.7109375" customWidth="1"/>
    <col min="11" max="11" width="2.28515625" customWidth="1"/>
    <col min="12" max="12" width="11" customWidth="1"/>
    <col min="13" max="13" width="12.28515625" customWidth="1"/>
    <col min="14" max="14" width="12.7109375" customWidth="1"/>
    <col min="15" max="15" width="16.7109375" style="105" customWidth="1"/>
    <col min="16" max="16" width="12.7109375" customWidth="1"/>
    <col min="17" max="17" width="2.28515625" customWidth="1"/>
    <col min="18" max="18" width="11" customWidth="1"/>
    <col min="19" max="19" width="12.28515625" customWidth="1"/>
    <col min="20" max="20" width="12.7109375" customWidth="1"/>
    <col min="21" max="21" width="13" style="105" customWidth="1"/>
    <col min="22" max="22" width="12.7109375" customWidth="1"/>
    <col min="23" max="23" width="2.7109375" customWidth="1"/>
    <col min="24" max="24" width="11" customWidth="1"/>
    <col min="25" max="25" width="12.28515625" customWidth="1"/>
    <col min="26" max="26" width="12.7109375" customWidth="1"/>
    <col min="27" max="27" width="16.85546875" style="105" bestFit="1" customWidth="1"/>
    <col min="28" max="28" width="12.7109375" customWidth="1"/>
    <col min="29" max="29" width="3.28515625" customWidth="1"/>
    <col min="30" max="30" width="11" customWidth="1"/>
    <col min="31" max="31" width="12.28515625" customWidth="1"/>
    <col min="32" max="32" width="12.7109375" customWidth="1"/>
    <col min="33" max="33" width="16.85546875" style="105" bestFit="1" customWidth="1"/>
    <col min="34" max="34" width="12.7109375" customWidth="1"/>
  </cols>
  <sheetData>
    <row r="1" spans="1:34" ht="15.75">
      <c r="A1" s="38"/>
      <c r="B1" s="39" t="s">
        <v>91</v>
      </c>
      <c r="C1" s="38"/>
      <c r="D1" s="38"/>
      <c r="F1" s="38"/>
      <c r="L1" s="38"/>
      <c r="R1" s="38"/>
      <c r="X1" s="38"/>
      <c r="AD1" s="38"/>
    </row>
    <row r="2" spans="1:34" ht="15.75">
      <c r="A2" s="38"/>
      <c r="B2" s="39" t="s">
        <v>92</v>
      </c>
      <c r="C2" s="38"/>
      <c r="D2" s="38"/>
      <c r="F2" s="38"/>
      <c r="L2" s="38"/>
      <c r="R2" s="38"/>
      <c r="X2" s="38"/>
      <c r="AD2" s="38"/>
    </row>
    <row r="3" spans="1:34" ht="15.75">
      <c r="A3" s="42"/>
      <c r="B3" s="138" t="s">
        <v>7</v>
      </c>
      <c r="C3" s="40"/>
      <c r="D3" s="38"/>
      <c r="F3" s="38"/>
      <c r="L3" s="38"/>
      <c r="R3" s="38"/>
      <c r="X3" s="38"/>
      <c r="AD3" s="38"/>
    </row>
    <row r="4" spans="1:34" ht="16.5" customHeight="1">
      <c r="A4" s="670" t="s">
        <v>8</v>
      </c>
      <c r="B4" s="672" t="s">
        <v>9</v>
      </c>
      <c r="C4" s="673"/>
      <c r="D4" s="670" t="s">
        <v>93</v>
      </c>
      <c r="F4" s="666" t="s">
        <v>94</v>
      </c>
      <c r="G4" s="667"/>
      <c r="H4" s="667"/>
      <c r="I4" s="667"/>
      <c r="J4" s="668"/>
      <c r="L4" s="666" t="s">
        <v>95</v>
      </c>
      <c r="M4" s="667"/>
      <c r="N4" s="667"/>
      <c r="O4" s="667"/>
      <c r="P4" s="668"/>
      <c r="R4" s="666" t="s">
        <v>96</v>
      </c>
      <c r="S4" s="667"/>
      <c r="T4" s="667"/>
      <c r="U4" s="667"/>
      <c r="V4" s="668"/>
      <c r="X4" s="666" t="s">
        <v>97</v>
      </c>
      <c r="Y4" s="667"/>
      <c r="Z4" s="667"/>
      <c r="AA4" s="667"/>
      <c r="AB4" s="668"/>
      <c r="AD4" s="666" t="s">
        <v>98</v>
      </c>
      <c r="AE4" s="667"/>
      <c r="AF4" s="667"/>
      <c r="AG4" s="667"/>
      <c r="AH4" s="668"/>
    </row>
    <row r="5" spans="1:34" ht="19.149999999999999" customHeight="1">
      <c r="A5" s="671"/>
      <c r="B5" s="674"/>
      <c r="C5" s="675"/>
      <c r="D5" s="671"/>
      <c r="F5" s="506" t="s">
        <v>99</v>
      </c>
      <c r="G5" s="506" t="s">
        <v>100</v>
      </c>
      <c r="H5" s="504" t="s">
        <v>101</v>
      </c>
      <c r="I5" s="504" t="s">
        <v>102</v>
      </c>
      <c r="J5" s="504" t="s">
        <v>103</v>
      </c>
      <c r="L5" s="506" t="s">
        <v>99</v>
      </c>
      <c r="M5" s="506" t="s">
        <v>100</v>
      </c>
      <c r="N5" s="504" t="s">
        <v>101</v>
      </c>
      <c r="O5" s="504" t="s">
        <v>102</v>
      </c>
      <c r="P5" s="504" t="s">
        <v>103</v>
      </c>
      <c r="R5" s="506" t="s">
        <v>99</v>
      </c>
      <c r="S5" s="506" t="s">
        <v>100</v>
      </c>
      <c r="T5" s="504" t="s">
        <v>101</v>
      </c>
      <c r="U5" s="504" t="s">
        <v>102</v>
      </c>
      <c r="V5" s="504" t="s">
        <v>103</v>
      </c>
      <c r="X5" s="506" t="s">
        <v>99</v>
      </c>
      <c r="Y5" s="506" t="s">
        <v>100</v>
      </c>
      <c r="Z5" s="504" t="s">
        <v>101</v>
      </c>
      <c r="AA5" s="504" t="s">
        <v>102</v>
      </c>
      <c r="AB5" s="504" t="s">
        <v>103</v>
      </c>
      <c r="AD5" s="506" t="s">
        <v>99</v>
      </c>
      <c r="AE5" s="506" t="s">
        <v>100</v>
      </c>
      <c r="AF5" s="504" t="s">
        <v>101</v>
      </c>
      <c r="AG5" s="504" t="s">
        <v>102</v>
      </c>
      <c r="AH5" s="504" t="s">
        <v>103</v>
      </c>
    </row>
    <row r="6" spans="1:34" ht="15.75">
      <c r="A6" s="507">
        <v>1</v>
      </c>
      <c r="B6" s="477">
        <v>2</v>
      </c>
      <c r="C6" s="252"/>
      <c r="D6" s="507">
        <v>3</v>
      </c>
      <c r="F6" s="507">
        <v>4</v>
      </c>
      <c r="G6" s="478">
        <v>6</v>
      </c>
      <c r="H6" s="630">
        <v>7</v>
      </c>
      <c r="I6" s="630">
        <v>8</v>
      </c>
      <c r="J6" s="504">
        <v>9</v>
      </c>
      <c r="L6" s="507">
        <v>4</v>
      </c>
      <c r="M6" s="478">
        <v>6</v>
      </c>
      <c r="N6" s="630">
        <v>7</v>
      </c>
      <c r="O6" s="630">
        <v>8</v>
      </c>
      <c r="P6" s="504">
        <v>9</v>
      </c>
      <c r="R6" s="507">
        <v>4</v>
      </c>
      <c r="S6" s="478">
        <v>6</v>
      </c>
      <c r="T6" s="630">
        <v>7</v>
      </c>
      <c r="U6" s="630">
        <v>8</v>
      </c>
      <c r="V6" s="504">
        <v>9</v>
      </c>
      <c r="X6" s="507">
        <v>4</v>
      </c>
      <c r="Y6" s="478">
        <v>6</v>
      </c>
      <c r="Z6" s="630">
        <v>7</v>
      </c>
      <c r="AA6" s="630">
        <v>8</v>
      </c>
      <c r="AB6" s="504">
        <v>9</v>
      </c>
      <c r="AD6" s="507">
        <v>4</v>
      </c>
      <c r="AE6" s="478">
        <v>6</v>
      </c>
      <c r="AF6" s="630">
        <v>7</v>
      </c>
      <c r="AG6" s="630">
        <v>8</v>
      </c>
      <c r="AH6" s="504">
        <v>9</v>
      </c>
    </row>
    <row r="7" spans="1:34" ht="20.100000000000001" customHeight="1">
      <c r="A7" s="72" t="str">
        <f>T.UP3!A7</f>
        <v>I</v>
      </c>
      <c r="B7" s="66" t="str">
        <f>T.UP3!B7</f>
        <v>Key Performance Indikator</v>
      </c>
      <c r="C7" s="67"/>
      <c r="D7" s="49"/>
      <c r="F7" s="68">
        <f>SUM(F8:F10)</f>
        <v>28</v>
      </c>
      <c r="G7" s="68"/>
      <c r="H7" s="68"/>
      <c r="I7" s="68"/>
      <c r="J7" s="102">
        <f>SUM(J8:J10)</f>
        <v>15.4</v>
      </c>
      <c r="L7" s="68">
        <f>SUM(L8:L10)</f>
        <v>28</v>
      </c>
      <c r="M7" s="68"/>
      <c r="N7" s="68"/>
      <c r="O7" s="68"/>
      <c r="P7" s="102">
        <f>SUM(P8:P10)</f>
        <v>15.4</v>
      </c>
      <c r="R7" s="68">
        <f>SUM(R8:R10)</f>
        <v>28</v>
      </c>
      <c r="S7" s="68"/>
      <c r="T7" s="68"/>
      <c r="U7" s="68"/>
      <c r="V7" s="102">
        <f>SUM(V8:V10)</f>
        <v>15.126233650576344</v>
      </c>
      <c r="X7" s="68">
        <f>SUM(X8:X10)</f>
        <v>28</v>
      </c>
      <c r="Y7" s="68"/>
      <c r="Z7" s="68"/>
      <c r="AA7" s="68"/>
      <c r="AB7" s="102">
        <f>SUM(AB8:AB10)</f>
        <v>14.159757254003971</v>
      </c>
      <c r="AD7" s="68">
        <f>SUM(AD8:AD10)</f>
        <v>28</v>
      </c>
      <c r="AE7" s="68"/>
      <c r="AF7" s="68"/>
      <c r="AG7" s="68"/>
      <c r="AH7" s="102">
        <f>SUM(AH8:AH10)</f>
        <v>13.806863105860113</v>
      </c>
    </row>
    <row r="8" spans="1:34" ht="20.100000000000001" customHeight="1">
      <c r="A8" s="69">
        <f>T.UP3!A8</f>
        <v>1</v>
      </c>
      <c r="B8" s="74" t="str">
        <f>T.UP3!B8</f>
        <v>Penjualan Tenaga Listrik</v>
      </c>
      <c r="C8" s="75" t="str">
        <f>T.UP3!C8</f>
        <v>ñ</v>
      </c>
      <c r="D8" s="253" t="str">
        <f>T.UP3!D8</f>
        <v>GWh</v>
      </c>
      <c r="F8" s="100">
        <f>IF(H8="N/A",0,T.UP3!$F$8)</f>
        <v>14</v>
      </c>
      <c r="G8" s="90">
        <f>VLOOKUP($B$8,T.UP3!$B$4:$T$70,MATCH(DETAIL!$F$4,T.UP3!$B$5:$T$5,0),FALSE)</f>
        <v>18.739999999999998</v>
      </c>
      <c r="H8" s="98">
        <f>VLOOKUP($B$8,'R.UP3'!$B$4:$S$54,MATCH(DETAIL!$F$4,'R.UP3'!$B$5:$S$5,0),FALSE)</f>
        <v>22.980830736000001</v>
      </c>
      <c r="I8" s="165">
        <f>IF(OR(G8="N/A",H8="N/A"),"N/A",IF(AND(G8=0,H8=0),0,H8/G8*100))</f>
        <v>122.62983316969051</v>
      </c>
      <c r="J8" s="103">
        <f>IF(OR(I8="N/A",I8&lt;0),0,IF(I8&gt;110,F8*110/100,F8*I8/100))</f>
        <v>15.4</v>
      </c>
      <c r="L8" s="100">
        <f>IF(N8="N/A",0,T.UP3!$F$8)</f>
        <v>14</v>
      </c>
      <c r="M8" s="90">
        <f>VLOOKUP($B$8,T.UP3!$B$4:$T$70,MATCH(DETAIL!$L$4,T.UP3!$B$5:$T$5,0),FALSE)</f>
        <v>36.549999999999997</v>
      </c>
      <c r="N8" s="98">
        <f>VLOOKUP($B$8,'R.UP3'!$B$4:$S$54,MATCH(DETAIL!$L$4,'R.UP3'!$B$5:$S$5,0),FALSE)</f>
        <v>42.202825991000005</v>
      </c>
      <c r="O8" s="165">
        <f>IF(OR(M8="N/A",N8="N/A"),"N/A",IF(AND(M8=0,N8=0),0,N8/M8*100))</f>
        <v>115.46600818331056</v>
      </c>
      <c r="P8" s="103">
        <f>IF(OR(O8="N/A",O8&lt;0),0,IF(O8&gt;110,L8*110/100,L8*O8/100))</f>
        <v>15.4</v>
      </c>
      <c r="R8" s="100">
        <f>IF(T8="N/A",0,T.UP3!$F$8)</f>
        <v>14</v>
      </c>
      <c r="S8" s="90">
        <f>VLOOKUP($B$8,T.UP3!$B$4:$T$70,MATCH(DETAIL!$R$4,T.UP3!$B$5:$T$5,0),FALSE)</f>
        <v>56.39</v>
      </c>
      <c r="T8" s="98">
        <f>VLOOKUP($B$8,'R.UP3'!$B$4:$S$54,MATCH(DETAIL!$R$4,'R.UP3'!$B$5:$S$5,0),FALSE)</f>
        <v>60.926308253999998</v>
      </c>
      <c r="U8" s="165">
        <f>IF(OR(S8="N/A",T8="N/A"),"N/A",IF(AND(S8=0,T8=0),0,T8/S8*100))</f>
        <v>108.04452607554531</v>
      </c>
      <c r="V8" s="103">
        <f>IF(OR(U8="N/A",U8&lt;0),0,IF(U8&gt;110,R8*110/100,R8*U8/100))</f>
        <v>15.126233650576344</v>
      </c>
      <c r="X8" s="100">
        <f>IF(Z8="N/A",0,T.UP3!$F$8)</f>
        <v>14</v>
      </c>
      <c r="Y8" s="90">
        <f>VLOOKUP($B$8,T.UP3!$B$4:$T$70,MATCH(DETAIL!$X$4,T.UP3!$B$5:$T$5,0),FALSE)</f>
        <v>75.55</v>
      </c>
      <c r="Z8" s="98">
        <f>VLOOKUP($B$8,'R.UP3'!$B$4:$S$54,MATCH(DETAIL!$X$4,'R.UP3'!$B$5:$S$5,0),FALSE)</f>
        <v>76.412118610000007</v>
      </c>
      <c r="AA8" s="165">
        <f>IF(OR(Y8="N/A",Z8="N/A"),"N/A",IF(AND(Y8=0,Z8=0),0,Z8/Y8*100))</f>
        <v>101.14112324288551</v>
      </c>
      <c r="AB8" s="103">
        <f>IF(OR(AA8="N/A",AA8&lt;0),0,IF(AA8&gt;110,X8*110/100,X8*AA8/100))</f>
        <v>14.159757254003971</v>
      </c>
      <c r="AD8" s="100">
        <f>IF(AF8="N/A",0,T.UP3!$F$8)</f>
        <v>14</v>
      </c>
      <c r="AE8" s="90">
        <f>VLOOKUP($B$8,T.UP3!$B$4:$T$70,MATCH(DETAIL!$AD$4,T.UP3!$B$5:$T$5,0),FALSE)</f>
        <v>95.22</v>
      </c>
      <c r="AF8" s="98">
        <f>VLOOKUP($B$8,'R.UP3'!$B$4:$S$54,MATCH(DETAIL!$AD$4,'R.UP3'!$B$5:$S$5,0),FALSE)</f>
        <v>93.906393210000005</v>
      </c>
      <c r="AG8" s="165">
        <f>IF(OR(AE8="N/A",AF8="N/A"),"N/A",IF(AND(AE8=0,AF8=0),0,AF8/AE8*100))</f>
        <v>98.620450756143669</v>
      </c>
      <c r="AH8" s="103">
        <f>IF(OR(AG8="N/A",AG8&lt;0),0,IF(AG8&gt;110,AD8*110/100,AD8*AG8/100))</f>
        <v>13.806863105860113</v>
      </c>
    </row>
    <row r="9" spans="1:34" ht="20.100000000000001" customHeight="1">
      <c r="A9" s="69">
        <f>T.UP3!A9</f>
        <v>2</v>
      </c>
      <c r="B9" s="74" t="str">
        <f>T.UP3!B9</f>
        <v>Keandalan Sistem</v>
      </c>
      <c r="C9" s="75">
        <f>T.UP3!C9</f>
        <v>0</v>
      </c>
      <c r="D9" s="253">
        <f>T.UP3!D9</f>
        <v>0</v>
      </c>
      <c r="F9" s="100">
        <f>IF(H9="N/A",0,T.UP3!$F$9)</f>
        <v>14</v>
      </c>
      <c r="G9" s="90">
        <f>VLOOKUP($B$9,T.UP3!$B$4:$T$70,MATCH(DETAIL!$F$4,T.UP3!$B$5:$T$5,0),FALSE)</f>
        <v>0</v>
      </c>
      <c r="H9" s="98">
        <f>VLOOKUP($B$9,'R.UP3'!$B$4:$S$54,MATCH(DETAIL!$F$4,'R.UP3'!$B$5:$S$5,0),FALSE)</f>
        <v>0</v>
      </c>
      <c r="I9" s="165">
        <f>IF(OR(G9="N/A",H9="N/A"),"N/A",IF(AND(G9=0,H9=0),0,(2-H9/G9)*100))</f>
        <v>0</v>
      </c>
      <c r="J9" s="103">
        <f>IF(OR(I9="N/A",I9&lt;0),0,IF(I9&gt;110,F9*110/100,F9*I9/100))</f>
        <v>0</v>
      </c>
      <c r="L9" s="100">
        <f>IF(N9="N/A",0,T.UP3!$F$9)</f>
        <v>14</v>
      </c>
      <c r="M9" s="90">
        <f>VLOOKUP($B$9,T.UP3!$B$4:$T$70,MATCH(DETAIL!$L$4,T.UP3!$B$5:$T$5,0),FALSE)</f>
        <v>0</v>
      </c>
      <c r="N9" s="98">
        <f>VLOOKUP($B$9,'R.UP3'!$B$4:$S$54,MATCH(DETAIL!$L$4,'R.UP3'!$B$5:$S$5,0),FALSE)</f>
        <v>0</v>
      </c>
      <c r="O9" s="165">
        <f>IF(OR(M9="N/A",N9="N/A"),"N/A",IF(AND(M9=0,N9=0),0,(2-N9/M9)*100))</f>
        <v>0</v>
      </c>
      <c r="P9" s="103">
        <f>IF(OR(O9="N/A",O9&lt;0),0,IF(O9&gt;110,L9*110/100,L9*O9/100))</f>
        <v>0</v>
      </c>
      <c r="R9" s="100">
        <f>IF(T9="N/A",0,T.UP3!$F$9)</f>
        <v>14</v>
      </c>
      <c r="S9" s="90">
        <f>VLOOKUP($B$9,T.UP3!$B$4:$T$70,MATCH(DETAIL!$R$4,T.UP3!$B$5:$T$5,0),FALSE)</f>
        <v>0</v>
      </c>
      <c r="T9" s="98">
        <f>VLOOKUP($B$9,'R.UP3'!$B$4:$S$54,MATCH(DETAIL!$R$4,'R.UP3'!$B$5:$S$5,0),FALSE)</f>
        <v>0</v>
      </c>
      <c r="U9" s="165">
        <f>IF(OR(S9="N/A",T9="N/A"),"N/A",IF(AND(S9=0,T9=0),0,(2-T9/S9)*100))</f>
        <v>0</v>
      </c>
      <c r="V9" s="103">
        <f>IF(OR(U9="N/A",U9&lt;0),0,IF(U9&gt;110,R9*110/100,R9*U9/100))</f>
        <v>0</v>
      </c>
      <c r="X9" s="100">
        <f>IF(Z9="N/A",0,T.UP3!$F$9)</f>
        <v>14</v>
      </c>
      <c r="Y9" s="90">
        <f>VLOOKUP($B$9,T.UP3!$B$4:$T$70,MATCH(DETAIL!$X$4,T.UP3!$B$5:$T$5,0),FALSE)</f>
        <v>0</v>
      </c>
      <c r="Z9" s="98">
        <f>VLOOKUP($B$9,'R.UP3'!$B$4:$S$54,MATCH(DETAIL!$X$4,'R.UP3'!$B$5:$S$5,0),FALSE)</f>
        <v>0</v>
      </c>
      <c r="AA9" s="165">
        <f>IF(OR(Y9="N/A",Z9="N/A"),"N/A",IF(AND(Y9=0,Z9=0),0,(2-Z9/Y9)*100))</f>
        <v>0</v>
      </c>
      <c r="AB9" s="103">
        <f>IF(OR(AA9="N/A",AA9&lt;0),0,IF(AA9&gt;110,X9*110/100,X9*AA9/100))</f>
        <v>0</v>
      </c>
      <c r="AD9" s="100">
        <f>IF(AF9="N/A",0,T.UP3!$F$9)</f>
        <v>14</v>
      </c>
      <c r="AE9" s="90">
        <f>VLOOKUP($B$9,T.UP3!$B$4:$T$70,MATCH(DETAIL!$AD$4,T.UP3!$B$5:$T$5,0),FALSE)</f>
        <v>0</v>
      </c>
      <c r="AF9" s="98">
        <f>VLOOKUP($B$9,'R.UP3'!$B$4:$S$54,MATCH(DETAIL!$AD$4,'R.UP3'!$B$5:$S$5,0),FALSE)</f>
        <v>0</v>
      </c>
      <c r="AG9" s="165">
        <f>IF(OR(AE9="N/A",AF9="N/A"),"N/A",IF(AND(AE9=0,AF9=0),0,(2-AF9/AE9)*100))</f>
        <v>0</v>
      </c>
      <c r="AH9" s="103">
        <f>IF(OR(AG9="N/A",AG9&lt;0),0,IF(AG9&gt;110,AD9*110/100,AD9*AG9/100))</f>
        <v>0</v>
      </c>
    </row>
    <row r="10" spans="1:34" ht="16.5">
      <c r="A10" s="69">
        <f>T.UP3!A10</f>
        <v>0</v>
      </c>
      <c r="B10" s="160" t="str">
        <f>T.UP3!B10</f>
        <v>a. SAIDI Sesuai Kewenangannya</v>
      </c>
      <c r="C10" s="75" t="str">
        <f>T.UP3!C10</f>
        <v>ò</v>
      </c>
      <c r="D10" s="253" t="str">
        <f>T.UP3!D10</f>
        <v>Menit/Plg</v>
      </c>
      <c r="F10" s="202">
        <f>IF(H10="N/A",0,T.UP3!$F$10)</f>
        <v>0</v>
      </c>
      <c r="G10" s="90">
        <f>VLOOKUP($B$10,T.UP3!$B$4:$T$70,MATCH(DETAIL!$F$4,T.UP3!$B$5:$T$5,0),FALSE)</f>
        <v>23.39</v>
      </c>
      <c r="H10" s="98">
        <f>VLOOKUP($B$10,'R.UP3'!$B$4:$S$54,MATCH(DETAIL!$F$4,'R.UP3'!$B$5:$S$5,0),FALSE)</f>
        <v>12.366708627002435</v>
      </c>
      <c r="I10" s="165">
        <f>IF(OR(G10="N/A",H10="N/A"),"N/A",IF(AND(G10=0,H10=0),0,H10/G10*100))</f>
        <v>52.871776943148504</v>
      </c>
      <c r="J10" s="103">
        <f>IF(OR(I10="N/A",I10&lt;0),0,IF(I10&gt;110,F10*110/100,F10*I10/100))</f>
        <v>0</v>
      </c>
      <c r="L10" s="202">
        <f>IF(N10="N/A",0,T.UP3!$F$10)</f>
        <v>0</v>
      </c>
      <c r="M10" s="90">
        <f>VLOOKUP($B$10,T.UP3!$B$4:$T$70,MATCH(DETAIL!$L$4,T.UP3!$B$5:$T$5,0),FALSE)</f>
        <v>46.78</v>
      </c>
      <c r="N10" s="98">
        <f>VLOOKUP($B$10,'R.UP3'!$B$4:$S$54,MATCH(DETAIL!$L$4,'R.UP3'!$B$5:$S$5,0),FALSE)</f>
        <v>14.217818098417473</v>
      </c>
      <c r="O10" s="165">
        <f>IF(OR(M10="N/A",N10="N/A"),"N/A",IF(AND(M10=0,N10=0),0,N10/M10*100))</f>
        <v>30.392941638344318</v>
      </c>
      <c r="P10" s="103">
        <f>IF(OR(O10="N/A",O10&lt;0),0,IF(O10&gt;110,L10*110/100,L10*O10/100))</f>
        <v>0</v>
      </c>
      <c r="R10" s="202">
        <f>IF(T10="N/A",0,T.UP3!$F$10)</f>
        <v>0</v>
      </c>
      <c r="S10" s="90">
        <f>VLOOKUP($B$10,T.UP3!$B$4:$T$70,MATCH(DETAIL!$R$4,T.UP3!$B$5:$T$5,0),FALSE)</f>
        <v>70.17</v>
      </c>
      <c r="T10" s="98">
        <f>VLOOKUP($B$10,'R.UP3'!$B$4:$S$54,MATCH(DETAIL!$R$4,'R.UP3'!$B$5:$S$5,0),FALSE)</f>
        <v>15.90798980700673</v>
      </c>
      <c r="U10" s="165">
        <f>IF(OR(S10="N/A",T10="N/A"),"N/A",IF(AND(S10=0,T10=0),0,T10/S10*100))</f>
        <v>22.670642449774448</v>
      </c>
      <c r="V10" s="103">
        <f>IF(OR(U10="N/A",U10&lt;0),0,IF(U10&gt;110,R10*110/100,R10*U10/100))</f>
        <v>0</v>
      </c>
      <c r="X10" s="202">
        <f>IF(Z10="N/A",0,T.UP3!$F$10)</f>
        <v>0</v>
      </c>
      <c r="Y10" s="90">
        <f>VLOOKUP($B$10,T.UP3!$B$4:$T$70,MATCH(DETAIL!$X$4,T.UP3!$B$5:$T$5,0),FALSE)</f>
        <v>93.56</v>
      </c>
      <c r="Z10" s="98">
        <f>VLOOKUP($B$10,'R.UP3'!$B$4:$S$54,MATCH(DETAIL!$X$4,'R.UP3'!$B$5:$S$5,0),FALSE)</f>
        <v>30.880917162575816</v>
      </c>
      <c r="AA10" s="165">
        <f>IF(OR(Y10="N/A",Z10="N/A"),"N/A",IF(AND(Y10=0,Z10=0),0,Z10/Y10*100))</f>
        <v>33.006538224215284</v>
      </c>
      <c r="AB10" s="103">
        <f>IF(OR(AA10="N/A",AA10&lt;0),0,IF(AA10&gt;110,X10*110/100,X10*AA10/100))</f>
        <v>0</v>
      </c>
      <c r="AD10" s="202">
        <f>IF(AF10="N/A",0,T.UP3!$F$10)</f>
        <v>0</v>
      </c>
      <c r="AE10" s="90">
        <f>VLOOKUP($B$10,T.UP3!$B$4:$T$70,MATCH(DETAIL!$AD$4,T.UP3!$B$5:$T$5,0),FALSE)</f>
        <v>116.95</v>
      </c>
      <c r="AF10" s="98">
        <f>VLOOKUP($B$10,'R.UP3'!$B$4:$S$54,MATCH(DETAIL!$AD$4,'R.UP3'!$B$5:$S$5,0),FALSE)</f>
        <v>82.702127067631139</v>
      </c>
      <c r="AG10" s="165">
        <f>IF(OR(AE10="N/A",AF10="N/A"),"N/A",IF(AND(AE10=0,AF10=0),0,AF10/AE10*100))</f>
        <v>70.715799117256211</v>
      </c>
      <c r="AH10" s="103">
        <f>IF(OR(AG10="N/A",AG10&lt;0),0,IF(AG10&gt;110,AD10*110/100,AD10*AG10/100))</f>
        <v>0</v>
      </c>
    </row>
    <row r="11" spans="1:34" ht="20.100000000000001" customHeight="1">
      <c r="A11" s="72" t="str">
        <f>T.UP3!A17</f>
        <v>II</v>
      </c>
      <c r="B11" s="71" t="str">
        <f>T.UP3!B17</f>
        <v>Perfomance Indicators</v>
      </c>
      <c r="C11" s="67"/>
      <c r="D11" s="49"/>
      <c r="F11" s="72" t="e">
        <f>SUM(F12:F41)</f>
        <v>#REF!</v>
      </c>
      <c r="G11" s="72"/>
      <c r="H11" s="72"/>
      <c r="I11" s="72"/>
      <c r="J11" s="247" t="e">
        <f>SUM(J12:J41)</f>
        <v>#REF!</v>
      </c>
      <c r="L11" s="72" t="e">
        <f>SUM(L12:L41)</f>
        <v>#REF!</v>
      </c>
      <c r="M11" s="72"/>
      <c r="N11" s="72"/>
      <c r="O11" s="72"/>
      <c r="P11" s="247" t="e">
        <f>SUM(P12:P41)</f>
        <v>#REF!</v>
      </c>
      <c r="R11" s="72" t="e">
        <f>SUM(R12:R41)</f>
        <v>#REF!</v>
      </c>
      <c r="S11" s="72"/>
      <c r="T11" s="72"/>
      <c r="U11" s="72"/>
      <c r="V11" s="247" t="e">
        <f>SUM(V12:V41)</f>
        <v>#REF!</v>
      </c>
      <c r="X11" s="72" t="e">
        <f>SUM(X12:X41)</f>
        <v>#REF!</v>
      </c>
      <c r="Y11" s="72"/>
      <c r="Z11" s="72"/>
      <c r="AA11" s="72"/>
      <c r="AB11" s="247" t="e">
        <f>SUM(AB12:AB41)</f>
        <v>#REF!</v>
      </c>
      <c r="AD11" s="72" t="e">
        <f>SUM(AD12:AD41)</f>
        <v>#REF!</v>
      </c>
      <c r="AE11" s="72"/>
      <c r="AF11" s="72"/>
      <c r="AG11" s="72"/>
      <c r="AH11" s="247" t="e">
        <f>SUM(AH12:AH41)</f>
        <v>#REF!</v>
      </c>
    </row>
    <row r="12" spans="1:34" ht="20.100000000000001" customHeight="1">
      <c r="A12" s="69">
        <f>T.UP3!A18</f>
        <v>4</v>
      </c>
      <c r="B12" s="160" t="str">
        <f>T.UP3!B18</f>
        <v>Keandalan Jaringan Distribusi</v>
      </c>
      <c r="C12" s="75">
        <f>T.UP3!C18</f>
        <v>0</v>
      </c>
      <c r="D12" s="253">
        <f>T.UP3!D18</f>
        <v>0</v>
      </c>
      <c r="F12" s="202">
        <f>IF(H12="N/A",0,T.UP3!$F$18)</f>
        <v>6</v>
      </c>
      <c r="G12" s="186">
        <f>VLOOKUP($B$12,T.UP3!$B$4:$T$70,MATCH(DETAIL!$F$4,T.UP3!$B$5:$T$5,0),FALSE)</f>
        <v>0</v>
      </c>
      <c r="H12" s="146">
        <f>VLOOKUP($B$12,'R.UP3'!$B$4:$S$54,MATCH(DETAIL!$F$4,'R.UP3'!$B$5:$S$5,0),FALSE)</f>
        <v>0</v>
      </c>
      <c r="I12" s="165">
        <f>IF(OR(G12="N/A",H12="N/A"),"N/A",IF(AND(G12=0,H12=0),0,(2-H12/G12)*100))</f>
        <v>0</v>
      </c>
      <c r="J12" s="103">
        <f>IF(I12="N/A",0,IF(I12&gt;110,F12*110/100,F12*I12/100))</f>
        <v>0</v>
      </c>
      <c r="L12" s="202">
        <f>IF(N12="N/A",0,T.UP3!$F$18)</f>
        <v>6</v>
      </c>
      <c r="M12" s="186">
        <f>VLOOKUP($B$12,T.UP3!$B$4:$T$70,MATCH(DETAIL!$L$4,T.UP3!$B$5:$T$5,0),FALSE)</f>
        <v>0</v>
      </c>
      <c r="N12" s="146">
        <f>VLOOKUP($B$12,'R.UP3'!$B$4:$S$54,MATCH(DETAIL!$L$4,'R.UP3'!$B$5:$S$5,0),FALSE)</f>
        <v>0</v>
      </c>
      <c r="O12" s="165">
        <f>IF(OR(M12="N/A",N12="N/A"),"N/A",IF(AND(M12=0,N12=0),0,(2-N12/M12)*100))</f>
        <v>0</v>
      </c>
      <c r="P12" s="103">
        <f>IF(O12="N/A",0,IF(O12&gt;110,L12*110/100,L12*O12/100))</f>
        <v>0</v>
      </c>
      <c r="R12" s="202">
        <f>IF(T12="N/A",0,T.UP3!$F$18)</f>
        <v>6</v>
      </c>
      <c r="S12" s="186">
        <f>VLOOKUP($B$12,T.UP3!$B$4:$T$70,MATCH(DETAIL!$R$4,T.UP3!$B$5:$T$5,0),FALSE)</f>
        <v>0</v>
      </c>
      <c r="T12" s="146">
        <f>VLOOKUP($B$12,'R.UP3'!$B$4:$S$54,MATCH(DETAIL!$R$4,'R.UP3'!$B$5:$S$5,0),FALSE)</f>
        <v>0</v>
      </c>
      <c r="U12" s="165">
        <f>IF(OR(S12="N/A",T12="N/A"),"N/A",IF(AND(S12=0,T12=0),0,(2-T12/S12)*100))</f>
        <v>0</v>
      </c>
      <c r="V12" s="103">
        <f>IF(U12="N/A",0,IF(U12&gt;110,R12*110/100,R12*U12/100))</f>
        <v>0</v>
      </c>
      <c r="X12" s="202">
        <f>IF(Z12="N/A",0,T.UP3!$F$18)</f>
        <v>6</v>
      </c>
      <c r="Y12" s="186">
        <f>VLOOKUP($B$12,T.UP3!$B$4:$T$70,MATCH(DETAIL!$X$4,T.UP3!$B$5:$T$5,0),FALSE)</f>
        <v>0</v>
      </c>
      <c r="Z12" s="146">
        <f>VLOOKUP($B$12,'R.UP3'!$B$4:$S$54,MATCH(DETAIL!$X$4,'R.UP3'!$B$5:$S$5,0),FALSE)</f>
        <v>0</v>
      </c>
      <c r="AA12" s="165">
        <f>IF(OR(Y12="N/A",Z12="N/A"),"N/A",IF(AND(Y12=0,Z12=0),0,(2-Z12/Y12)*100))</f>
        <v>0</v>
      </c>
      <c r="AB12" s="103">
        <f>IF(AA12="N/A",0,IF(AA12&gt;110,X12*110/100,X12*AA12/100))</f>
        <v>0</v>
      </c>
      <c r="AD12" s="202">
        <f>IF(AF12="N/A",0,T.UP3!$F$18)</f>
        <v>6</v>
      </c>
      <c r="AE12" s="186">
        <f>VLOOKUP($B$12,T.UP3!$B$4:$T$70,MATCH(DETAIL!$AD$4,T.UP3!$B$5:$T$5,0),FALSE)</f>
        <v>0</v>
      </c>
      <c r="AF12" s="146">
        <f>VLOOKUP($B$12,'R.UP3'!$B$4:$S$54,MATCH(DETAIL!$AD$4,'R.UP3'!$B$5:$S$5,0),FALSE)</f>
        <v>0</v>
      </c>
      <c r="AG12" s="165">
        <f>IF(OR(AE12="N/A",AF12="N/A"),"N/A",IF(AND(AE12=0,AF12=0),0,(2-AF12/AE12)*100))</f>
        <v>0</v>
      </c>
      <c r="AH12" s="103">
        <f>IF(AG12="N/A",0,IF(AG12&gt;110,AD12*110/100,AD12*AG12/100))</f>
        <v>0</v>
      </c>
    </row>
    <row r="13" spans="1:34" ht="19.149999999999999" customHeight="1">
      <c r="A13" s="69">
        <f>T.UP3!A19</f>
        <v>0</v>
      </c>
      <c r="B13" s="160" t="str">
        <f>T.UP3!B19</f>
        <v>a. Gangguan TM &gt; 5 Menit</v>
      </c>
      <c r="C13" s="75" t="str">
        <f>T.UP3!C19</f>
        <v>ò</v>
      </c>
      <c r="D13" s="253" t="str">
        <f>T.UP3!D19</f>
        <v>Kali</v>
      </c>
      <c r="F13" s="202">
        <f>IF(H13="N/A",0,T.UP3!$F$19)</f>
        <v>0</v>
      </c>
      <c r="G13" s="186">
        <f>VLOOKUP($B$13,T.UP3!$B$4:$T$70,MATCH(DETAIL!$F$4,T.UP3!$B$5:$T$5,0),FALSE)</f>
        <v>15</v>
      </c>
      <c r="H13" s="146">
        <f>VLOOKUP($B$13,'R.UP3'!$B$4:$S$54,MATCH(DETAIL!$F$4,'R.UP3'!$B$5:$S$5,0),FALSE)</f>
        <v>5</v>
      </c>
      <c r="I13" s="165">
        <f>IF(OR(G13="N/A",H13="N/A"),"N/A",IF(AND(G13=0,H13=0),0,(2-H13/G13)*100))</f>
        <v>166.66666666666669</v>
      </c>
      <c r="J13" s="103">
        <f>IF(I13="N/A",0,IF(I13&gt;110,F13*110/100,F13*I13/100))</f>
        <v>0</v>
      </c>
      <c r="L13" s="202">
        <f>IF(N13="N/A",0,T.UP3!$F$19)</f>
        <v>0</v>
      </c>
      <c r="M13" s="186">
        <f>VLOOKUP($B$13,T.UP3!$B$4:$T$70,MATCH(DETAIL!$L$4,T.UP3!$B$5:$T$5,0),FALSE)</f>
        <v>29</v>
      </c>
      <c r="N13" s="146">
        <f>VLOOKUP($B$13,'R.UP3'!$B$4:$S$54,MATCH(DETAIL!$L$4,'R.UP3'!$B$5:$S$5,0),FALSE)</f>
        <v>10</v>
      </c>
      <c r="O13" s="165">
        <f>IF(OR(M13="N/A",N13="N/A"),"N/A",IF(AND(M13=0,N13=0),0,(2-N13/M13)*100))</f>
        <v>165.51724137931035</v>
      </c>
      <c r="P13" s="103">
        <f>IF(O13="N/A",0,IF(O13&gt;110,L13*110/100,L13*O13/100))</f>
        <v>0</v>
      </c>
      <c r="R13" s="202">
        <f>IF(T13="N/A",0,T.UP3!$F$19)</f>
        <v>0</v>
      </c>
      <c r="S13" s="186">
        <f>VLOOKUP($B$13,T.UP3!$B$4:$T$70,MATCH(DETAIL!$R$4,T.UP3!$B$5:$T$5,0),FALSE)</f>
        <v>45</v>
      </c>
      <c r="T13" s="146">
        <f>VLOOKUP($B$13,'R.UP3'!$B$4:$S$54,MATCH(DETAIL!$R$4,'R.UP3'!$B$5:$S$5,0),FALSE)</f>
        <v>32</v>
      </c>
      <c r="U13" s="165">
        <f>IF(OR(S13="N/A",T13="N/A"),"N/A",IF(AND(S13=0,T13=0),0,(2-T13/S13)*100))</f>
        <v>128.88888888888889</v>
      </c>
      <c r="V13" s="103">
        <f>IF(U13="N/A",0,IF(U13&gt;110,R13*110/100,R13*U13/100))</f>
        <v>0</v>
      </c>
      <c r="X13" s="202">
        <f>IF(Z13="N/A",0,T.UP3!$F$19)</f>
        <v>0</v>
      </c>
      <c r="Y13" s="186">
        <f>VLOOKUP($B$13,T.UP3!$B$4:$T$70,MATCH(DETAIL!$X$4,T.UP3!$B$5:$T$5,0),FALSE)</f>
        <v>59</v>
      </c>
      <c r="Z13" s="146">
        <f>VLOOKUP($B$13,'R.UP3'!$B$4:$S$54,MATCH(DETAIL!$X$4,'R.UP3'!$B$5:$S$5,0),FALSE)</f>
        <v>40</v>
      </c>
      <c r="AA13" s="165">
        <f>IF(OR(Y13="N/A",Z13="N/A"),"N/A",IF(AND(Y13=0,Z13=0),0,(2-Z13/Y13)*100))</f>
        <v>132.20338983050848</v>
      </c>
      <c r="AB13" s="103">
        <f>IF(AA13="N/A",0,IF(AA13&gt;110,X13*110/100,X13*AA13/100))</f>
        <v>0</v>
      </c>
      <c r="AD13" s="202">
        <f>IF(AF13="N/A",0,T.UP3!$F$19)</f>
        <v>0</v>
      </c>
      <c r="AE13" s="186">
        <f>VLOOKUP($B$13,T.UP3!$B$4:$T$70,MATCH(DETAIL!$AD$4,T.UP3!$B$5:$T$5,0),FALSE)</f>
        <v>74</v>
      </c>
      <c r="AF13" s="146">
        <f>VLOOKUP($B$13,'R.UP3'!$B$4:$S$54,MATCH(DETAIL!$AD$4,'R.UP3'!$B$5:$S$5,0),FALSE)</f>
        <v>66</v>
      </c>
      <c r="AG13" s="165">
        <f>IF(OR(AE13="N/A",AF13="N/A"),"N/A",IF(AND(AE13=0,AF13=0),0,(2-AF13/AE13)*100))</f>
        <v>110.81081081081081</v>
      </c>
      <c r="AH13" s="103">
        <f>IF(AG13="N/A",0,IF(AG13&gt;110,AD13*110/100,AD13*AG13/100))</f>
        <v>0</v>
      </c>
    </row>
    <row r="14" spans="1:34" ht="20.100000000000001" customHeight="1">
      <c r="A14" s="69">
        <f>T.UP3!A20</f>
        <v>0</v>
      </c>
      <c r="B14" s="160" t="str">
        <f>T.UP3!B20</f>
        <v>b. Gangguan TM ≤ 5 Menit</v>
      </c>
      <c r="C14" s="75" t="str">
        <f>T.UP3!C20</f>
        <v>ò</v>
      </c>
      <c r="D14" s="253" t="str">
        <f>T.UP3!D20</f>
        <v>Kali</v>
      </c>
      <c r="F14" s="202">
        <f>IF(H14="N/A",0,T.UP3!$F$20)</f>
        <v>0</v>
      </c>
      <c r="G14" s="90">
        <f>VLOOKUP($B$14,T.UP3!$B$4:$T$70,MATCH(DETAIL!$F$4,T.UP3!$B$5:$T$5,0),FALSE)</f>
        <v>17</v>
      </c>
      <c r="H14" s="98">
        <f>VLOOKUP($B$14,'R.UP3'!$B$4:$S$54,MATCH(DETAIL!$F$4,'R.UP3'!$B$5:$S$5,0),FALSE)</f>
        <v>1</v>
      </c>
      <c r="I14" s="165">
        <f>IF(OR(G14="N/A",H14="N/A"),"N/A",IF(AND(G14=0,H14=0),0,(2-H14/G14)*100))</f>
        <v>194.11764705882354</v>
      </c>
      <c r="J14" s="103">
        <f>IF(I14="N/A",0,IF(I14&gt;110,F14*110/100,F14*I14/100))</f>
        <v>0</v>
      </c>
      <c r="L14" s="202">
        <f>IF(N14="N/A",0,T.UP3!$F$20)</f>
        <v>0</v>
      </c>
      <c r="M14" s="90">
        <f>VLOOKUP($B$14,T.UP3!$B$4:$T$70,MATCH(DETAIL!$L$4,T.UP3!$B$5:$T$5,0),FALSE)</f>
        <v>31</v>
      </c>
      <c r="N14" s="98">
        <f>VLOOKUP($B$14,'R.UP3'!$B$4:$S$54,MATCH(DETAIL!$L$4,'R.UP3'!$B$5:$S$5,0),FALSE)</f>
        <v>18</v>
      </c>
      <c r="O14" s="165">
        <f>IF(OR(M14="N/A",N14="N/A"),"N/A",IF(AND(M14=0,N14=0),0,(2-N14/M14)*100))</f>
        <v>141.93548387096774</v>
      </c>
      <c r="P14" s="103">
        <f>IF(O14="N/A",0,IF(O14&gt;110,L14*110/100,L14*O14/100))</f>
        <v>0</v>
      </c>
      <c r="R14" s="202">
        <f>IF(T14="N/A",0,T.UP3!$F$20)</f>
        <v>0</v>
      </c>
      <c r="S14" s="90">
        <f>VLOOKUP($B$14,T.UP3!$B$4:$T$70,MATCH(DETAIL!$R$4,T.UP3!$B$5:$T$5,0),FALSE)</f>
        <v>48</v>
      </c>
      <c r="T14" s="98">
        <f>VLOOKUP($B$14,'R.UP3'!$B$4:$S$54,MATCH(DETAIL!$R$4,'R.UP3'!$B$5:$S$5,0),FALSE)</f>
        <v>21</v>
      </c>
      <c r="U14" s="165">
        <f>IF(OR(S14="N/A",T14="N/A"),"N/A",IF(AND(S14=0,T14=0),0,(2-T14/S14)*100))</f>
        <v>156.25</v>
      </c>
      <c r="V14" s="103">
        <f>IF(U14="N/A",0,IF(U14&gt;110,R14*110/100,R14*U14/100))</f>
        <v>0</v>
      </c>
      <c r="X14" s="202">
        <f>IF(Z14="N/A",0,T.UP3!$F$20)</f>
        <v>0</v>
      </c>
      <c r="Y14" s="90">
        <f>VLOOKUP($B$14,T.UP3!$B$4:$T$70,MATCH(DETAIL!$X$4,T.UP3!$B$5:$T$5,0),FALSE)</f>
        <v>65</v>
      </c>
      <c r="Z14" s="98">
        <f>VLOOKUP($B$14,'R.UP3'!$B$4:$S$54,MATCH(DETAIL!$X$4,'R.UP3'!$B$5:$S$5,0),FALSE)</f>
        <v>22</v>
      </c>
      <c r="AA14" s="165">
        <f>IF(OR(Y14="N/A",Z14="N/A"),"N/A",IF(AND(Y14=0,Z14=0),0,(2-Z14/Y14)*100))</f>
        <v>166.15384615384613</v>
      </c>
      <c r="AB14" s="103">
        <f>IF(AA14="N/A",0,IF(AA14&gt;110,X14*110/100,X14*AA14/100))</f>
        <v>0</v>
      </c>
      <c r="AD14" s="202">
        <f>IF(AF14="N/A",0,T.UP3!$F$20)</f>
        <v>0</v>
      </c>
      <c r="AE14" s="90">
        <f>VLOOKUP($B$14,T.UP3!$B$4:$T$70,MATCH(DETAIL!$AD$4,T.UP3!$B$5:$T$5,0),FALSE)</f>
        <v>79</v>
      </c>
      <c r="AF14" s="98">
        <f>VLOOKUP($B$14,'R.UP3'!$B$4:$S$54,MATCH(DETAIL!$AD$4,'R.UP3'!$B$5:$S$5,0),FALSE)</f>
        <v>57</v>
      </c>
      <c r="AG14" s="165">
        <f>IF(OR(AE14="N/A",AF14="N/A"),"N/A",IF(AND(AE14=0,AF14=0),0,(2-AF14/AE14)*100))</f>
        <v>127.84810126582281</v>
      </c>
      <c r="AH14" s="103">
        <f>IF(AG14="N/A",0,IF(AG14&gt;110,AD14*110/100,AD14*AG14/100))</f>
        <v>0</v>
      </c>
    </row>
    <row r="15" spans="1:34" ht="20.100000000000001" customHeight="1">
      <c r="A15" s="69">
        <f>T.UP3!A21</f>
        <v>0</v>
      </c>
      <c r="B15" s="160" t="str">
        <f>T.UP3!B21</f>
        <v>c. Kerusakan Peralatan Distribusi (PHB TM dan Trafo) Sesuai Kewenangan</v>
      </c>
      <c r="C15" s="75"/>
      <c r="D15" s="253"/>
      <c r="F15" s="202"/>
      <c r="G15" s="203"/>
      <c r="H15" s="203"/>
      <c r="I15" s="203"/>
      <c r="J15" s="204"/>
      <c r="L15" s="202"/>
      <c r="M15" s="203"/>
      <c r="N15" s="203"/>
      <c r="O15" s="203"/>
      <c r="P15" s="204"/>
      <c r="R15" s="202"/>
      <c r="S15" s="203"/>
      <c r="T15" s="203"/>
      <c r="U15" s="203"/>
      <c r="V15" s="204"/>
      <c r="X15" s="202"/>
      <c r="Y15" s="203"/>
      <c r="Z15" s="203"/>
      <c r="AA15" s="203"/>
      <c r="AB15" s="204"/>
      <c r="AD15" s="202"/>
      <c r="AE15" s="203"/>
      <c r="AF15" s="203"/>
      <c r="AG15" s="203"/>
      <c r="AH15" s="204"/>
    </row>
    <row r="16" spans="1:34" ht="19.149999999999999" customHeight="1">
      <c r="A16" s="69"/>
      <c r="B16" s="160" t="str">
        <f>T.UP3!B22</f>
        <v>Peningkatan Layanan</v>
      </c>
      <c r="C16" s="75">
        <f>T.UP3!C22</f>
        <v>0</v>
      </c>
      <c r="D16" s="253">
        <f>T.UP3!D22</f>
        <v>0</v>
      </c>
      <c r="F16" s="202">
        <f>IF(H16="N/A",0,T.UP3!$F$22)</f>
        <v>6</v>
      </c>
      <c r="G16" s="90">
        <f>VLOOKUP($B$16,T.UP3!$B$4:$T$70,MATCH(DETAIL!$F$4,T.UP3!$B$5:$T$5,0),FALSE)</f>
        <v>0</v>
      </c>
      <c r="H16" s="98">
        <f>VLOOKUP($B$16,'R.UP3'!$B$4:$S$54,MATCH(DETAIL!$F$4,'R.UP3'!$B$5:$S$5,0),FALSE)</f>
        <v>0</v>
      </c>
      <c r="I16" s="165">
        <f>IF(OR(G16="N/A",H16="N/A"),"N/A",IF(AND(G16=0,H16=0),0,(2-H16/G16)*100))</f>
        <v>0</v>
      </c>
      <c r="J16" s="103">
        <f>IF(I16="N/A",0,IF(I16&gt;110,F16*110/100,F16*I16/100))</f>
        <v>0</v>
      </c>
      <c r="L16" s="202">
        <f>IF(N16="N/A",0,T.UP3!$F$22)</f>
        <v>6</v>
      </c>
      <c r="M16" s="90">
        <f>VLOOKUP($B$16,T.UP3!$B$4:$T$70,MATCH(DETAIL!$L$4,T.UP3!$B$5:$T$5,0),FALSE)</f>
        <v>0</v>
      </c>
      <c r="N16" s="98">
        <f>VLOOKUP($B$16,'R.UP3'!$B$4:$S$54,MATCH(DETAIL!$L$4,'R.UP3'!$B$5:$S$5,0),FALSE)</f>
        <v>0</v>
      </c>
      <c r="O16" s="165">
        <f>IF(OR(M16="N/A",N16="N/A"),"N/A",IF(AND(M16=0,N16=0),0,(2-N16/M16)*100))</f>
        <v>0</v>
      </c>
      <c r="P16" s="103">
        <f>IF(O16="N/A",0,IF(O16&gt;110,L16*110/100,L16*O16/100))</f>
        <v>0</v>
      </c>
      <c r="R16" s="202">
        <f>IF(T16="N/A",0,T.UP3!$F$22)</f>
        <v>6</v>
      </c>
      <c r="S16" s="90">
        <f>VLOOKUP($B$16,T.UP3!$B$4:$T$70,MATCH(DETAIL!$R$4,T.UP3!$B$5:$T$5,0),FALSE)</f>
        <v>0</v>
      </c>
      <c r="T16" s="98">
        <f>VLOOKUP($B$16,'R.UP3'!$B$4:$S$54,MATCH(DETAIL!$R$4,'R.UP3'!$B$5:$S$5,0),FALSE)</f>
        <v>0</v>
      </c>
      <c r="U16" s="165">
        <f>IF(OR(S16="N/A",T16="N/A"),"N/A",IF(AND(S16=0,T16=0),0,(2-T16/S16)*100))</f>
        <v>0</v>
      </c>
      <c r="V16" s="103">
        <f>IF(U16="N/A",0,IF(U16&gt;110,R16*110/100,R16*U16/100))</f>
        <v>0</v>
      </c>
      <c r="X16" s="202">
        <f>IF(Z16="N/A",0,T.UP3!$F$22)</f>
        <v>6</v>
      </c>
      <c r="Y16" s="90">
        <f>VLOOKUP($B$16,T.UP3!$B$4:$T$70,MATCH(DETAIL!$X$4,T.UP3!$B$5:$T$5,0),FALSE)</f>
        <v>0</v>
      </c>
      <c r="Z16" s="98">
        <f>VLOOKUP($B$16,'R.UP3'!$B$4:$S$54,MATCH(DETAIL!$X$4,'R.UP3'!$B$5:$S$5,0),FALSE)</f>
        <v>0</v>
      </c>
      <c r="AA16" s="165">
        <f>IF(OR(Y16="N/A",Z16="N/A"),"N/A",IF(AND(Y16=0,Z16=0),0,(2-Z16/Y16)*100))</f>
        <v>0</v>
      </c>
      <c r="AB16" s="103">
        <f>IF(AA16="N/A",0,IF(AA16&gt;110,X16*110/100,X16*AA16/100))</f>
        <v>0</v>
      </c>
      <c r="AD16" s="202">
        <f>IF(AF16="N/A",0,T.UP3!$F$22)</f>
        <v>6</v>
      </c>
      <c r="AE16" s="90">
        <f>VLOOKUP($B$16,T.UP3!$B$4:$T$70,MATCH(DETAIL!$AD$4,T.UP3!$B$5:$T$5,0),FALSE)</f>
        <v>0</v>
      </c>
      <c r="AF16" s="98">
        <f>VLOOKUP($B$16,'R.UP3'!$B$4:$S$54,MATCH(DETAIL!$AD$4,'R.UP3'!$B$5:$S$5,0),FALSE)</f>
        <v>0</v>
      </c>
      <c r="AG16" s="165">
        <f>IF(OR(AE16="N/A",AF16="N/A"),"N/A",IF(AND(AE16=0,AF16=0),0,(2-AF16/AE16)*100))</f>
        <v>0</v>
      </c>
      <c r="AH16" s="103">
        <f>IF(AG16="N/A",0,IF(AG16&gt;110,AD16*110/100,AD16*AG16/100))</f>
        <v>0</v>
      </c>
    </row>
    <row r="17" spans="1:34" ht="20.100000000000001" customHeight="1">
      <c r="A17" s="69"/>
      <c r="B17" s="160" t="str">
        <f>T.UP3!B24</f>
        <v>b. Pengaduan Gangguan Berulang pada PLN Mobile</v>
      </c>
      <c r="C17" s="75" t="str">
        <f>T.UP3!C24</f>
        <v>ò</v>
      </c>
      <c r="D17" s="253" t="str">
        <f>T.UP3!D24</f>
        <v>%</v>
      </c>
      <c r="F17" s="202">
        <f>IF(H17="N/A",0,T.UP3!$F$24)</f>
        <v>0</v>
      </c>
      <c r="G17" s="90">
        <f>VLOOKUP($B$17,T.UP3!$B$4:$T$70,MATCH(DETAIL!$F$4,T.UP3!$B$5:$T$5,0),FALSE)</f>
        <v>0.04</v>
      </c>
      <c r="H17" s="98">
        <f>VLOOKUP($B$17,'R.UP3'!$B$4:$S$54,MATCH(DETAIL!$F$4,'R.UP3'!$B$5:$S$5,0),FALSE)</f>
        <v>0</v>
      </c>
      <c r="I17" s="165">
        <f>IF(OR(G17="N/A",H17="N/A"),"N/A",IF(AND(G17=0,H17=0),0,(2-H17/G17)*100))</f>
        <v>200</v>
      </c>
      <c r="J17" s="103">
        <f>IF(I17="N/A",0,IF(I17&gt;110,F17*110/100,F17*I17/100))</f>
        <v>0</v>
      </c>
      <c r="L17" s="202">
        <f>IF(N17="N/A",0,T.UP3!$F$24)</f>
        <v>0</v>
      </c>
      <c r="M17" s="90">
        <f>VLOOKUP($B$17,T.UP3!$B$4:$T$70,MATCH(DETAIL!$L$4,T.UP3!$B$5:$T$5,0),FALSE)</f>
        <v>0.04</v>
      </c>
      <c r="N17" s="98">
        <f>VLOOKUP($B$17,'R.UP3'!$B$4:$S$54,MATCH(DETAIL!$L$4,'R.UP3'!$B$5:$S$5,0),FALSE)</f>
        <v>0</v>
      </c>
      <c r="O17" s="165">
        <f>IF(OR(M17="N/A",N17="N/A"),"N/A",IF(AND(M17=0,N17=0),0,(2-N17/M17)*100))</f>
        <v>200</v>
      </c>
      <c r="P17" s="103">
        <f>IF(O17="N/A",0,IF(O17&gt;110,L17*110/100,L17*O17/100))</f>
        <v>0</v>
      </c>
      <c r="R17" s="202">
        <f>IF(T17="N/A",0,T.UP3!$F$24)</f>
        <v>0</v>
      </c>
      <c r="S17" s="90">
        <f>VLOOKUP($B$17,T.UP3!$B$4:$T$70,MATCH(DETAIL!$R$4,T.UP3!$B$5:$T$5,0),FALSE)</f>
        <v>0.04</v>
      </c>
      <c r="T17" s="98">
        <f>VLOOKUP($B$17,'R.UP3'!$B$4:$S$54,MATCH(DETAIL!$R$4,'R.UP3'!$B$5:$S$5,0),FALSE)</f>
        <v>0</v>
      </c>
      <c r="U17" s="165">
        <f>IF(OR(S17="N/A",T17="N/A"),"N/A",IF(AND(S17=0,T17=0),0,(2-T17/S17)*100))</f>
        <v>200</v>
      </c>
      <c r="V17" s="103">
        <f>IF(U17="N/A",0,IF(U17&gt;110,R17*110/100,R17*U17/100))</f>
        <v>0</v>
      </c>
      <c r="X17" s="202">
        <f>IF(Z17="N/A",0,T.UP3!$F$24)</f>
        <v>0</v>
      </c>
      <c r="Y17" s="90">
        <f>VLOOKUP($B$17,T.UP3!$B$4:$T$70,MATCH(DETAIL!$X$4,T.UP3!$B$5:$T$5,0),FALSE)</f>
        <v>0.04</v>
      </c>
      <c r="Z17" s="98">
        <f>VLOOKUP($B$17,'R.UP3'!$B$4:$S$54,MATCH(DETAIL!$X$4,'R.UP3'!$B$5:$S$5,0),FALSE)</f>
        <v>0</v>
      </c>
      <c r="AA17" s="165">
        <f>IF(OR(Y17="N/A",Z17="N/A"),"N/A",IF(AND(Y17=0,Z17=0),0,(2-Z17/Y17)*100))</f>
        <v>200</v>
      </c>
      <c r="AB17" s="103">
        <f>IF(AA17="N/A",0,IF(AA17&gt;110,X17*110/100,X17*AA17/100))</f>
        <v>0</v>
      </c>
      <c r="AD17" s="202">
        <f>IF(AF17="N/A",0,T.UP3!$F$24)</f>
        <v>0</v>
      </c>
      <c r="AE17" s="90">
        <f>VLOOKUP($B$17,T.UP3!$B$4:$T$70,MATCH(DETAIL!$AD$4,T.UP3!$B$5:$T$5,0),FALSE)</f>
        <v>0.04</v>
      </c>
      <c r="AF17" s="98">
        <f>VLOOKUP($B$17,'R.UP3'!$B$4:$S$54,MATCH(DETAIL!$AD$4,'R.UP3'!$B$5:$S$5,0),FALSE)</f>
        <v>0</v>
      </c>
      <c r="AG17" s="165">
        <f>IF(OR(AE17="N/A",AF17="N/A"),"N/A",IF(AND(AE17=0,AF17=0),0,(2-AF17/AE17)*100))</f>
        <v>200</v>
      </c>
      <c r="AH17" s="103">
        <f>IF(AG17="N/A",0,IF(AG17&gt;110,AD17*110/100,AD17*AG17/100))</f>
        <v>0</v>
      </c>
    </row>
    <row r="18" spans="1:34" ht="16.5">
      <c r="A18" s="69">
        <f>T.UP3!A25</f>
        <v>0</v>
      </c>
      <c r="B18" s="160" t="str">
        <f>T.UP3!B25</f>
        <v>c. Rating PLN Mobile</v>
      </c>
      <c r="C18" s="75" t="str">
        <f>T.UP3!C25</f>
        <v>ñ</v>
      </c>
      <c r="D18" s="253" t="str">
        <f>T.UP3!D25</f>
        <v>Rating</v>
      </c>
      <c r="F18" s="202">
        <f>IF(H18="N/A",0,T.UP3!$F$25)</f>
        <v>0</v>
      </c>
      <c r="G18" s="90">
        <f>VLOOKUP($B$18,T.UP3!$B$4:$T$70,MATCH(DETAIL!$F$4,T.UP3!$B$5:$T$5,0),FALSE)</f>
        <v>4.9000000000000004</v>
      </c>
      <c r="H18" s="98">
        <f>VLOOKUP($B$18,'R.UP3'!$B$4:$S$54,MATCH(DETAIL!$F$4,'R.UP3'!$B$5:$S$5,0),FALSE)</f>
        <v>4.91</v>
      </c>
      <c r="I18" s="165">
        <f>IF(OR(G18="N/A",H18="N/A"),"N/A",IF(AND(G18=0,H18=0),0,H18/G18*100))</f>
        <v>100.20408163265306</v>
      </c>
      <c r="J18" s="103">
        <f>IF(I18="N/A",0,IF(I18&gt;110,F18*110/100,F18*I18/100))</f>
        <v>0</v>
      </c>
      <c r="L18" s="202">
        <f>IF(N18="N/A",0,T.UP3!$F$25)</f>
        <v>0</v>
      </c>
      <c r="M18" s="90">
        <f>VLOOKUP($B$18,T.UP3!$B$4:$T$70,MATCH(DETAIL!$L$4,T.UP3!$B$5:$T$5,0),FALSE)</f>
        <v>4.9000000000000004</v>
      </c>
      <c r="N18" s="98">
        <f>VLOOKUP($B$18,'R.UP3'!$B$4:$S$54,MATCH(DETAIL!$L$4,'R.UP3'!$B$5:$S$5,0),FALSE)</f>
        <v>4.91</v>
      </c>
      <c r="O18" s="165">
        <f>IF(OR(M18="N/A",N18="N/A"),"N/A",IF(AND(M18=0,N18=0),0,N18/M18*100))</f>
        <v>100.20408163265306</v>
      </c>
      <c r="P18" s="103">
        <f>IF(O18="N/A",0,IF(O18&gt;110,L18*110/100,L18*O18/100))</f>
        <v>0</v>
      </c>
      <c r="R18" s="202">
        <f>IF(T18="N/A",0,T.UP3!$F$25)</f>
        <v>0</v>
      </c>
      <c r="S18" s="90">
        <f>VLOOKUP($B$18,T.UP3!$B$4:$T$70,MATCH(DETAIL!$R$4,T.UP3!$B$5:$T$5,0),FALSE)</f>
        <v>4.9000000000000004</v>
      </c>
      <c r="T18" s="98">
        <f>VLOOKUP($B$18,'R.UP3'!$B$4:$S$54,MATCH(DETAIL!$R$4,'R.UP3'!$B$5:$S$5,0),FALSE)</f>
        <v>4.91</v>
      </c>
      <c r="U18" s="165">
        <f>IF(OR(S18="N/A",T18="N/A"),"N/A",IF(AND(S18=0,T18=0),0,T18/S18*100))</f>
        <v>100.20408163265306</v>
      </c>
      <c r="V18" s="103">
        <f>IF(U18="N/A",0,IF(U18&gt;110,R18*110/100,R18*U18/100))</f>
        <v>0</v>
      </c>
      <c r="X18" s="202">
        <f>IF(Z18="N/A",0,T.UP3!$F$25)</f>
        <v>0</v>
      </c>
      <c r="Y18" s="90">
        <f>VLOOKUP($B$18,T.UP3!$B$4:$T$70,MATCH(DETAIL!$X$4,T.UP3!$B$5:$T$5,0),FALSE)</f>
        <v>4.9000000000000004</v>
      </c>
      <c r="Z18" s="98">
        <f>VLOOKUP($B$18,'R.UP3'!$B$4:$S$54,MATCH(DETAIL!$X$4,'R.UP3'!$B$5:$S$5,0),FALSE)</f>
        <v>4.91</v>
      </c>
      <c r="AA18" s="165">
        <f>IF(OR(Y18="N/A",Z18="N/A"),"N/A",IF(AND(Y18=0,Z18=0),0,Z18/Y18*100))</f>
        <v>100.20408163265306</v>
      </c>
      <c r="AB18" s="103">
        <f>IF(AA18="N/A",0,IF(AA18&gt;110,X18*110/100,X18*AA18/100))</f>
        <v>0</v>
      </c>
      <c r="AD18" s="202">
        <f>IF(AF18="N/A",0,T.UP3!$F$25)</f>
        <v>0</v>
      </c>
      <c r="AE18" s="90">
        <f>VLOOKUP($B$18,T.UP3!$B$4:$T$70,MATCH(DETAIL!$AD$4,T.UP3!$B$5:$T$5,0),FALSE)</f>
        <v>4.9000000000000004</v>
      </c>
      <c r="AF18" s="98">
        <f>VLOOKUP($B$18,'R.UP3'!$B$4:$S$54,MATCH(DETAIL!$AD$4,'R.UP3'!$B$5:$S$5,0),FALSE)</f>
        <v>4.9000000000000004</v>
      </c>
      <c r="AG18" s="165">
        <f>IF(OR(AE18="N/A",AF18="N/A"),"N/A",IF(AND(AE18=0,AF18=0),0,AF18/AE18*100))</f>
        <v>100</v>
      </c>
      <c r="AH18" s="103">
        <f>IF(AG18="N/A",0,IF(AG18&gt;110,AD18*110/100,AD18*AG18/100))</f>
        <v>0</v>
      </c>
    </row>
    <row r="19" spans="1:34" ht="16.5">
      <c r="A19" s="69" t="e">
        <f>T.UP3!#REF!</f>
        <v>#REF!</v>
      </c>
      <c r="B19" s="160" t="e">
        <f>T.UP3!#REF!</f>
        <v>#REF!</v>
      </c>
      <c r="C19" s="75"/>
      <c r="D19" s="253"/>
      <c r="F19" s="202"/>
      <c r="G19" s="98"/>
      <c r="H19" s="98"/>
      <c r="I19" s="99"/>
      <c r="J19" s="103"/>
      <c r="L19" s="202"/>
      <c r="M19" s="98"/>
      <c r="N19" s="98"/>
      <c r="O19" s="99"/>
      <c r="P19" s="103"/>
      <c r="R19" s="202"/>
      <c r="S19" s="98"/>
      <c r="T19" s="98"/>
      <c r="U19" s="99"/>
      <c r="V19" s="103"/>
      <c r="X19" s="202"/>
      <c r="Y19" s="98"/>
      <c r="Z19" s="98"/>
      <c r="AA19" s="99"/>
      <c r="AB19" s="103"/>
      <c r="AD19" s="202"/>
      <c r="AE19" s="98"/>
      <c r="AF19" s="98"/>
      <c r="AG19" s="99"/>
      <c r="AH19" s="103"/>
    </row>
    <row r="20" spans="1:34" ht="16.5">
      <c r="A20" s="69"/>
      <c r="B20" s="160" t="str">
        <f>T.UP3!B26</f>
        <v>d. Jumlah Kali Transaksi Keuangan melalui PLN Mobile</v>
      </c>
      <c r="C20" s="75" t="str">
        <f>T.UP3!C26</f>
        <v>ñ</v>
      </c>
      <c r="D20" s="253" t="str">
        <f>T.UP3!D26</f>
        <v>Kali Transaksi</v>
      </c>
      <c r="F20" s="202">
        <f>IF(H20="N/A",0,T.UP3!$F$26)</f>
        <v>0</v>
      </c>
      <c r="G20" s="90">
        <f>VLOOKUP($B$20,T.UP3!$B$4:$T$70,MATCH(DETAIL!$F$4,T.UP3!$B$5:$T$5,0),FALSE)</f>
        <v>5386</v>
      </c>
      <c r="H20" s="98">
        <f>VLOOKUP($B$20,'R.UP3'!$B$4:$S$54,MATCH(DETAIL!$F$4,'R.UP3'!$B$5:$S$5,0),FALSE)</f>
        <v>2781</v>
      </c>
      <c r="I20" s="165">
        <f>IF(OR(G20="N/A",H20="N/A"),"N/A",IF(AND(G20=0,H20=0),0,IF(H20&lt;0,0,(2-H20/G20)*100)))</f>
        <v>148.36613442257706</v>
      </c>
      <c r="J20" s="103">
        <f>IF(OR(I20="N/A",I20&lt;0),0,IF(I20&gt;110,F20*110/100,F20*I20/100))</f>
        <v>0</v>
      </c>
      <c r="L20" s="202">
        <f>IF(N20="N/A",0,T.UP3!$F$26)</f>
        <v>0</v>
      </c>
      <c r="M20" s="90">
        <f>VLOOKUP($B$20,T.UP3!$B$4:$T$70,MATCH(DETAIL!$L$4,T.UP3!$B$5:$T$5,0),FALSE)</f>
        <v>10253</v>
      </c>
      <c r="N20" s="98">
        <f>VLOOKUP($B$20,'R.UP3'!$B$4:$S$54,MATCH(DETAIL!$L$4,'R.UP3'!$B$5:$S$5,0),FALSE)</f>
        <v>6163</v>
      </c>
      <c r="O20" s="165">
        <f>IF(OR(M20="N/A",N20="N/A"),"N/A",IF(AND(M20=0,N20=0),0,IF(N20&lt;0,0,(2-N20/M20)*100)))</f>
        <v>139.89076367892324</v>
      </c>
      <c r="P20" s="103">
        <f>IF(OR(O20="N/A",O20&lt;0),0,IF(O20&gt;110,L20*110/100,L20*O20/100))</f>
        <v>0</v>
      </c>
      <c r="R20" s="202">
        <f>IF(T20="N/A",0,T.UP3!$F$26)</f>
        <v>0</v>
      </c>
      <c r="S20" s="90">
        <f>VLOOKUP($B$20,T.UP3!$B$4:$T$70,MATCH(DETAIL!$R$4,T.UP3!$B$5:$T$5,0),FALSE)</f>
        <v>15641</v>
      </c>
      <c r="T20" s="98">
        <f>VLOOKUP($B$20,'R.UP3'!$B$4:$S$54,MATCH(DETAIL!$R$4,'R.UP3'!$B$5:$S$5,0),FALSE)</f>
        <v>16349</v>
      </c>
      <c r="U20" s="165">
        <f>IF(OR(S20="N/A",T20="N/A"),"N/A",IF(AND(S20=0,T20=0),0,IF(T20&lt;0,0,(2-T20/S20)*100)))</f>
        <v>95.473435202352789</v>
      </c>
      <c r="V20" s="103">
        <f>IF(OR(U20="N/A",U20&lt;0),0,IF(U20&gt;110,R20*110/100,R20*U20/100))</f>
        <v>0</v>
      </c>
      <c r="X20" s="202">
        <f>IF(Z20="N/A",0,T.UP3!$F$26)</f>
        <v>0</v>
      </c>
      <c r="Y20" s="90">
        <f>VLOOKUP($B$20,T.UP3!$B$4:$T$70,MATCH(DETAIL!$X$4,T.UP3!$B$5:$T$5,0),FALSE)</f>
        <v>20855</v>
      </c>
      <c r="Z20" s="98">
        <f>VLOOKUP($B$20,'R.UP3'!$B$4:$S$54,MATCH(DETAIL!$X$4,'R.UP3'!$B$5:$S$5,0),FALSE)</f>
        <v>26667</v>
      </c>
      <c r="AA20" s="165">
        <f>IF(OR(Y20="N/A",Z20="N/A"),"N/A",IF(AND(Y20=0,Z20=0),0,IF(Z20&lt;0,0,(2-Z20/Y20)*100)))</f>
        <v>72.131383361304245</v>
      </c>
      <c r="AB20" s="103">
        <f>IF(OR(AA20="N/A",AA20&lt;0),0,IF(AA20&gt;110,X20*110/100,X20*AA20/100))</f>
        <v>0</v>
      </c>
      <c r="AD20" s="202">
        <f>IF(AF20="N/A",0,T.UP3!$F$26)</f>
        <v>0</v>
      </c>
      <c r="AE20" s="90">
        <f>VLOOKUP($B$20,T.UP3!$B$4:$T$70,MATCH(DETAIL!$AD$4,T.UP3!$B$5:$T$5,0),FALSE)</f>
        <v>26242</v>
      </c>
      <c r="AF20" s="98">
        <f>VLOOKUP($B$20,'R.UP3'!$B$4:$S$54,MATCH(DETAIL!$AD$4,'R.UP3'!$B$5:$S$5,0),FALSE)</f>
        <v>36549</v>
      </c>
      <c r="AG20" s="165">
        <f>IF(OR(AE20="N/A",AF20="N/A"),"N/A",IF(AND(AE20=0,AF20=0),0,IF(AF20&lt;0,0,(2-AF20/AE20)*100)))</f>
        <v>60.723268043594246</v>
      </c>
      <c r="AH20" s="103">
        <f>IF(OR(AG20="N/A",AG20&lt;0),0,IF(AG20&gt;110,AD20*110/100,AD20*AG20/100))</f>
        <v>0</v>
      </c>
    </row>
    <row r="21" spans="1:34" ht="20.100000000000001" customHeight="1">
      <c r="A21" s="69"/>
      <c r="B21" s="160" t="e">
        <f>T.UP3!#REF!</f>
        <v>#REF!</v>
      </c>
      <c r="C21" s="75" t="e">
        <f>T.UP3!#REF!</f>
        <v>#REF!</v>
      </c>
      <c r="D21" s="253" t="e">
        <f>T.UP3!#REF!</f>
        <v>#REF!</v>
      </c>
      <c r="F21" s="202" t="e">
        <f>IF(H21="N/A",0,T.UP3!#REF!)</f>
        <v>#REF!</v>
      </c>
      <c r="G21" s="90" t="e">
        <f>VLOOKUP($B$21,T.UP3!$B$4:$T$70,MATCH(DETAIL!$F$4,T.UP3!$B$5:$T$5,0),FALSE)</f>
        <v>#REF!</v>
      </c>
      <c r="H21" s="98" t="e">
        <f>VLOOKUP($B$21,'R.UP3'!$B$4:$S$54,MATCH(DETAIL!$F$4,'R.UP3'!$B$5:$S$5,0),FALSE)</f>
        <v>#REF!</v>
      </c>
      <c r="I21" s="165" t="e">
        <f>IF(OR(G21="N/A",H21="N/A"),"N/A",IF(AND(G21=0,H21=0),0,(2-H21/G21)*100))</f>
        <v>#REF!</v>
      </c>
      <c r="J21" s="103" t="e">
        <f>IF(OR(I21="N/A",I21&lt;0),0,IF(I21&gt;110,F21*110/100,F21*I21/100))</f>
        <v>#REF!</v>
      </c>
      <c r="L21" s="202" t="e">
        <f>IF(N21="N/A",0,T.UP3!#REF!)</f>
        <v>#REF!</v>
      </c>
      <c r="M21" s="90" t="e">
        <f>VLOOKUP($B$21,T.UP3!$B$4:$T$70,MATCH(DETAIL!$L$4,T.UP3!$B$5:$T$5,0),FALSE)</f>
        <v>#REF!</v>
      </c>
      <c r="N21" s="98" t="e">
        <f>VLOOKUP($B$21,'R.UP3'!$B$4:$S$54,MATCH(DETAIL!$L$4,'R.UP3'!$B$5:$S$5,0),FALSE)</f>
        <v>#REF!</v>
      </c>
      <c r="O21" s="165" t="e">
        <f>IF(OR(M21="N/A",N21="N/A"),"N/A",IF(AND(M21=0,N21=0),0,(2-N21/M21)*100))</f>
        <v>#REF!</v>
      </c>
      <c r="P21" s="103" t="e">
        <f>IF(OR(O21="N/A",O21&lt;0),0,IF(O21&gt;110,L21*110/100,L21*O21/100))</f>
        <v>#REF!</v>
      </c>
      <c r="R21" s="202" t="e">
        <f>IF(T21="N/A",0,T.UP3!#REF!)</f>
        <v>#REF!</v>
      </c>
      <c r="S21" s="90" t="e">
        <f>VLOOKUP($B$21,T.UP3!$B$4:$T$70,MATCH(DETAIL!$R$4,T.UP3!$B$5:$T$5,0),FALSE)</f>
        <v>#REF!</v>
      </c>
      <c r="T21" s="98" t="e">
        <f>VLOOKUP($B$21,'R.UP3'!$B$4:$S$54,MATCH(DETAIL!$R$4,'R.UP3'!$B$5:$S$5,0),FALSE)</f>
        <v>#REF!</v>
      </c>
      <c r="U21" s="165" t="e">
        <f>IF(OR(S21="N/A",T21="N/A"),"N/A",IF(AND(S21=0,T21=0),0,(2-T21/S21)*100))</f>
        <v>#REF!</v>
      </c>
      <c r="V21" s="103" t="e">
        <f>IF(OR(U21="N/A",U21&lt;0),0,IF(U21&gt;110,R21*110/100,R21*U21/100))</f>
        <v>#REF!</v>
      </c>
      <c r="X21" s="202" t="e">
        <f>IF(Z21="N/A",0,T.UP3!#REF!)</f>
        <v>#REF!</v>
      </c>
      <c r="Y21" s="90" t="e">
        <f>VLOOKUP($B$21,T.UP3!$B$4:$T$70,MATCH(DETAIL!$X$4,T.UP3!$B$5:$T$5,0),FALSE)</f>
        <v>#REF!</v>
      </c>
      <c r="Z21" s="98" t="e">
        <f>VLOOKUP($B$21,'R.UP3'!$B$4:$S$54,MATCH(DETAIL!$X$4,'R.UP3'!$B$5:$S$5,0),FALSE)</f>
        <v>#REF!</v>
      </c>
      <c r="AA21" s="165" t="e">
        <f>IF(OR(Y21="N/A",Z21="N/A"),"N/A",IF(AND(Y21=0,Z21=0),0,(2-Z21/Y21)*100))</f>
        <v>#REF!</v>
      </c>
      <c r="AB21" s="103" t="e">
        <f>IF(OR(AA21="N/A",AA21&lt;0),0,IF(AA21&gt;110,X21*110/100,X21*AA21/100))</f>
        <v>#REF!</v>
      </c>
      <c r="AD21" s="202" t="e">
        <f>IF(AF21="N/A",0,T.UP3!#REF!)</f>
        <v>#REF!</v>
      </c>
      <c r="AE21" s="90" t="e">
        <f>VLOOKUP($B$21,T.UP3!$B$4:$T$70,MATCH(DETAIL!$AD$4,T.UP3!$B$5:$T$5,0),FALSE)</f>
        <v>#REF!</v>
      </c>
      <c r="AF21" s="98" t="e">
        <f>VLOOKUP($B$21,'R.UP3'!$B$4:$S$54,MATCH(DETAIL!$AD$4,'R.UP3'!$B$5:$S$5,0),FALSE)</f>
        <v>#REF!</v>
      </c>
      <c r="AG21" s="165" t="e">
        <f>IF(OR(AE21="N/A",AF21="N/A"),"N/A",IF(AND(AE21=0,AF21=0),0,(2-AF21/AE21)*100))</f>
        <v>#REF!</v>
      </c>
      <c r="AH21" s="103" t="e">
        <f>IF(OR(AG21="N/A",AG21&lt;0),0,IF(AG21&gt;110,AD21*110/100,AD21*AG21/100))</f>
        <v>#REF!</v>
      </c>
    </row>
    <row r="22" spans="1:34" ht="20.100000000000001" customHeight="1">
      <c r="A22" s="69">
        <f>T.UP3!A38</f>
        <v>0</v>
      </c>
      <c r="B22" s="160" t="str">
        <f>T.UP3!B38</f>
        <v>b. Penambahan Jumlah Pelanggan</v>
      </c>
      <c r="C22" s="75" t="str">
        <f>T.UP3!C38</f>
        <v>ñ</v>
      </c>
      <c r="D22" s="253" t="str">
        <f>T.UP3!D38</f>
        <v>Pelanggan</v>
      </c>
      <c r="F22" s="202">
        <f>IF(H22="N/A",0,T.UP3!$F$38)</f>
        <v>2</v>
      </c>
      <c r="G22" s="90">
        <f>VLOOKUP($B$22,T.UP3!$B$4:$T$70,MATCH(DETAIL!$F$4,T.UP3!$B$5:$T$5,0),FALSE)</f>
        <v>631</v>
      </c>
      <c r="H22" s="98">
        <f>VLOOKUP($B$22,'R.UP3'!$B$4:$S$54,MATCH(DETAIL!$F$4,'R.UP3'!$B$5:$S$5,0),FALSE)</f>
        <v>498</v>
      </c>
      <c r="I22" s="165">
        <f>IF(OR(G22="N/A",H22="N/A"),"N/A",IF(AND(G22=0,H22=0),0,H22/G22*100))</f>
        <v>78.922345483359749</v>
      </c>
      <c r="J22" s="103">
        <f>IF(OR(I22="N/A",I22&lt;0),0,IF(I22&gt;110,F22*110/100,F22*I22/100))</f>
        <v>1.5784469096671949</v>
      </c>
      <c r="L22" s="202">
        <f>IF(N22="N/A",0,T.UP3!$F$38)</f>
        <v>2</v>
      </c>
      <c r="M22" s="90">
        <f>VLOOKUP($B$22,T.UP3!$B$4:$T$70,MATCH(DETAIL!$L$4,T.UP3!$B$5:$T$5,0),FALSE)</f>
        <v>1283</v>
      </c>
      <c r="N22" s="98">
        <f>VLOOKUP($B$22,'R.UP3'!$B$4:$S$54,MATCH(DETAIL!$L$4,'R.UP3'!$B$5:$S$5,0),FALSE)</f>
        <v>965</v>
      </c>
      <c r="O22" s="165">
        <f>IF(OR(M22="N/A",N22="N/A"),"N/A",IF(AND(M22=0,N22=0),0,N22/M22*100))</f>
        <v>75.214341387373338</v>
      </c>
      <c r="P22" s="103">
        <f>IF(OR(O22="N/A",O22&lt;0),0,IF(O22&gt;110,L22*110/100,L22*O22/100))</f>
        <v>1.5042868277474668</v>
      </c>
      <c r="R22" s="202">
        <f>IF(T22="N/A",0,T.UP3!$F$38)</f>
        <v>2</v>
      </c>
      <c r="S22" s="90">
        <f>VLOOKUP($B$22,T.UP3!$B$4:$T$70,MATCH(DETAIL!$R$4,T.UP3!$B$5:$T$5,0),FALSE)</f>
        <v>1968</v>
      </c>
      <c r="T22" s="98">
        <f>VLOOKUP($B$22,'R.UP3'!$B$4:$S$54,MATCH(DETAIL!$R$4,'R.UP3'!$B$5:$S$5,0),FALSE)</f>
        <v>1364</v>
      </c>
      <c r="U22" s="165">
        <f>IF(OR(S22="N/A",T22="N/A"),"N/A",IF(AND(S22=0,T22=0),0,T22/S22*100))</f>
        <v>69.308943089430898</v>
      </c>
      <c r="V22" s="103">
        <f>IF(OR(U22="N/A",U22&lt;0),0,IF(U22&gt;110,R22*110/100,R22*U22/100))</f>
        <v>1.3861788617886179</v>
      </c>
      <c r="X22" s="202">
        <f>IF(Z22="N/A",0,T.UP3!$F$38)</f>
        <v>2</v>
      </c>
      <c r="Y22" s="90">
        <f>VLOOKUP($B$22,T.UP3!$B$4:$T$70,MATCH(DETAIL!$X$4,T.UP3!$B$5:$T$5,0),FALSE)</f>
        <v>2626</v>
      </c>
      <c r="Z22" s="98">
        <f>VLOOKUP($B$22,'R.UP3'!$B$4:$S$54,MATCH(DETAIL!$X$4,'R.UP3'!$B$5:$S$5,0),FALSE)</f>
        <v>1792</v>
      </c>
      <c r="AA22" s="165">
        <f>IF(OR(Y22="N/A",Z22="N/A"),"N/A",IF(AND(Y22=0,Z22=0),0,Z22/Y22*100))</f>
        <v>68.240670220868239</v>
      </c>
      <c r="AB22" s="103">
        <f>IF(OR(AA22="N/A",AA22&lt;0),0,IF(AA22&gt;110,X22*110/100,X22*AA22/100))</f>
        <v>1.3648134044173648</v>
      </c>
      <c r="AD22" s="202">
        <f>IF(AF22="N/A",0,T.UP3!$F$38)</f>
        <v>2</v>
      </c>
      <c r="AE22" s="90">
        <f>VLOOKUP($B$22,T.UP3!$B$4:$T$70,MATCH(DETAIL!$AD$4,T.UP3!$B$5:$T$5,0),FALSE)</f>
        <v>3639</v>
      </c>
      <c r="AF22" s="98">
        <f>VLOOKUP($B$22,'R.UP3'!$B$4:$S$54,MATCH(DETAIL!$AD$4,'R.UP3'!$B$5:$S$5,0),FALSE)</f>
        <v>2153</v>
      </c>
      <c r="AG22" s="165">
        <f>IF(OR(AE22="N/A",AF22="N/A"),"N/A",IF(AND(AE22=0,AF22=0),0,AF22/AE22*100))</f>
        <v>59.164605660895852</v>
      </c>
      <c r="AH22" s="103">
        <f>IF(OR(AG22="N/A",AG22&lt;0),0,IF(AG22&gt;110,AD22*110/100,AD22*AG22/100))</f>
        <v>1.1832921132179171</v>
      </c>
    </row>
    <row r="23" spans="1:34" ht="31.5">
      <c r="A23" s="69">
        <f>T.UP3!A41</f>
        <v>0</v>
      </c>
      <c r="B23" s="160" t="str">
        <f>T.UP3!B41</f>
        <v>e. Penambahan Jumlah Pelanggan Rumah Tangga Lisdes</v>
      </c>
      <c r="C23" s="75" t="str">
        <f>T.UP3!C41</f>
        <v>ñ</v>
      </c>
      <c r="D23" s="253" t="str">
        <f>T.UP3!D41</f>
        <v>Pelanggan</v>
      </c>
      <c r="F23" s="202">
        <f>IF(H23="N/A",0,T.UP3!$F$41)</f>
        <v>1.5</v>
      </c>
      <c r="G23" s="90">
        <f>VLOOKUP($B$23,T.UP3!$B$4:$T$70,MATCH(DETAIL!$F$4,T.UP3!$B$5:$T$5,0),FALSE)</f>
        <v>3</v>
      </c>
      <c r="H23" s="98">
        <f>VLOOKUP($B$23,'R.UP3'!$B$4:$S$54,MATCH(DETAIL!$F$4,'R.UP3'!$B$5:$S$5,0),FALSE)</f>
        <v>50</v>
      </c>
      <c r="I23" s="165">
        <f>IF(OR(G23="N/A",H23="N/A"),"N/A",IF(AND(G23=0,H23=0),0,H23/G23*100))</f>
        <v>1666.6666666666667</v>
      </c>
      <c r="J23" s="103">
        <f>IF(OR(I23="N/A",I23&lt;0),0,IF(I23&gt;110,F23*110/100,F23*I23/100))</f>
        <v>1.65</v>
      </c>
      <c r="L23" s="202">
        <f>IF(N23="N/A",0,T.UP3!$F$41)</f>
        <v>1.5</v>
      </c>
      <c r="M23" s="90">
        <f>VLOOKUP($B$23,T.UP3!$B$4:$T$70,MATCH(DETAIL!$L$4,T.UP3!$B$5:$T$5,0),FALSE)</f>
        <v>4</v>
      </c>
      <c r="N23" s="98">
        <f>VLOOKUP($B$23,'R.UP3'!$B$4:$S$54,MATCH(DETAIL!$L$4,'R.UP3'!$B$5:$S$5,0),FALSE)</f>
        <v>71</v>
      </c>
      <c r="O23" s="165">
        <f>IF(OR(M23="N/A",N23="N/A"),"N/A",IF(AND(M23=0,N23=0),0,N23/M23*100))</f>
        <v>1775</v>
      </c>
      <c r="P23" s="103">
        <f>IF(OR(O23="N/A",O23&lt;0),0,IF(O23&gt;110,L23*110/100,L23*O23/100))</f>
        <v>1.65</v>
      </c>
      <c r="R23" s="202">
        <f>IF(T23="N/A",0,T.UP3!$F$41)</f>
        <v>1.5</v>
      </c>
      <c r="S23" s="90">
        <f>VLOOKUP($B$23,T.UP3!$B$4:$T$70,MATCH(DETAIL!$R$4,T.UP3!$B$5:$T$5,0),FALSE)</f>
        <v>4</v>
      </c>
      <c r="T23" s="98">
        <f>VLOOKUP($B$23,'R.UP3'!$B$4:$S$54,MATCH(DETAIL!$R$4,'R.UP3'!$B$5:$S$5,0),FALSE)</f>
        <v>87</v>
      </c>
      <c r="U23" s="165">
        <f>IF(OR(S23="N/A",T23="N/A"),"N/A",IF(AND(S23=0,T23=0),0,T23/S23*100))</f>
        <v>2175</v>
      </c>
      <c r="V23" s="103">
        <f>IF(OR(U23="N/A",U23&lt;0),0,IF(U23&gt;110,R23*110/100,R23*U23/100))</f>
        <v>1.65</v>
      </c>
      <c r="X23" s="202">
        <f>IF(Z23="N/A",0,T.UP3!$F$41)</f>
        <v>1.5</v>
      </c>
      <c r="Y23" s="90">
        <f>VLOOKUP($B$23,T.UP3!$B$4:$T$70,MATCH(DETAIL!$X$4,T.UP3!$B$5:$T$5,0),FALSE)</f>
        <v>4</v>
      </c>
      <c r="Z23" s="98">
        <f>VLOOKUP($B$23,'R.UP3'!$B$4:$S$54,MATCH(DETAIL!$X$4,'R.UP3'!$B$5:$S$5,0),FALSE)</f>
        <v>113</v>
      </c>
      <c r="AA23" s="165">
        <f>IF(OR(Y23="N/A",Z23="N/A"),"N/A",IF(AND(Y23=0,Z23=0),0,Z23/Y23*100))</f>
        <v>2825</v>
      </c>
      <c r="AB23" s="103">
        <f>IF(OR(AA23="N/A",AA23&lt;0),0,IF(AA23&gt;110,X23*110/100,X23*AA23/100))</f>
        <v>1.65</v>
      </c>
      <c r="AD23" s="202">
        <f>IF(AF23="N/A",0,T.UP3!$F$41)</f>
        <v>1.5</v>
      </c>
      <c r="AE23" s="90">
        <f>VLOOKUP($B$23,T.UP3!$B$4:$T$70,MATCH(DETAIL!$AD$4,T.UP3!$B$5:$T$5,0),FALSE)</f>
        <v>8</v>
      </c>
      <c r="AF23" s="98">
        <f>VLOOKUP($B$23,'R.UP3'!$B$4:$S$54,MATCH(DETAIL!$AD$4,'R.UP3'!$B$5:$S$5,0),FALSE)</f>
        <v>134</v>
      </c>
      <c r="AG23" s="165">
        <f>IF(OR(AE23="N/A",AF23="N/A"),"N/A",IF(AND(AE23=0,AF23=0),0,AF23/AE23*100))</f>
        <v>1675</v>
      </c>
      <c r="AH23" s="103">
        <f>IF(OR(AG23="N/A",AG23&lt;0),0,IF(AG23&gt;110,AD23*110/100,AD23*AG23/100))</f>
        <v>1.65</v>
      </c>
    </row>
    <row r="24" spans="1:34" ht="20.100000000000001" customHeight="1">
      <c r="A24" s="69">
        <f>T.UP3!A43</f>
        <v>10</v>
      </c>
      <c r="B24" s="160" t="str">
        <f>T.UP3!B43</f>
        <v>Pengelolaan Pembacaan Meter</v>
      </c>
      <c r="C24" s="75">
        <f>T.UP3!C43</f>
        <v>0</v>
      </c>
      <c r="D24" s="253">
        <f>T.UP3!D43</f>
        <v>0</v>
      </c>
      <c r="F24" s="202">
        <f>IF(H24="N/A",0,T.UP3!$F$43)</f>
        <v>4</v>
      </c>
      <c r="G24" s="90">
        <f>VLOOKUP($B$24,T.UP3!$B$4:$T$70,MATCH(DETAIL!$F$4,T.UP3!$B$5:$T$5,0),FALSE)</f>
        <v>0</v>
      </c>
      <c r="H24" s="98">
        <f>VLOOKUP($B$24,'R.UP3'!$B$4:$S$54,MATCH(DETAIL!$F$4,'R.UP3'!$B$5:$S$5,0),FALSE)</f>
        <v>0</v>
      </c>
      <c r="I24" s="165">
        <f>IF(OR(G24="N/A",H24="N/A"),"N/A",IF(AND(G24=0,H24=0),0,H24/G24*100))</f>
        <v>0</v>
      </c>
      <c r="J24" s="103">
        <f>IF(OR(I24="N/A",I24&lt;0),0,IF(I24&gt;110,F24*110/100,F24*I24/100))</f>
        <v>0</v>
      </c>
      <c r="L24" s="202">
        <f>IF(N24="N/A",0,T.UP3!$F$43)</f>
        <v>4</v>
      </c>
      <c r="M24" s="90">
        <f>VLOOKUP($B$24,T.UP3!$B$4:$T$70,MATCH(DETAIL!$L$4,T.UP3!$B$5:$T$5,0),FALSE)</f>
        <v>0</v>
      </c>
      <c r="N24" s="98">
        <f>VLOOKUP($B$24,'R.UP3'!$B$4:$S$54,MATCH(DETAIL!$L$4,'R.UP3'!$B$5:$S$5,0),FALSE)</f>
        <v>0</v>
      </c>
      <c r="O24" s="165">
        <f>IF(OR(M24="N/A",N24="N/A"),"N/A",IF(AND(M24=0,N24=0),0,N24/M24*100))</f>
        <v>0</v>
      </c>
      <c r="P24" s="103">
        <f>IF(OR(O24="N/A",O24&lt;0),0,IF(O24&gt;110,L24*110/100,L24*O24/100))</f>
        <v>0</v>
      </c>
      <c r="R24" s="202">
        <f>IF(T24="N/A",0,T.UP3!$F$43)</f>
        <v>4</v>
      </c>
      <c r="S24" s="90">
        <f>VLOOKUP($B$24,T.UP3!$B$4:$T$70,MATCH(DETAIL!$R$4,T.UP3!$B$5:$T$5,0),FALSE)</f>
        <v>0</v>
      </c>
      <c r="T24" s="98">
        <f>VLOOKUP($B$24,'R.UP3'!$B$4:$S$54,MATCH(DETAIL!$R$4,'R.UP3'!$B$5:$S$5,0),FALSE)</f>
        <v>0</v>
      </c>
      <c r="U24" s="165">
        <f>IF(OR(S24="N/A",T24="N/A"),"N/A",IF(AND(S24=0,T24=0),0,T24/S24*100))</f>
        <v>0</v>
      </c>
      <c r="V24" s="103">
        <f>IF(OR(U24="N/A",U24&lt;0),0,IF(U24&gt;110,R24*110/100,R24*U24/100))</f>
        <v>0</v>
      </c>
      <c r="X24" s="202">
        <f>IF(Z24="N/A",0,T.UP3!$F$43)</f>
        <v>4</v>
      </c>
      <c r="Y24" s="90">
        <f>VLOOKUP($B$24,T.UP3!$B$4:$T$70,MATCH(DETAIL!$X$4,T.UP3!$B$5:$T$5,0),FALSE)</f>
        <v>0</v>
      </c>
      <c r="Z24" s="98">
        <f>VLOOKUP($B$24,'R.UP3'!$B$4:$S$54,MATCH(DETAIL!$X$4,'R.UP3'!$B$5:$S$5,0),FALSE)</f>
        <v>0</v>
      </c>
      <c r="AA24" s="165">
        <f>IF(OR(Y24="N/A",Z24="N/A"),"N/A",IF(AND(Y24=0,Z24=0),0,Z24/Y24*100))</f>
        <v>0</v>
      </c>
      <c r="AB24" s="103">
        <f>IF(OR(AA24="N/A",AA24&lt;0),0,IF(AA24&gt;110,X24*110/100,X24*AA24/100))</f>
        <v>0</v>
      </c>
      <c r="AD24" s="202">
        <f>IF(AF24="N/A",0,T.UP3!$F$43)</f>
        <v>4</v>
      </c>
      <c r="AE24" s="90">
        <f>VLOOKUP($B$24,T.UP3!$B$4:$T$70,MATCH(DETAIL!$AD$4,T.UP3!$B$5:$T$5,0),FALSE)</f>
        <v>0</v>
      </c>
      <c r="AF24" s="98">
        <f>VLOOKUP($B$24,'R.UP3'!$B$4:$S$54,MATCH(DETAIL!$AD$4,'R.UP3'!$B$5:$S$5,0),FALSE)</f>
        <v>0</v>
      </c>
      <c r="AG24" s="165">
        <f>IF(OR(AE24="N/A",AF24="N/A"),"N/A",IF(AND(AE24=0,AF24=0),0,AF24/AE24*100))</f>
        <v>0</v>
      </c>
      <c r="AH24" s="103">
        <f>IF(OR(AG24="N/A",AG24&lt;0),0,IF(AG24&gt;110,AD24*110/100,AD24*AG24/100))</f>
        <v>0</v>
      </c>
    </row>
    <row r="25" spans="1:34" ht="16.5">
      <c r="A25" s="69">
        <f>T.UP3!A44</f>
        <v>0</v>
      </c>
      <c r="B25" s="160" t="str">
        <f>T.UP3!B44</f>
        <v>a. Jumlah Pengguna Swa Cam</v>
      </c>
      <c r="C25" s="75"/>
      <c r="D25" s="253"/>
      <c r="F25" s="202"/>
      <c r="G25" s="98"/>
      <c r="H25" s="98"/>
      <c r="I25" s="99"/>
      <c r="J25" s="103"/>
      <c r="L25" s="202"/>
      <c r="M25" s="98"/>
      <c r="N25" s="98"/>
      <c r="O25" s="99"/>
      <c r="P25" s="103"/>
      <c r="R25" s="202"/>
      <c r="S25" s="98"/>
      <c r="T25" s="98"/>
      <c r="U25" s="99"/>
      <c r="V25" s="103"/>
      <c r="X25" s="202"/>
      <c r="Y25" s="98"/>
      <c r="Z25" s="98"/>
      <c r="AA25" s="99"/>
      <c r="AB25" s="103"/>
      <c r="AD25" s="202"/>
      <c r="AE25" s="98"/>
      <c r="AF25" s="98"/>
      <c r="AG25" s="99"/>
      <c r="AH25" s="103"/>
    </row>
    <row r="26" spans="1:34" ht="20.100000000000001" customHeight="1">
      <c r="A26" s="69"/>
      <c r="B26" s="160" t="e">
        <f>T.UP3!#REF!</f>
        <v>#REF!</v>
      </c>
      <c r="C26" s="75" t="e">
        <f>T.UP3!#REF!</f>
        <v>#REF!</v>
      </c>
      <c r="D26" s="253" t="e">
        <f>T.UP3!#REF!</f>
        <v>#REF!</v>
      </c>
      <c r="F26" s="202" t="e">
        <f>IF(H26="N/A",0,T.UP3!#REF!)</f>
        <v>#REF!</v>
      </c>
      <c r="G26" s="91" t="e">
        <f>VLOOKUP($B$26,T.UP3!$B$4:$T$70,MATCH(DETAIL!$F$4,T.UP3!$B$5:$T$5,0),FALSE)</f>
        <v>#REF!</v>
      </c>
      <c r="H26" s="101" t="e">
        <f>VLOOKUP($B$26,'R.UP3'!$B$4:$S$54,MATCH(DETAIL!$F$4,'R.UP3'!$B$5:$S$5,0),FALSE)</f>
        <v>#REF!</v>
      </c>
      <c r="I26" s="165" t="e">
        <f>IF(OR(G26="N/A",H26="N/A"),"N/A",IF(AND(G26=0,H26=0),0,H26/G26*100))</f>
        <v>#REF!</v>
      </c>
      <c r="J26" s="103" t="e">
        <f>IF(OR(I26="N/A",I26&lt;0),0,IF(I26&gt;110,F26*110/100,F26*I26/100))</f>
        <v>#REF!</v>
      </c>
      <c r="L26" s="202" t="e">
        <f>IF(N26="N/A",0,T.UP3!#REF!)</f>
        <v>#REF!</v>
      </c>
      <c r="M26" s="91" t="e">
        <f>VLOOKUP($B$26,T.UP3!$B$4:$T$70,MATCH(DETAIL!$L$4,T.UP3!$B$5:$T$5,0),FALSE)</f>
        <v>#REF!</v>
      </c>
      <c r="N26" s="101" t="e">
        <f>VLOOKUP($B$26,'R.UP3'!$B$4:$S$54,MATCH(DETAIL!$L$4,'R.UP3'!$B$5:$S$5,0),FALSE)</f>
        <v>#REF!</v>
      </c>
      <c r="O26" s="165" t="e">
        <f>IF(OR(M26="N/A",N26="N/A"),"N/A",IF(AND(M26=0,N26=0),0,N26/M26*100))</f>
        <v>#REF!</v>
      </c>
      <c r="P26" s="103" t="e">
        <f>IF(OR(O26="N/A",O26&lt;0),0,IF(O26&gt;110,L26*110/100,L26*O26/100))</f>
        <v>#REF!</v>
      </c>
      <c r="R26" s="202" t="e">
        <f>IF(T26="N/A",0,T.UP3!#REF!)</f>
        <v>#REF!</v>
      </c>
      <c r="S26" s="91" t="e">
        <f>VLOOKUP($B$26,T.UP3!$B$4:$T$70,MATCH(DETAIL!$R$4,T.UP3!$B$5:$T$5,0),FALSE)</f>
        <v>#REF!</v>
      </c>
      <c r="T26" s="101" t="e">
        <f>VLOOKUP($B$26,'R.UP3'!$B$4:$S$54,MATCH(DETAIL!$R$4,'R.UP3'!$B$5:$S$5,0),FALSE)</f>
        <v>#REF!</v>
      </c>
      <c r="U26" s="165" t="e">
        <f>IF(OR(S26="N/A",T26="N/A"),"N/A",IF(AND(S26=0,T26=0),0,T26/S26*100))</f>
        <v>#REF!</v>
      </c>
      <c r="V26" s="103" t="e">
        <f>IF(OR(U26="N/A",U26&lt;0),0,IF(U26&gt;110,R26*110/100,R26*U26/100))</f>
        <v>#REF!</v>
      </c>
      <c r="X26" s="202" t="e">
        <f>IF(Z26="N/A",0,T.UP3!#REF!)</f>
        <v>#REF!</v>
      </c>
      <c r="Y26" s="91" t="e">
        <f>VLOOKUP($B$26,T.UP3!$B$4:$T$70,MATCH(DETAIL!$X$4,T.UP3!$B$5:$T$5,0),FALSE)</f>
        <v>#REF!</v>
      </c>
      <c r="Z26" s="101" t="e">
        <f>VLOOKUP($B$26,'R.UP3'!$B$4:$S$54,MATCH(DETAIL!$X$4,'R.UP3'!$B$5:$S$5,0),FALSE)</f>
        <v>#REF!</v>
      </c>
      <c r="AA26" s="165" t="e">
        <f>IF(OR(Y26="N/A",Z26="N/A"),"N/A",IF(AND(Y26=0,Z26=0),0,Z26/Y26*100))</f>
        <v>#REF!</v>
      </c>
      <c r="AB26" s="103" t="e">
        <f>IF(OR(AA26="N/A",AA26&lt;0),0,IF(AA26&gt;110,X26*110/100,X26*AA26/100))</f>
        <v>#REF!</v>
      </c>
      <c r="AD26" s="202" t="e">
        <f>IF(AF26="N/A",0,T.UP3!#REF!)</f>
        <v>#REF!</v>
      </c>
      <c r="AE26" s="91" t="e">
        <f>VLOOKUP($B$26,T.UP3!$B$4:$T$70,MATCH(DETAIL!$AD$4,T.UP3!$B$5:$T$5,0),FALSE)</f>
        <v>#REF!</v>
      </c>
      <c r="AF26" s="101" t="e">
        <f>VLOOKUP($B$26,'R.UP3'!$B$4:$S$54,MATCH(DETAIL!$AD$4,'R.UP3'!$B$5:$S$5,0),FALSE)</f>
        <v>#REF!</v>
      </c>
      <c r="AG26" s="165" t="e">
        <f>IF(OR(AE26="N/A",AF26="N/A"),"N/A",IF(AND(AE26=0,AF26=0),0,AF26/AE26*100))</f>
        <v>#REF!</v>
      </c>
      <c r="AH26" s="103" t="e">
        <f>IF(OR(AG26="N/A",AG26&lt;0),0,IF(AG26&gt;110,AD26*110/100,AD26*AG26/100))</f>
        <v>#REF!</v>
      </c>
    </row>
    <row r="27" spans="1:34" ht="20.100000000000001" customHeight="1">
      <c r="A27" s="69"/>
      <c r="B27" s="160" t="str">
        <f>T.UP3!B47</f>
        <v>a. Pencapaian Rata-Rata Saldo Tanggal 20 diluar Konsumen Instansi (Kementerian &amp; Lembaga)</v>
      </c>
      <c r="C27" s="75"/>
      <c r="D27" s="253"/>
      <c r="F27" s="202"/>
      <c r="G27" s="90"/>
      <c r="H27" s="90"/>
      <c r="I27" s="99"/>
      <c r="J27" s="94"/>
      <c r="L27" s="202"/>
      <c r="M27" s="90"/>
      <c r="N27" s="90"/>
      <c r="O27" s="99"/>
      <c r="P27" s="94"/>
      <c r="R27" s="202"/>
      <c r="S27" s="90"/>
      <c r="T27" s="90"/>
      <c r="U27" s="99"/>
      <c r="V27" s="94"/>
      <c r="X27" s="202"/>
      <c r="Y27" s="90"/>
      <c r="Z27" s="90"/>
      <c r="AA27" s="99"/>
      <c r="AB27" s="94"/>
      <c r="AD27" s="202"/>
      <c r="AE27" s="90"/>
      <c r="AF27" s="90"/>
      <c r="AG27" s="99"/>
      <c r="AH27" s="94"/>
    </row>
    <row r="28" spans="1:34" ht="20.100000000000001" customHeight="1">
      <c r="A28" s="69"/>
      <c r="B28" s="160" t="str">
        <f>T.UP3!B51</f>
        <v>a. Pengendalian Penggunaan Anggaran Investasi sesuai RKAP</v>
      </c>
      <c r="C28" s="75" t="str">
        <f>T.UP3!C51</f>
        <v>ó</v>
      </c>
      <c r="D28" s="253" t="str">
        <f>T.UP3!D51</f>
        <v>%</v>
      </c>
      <c r="F28" s="202">
        <f>IF(H28="N/A",0,T.UP3!$F$51)</f>
        <v>0</v>
      </c>
      <c r="G28" s="90" t="str">
        <f>VLOOKUP($B$28,T.UP3!$B$4:$T$70,MATCH(DETAIL!$F$4,T.UP3!$B$5:$T$5,0),FALSE)</f>
        <v>95-100</v>
      </c>
      <c r="H28" s="98">
        <f>VLOOKUP($B$28,'R.UP3'!$B$4:$S$54,MATCH(DETAIL!$F$4,'R.UP3'!$B$5:$S$5,0),FALSE)</f>
        <v>100</v>
      </c>
      <c r="I28" s="165" t="e">
        <f>IF(OR(G28="N/A",H28="N/A"),"N/A",IF(AND(G28=0,H28=0),0,(2-H28/G28)*100))</f>
        <v>#VALUE!</v>
      </c>
      <c r="J28" s="103" t="e">
        <f t="shared" ref="J28:J33" si="0">IF(OR(I28="N/A",I28&lt;0),0,IF(I28&gt;110,F28*110/100,F28*I28/100))</f>
        <v>#VALUE!</v>
      </c>
      <c r="L28" s="202">
        <f>IF(N28="N/A",0,T.UP3!$F$51)</f>
        <v>0</v>
      </c>
      <c r="M28" s="90" t="str">
        <f>VLOOKUP($B$28,T.UP3!$B$4:$T$70,MATCH(DETAIL!$L$4,T.UP3!$B$5:$T$5,0),FALSE)</f>
        <v>95-100</v>
      </c>
      <c r="N28" s="98">
        <f>VLOOKUP($B$28,'R.UP3'!$B$4:$S$54,MATCH(DETAIL!$L$4,'R.UP3'!$B$5:$S$5,0),FALSE)</f>
        <v>100</v>
      </c>
      <c r="O28" s="165" t="e">
        <f>IF(OR(M28="N/A",N28="N/A"),"N/A",IF(AND(M28=0,N28=0),0,(2-N28/M28)*100))</f>
        <v>#VALUE!</v>
      </c>
      <c r="P28" s="103" t="e">
        <f t="shared" ref="P28:P33" si="1">IF(OR(O28="N/A",O28&lt;0),0,IF(O28&gt;110,L28*110/100,L28*O28/100))</f>
        <v>#VALUE!</v>
      </c>
      <c r="R28" s="202">
        <f>IF(T28="N/A",0,T.UP3!$F$51)</f>
        <v>0</v>
      </c>
      <c r="S28" s="90" t="str">
        <f>VLOOKUP($B$28,T.UP3!$B$4:$T$70,MATCH(DETAIL!$R$4,T.UP3!$B$5:$T$5,0),FALSE)</f>
        <v>95-100</v>
      </c>
      <c r="T28" s="98">
        <f>VLOOKUP($B$28,'R.UP3'!$B$4:$S$54,MATCH(DETAIL!$R$4,'R.UP3'!$B$5:$S$5,0),FALSE)</f>
        <v>39.549999999999997</v>
      </c>
      <c r="U28" s="165" t="e">
        <f>IF(OR(S28="N/A",T28="N/A"),"N/A",IF(AND(S28=0,T28=0),0,(2-T28/S28)*100))</f>
        <v>#VALUE!</v>
      </c>
      <c r="V28" s="103" t="e">
        <f t="shared" ref="V28:V33" si="2">IF(OR(U28="N/A",U28&lt;0),0,IF(U28&gt;110,R28*110/100,R28*U28/100))</f>
        <v>#VALUE!</v>
      </c>
      <c r="X28" s="202">
        <f>IF(Z28="N/A",0,T.UP3!$F$51)</f>
        <v>0</v>
      </c>
      <c r="Y28" s="90" t="str">
        <f>VLOOKUP($B$28,T.UP3!$B$4:$T$70,MATCH(DETAIL!$X$4,T.UP3!$B$5:$T$5,0),FALSE)</f>
        <v>95-100</v>
      </c>
      <c r="Z28" s="98">
        <f>VLOOKUP($B$28,'R.UP3'!$B$4:$S$54,MATCH(DETAIL!$X$4,'R.UP3'!$B$5:$S$5,0),FALSE)</f>
        <v>58.86</v>
      </c>
      <c r="AA28" s="165" t="e">
        <f>IF(OR(Y28="N/A",Z28="N/A"),"N/A",IF(AND(Y28=0,Z28=0),0,(2-Z28/Y28)*100))</f>
        <v>#VALUE!</v>
      </c>
      <c r="AB28" s="103" t="e">
        <f t="shared" ref="AB28:AB33" si="3">IF(OR(AA28="N/A",AA28&lt;0),0,IF(AA28&gt;110,X28*110/100,X28*AA28/100))</f>
        <v>#VALUE!</v>
      </c>
      <c r="AD28" s="202">
        <f>IF(AF28="N/A",0,T.UP3!$F$51)</f>
        <v>0</v>
      </c>
      <c r="AE28" s="90" t="str">
        <f>VLOOKUP($B$28,T.UP3!$B$4:$T$70,MATCH(DETAIL!$AD$4,T.UP3!$B$5:$T$5,0),FALSE)</f>
        <v>95-100</v>
      </c>
      <c r="AF28" s="98">
        <f>VLOOKUP($B$28,'R.UP3'!$B$4:$S$54,MATCH(DETAIL!$AD$4,'R.UP3'!$B$5:$S$5,0),FALSE)</f>
        <v>71.11</v>
      </c>
      <c r="AG28" s="165" t="e">
        <f>IF(OR(AE28="N/A",AF28="N/A"),"N/A",IF(AND(AE28=0,AF28=0),0,(2-AF28/AE28)*100))</f>
        <v>#VALUE!</v>
      </c>
      <c r="AH28" s="103" t="e">
        <f t="shared" ref="AH28:AH33" si="4">IF(OR(AG28="N/A",AG28&lt;0),0,IF(AG28&gt;110,AD28*110/100,AD28*AG28/100))</f>
        <v>#VALUE!</v>
      </c>
    </row>
    <row r="29" spans="1:34" ht="20.100000000000001" customHeight="1">
      <c r="A29" s="69"/>
      <c r="B29" s="160" t="e">
        <f>T.UP3!#REF!</f>
        <v>#REF!</v>
      </c>
      <c r="C29" s="75" t="e">
        <f>T.UP3!#REF!</f>
        <v>#REF!</v>
      </c>
      <c r="D29" s="253" t="e">
        <f>T.UP3!#REF!</f>
        <v>#REF!</v>
      </c>
      <c r="F29" s="202" t="e">
        <f>IF(H29="N/A",0,T.UP3!#REF!)</f>
        <v>#REF!</v>
      </c>
      <c r="G29" s="90" t="e">
        <f>VLOOKUP($B$29,T.UP3!$B$4:$T$70,MATCH(DETAIL!$F$4,T.UP3!$B$5:$T$5,0),FALSE)</f>
        <v>#REF!</v>
      </c>
      <c r="H29" s="98" t="e">
        <f>VLOOKUP($B$29,'R.UP3'!$B$4:$S$54,MATCH(DETAIL!$F$4,'R.UP3'!$B$5:$S$5,0),FALSE)</f>
        <v>#REF!</v>
      </c>
      <c r="I29" s="165" t="e">
        <f>IF(OR(G29="N/A",H29="N/A"),"N/A",IF(AND(G29=0,H29=0),0,(2-H29/G29)*100))</f>
        <v>#REF!</v>
      </c>
      <c r="J29" s="103" t="e">
        <f t="shared" si="0"/>
        <v>#REF!</v>
      </c>
      <c r="L29" s="202" t="e">
        <f>IF(N29="N/A",0,T.UP3!#REF!)</f>
        <v>#REF!</v>
      </c>
      <c r="M29" s="90" t="e">
        <f>VLOOKUP($B$29,T.UP3!$B$4:$T$70,MATCH(DETAIL!$L$4,T.UP3!$B$5:$T$5,0),FALSE)</f>
        <v>#REF!</v>
      </c>
      <c r="N29" s="98" t="e">
        <f>VLOOKUP($B$29,'R.UP3'!$B$4:$S$54,MATCH(DETAIL!$L$4,'R.UP3'!$B$5:$S$5,0),FALSE)</f>
        <v>#REF!</v>
      </c>
      <c r="O29" s="165" t="e">
        <f>IF(OR(M29="N/A",N29="N/A"),"N/A",IF(AND(M29=0,N29=0),0,(2-N29/M29)*100))</f>
        <v>#REF!</v>
      </c>
      <c r="P29" s="103" t="e">
        <f t="shared" si="1"/>
        <v>#REF!</v>
      </c>
      <c r="R29" s="202" t="e">
        <f>IF(T29="N/A",0,T.UP3!#REF!)</f>
        <v>#REF!</v>
      </c>
      <c r="S29" s="90" t="e">
        <f>VLOOKUP($B$29,T.UP3!$B$4:$T$70,MATCH(DETAIL!$R$4,T.UP3!$B$5:$T$5,0),FALSE)</f>
        <v>#REF!</v>
      </c>
      <c r="T29" s="98" t="e">
        <f>VLOOKUP($B$29,'R.UP3'!$B$4:$S$54,MATCH(DETAIL!$R$4,'R.UP3'!$B$5:$S$5,0),FALSE)</f>
        <v>#REF!</v>
      </c>
      <c r="U29" s="165" t="e">
        <f>IF(OR(S29="N/A",T29="N/A"),"N/A",IF(AND(S29=0,T29=0),0,(2-T29/S29)*100))</f>
        <v>#REF!</v>
      </c>
      <c r="V29" s="103" t="e">
        <f t="shared" si="2"/>
        <v>#REF!</v>
      </c>
      <c r="X29" s="202" t="e">
        <f>IF(Z29="N/A",0,T.UP3!#REF!)</f>
        <v>#REF!</v>
      </c>
      <c r="Y29" s="90" t="e">
        <f>VLOOKUP($B$29,T.UP3!$B$4:$T$70,MATCH(DETAIL!$X$4,T.UP3!$B$5:$T$5,0),FALSE)</f>
        <v>#REF!</v>
      </c>
      <c r="Z29" s="98" t="e">
        <f>VLOOKUP($B$29,'R.UP3'!$B$4:$S$54,MATCH(DETAIL!$X$4,'R.UP3'!$B$5:$S$5,0),FALSE)</f>
        <v>#REF!</v>
      </c>
      <c r="AA29" s="165" t="e">
        <f>IF(OR(Y29="N/A",Z29="N/A"),"N/A",IF(AND(Y29=0,Z29=0),0,(2-Z29/Y29)*100))</f>
        <v>#REF!</v>
      </c>
      <c r="AB29" s="103" t="e">
        <f t="shared" si="3"/>
        <v>#REF!</v>
      </c>
      <c r="AD29" s="202" t="e">
        <f>IF(AF29="N/A",0,T.UP3!#REF!)</f>
        <v>#REF!</v>
      </c>
      <c r="AE29" s="90" t="e">
        <f>VLOOKUP($B$29,T.UP3!$B$4:$T$70,MATCH(DETAIL!$AD$4,T.UP3!$B$5:$T$5,0),FALSE)</f>
        <v>#REF!</v>
      </c>
      <c r="AF29" s="98" t="e">
        <f>VLOOKUP($B$29,'R.UP3'!$B$4:$S$54,MATCH(DETAIL!$AD$4,'R.UP3'!$B$5:$S$5,0),FALSE)</f>
        <v>#REF!</v>
      </c>
      <c r="AG29" s="165" t="e">
        <f>IF(OR(AE29="N/A",AF29="N/A"),"N/A",IF(AND(AE29=0,AF29=0),0,(2-AF29/AE29)*100))</f>
        <v>#REF!</v>
      </c>
      <c r="AH29" s="103" t="e">
        <f t="shared" si="4"/>
        <v>#REF!</v>
      </c>
    </row>
    <row r="30" spans="1:34" ht="20.100000000000001" customHeight="1">
      <c r="A30" s="69"/>
      <c r="B30" s="160" t="e">
        <f>T.UP3!#REF!</f>
        <v>#REF!</v>
      </c>
      <c r="C30" s="75" t="e">
        <f>T.UP3!#REF!</f>
        <v>#REF!</v>
      </c>
      <c r="D30" s="253" t="e">
        <f>T.UP3!#REF!</f>
        <v>#REF!</v>
      </c>
      <c r="F30" s="202" t="e">
        <f>IF(H30="N/A",0,T.UP3!#REF!)</f>
        <v>#REF!</v>
      </c>
      <c r="G30" s="90" t="e">
        <f>VLOOKUP($B$30,T.UP3!$B$4:$T$70,MATCH(DETAIL!$F$4,T.UP3!$B$5:$T$5,0),FALSE)</f>
        <v>#REF!</v>
      </c>
      <c r="H30" s="98" t="e">
        <f>VLOOKUP($B$30,'R.UP3'!$B$4:$S$54,MATCH(DETAIL!$F$4,'R.UP3'!$B$5:$S$5,0),FALSE)</f>
        <v>#REF!</v>
      </c>
      <c r="I30" s="165" t="e">
        <f>IF(OR(G30="N/A",H30="N/A"),"N/A",IF(AND(G30=0,H30=0),0,(2-H30/G30)*100))</f>
        <v>#REF!</v>
      </c>
      <c r="J30" s="103" t="e">
        <f t="shared" si="0"/>
        <v>#REF!</v>
      </c>
      <c r="L30" s="202" t="e">
        <f>IF(N30="N/A",0,T.UP3!#REF!)</f>
        <v>#REF!</v>
      </c>
      <c r="M30" s="90" t="e">
        <f>VLOOKUP($B$30,T.UP3!$B$4:$T$70,MATCH(DETAIL!$L$4,T.UP3!$B$5:$T$5,0),FALSE)</f>
        <v>#REF!</v>
      </c>
      <c r="N30" s="98" t="e">
        <f>VLOOKUP($B$30,'R.UP3'!$B$4:$S$54,MATCH(DETAIL!$L$4,'R.UP3'!$B$5:$S$5,0),FALSE)</f>
        <v>#REF!</v>
      </c>
      <c r="O30" s="165" t="e">
        <f>IF(OR(M30="N/A",N30="N/A"),"N/A",IF(AND(M30=0,N30=0),0,(2-N30/M30)*100))</f>
        <v>#REF!</v>
      </c>
      <c r="P30" s="103" t="e">
        <f t="shared" si="1"/>
        <v>#REF!</v>
      </c>
      <c r="R30" s="202" t="e">
        <f>IF(T30="N/A",0,T.UP3!#REF!)</f>
        <v>#REF!</v>
      </c>
      <c r="S30" s="90" t="e">
        <f>VLOOKUP($B$30,T.UP3!$B$4:$T$70,MATCH(DETAIL!$R$4,T.UP3!$B$5:$T$5,0),FALSE)</f>
        <v>#REF!</v>
      </c>
      <c r="T30" s="98" t="e">
        <f>VLOOKUP($B$30,'R.UP3'!$B$4:$S$54,MATCH(DETAIL!$R$4,'R.UP3'!$B$5:$S$5,0),FALSE)</f>
        <v>#REF!</v>
      </c>
      <c r="U30" s="165" t="e">
        <f>IF(OR(S30="N/A",T30="N/A"),"N/A",IF(AND(S30=0,T30=0),0,(2-T30/S30)*100))</f>
        <v>#REF!</v>
      </c>
      <c r="V30" s="103" t="e">
        <f t="shared" si="2"/>
        <v>#REF!</v>
      </c>
      <c r="X30" s="202" t="e">
        <f>IF(Z30="N/A",0,T.UP3!#REF!)</f>
        <v>#REF!</v>
      </c>
      <c r="Y30" s="90" t="e">
        <f>VLOOKUP($B$30,T.UP3!$B$4:$T$70,MATCH(DETAIL!$X$4,T.UP3!$B$5:$T$5,0),FALSE)</f>
        <v>#REF!</v>
      </c>
      <c r="Z30" s="98" t="e">
        <f>VLOOKUP($B$30,'R.UP3'!$B$4:$S$54,MATCH(DETAIL!$X$4,'R.UP3'!$B$5:$S$5,0),FALSE)</f>
        <v>#REF!</v>
      </c>
      <c r="AA30" s="165" t="e">
        <f>IF(OR(Y30="N/A",Z30="N/A"),"N/A",IF(AND(Y30=0,Z30=0),0,(2-Z30/Y30)*100))</f>
        <v>#REF!</v>
      </c>
      <c r="AB30" s="103" t="e">
        <f t="shared" si="3"/>
        <v>#REF!</v>
      </c>
      <c r="AD30" s="202" t="e">
        <f>IF(AF30="N/A",0,T.UP3!#REF!)</f>
        <v>#REF!</v>
      </c>
      <c r="AE30" s="90" t="e">
        <f>VLOOKUP($B$30,T.UP3!$B$4:$T$70,MATCH(DETAIL!$AD$4,T.UP3!$B$5:$T$5,0),FALSE)</f>
        <v>#REF!</v>
      </c>
      <c r="AF30" s="98" t="e">
        <f>VLOOKUP($B$30,'R.UP3'!$B$4:$S$54,MATCH(DETAIL!$AD$4,'R.UP3'!$B$5:$S$5,0),FALSE)</f>
        <v>#REF!</v>
      </c>
      <c r="AG30" s="165" t="e">
        <f>IF(OR(AE30="N/A",AF30="N/A"),"N/A",IF(AND(AE30=0,AF30=0),0,(2-AF30/AE30)*100))</f>
        <v>#REF!</v>
      </c>
      <c r="AH30" s="103" t="e">
        <f t="shared" si="4"/>
        <v>#REF!</v>
      </c>
    </row>
    <row r="31" spans="1:34" ht="20.100000000000001" customHeight="1">
      <c r="A31" s="69"/>
      <c r="B31" s="160" t="e">
        <f>T.UP3!#REF!</f>
        <v>#REF!</v>
      </c>
      <c r="C31" s="75" t="e">
        <f>T.UP3!#REF!</f>
        <v>#REF!</v>
      </c>
      <c r="D31" s="253" t="e">
        <f>T.UP3!#REF!</f>
        <v>#REF!</v>
      </c>
      <c r="F31" s="202" t="e">
        <f>IF(H31="N/A",0,T.UP3!#REF!)</f>
        <v>#REF!</v>
      </c>
      <c r="G31" s="91" t="e">
        <f>VLOOKUP($B$31,T.UP3!$B$4:$T$70,MATCH(DETAIL!$F$4,T.UP3!$B$5:$T$5,0),FALSE)</f>
        <v>#REF!</v>
      </c>
      <c r="H31" s="101" t="e">
        <f>VLOOKUP($B$31,'R.UP3'!$B$4:$S$54,MATCH(DETAIL!$F$4,'R.UP3'!$B$5:$S$5,0),FALSE)</f>
        <v>#REF!</v>
      </c>
      <c r="I31" s="165" t="e">
        <f>IF(OR(G31="N/A",H31="N/A"),"N/A",IF(AND(G31=0,H31=0),0,H31/G31*100))</f>
        <v>#REF!</v>
      </c>
      <c r="J31" s="103" t="e">
        <f t="shared" si="0"/>
        <v>#REF!</v>
      </c>
      <c r="L31" s="202" t="e">
        <f>IF(N31="N/A",0,T.UP3!#REF!)</f>
        <v>#REF!</v>
      </c>
      <c r="M31" s="91" t="e">
        <f>VLOOKUP($B$31,T.UP3!$B$4:$T$70,MATCH(DETAIL!$L$4,T.UP3!$B$5:$T$5,0),FALSE)</f>
        <v>#REF!</v>
      </c>
      <c r="N31" s="101" t="e">
        <f>VLOOKUP($B$31,'R.UP3'!$B$4:$S$54,MATCH(DETAIL!$L$4,'R.UP3'!$B$5:$S$5,0),FALSE)</f>
        <v>#REF!</v>
      </c>
      <c r="O31" s="165" t="e">
        <f>IF(OR(M31="N/A",N31="N/A"),"N/A",IF(AND(M31=0,N31=0),0,N31/M31*100))</f>
        <v>#REF!</v>
      </c>
      <c r="P31" s="103" t="e">
        <f t="shared" si="1"/>
        <v>#REF!</v>
      </c>
      <c r="R31" s="202" t="e">
        <f>IF(T31="N/A",0,T.UP3!#REF!)</f>
        <v>#REF!</v>
      </c>
      <c r="S31" s="91" t="e">
        <f>VLOOKUP($B$31,T.UP3!$B$4:$T$70,MATCH(DETAIL!$R$4,T.UP3!$B$5:$T$5,0),FALSE)</f>
        <v>#REF!</v>
      </c>
      <c r="T31" s="101" t="e">
        <f>VLOOKUP($B$31,'R.UP3'!$B$4:$S$54,MATCH(DETAIL!$R$4,'R.UP3'!$B$5:$S$5,0),FALSE)</f>
        <v>#REF!</v>
      </c>
      <c r="U31" s="165" t="e">
        <f>IF(OR(S31="N/A",T31="N/A"),"N/A",IF(AND(S31=0,T31=0),0,T31/S31*100))</f>
        <v>#REF!</v>
      </c>
      <c r="V31" s="103" t="e">
        <f t="shared" si="2"/>
        <v>#REF!</v>
      </c>
      <c r="X31" s="202" t="e">
        <f>IF(Z31="N/A",0,T.UP3!#REF!)</f>
        <v>#REF!</v>
      </c>
      <c r="Y31" s="91" t="e">
        <f>VLOOKUP($B$31,T.UP3!$B$4:$T$70,MATCH(DETAIL!$X$4,T.UP3!$B$5:$T$5,0),FALSE)</f>
        <v>#REF!</v>
      </c>
      <c r="Z31" s="101" t="e">
        <f>VLOOKUP($B$31,'R.UP3'!$B$4:$S$54,MATCH(DETAIL!$X$4,'R.UP3'!$B$5:$S$5,0),FALSE)</f>
        <v>#REF!</v>
      </c>
      <c r="AA31" s="165" t="e">
        <f>IF(OR(Y31="N/A",Z31="N/A"),"N/A",IF(AND(Y31=0,Z31=0),0,Z31/Y31*100))</f>
        <v>#REF!</v>
      </c>
      <c r="AB31" s="103" t="e">
        <f t="shared" si="3"/>
        <v>#REF!</v>
      </c>
      <c r="AD31" s="202" t="e">
        <f>IF(AF31="N/A",0,T.UP3!#REF!)</f>
        <v>#REF!</v>
      </c>
      <c r="AE31" s="91" t="e">
        <f>VLOOKUP($B$31,T.UP3!$B$4:$T$70,MATCH(DETAIL!$AD$4,T.UP3!$B$5:$T$5,0),FALSE)</f>
        <v>#REF!</v>
      </c>
      <c r="AF31" s="101" t="e">
        <f>VLOOKUP($B$31,'R.UP3'!$B$4:$S$54,MATCH(DETAIL!$AD$4,'R.UP3'!$B$5:$S$5,0),FALSE)</f>
        <v>#REF!</v>
      </c>
      <c r="AG31" s="165" t="e">
        <f>IF(OR(AE31="N/A",AF31="N/A"),"N/A",IF(AND(AE31=0,AF31=0),0,AF31/AE31*100))</f>
        <v>#REF!</v>
      </c>
      <c r="AH31" s="103" t="e">
        <f t="shared" si="4"/>
        <v>#REF!</v>
      </c>
    </row>
    <row r="32" spans="1:34" ht="20.100000000000001" customHeight="1">
      <c r="A32" s="69"/>
      <c r="B32" s="160" t="str">
        <f>T.UP3!B52</f>
        <v>b. Usulan Penghapusan ATTB</v>
      </c>
      <c r="C32" s="75" t="str">
        <f>T.UP3!C52</f>
        <v>ñ</v>
      </c>
      <c r="D32" s="253" t="str">
        <f>T.UP3!D52</f>
        <v>Rp. Milyar</v>
      </c>
      <c r="F32" s="202">
        <f>IF(H32="N/A",0,T.UP3!$F$52)</f>
        <v>0</v>
      </c>
      <c r="G32" s="91">
        <f>VLOOKUP($B$32,T.UP3!$B$4:$T$70,MATCH(DETAIL!$F$4,T.UP3!$B$5:$T$5,0),FALSE)</f>
        <v>0</v>
      </c>
      <c r="H32" s="101">
        <f>VLOOKUP($B$32,'R.UP3'!$B$4:$S$54,MATCH(DETAIL!$F$4,'R.UP3'!$B$5:$S$5,0),FALSE)</f>
        <v>0</v>
      </c>
      <c r="I32" s="165">
        <f>IF(OR(G32="N/A",H32="N/A"),"N/A",IF(AND(G32=0,H32=0),0,H32/G32*100))</f>
        <v>0</v>
      </c>
      <c r="J32" s="103">
        <f t="shared" si="0"/>
        <v>0</v>
      </c>
      <c r="L32" s="202">
        <f>IF(N32="N/A",0,T.UP3!$F$52)</f>
        <v>0</v>
      </c>
      <c r="M32" s="91">
        <f>VLOOKUP($B$32,T.UP3!$B$4:$T$70,MATCH(DETAIL!$L$4,T.UP3!$B$5:$T$5,0),FALSE)</f>
        <v>0</v>
      </c>
      <c r="N32" s="101">
        <f>VLOOKUP($B$32,'R.UP3'!$B$4:$S$54,MATCH(DETAIL!$L$4,'R.UP3'!$B$5:$S$5,0),FALSE)</f>
        <v>0</v>
      </c>
      <c r="O32" s="165">
        <f>IF(OR(M32="N/A",N32="N/A"),"N/A",IF(AND(M32=0,N32=0),0,N32/M32*100))</f>
        <v>0</v>
      </c>
      <c r="P32" s="103">
        <f t="shared" si="1"/>
        <v>0</v>
      </c>
      <c r="R32" s="202">
        <f>IF(T32="N/A",0,T.UP3!$F$52)</f>
        <v>0</v>
      </c>
      <c r="S32" s="91">
        <f>VLOOKUP($B$32,T.UP3!$B$4:$T$70,MATCH(DETAIL!$R$4,T.UP3!$B$5:$T$5,0),FALSE)</f>
        <v>0</v>
      </c>
      <c r="T32" s="101">
        <f>VLOOKUP($B$32,'R.UP3'!$B$4:$S$54,MATCH(DETAIL!$R$4,'R.UP3'!$B$5:$S$5,0),FALSE)</f>
        <v>0</v>
      </c>
      <c r="U32" s="165">
        <f>IF(OR(S32="N/A",T32="N/A"),"N/A",IF(AND(S32=0,T32=0),0,T32/S32*100))</f>
        <v>0</v>
      </c>
      <c r="V32" s="103">
        <f t="shared" si="2"/>
        <v>0</v>
      </c>
      <c r="X32" s="202">
        <f>IF(Z32="N/A",0,T.UP3!$F$52)</f>
        <v>0</v>
      </c>
      <c r="Y32" s="91">
        <f>VLOOKUP($B$32,T.UP3!$B$4:$T$70,MATCH(DETAIL!$X$4,T.UP3!$B$5:$T$5,0),FALSE)</f>
        <v>0</v>
      </c>
      <c r="Z32" s="101">
        <f>VLOOKUP($B$32,'R.UP3'!$B$4:$S$54,MATCH(DETAIL!$X$4,'R.UP3'!$B$5:$S$5,0),FALSE)</f>
        <v>0</v>
      </c>
      <c r="AA32" s="165">
        <f>IF(OR(Y32="N/A",Z32="N/A"),"N/A",IF(AND(Y32=0,Z32=0),0,Z32/Y32*100))</f>
        <v>0</v>
      </c>
      <c r="AB32" s="103">
        <f t="shared" si="3"/>
        <v>0</v>
      </c>
      <c r="AD32" s="202">
        <f>IF(AF32="N/A",0,T.UP3!$F$52)</f>
        <v>0</v>
      </c>
      <c r="AE32" s="91">
        <f>VLOOKUP($B$32,T.UP3!$B$4:$T$70,MATCH(DETAIL!$AD$4,T.UP3!$B$5:$T$5,0),FALSE)</f>
        <v>0</v>
      </c>
      <c r="AF32" s="101">
        <f>VLOOKUP($B$32,'R.UP3'!$B$4:$S$54,MATCH(DETAIL!$AD$4,'R.UP3'!$B$5:$S$5,0),FALSE)</f>
        <v>0</v>
      </c>
      <c r="AG32" s="165">
        <f>IF(OR(AE32="N/A",AF32="N/A"),"N/A",IF(AND(AE32=0,AF32=0),0,AF32/AE32*100))</f>
        <v>0</v>
      </c>
      <c r="AH32" s="103">
        <f t="shared" si="4"/>
        <v>0</v>
      </c>
    </row>
    <row r="33" spans="1:34" ht="20.100000000000001" customHeight="1">
      <c r="A33" s="69"/>
      <c r="B33" s="160" t="e">
        <f>T.UP3!#REF!</f>
        <v>#REF!</v>
      </c>
      <c r="C33" s="75" t="e">
        <f>T.UP3!#REF!</f>
        <v>#REF!</v>
      </c>
      <c r="D33" s="253" t="e">
        <f>T.UP3!#REF!</f>
        <v>#REF!</v>
      </c>
      <c r="F33" s="202" t="e">
        <f>IF(H33="N/A",0,T.UP3!#REF!)</f>
        <v>#REF!</v>
      </c>
      <c r="G33" s="91" t="e">
        <f>VLOOKUP($B$33,T.UP3!$B$4:$T$70,MATCH(DETAIL!$F$4,T.UP3!$B$5:$T$5,0),FALSE)</f>
        <v>#REF!</v>
      </c>
      <c r="H33" s="101" t="e">
        <f>VLOOKUP($B$33,'R.UP3'!$B$4:$S$54,MATCH(DETAIL!$F$4,'R.UP3'!$B$5:$S$5,0),FALSE)</f>
        <v>#REF!</v>
      </c>
      <c r="I33" s="165" t="e">
        <f>IF(OR(G33="N/A",H33="N/A"),"N/A",IF(AND(G33=0,H33=0),0,H33/G33*100))</f>
        <v>#REF!</v>
      </c>
      <c r="J33" s="103" t="e">
        <f t="shared" si="0"/>
        <v>#REF!</v>
      </c>
      <c r="L33" s="202" t="e">
        <f>IF(N33="N/A",0,T.UP3!#REF!)</f>
        <v>#REF!</v>
      </c>
      <c r="M33" s="91" t="e">
        <f>VLOOKUP($B$33,T.UP3!$B$4:$T$70,MATCH(DETAIL!$L$4,T.UP3!$B$5:$T$5,0),FALSE)</f>
        <v>#REF!</v>
      </c>
      <c r="N33" s="101" t="e">
        <f>VLOOKUP($B$33,'R.UP3'!$B$4:$S$54,MATCH(DETAIL!$L$4,'R.UP3'!$B$5:$S$5,0),FALSE)</f>
        <v>#REF!</v>
      </c>
      <c r="O33" s="165" t="e">
        <f>IF(OR(M33="N/A",N33="N/A"),"N/A",IF(AND(M33=0,N33=0),0,N33/M33*100))</f>
        <v>#REF!</v>
      </c>
      <c r="P33" s="103" t="e">
        <f t="shared" si="1"/>
        <v>#REF!</v>
      </c>
      <c r="R33" s="202" t="e">
        <f>IF(T33="N/A",0,T.UP3!#REF!)</f>
        <v>#REF!</v>
      </c>
      <c r="S33" s="91" t="e">
        <f>VLOOKUP($B$33,T.UP3!$B$4:$T$70,MATCH(DETAIL!$R$4,T.UP3!$B$5:$T$5,0),FALSE)</f>
        <v>#REF!</v>
      </c>
      <c r="T33" s="101" t="e">
        <f>VLOOKUP($B$33,'R.UP3'!$B$4:$S$54,MATCH(DETAIL!$R$4,'R.UP3'!$B$5:$S$5,0),FALSE)</f>
        <v>#REF!</v>
      </c>
      <c r="U33" s="165" t="e">
        <f>IF(OR(S33="N/A",T33="N/A"),"N/A",IF(AND(S33=0,T33=0),0,T33/S33*100))</f>
        <v>#REF!</v>
      </c>
      <c r="V33" s="103" t="e">
        <f t="shared" si="2"/>
        <v>#REF!</v>
      </c>
      <c r="X33" s="202" t="e">
        <f>IF(Z33="N/A",0,T.UP3!#REF!)</f>
        <v>#REF!</v>
      </c>
      <c r="Y33" s="91" t="e">
        <f>VLOOKUP($B$33,T.UP3!$B$4:$T$70,MATCH(DETAIL!$X$4,T.UP3!$B$5:$T$5,0),FALSE)</f>
        <v>#REF!</v>
      </c>
      <c r="Z33" s="101" t="e">
        <f>VLOOKUP($B$33,'R.UP3'!$B$4:$S$54,MATCH(DETAIL!$X$4,'R.UP3'!$B$5:$S$5,0),FALSE)</f>
        <v>#REF!</v>
      </c>
      <c r="AA33" s="165" t="e">
        <f>IF(OR(Y33="N/A",Z33="N/A"),"N/A",IF(AND(Y33=0,Z33=0),0,Z33/Y33*100))</f>
        <v>#REF!</v>
      </c>
      <c r="AB33" s="103" t="e">
        <f t="shared" si="3"/>
        <v>#REF!</v>
      </c>
      <c r="AD33" s="202" t="e">
        <f>IF(AF33="N/A",0,T.UP3!#REF!)</f>
        <v>#REF!</v>
      </c>
      <c r="AE33" s="91" t="e">
        <f>VLOOKUP($B$33,T.UP3!$B$4:$T$70,MATCH(DETAIL!$AD$4,T.UP3!$B$5:$T$5,0),FALSE)</f>
        <v>#REF!</v>
      </c>
      <c r="AF33" s="101" t="e">
        <f>VLOOKUP($B$33,'R.UP3'!$B$4:$S$54,MATCH(DETAIL!$AD$4,'R.UP3'!$B$5:$S$5,0),FALSE)</f>
        <v>#REF!</v>
      </c>
      <c r="AG33" s="165" t="e">
        <f>IF(OR(AE33="N/A",AF33="N/A"),"N/A",IF(AND(AE33=0,AF33=0),0,AF33/AE33*100))</f>
        <v>#REF!</v>
      </c>
      <c r="AH33" s="103" t="e">
        <f t="shared" si="4"/>
        <v>#REF!</v>
      </c>
    </row>
    <row r="34" spans="1:34" ht="16.5">
      <c r="A34" s="69">
        <f>T.UP3!A53</f>
        <v>0</v>
      </c>
      <c r="B34" s="160" t="str">
        <f>T.UP3!B53</f>
        <v>c. Usulan Penghapusan PRR</v>
      </c>
      <c r="C34" s="75"/>
      <c r="D34" s="253"/>
      <c r="F34" s="202"/>
      <c r="G34" s="98"/>
      <c r="H34" s="98"/>
      <c r="I34" s="99"/>
      <c r="J34" s="103"/>
      <c r="L34" s="202"/>
      <c r="M34" s="98"/>
      <c r="N34" s="98"/>
      <c r="O34" s="99"/>
      <c r="P34" s="103"/>
      <c r="R34" s="202"/>
      <c r="S34" s="98"/>
      <c r="T34" s="98"/>
      <c r="U34" s="99"/>
      <c r="V34" s="103"/>
      <c r="X34" s="202"/>
      <c r="Y34" s="98"/>
      <c r="Z34" s="98"/>
      <c r="AA34" s="99"/>
      <c r="AB34" s="103"/>
      <c r="AD34" s="202"/>
      <c r="AE34" s="98"/>
      <c r="AF34" s="98"/>
      <c r="AG34" s="99"/>
      <c r="AH34" s="103"/>
    </row>
    <row r="35" spans="1:34" ht="16.5">
      <c r="A35" s="69"/>
      <c r="B35" s="160" t="str">
        <f>T.UP3!B55</f>
        <v>a. HCR, OCR, dan Produktivitas Pegawai</v>
      </c>
      <c r="C35" s="75" t="str">
        <f>T.UP3!C55</f>
        <v>ñ</v>
      </c>
      <c r="D35" s="253" t="str">
        <f>T.UP3!D55</f>
        <v>%</v>
      </c>
      <c r="F35" s="202">
        <f>IF(H35="N/A",0,T.UP3!$F$55)</f>
        <v>0</v>
      </c>
      <c r="G35" s="90">
        <f>VLOOKUP($B$35,T.UP3!$B$4:$T$70,MATCH(DETAIL!$F$4,T.UP3!$B$5:$T$5,0),FALSE)</f>
        <v>0</v>
      </c>
      <c r="H35" s="98">
        <f>VLOOKUP($B$35,'R.UP3'!$B$4:$S$54,MATCH(DETAIL!$F$4,'R.UP3'!$B$5:$S$5,0),FALSE)</f>
        <v>100</v>
      </c>
      <c r="I35" s="165" t="e">
        <f>IF(OR(G35="N/A",H35="N/A"),"N/A",IF(AND(G35=0,H35=0),0,H35/G35*100))</f>
        <v>#DIV/0!</v>
      </c>
      <c r="J35" s="103" t="e">
        <f>IF(OR(I35="N/A",I35&lt;0),0,IF(I35&gt;110,F35*110/100,F35*I35/100))</f>
        <v>#DIV/0!</v>
      </c>
      <c r="L35" s="202">
        <f>IF(N35="N/A",0,T.UP3!$F$55)</f>
        <v>0</v>
      </c>
      <c r="M35" s="90">
        <f>VLOOKUP($B$35,T.UP3!$B$4:$T$70,MATCH(DETAIL!$L$4,T.UP3!$B$5:$T$5,0),FALSE)</f>
        <v>0</v>
      </c>
      <c r="N35" s="98">
        <f>VLOOKUP($B$35,'R.UP3'!$B$4:$S$54,MATCH(DETAIL!$L$4,'R.UP3'!$B$5:$S$5,0),FALSE)</f>
        <v>100</v>
      </c>
      <c r="O35" s="165" t="e">
        <f>IF(OR(M35="N/A",N35="N/A"),"N/A",IF(AND(M35=0,N35=0),0,N35/M35*100))</f>
        <v>#DIV/0!</v>
      </c>
      <c r="P35" s="103" t="e">
        <f>IF(OR(O35="N/A",O35&lt;0),0,IF(O35&gt;110,L35*110/100,L35*O35/100))</f>
        <v>#DIV/0!</v>
      </c>
      <c r="R35" s="202">
        <f>IF(T35="N/A",0,T.UP3!$F$55)</f>
        <v>0</v>
      </c>
      <c r="S35" s="90">
        <f>VLOOKUP($B$35,T.UP3!$B$4:$T$70,MATCH(DETAIL!$R$4,T.UP3!$B$5:$T$5,0),FALSE)</f>
        <v>0</v>
      </c>
      <c r="T35" s="98">
        <f>VLOOKUP($B$35,'R.UP3'!$B$4:$S$54,MATCH(DETAIL!$R$4,'R.UP3'!$B$5:$S$5,0),FALSE)</f>
        <v>100</v>
      </c>
      <c r="U35" s="165" t="e">
        <f>IF(OR(S35="N/A",T35="N/A"),"N/A",IF(AND(S35=0,T35=0),0,T35/S35*100))</f>
        <v>#DIV/0!</v>
      </c>
      <c r="V35" s="103" t="e">
        <f>IF(OR(U35="N/A",U35&lt;0),0,IF(U35&gt;110,R35*110/100,R35*U35/100))</f>
        <v>#DIV/0!</v>
      </c>
      <c r="X35" s="202">
        <f>IF(Z35="N/A",0,T.UP3!$F$55)</f>
        <v>0</v>
      </c>
      <c r="Y35" s="90">
        <f>VLOOKUP($B$35,T.UP3!$B$4:$T$70,MATCH(DETAIL!$X$4,T.UP3!$B$5:$T$5,0),FALSE)</f>
        <v>0</v>
      </c>
      <c r="Z35" s="98">
        <f>VLOOKUP($B$35,'R.UP3'!$B$4:$S$54,MATCH(DETAIL!$X$4,'R.UP3'!$B$5:$S$5,0),FALSE)</f>
        <v>100</v>
      </c>
      <c r="AA35" s="165" t="e">
        <f>IF(OR(Y35="N/A",Z35="N/A"),"N/A",IF(AND(Y35=0,Z35=0),0,Z35/Y35*100))</f>
        <v>#DIV/0!</v>
      </c>
      <c r="AB35" s="103" t="e">
        <f>IF(OR(AA35="N/A",AA35&lt;0),0,IF(AA35&gt;110,X35*110/100,X35*AA35/100))</f>
        <v>#DIV/0!</v>
      </c>
      <c r="AD35" s="202">
        <f>IF(AF35="N/A",0,T.UP3!$F$55)</f>
        <v>0</v>
      </c>
      <c r="AE35" s="90">
        <f>VLOOKUP($B$35,T.UP3!$B$4:$T$70,MATCH(DETAIL!$AD$4,T.UP3!$B$5:$T$5,0),FALSE)</f>
        <v>0</v>
      </c>
      <c r="AF35" s="98">
        <f>VLOOKUP($B$35,'R.UP3'!$B$4:$S$54,MATCH(DETAIL!$AD$4,'R.UP3'!$B$5:$S$5,0),FALSE)</f>
        <v>100</v>
      </c>
      <c r="AG35" s="165" t="e">
        <f>IF(OR(AE35="N/A",AF35="N/A"),"N/A",IF(AND(AE35=0,AF35=0),0,AF35/AE35*100))</f>
        <v>#DIV/0!</v>
      </c>
      <c r="AH35" s="103" t="e">
        <f>IF(OR(AG35="N/A",AG35&lt;0),0,IF(AG35&gt;110,AD35*110/100,AD35*AG35/100))</f>
        <v>#DIV/0!</v>
      </c>
    </row>
    <row r="36" spans="1:34" ht="20.100000000000001" customHeight="1">
      <c r="A36" s="69"/>
      <c r="B36" s="160" t="str">
        <f>T.UP3!B56</f>
        <v>b. Produktivitas Unit</v>
      </c>
      <c r="C36" s="75" t="str">
        <f>T.UP3!C56</f>
        <v>ñ</v>
      </c>
      <c r="D36" s="253" t="str">
        <f>T.UP3!D56</f>
        <v>%</v>
      </c>
      <c r="F36" s="202" t="e">
        <f>IF(H36="N/A",0,T.UP3!$F$56)</f>
        <v>#N/A</v>
      </c>
      <c r="G36" s="90">
        <f>VLOOKUP($B$36,T.UP3!$B$4:$T$70,MATCH(DETAIL!$F$4,T.UP3!$B$5:$T$5,0),FALSE)</f>
        <v>0</v>
      </c>
      <c r="H36" s="98" t="e">
        <f>VLOOKUP($B$36,'R.UP3'!$B$4:$S$54,MATCH(DETAIL!$F$4,'R.UP3'!$B$5:$S$5,0),FALSE)</f>
        <v>#N/A</v>
      </c>
      <c r="I36" s="165" t="e">
        <f>IF(OR(G36="N/A",H36="N/A"),"N/A",IF(AND(G36=0,H36=0),0,H36/G36*100))</f>
        <v>#N/A</v>
      </c>
      <c r="J36" s="103" t="e">
        <f>IF(OR(I36="N/A",I36&lt;0),0,IF(I36&gt;110,F36*110/100,F36*I36/100))</f>
        <v>#N/A</v>
      </c>
      <c r="L36" s="202" t="e">
        <f>IF(N36="N/A",0,T.UP3!$F$56)</f>
        <v>#N/A</v>
      </c>
      <c r="M36" s="90">
        <f>VLOOKUP($B$36,T.UP3!$B$4:$T$70,MATCH(DETAIL!$L$4,T.UP3!$B$5:$T$5,0),FALSE)</f>
        <v>0</v>
      </c>
      <c r="N36" s="98" t="e">
        <f>VLOOKUP($B$36,'R.UP3'!$B$4:$S$54,MATCH(DETAIL!$L$4,'R.UP3'!$B$5:$S$5,0),FALSE)</f>
        <v>#N/A</v>
      </c>
      <c r="O36" s="165" t="e">
        <f>IF(OR(M36="N/A",N36="N/A"),"N/A",IF(AND(M36=0,N36=0),0,N36/M36*100))</f>
        <v>#N/A</v>
      </c>
      <c r="P36" s="103" t="e">
        <f>IF(OR(O36="N/A",O36&lt;0),0,IF(O36&gt;110,L36*110/100,L36*O36/100))</f>
        <v>#N/A</v>
      </c>
      <c r="R36" s="202" t="e">
        <f>IF(T36="N/A",0,T.UP3!$F$56)</f>
        <v>#N/A</v>
      </c>
      <c r="S36" s="90">
        <f>VLOOKUP($B$36,T.UP3!$B$4:$T$70,MATCH(DETAIL!$R$4,T.UP3!$B$5:$T$5,0),FALSE)</f>
        <v>0</v>
      </c>
      <c r="T36" s="98" t="e">
        <f>VLOOKUP($B$36,'R.UP3'!$B$4:$S$54,MATCH(DETAIL!$R$4,'R.UP3'!$B$5:$S$5,0),FALSE)</f>
        <v>#N/A</v>
      </c>
      <c r="U36" s="165" t="e">
        <f>IF(OR(S36="N/A",T36="N/A"),"N/A",IF(AND(S36=0,T36=0),0,T36/S36*100))</f>
        <v>#N/A</v>
      </c>
      <c r="V36" s="103" t="e">
        <f>IF(OR(U36="N/A",U36&lt;0),0,IF(U36&gt;110,R36*110/100,R36*U36/100))</f>
        <v>#N/A</v>
      </c>
      <c r="X36" s="202" t="e">
        <f>IF(Z36="N/A",0,T.UP3!$F$56)</f>
        <v>#N/A</v>
      </c>
      <c r="Y36" s="90">
        <f>VLOOKUP($B$36,T.UP3!$B$4:$T$70,MATCH(DETAIL!$X$4,T.UP3!$B$5:$T$5,0),FALSE)</f>
        <v>0</v>
      </c>
      <c r="Z36" s="98" t="e">
        <f>VLOOKUP($B$36,'R.UP3'!$B$4:$S$54,MATCH(DETAIL!$X$4,'R.UP3'!$B$5:$S$5,0),FALSE)</f>
        <v>#N/A</v>
      </c>
      <c r="AA36" s="165" t="e">
        <f>IF(OR(Y36="N/A",Z36="N/A"),"N/A",IF(AND(Y36=0,Z36=0),0,Z36/Y36*100))</f>
        <v>#N/A</v>
      </c>
      <c r="AB36" s="103" t="e">
        <f>IF(OR(AA36="N/A",AA36&lt;0),0,IF(AA36&gt;110,X36*110/100,X36*AA36/100))</f>
        <v>#N/A</v>
      </c>
      <c r="AD36" s="202" t="e">
        <f>IF(AF36="N/A",0,T.UP3!$F$56)</f>
        <v>#N/A</v>
      </c>
      <c r="AE36" s="90">
        <f>VLOOKUP($B$36,T.UP3!$B$4:$T$70,MATCH(DETAIL!$AD$4,T.UP3!$B$5:$T$5,0),FALSE)</f>
        <v>0</v>
      </c>
      <c r="AF36" s="98" t="e">
        <f>VLOOKUP($B$36,'R.UP3'!$B$4:$S$54,MATCH(DETAIL!$AD$4,'R.UP3'!$B$5:$S$5,0),FALSE)</f>
        <v>#N/A</v>
      </c>
      <c r="AG36" s="165" t="e">
        <f>IF(OR(AE36="N/A",AF36="N/A"),"N/A",IF(AND(AE36=0,AF36=0),0,AF36/AE36*100))</f>
        <v>#N/A</v>
      </c>
      <c r="AH36" s="103" t="e">
        <f>IF(OR(AG36="N/A",AG36&lt;0),0,IF(AG36&gt;110,AD36*110/100,AD36*AG36/100))</f>
        <v>#N/A</v>
      </c>
    </row>
    <row r="37" spans="1:34" ht="20.100000000000001" customHeight="1">
      <c r="A37" s="69">
        <f>T.UP3!A61</f>
        <v>0</v>
      </c>
      <c r="B37" s="160" t="str">
        <f>T.UP3!B61</f>
        <v>b. Maturity Level Gudang</v>
      </c>
      <c r="C37" s="75"/>
      <c r="D37" s="253"/>
      <c r="F37" s="202"/>
      <c r="G37" s="98"/>
      <c r="H37" s="98"/>
      <c r="I37" s="99"/>
      <c r="J37" s="103"/>
      <c r="L37" s="202"/>
      <c r="M37" s="98"/>
      <c r="N37" s="98"/>
      <c r="O37" s="99"/>
      <c r="P37" s="103"/>
      <c r="R37" s="202"/>
      <c r="S37" s="98"/>
      <c r="T37" s="98"/>
      <c r="U37" s="99"/>
      <c r="V37" s="103"/>
      <c r="X37" s="202"/>
      <c r="Y37" s="98"/>
      <c r="Z37" s="98"/>
      <c r="AA37" s="99"/>
      <c r="AB37" s="103"/>
      <c r="AD37" s="202"/>
      <c r="AE37" s="98"/>
      <c r="AF37" s="98"/>
      <c r="AG37" s="99"/>
      <c r="AH37" s="103"/>
    </row>
    <row r="38" spans="1:34" ht="42" customHeight="1">
      <c r="A38" s="69"/>
      <c r="B38" s="160" t="str">
        <f>T.UP3!B62</f>
        <v>c. Maturity Level Sustainbility</v>
      </c>
      <c r="C38" s="75"/>
      <c r="D38" s="253"/>
      <c r="F38" s="202">
        <f>IF(H38="N/A",0,T.UP3!$F$62)</f>
        <v>0</v>
      </c>
      <c r="G38" s="98"/>
      <c r="H38" s="98"/>
      <c r="I38" s="99"/>
      <c r="J38" s="103"/>
      <c r="L38" s="202">
        <f>IF(N38="N/A",0,T.UP3!$F$62)</f>
        <v>0</v>
      </c>
      <c r="M38" s="98"/>
      <c r="N38" s="98"/>
      <c r="O38" s="99"/>
      <c r="P38" s="103"/>
      <c r="R38" s="202">
        <f>IF(T38="N/A",0,T.UP3!$F$62)</f>
        <v>0</v>
      </c>
      <c r="S38" s="98"/>
      <c r="T38" s="98"/>
      <c r="U38" s="99"/>
      <c r="V38" s="103"/>
      <c r="X38" s="202">
        <f>IF(Z38="N/A",0,T.UP3!$F$62)</f>
        <v>0</v>
      </c>
      <c r="Y38" s="98"/>
      <c r="Z38" s="98"/>
      <c r="AA38" s="99"/>
      <c r="AB38" s="103"/>
      <c r="AD38" s="202">
        <f>IF(AF38="N/A",0,T.UP3!$F$62)</f>
        <v>0</v>
      </c>
      <c r="AE38" s="98"/>
      <c r="AF38" s="98"/>
      <c r="AG38" s="99"/>
      <c r="AH38" s="103"/>
    </row>
    <row r="39" spans="1:34" ht="31.5">
      <c r="A39" s="69"/>
      <c r="B39" s="160" t="str">
        <f>T.UP3!B63</f>
        <v>d. Implementasi Roadmap Perbaikan Penerapan Manajemen Risiko dan Pencapaian Perlakuan Risiko</v>
      </c>
      <c r="C39" s="75"/>
      <c r="D39" s="253"/>
      <c r="F39" s="202">
        <f>IF(H39="N/A",0,T.UP3!$F$63)</f>
        <v>0</v>
      </c>
      <c r="G39" s="98"/>
      <c r="H39" s="90"/>
      <c r="I39" s="99"/>
      <c r="J39" s="103"/>
      <c r="L39" s="202">
        <f>IF(N39="N/A",0,T.UP3!$F$63)</f>
        <v>0</v>
      </c>
      <c r="M39" s="98"/>
      <c r="N39" s="90"/>
      <c r="O39" s="99"/>
      <c r="P39" s="103"/>
      <c r="R39" s="202">
        <f>IF(T39="N/A",0,T.UP3!$F$63)</f>
        <v>0</v>
      </c>
      <c r="S39" s="98"/>
      <c r="T39" s="90"/>
      <c r="U39" s="99"/>
      <c r="V39" s="103"/>
      <c r="X39" s="202">
        <f>IF(Z39="N/A",0,T.UP3!$F$63)</f>
        <v>0</v>
      </c>
      <c r="Y39" s="98"/>
      <c r="Z39" s="90"/>
      <c r="AA39" s="99"/>
      <c r="AB39" s="103"/>
      <c r="AD39" s="202">
        <f>IF(AF39="N/A",0,T.UP3!$F$63)</f>
        <v>0</v>
      </c>
      <c r="AE39" s="98"/>
      <c r="AF39" s="90"/>
      <c r="AG39" s="99"/>
      <c r="AH39" s="103"/>
    </row>
    <row r="40" spans="1:34" ht="31.5">
      <c r="A40" s="69"/>
      <c r="B40" s="160" t="str">
        <f>T.UP3!B67</f>
        <v>c. Ketepatan penyampaian pelaporan dan
Akurasi Data Kinerja</v>
      </c>
      <c r="C40" s="75"/>
      <c r="D40" s="253"/>
      <c r="F40" s="202" t="str">
        <f>IF(H40="N/A",0,T.UP3!$F$67)</f>
        <v>Max-10</v>
      </c>
      <c r="G40" s="98"/>
      <c r="H40" s="90"/>
      <c r="I40" s="99"/>
      <c r="J40" s="103"/>
      <c r="L40" s="202" t="str">
        <f>IF(N40="N/A",0,T.UP3!$F$67)</f>
        <v>Max-10</v>
      </c>
      <c r="M40" s="98"/>
      <c r="N40" s="90"/>
      <c r="O40" s="99"/>
      <c r="P40" s="103"/>
      <c r="R40" s="202" t="str">
        <f>IF(T40="N/A",0,T.UP3!$F$67)</f>
        <v>Max-10</v>
      </c>
      <c r="S40" s="98"/>
      <c r="T40" s="90"/>
      <c r="U40" s="99"/>
      <c r="V40" s="103"/>
      <c r="X40" s="202" t="str">
        <f>IF(Z40="N/A",0,T.UP3!$F$67)</f>
        <v>Max-10</v>
      </c>
      <c r="Y40" s="98"/>
      <c r="Z40" s="90"/>
      <c r="AA40" s="99"/>
      <c r="AB40" s="103"/>
      <c r="AD40" s="202" t="str">
        <f>IF(AF40="N/A",0,T.UP3!$F$67)</f>
        <v>Max-10</v>
      </c>
      <c r="AE40" s="98"/>
      <c r="AF40" s="90"/>
      <c r="AG40" s="99"/>
      <c r="AH40" s="103"/>
    </row>
    <row r="41" spans="1:34" ht="20.100000000000001" customHeight="1">
      <c r="A41" s="69"/>
      <c r="B41" s="160" t="str">
        <f>T.UP3!B69</f>
        <v>e. Pencapaian Beyond RKAP</v>
      </c>
      <c r="C41" s="75"/>
      <c r="D41" s="253"/>
      <c r="F41" s="202" t="str">
        <f>IF(H41="N/A",0,T.UP3!$F$69)</f>
        <v>Max-2
Max+2</v>
      </c>
      <c r="G41" s="98"/>
      <c r="H41" s="98"/>
      <c r="I41" s="171"/>
      <c r="J41" s="103"/>
      <c r="L41" s="202" t="str">
        <f>IF(N41="N/A",0,T.UP3!$F$69)</f>
        <v>Max-2
Max+2</v>
      </c>
      <c r="M41" s="98"/>
      <c r="N41" s="98"/>
      <c r="O41" s="171"/>
      <c r="P41" s="103"/>
      <c r="R41" s="202" t="str">
        <f>IF(T41="N/A",0,T.UP3!$F$69)</f>
        <v>Max-2
Max+2</v>
      </c>
      <c r="S41" s="98"/>
      <c r="T41" s="98"/>
      <c r="U41" s="171"/>
      <c r="V41" s="103"/>
      <c r="X41" s="202" t="str">
        <f>IF(Z41="N/A",0,T.UP3!$F$69)</f>
        <v>Max-2
Max+2</v>
      </c>
      <c r="Y41" s="98"/>
      <c r="Z41" s="98"/>
      <c r="AA41" s="171"/>
      <c r="AB41" s="103"/>
      <c r="AD41" s="202" t="str">
        <f>IF(AF41="N/A",0,T.UP3!$F$69)</f>
        <v>Max-2
Max+2</v>
      </c>
      <c r="AE41" s="98"/>
      <c r="AF41" s="98"/>
      <c r="AG41" s="171"/>
      <c r="AH41" s="103"/>
    </row>
    <row r="42" spans="1:34" ht="15.75">
      <c r="A42" s="70"/>
      <c r="B42" s="80" t="s">
        <v>104</v>
      </c>
      <c r="C42" s="128"/>
      <c r="D42" s="254"/>
      <c r="F42" s="82" t="e">
        <f>F7+F11</f>
        <v>#REF!</v>
      </c>
      <c r="G42" s="82"/>
      <c r="H42" s="82"/>
      <c r="I42" s="82"/>
      <c r="J42" s="104" t="e">
        <f>J7+J11</f>
        <v>#REF!</v>
      </c>
      <c r="L42" s="82" t="e">
        <f>L7+L11</f>
        <v>#REF!</v>
      </c>
      <c r="M42" s="82"/>
      <c r="N42" s="82"/>
      <c r="O42" s="82"/>
      <c r="P42" s="104" t="e">
        <f>P7+P11</f>
        <v>#REF!</v>
      </c>
      <c r="R42" s="82" t="e">
        <f>R7+R11</f>
        <v>#REF!</v>
      </c>
      <c r="S42" s="82"/>
      <c r="T42" s="82"/>
      <c r="U42" s="82"/>
      <c r="V42" s="104" t="e">
        <f>V7+V11</f>
        <v>#REF!</v>
      </c>
      <c r="X42" s="82" t="e">
        <f>X7+X11</f>
        <v>#REF!</v>
      </c>
      <c r="Y42" s="82"/>
      <c r="Z42" s="82"/>
      <c r="AA42" s="82"/>
      <c r="AB42" s="104" t="e">
        <f>AB7+AB11</f>
        <v>#REF!</v>
      </c>
      <c r="AD42" s="82" t="e">
        <f>AD7+AD11</f>
        <v>#REF!</v>
      </c>
      <c r="AE42" s="82"/>
      <c r="AF42" s="82"/>
      <c r="AG42" s="82"/>
      <c r="AH42" s="104" t="e">
        <f>AH7+AH11</f>
        <v>#REF!</v>
      </c>
    </row>
    <row r="43" spans="1:34" ht="15.75">
      <c r="A43" s="73"/>
      <c r="B43" s="83" t="s">
        <v>105</v>
      </c>
      <c r="C43" s="84"/>
      <c r="D43" s="255"/>
      <c r="F43" s="86">
        <v>100</v>
      </c>
      <c r="G43" s="86"/>
      <c r="H43" s="86"/>
      <c r="I43" s="86"/>
      <c r="J43" s="152" t="e">
        <f>F43/F42*J42</f>
        <v>#REF!</v>
      </c>
      <c r="L43" s="86">
        <v>100</v>
      </c>
      <c r="M43" s="86"/>
      <c r="N43" s="86"/>
      <c r="O43" s="86"/>
      <c r="P43" s="152" t="e">
        <f>L43/L42*P42</f>
        <v>#REF!</v>
      </c>
      <c r="R43" s="86">
        <v>100</v>
      </c>
      <c r="S43" s="86"/>
      <c r="T43" s="86"/>
      <c r="U43" s="86"/>
      <c r="V43" s="152" t="e">
        <f>R43/R42*V42</f>
        <v>#REF!</v>
      </c>
      <c r="X43" s="86">
        <v>100</v>
      </c>
      <c r="Y43" s="86"/>
      <c r="Z43" s="86"/>
      <c r="AA43" s="86"/>
      <c r="AB43" s="152" t="e">
        <f>X43/X42*AB42</f>
        <v>#REF!</v>
      </c>
      <c r="AD43" s="86">
        <v>100</v>
      </c>
      <c r="AE43" s="86"/>
      <c r="AF43" s="86"/>
      <c r="AG43" s="86"/>
      <c r="AH43" s="152" t="e">
        <f>AD43/AD42*AH42</f>
        <v>#REF!</v>
      </c>
    </row>
    <row r="45" spans="1:34">
      <c r="A45" s="669"/>
      <c r="B45" s="669"/>
      <c r="C45" s="669"/>
      <c r="D45" s="669"/>
      <c r="E45" s="669"/>
      <c r="F45" s="669"/>
      <c r="G45" s="669"/>
      <c r="H45" s="669"/>
      <c r="I45" s="669"/>
      <c r="J45" s="669"/>
      <c r="O45"/>
      <c r="U45"/>
      <c r="AA45"/>
      <c r="AG45"/>
    </row>
  </sheetData>
  <mergeCells count="9">
    <mergeCell ref="AD4:AH4"/>
    <mergeCell ref="A45:J45"/>
    <mergeCell ref="F4:J4"/>
    <mergeCell ref="L4:P4"/>
    <mergeCell ref="R4:V4"/>
    <mergeCell ref="X4:AB4"/>
    <mergeCell ref="A4:A5"/>
    <mergeCell ref="B4:C5"/>
    <mergeCell ref="D4:D5"/>
  </mergeCells>
  <conditionalFormatting sqref="C8:C10">
    <cfRule type="iconSet" priority="2015">
      <iconSet iconSet="3ArrowsGray" showValue="0">
        <cfvo type="percent" val="0"/>
        <cfvo type="num" val="2"/>
        <cfvo type="num" val="3"/>
      </iconSet>
    </cfRule>
    <cfRule type="iconSet" priority="2014">
      <iconSet iconSet="3ArrowsGray" showValue="0">
        <cfvo type="percent" val="0"/>
        <cfvo type="num" val="2"/>
        <cfvo type="num" val="3"/>
      </iconSet>
    </cfRule>
  </conditionalFormatting>
  <conditionalFormatting sqref="C12:C39 C41">
    <cfRule type="iconSet" priority="2013">
      <iconSet iconSet="3ArrowsGray" showValue="0">
        <cfvo type="percent" val="0"/>
        <cfvo type="num" val="2"/>
        <cfvo type="num" val="3"/>
      </iconSet>
    </cfRule>
    <cfRule type="iconSet" priority="2012">
      <iconSet iconSet="3ArrowsGray" showValue="0">
        <cfvo type="percent" val="0"/>
        <cfvo type="num" val="2"/>
        <cfvo type="num" val="3"/>
      </iconSet>
    </cfRule>
  </conditionalFormatting>
  <conditionalFormatting sqref="C40">
    <cfRule type="iconSet" priority="650">
      <iconSet iconSet="3ArrowsGray" showValue="0">
        <cfvo type="percent" val="0"/>
        <cfvo type="num" val="2"/>
        <cfvo type="num" val="3"/>
      </iconSet>
    </cfRule>
    <cfRule type="iconSet" priority="649">
      <iconSet iconSet="3ArrowsGray" showValue="0">
        <cfvo type="percent" val="0"/>
        <cfvo type="num" val="2"/>
        <cfvo type="num" val="3"/>
      </iconSet>
    </cfRule>
  </conditionalFormatting>
  <conditionalFormatting sqref="I8">
    <cfRule type="iconSet" priority="2008">
      <iconSet>
        <cfvo type="percent" val="0"/>
        <cfvo type="num" val="95"/>
        <cfvo type="num" val="100"/>
      </iconSet>
    </cfRule>
    <cfRule type="iconSet" priority="2005">
      <iconSet>
        <cfvo type="percent" val="0"/>
        <cfvo type="num" val="70"/>
        <cfvo type="num" val="90"/>
      </iconSet>
    </cfRule>
    <cfRule type="iconSet" priority="2007">
      <iconSet>
        <cfvo type="percent" val="0"/>
        <cfvo type="num" val="95"/>
        <cfvo type="num" val="100"/>
      </iconSet>
    </cfRule>
    <cfRule type="iconSet" priority="2006">
      <iconSet>
        <cfvo type="percent" val="0"/>
        <cfvo type="num" val="95"/>
        <cfvo type="num" val="100"/>
      </iconSet>
    </cfRule>
    <cfRule type="iconSet" priority="2003">
      <iconSet>
        <cfvo type="percent" val="0"/>
        <cfvo type="num" val="95"/>
        <cfvo type="num" val="100"/>
      </iconSet>
    </cfRule>
    <cfRule type="iconSet" priority="2004">
      <iconSet>
        <cfvo type="percent" val="0"/>
        <cfvo type="num" val="70"/>
        <cfvo type="num" val="90"/>
      </iconSet>
    </cfRule>
    <cfRule type="iconSet" priority="2011">
      <iconSet>
        <cfvo type="percent" val="0"/>
        <cfvo type="num" val="95"/>
        <cfvo type="num" val="100"/>
      </iconSet>
    </cfRule>
    <cfRule type="iconSet" priority="2010">
      <iconSet>
        <cfvo type="percent" val="0"/>
        <cfvo type="num" val="70"/>
        <cfvo type="num" val="90"/>
      </iconSet>
    </cfRule>
    <cfRule type="iconSet" priority="2009">
      <iconSet>
        <cfvo type="percent" val="0"/>
        <cfvo type="num" val="70"/>
        <cfvo type="num" val="90"/>
      </iconSet>
    </cfRule>
  </conditionalFormatting>
  <conditionalFormatting sqref="I9">
    <cfRule type="iconSet" priority="1853">
      <iconSet>
        <cfvo type="percent" val="0"/>
        <cfvo type="num" val="95"/>
        <cfvo type="num" val="100"/>
      </iconSet>
    </cfRule>
    <cfRule type="iconSet" priority="1857">
      <iconSet>
        <cfvo type="percent" val="0"/>
        <cfvo type="num" val="70"/>
        <cfvo type="num" val="90"/>
      </iconSet>
    </cfRule>
    <cfRule type="iconSet" priority="1856">
      <iconSet>
        <cfvo type="percent" val="0"/>
        <cfvo type="num" val="70"/>
        <cfvo type="num" val="90"/>
      </iconSet>
    </cfRule>
    <cfRule type="iconSet" priority="1855">
      <iconSet>
        <cfvo type="percent" val="0"/>
        <cfvo type="num" val="95"/>
        <cfvo type="num" val="100"/>
      </iconSet>
    </cfRule>
    <cfRule type="iconSet" priority="1852">
      <iconSet>
        <cfvo type="percent" val="0"/>
        <cfvo type="num" val="70"/>
        <cfvo type="num" val="90"/>
      </iconSet>
    </cfRule>
    <cfRule type="iconSet" priority="1854">
      <iconSet>
        <cfvo type="percent" val="0"/>
        <cfvo type="num" val="95"/>
        <cfvo type="num" val="100"/>
      </iconSet>
    </cfRule>
    <cfRule type="iconSet" priority="1851">
      <iconSet>
        <cfvo type="percent" val="0"/>
        <cfvo type="num" val="70"/>
        <cfvo type="num" val="90"/>
      </iconSet>
    </cfRule>
    <cfRule type="iconSet" priority="1850">
      <iconSet>
        <cfvo type="percent" val="0"/>
        <cfvo type="num" val="95"/>
        <cfvo type="num" val="100"/>
      </iconSet>
    </cfRule>
    <cfRule type="iconSet" priority="1858">
      <iconSet>
        <cfvo type="percent" val="0"/>
        <cfvo type="num" val="95"/>
        <cfvo type="num" val="100"/>
      </iconSet>
    </cfRule>
  </conditionalFormatting>
  <conditionalFormatting sqref="I10">
    <cfRule type="iconSet" priority="2002">
      <iconSet>
        <cfvo type="percent" val="0"/>
        <cfvo type="num" val="95"/>
        <cfvo type="num" val="100"/>
      </iconSet>
    </cfRule>
    <cfRule type="iconSet" priority="1994">
      <iconSet>
        <cfvo type="percent" val="0"/>
        <cfvo type="num" val="95"/>
        <cfvo type="num" val="100"/>
      </iconSet>
    </cfRule>
    <cfRule type="iconSet" priority="2001">
      <iconSet>
        <cfvo type="percent" val="0"/>
        <cfvo type="num" val="70"/>
        <cfvo type="num" val="90"/>
      </iconSet>
    </cfRule>
    <cfRule type="iconSet" priority="1998">
      <iconSet>
        <cfvo type="percent" val="0"/>
        <cfvo type="num" val="95"/>
        <cfvo type="num" val="100"/>
      </iconSet>
    </cfRule>
    <cfRule type="iconSet" priority="1995">
      <iconSet>
        <cfvo type="percent" val="0"/>
        <cfvo type="num" val="70"/>
        <cfvo type="num" val="90"/>
      </iconSet>
    </cfRule>
    <cfRule type="iconSet" priority="1996">
      <iconSet>
        <cfvo type="percent" val="0"/>
        <cfvo type="num" val="70"/>
        <cfvo type="num" val="90"/>
      </iconSet>
    </cfRule>
    <cfRule type="iconSet" priority="1997">
      <iconSet>
        <cfvo type="percent" val="0"/>
        <cfvo type="num" val="95"/>
        <cfvo type="num" val="100"/>
      </iconSet>
    </cfRule>
    <cfRule type="iconSet" priority="1999">
      <iconSet>
        <cfvo type="percent" val="0"/>
        <cfvo type="num" val="95"/>
        <cfvo type="num" val="100"/>
      </iconSet>
    </cfRule>
    <cfRule type="iconSet" priority="2000">
      <iconSet>
        <cfvo type="percent" val="0"/>
        <cfvo type="num" val="70"/>
        <cfvo type="num" val="90"/>
      </iconSet>
    </cfRule>
  </conditionalFormatting>
  <conditionalFormatting sqref="I12">
    <cfRule type="iconSet" priority="1988">
      <iconSet>
        <cfvo type="percent" val="0"/>
        <cfvo type="num" val="95"/>
        <cfvo type="num" val="100"/>
      </iconSet>
    </cfRule>
    <cfRule type="iconSet" priority="1987">
      <iconSet>
        <cfvo type="percent" val="0"/>
        <cfvo type="num" val="70"/>
        <cfvo type="num" val="90"/>
      </iconSet>
    </cfRule>
    <cfRule type="iconSet" priority="1986">
      <iconSet>
        <cfvo type="percent" val="0"/>
        <cfvo type="num" val="70"/>
        <cfvo type="num" val="90"/>
      </iconSet>
    </cfRule>
    <cfRule type="iconSet" priority="1989">
      <iconSet>
        <cfvo type="percent" val="0"/>
        <cfvo type="num" val="95"/>
        <cfvo type="num" val="100"/>
      </iconSet>
    </cfRule>
    <cfRule type="iconSet" priority="1993">
      <iconSet>
        <cfvo type="percent" val="0"/>
        <cfvo type="num" val="95"/>
        <cfvo type="num" val="100"/>
      </iconSet>
    </cfRule>
    <cfRule type="iconSet" priority="1992">
      <iconSet>
        <cfvo type="percent" val="0"/>
        <cfvo type="num" val="70"/>
        <cfvo type="num" val="90"/>
      </iconSet>
    </cfRule>
    <cfRule type="iconSet" priority="1991">
      <iconSet>
        <cfvo type="percent" val="0"/>
        <cfvo type="num" val="70"/>
        <cfvo type="num" val="90"/>
      </iconSet>
    </cfRule>
    <cfRule type="iconSet" priority="1985">
      <iconSet>
        <cfvo type="percent" val="0"/>
        <cfvo type="num" val="95"/>
        <cfvo type="num" val="100"/>
      </iconSet>
    </cfRule>
    <cfRule type="iconSet" priority="1990">
      <iconSet>
        <cfvo type="percent" val="0"/>
        <cfvo type="num" val="95"/>
        <cfvo type="num" val="100"/>
      </iconSet>
    </cfRule>
  </conditionalFormatting>
  <conditionalFormatting sqref="I13">
    <cfRule type="iconSet" priority="1984">
      <iconSet>
        <cfvo type="percent" val="0"/>
        <cfvo type="num" val="95"/>
        <cfvo type="num" val="100"/>
      </iconSet>
    </cfRule>
    <cfRule type="iconSet" priority="1983">
      <iconSet>
        <cfvo type="percent" val="0"/>
        <cfvo type="num" val="70"/>
        <cfvo type="num" val="90"/>
      </iconSet>
    </cfRule>
    <cfRule type="iconSet" priority="1982">
      <iconSet>
        <cfvo type="percent" val="0"/>
        <cfvo type="num" val="70"/>
        <cfvo type="num" val="90"/>
      </iconSet>
    </cfRule>
    <cfRule type="iconSet" priority="1981">
      <iconSet>
        <cfvo type="percent" val="0"/>
        <cfvo type="num" val="95"/>
        <cfvo type="num" val="100"/>
      </iconSet>
    </cfRule>
    <cfRule type="iconSet" priority="1980">
      <iconSet>
        <cfvo type="percent" val="0"/>
        <cfvo type="num" val="95"/>
        <cfvo type="num" val="100"/>
      </iconSet>
    </cfRule>
    <cfRule type="iconSet" priority="1979">
      <iconSet>
        <cfvo type="percent" val="0"/>
        <cfvo type="num" val="95"/>
        <cfvo type="num" val="100"/>
      </iconSet>
    </cfRule>
    <cfRule type="iconSet" priority="1978">
      <iconSet>
        <cfvo type="percent" val="0"/>
        <cfvo type="num" val="70"/>
        <cfvo type="num" val="90"/>
      </iconSet>
    </cfRule>
    <cfRule type="iconSet" priority="1977">
      <iconSet>
        <cfvo type="percent" val="0"/>
        <cfvo type="num" val="70"/>
        <cfvo type="num" val="90"/>
      </iconSet>
    </cfRule>
    <cfRule type="iconSet" priority="1976">
      <iconSet>
        <cfvo type="percent" val="0"/>
        <cfvo type="num" val="95"/>
        <cfvo type="num" val="100"/>
      </iconSet>
    </cfRule>
  </conditionalFormatting>
  <conditionalFormatting sqref="I14">
    <cfRule type="iconSet" priority="1975">
      <iconSet>
        <cfvo type="percent" val="0"/>
        <cfvo type="num" val="95"/>
        <cfvo type="num" val="100"/>
      </iconSet>
    </cfRule>
    <cfRule type="iconSet" priority="1974">
      <iconSet>
        <cfvo type="percent" val="0"/>
        <cfvo type="num" val="70"/>
        <cfvo type="num" val="90"/>
      </iconSet>
    </cfRule>
    <cfRule type="iconSet" priority="1973">
      <iconSet>
        <cfvo type="percent" val="0"/>
        <cfvo type="num" val="70"/>
        <cfvo type="num" val="90"/>
      </iconSet>
    </cfRule>
    <cfRule type="iconSet" priority="1972">
      <iconSet>
        <cfvo type="percent" val="0"/>
        <cfvo type="num" val="95"/>
        <cfvo type="num" val="100"/>
      </iconSet>
    </cfRule>
    <cfRule type="iconSet" priority="1971">
      <iconSet>
        <cfvo type="percent" val="0"/>
        <cfvo type="num" val="95"/>
        <cfvo type="num" val="100"/>
      </iconSet>
    </cfRule>
    <cfRule type="iconSet" priority="1970">
      <iconSet>
        <cfvo type="percent" val="0"/>
        <cfvo type="num" val="95"/>
        <cfvo type="num" val="100"/>
      </iconSet>
    </cfRule>
    <cfRule type="iconSet" priority="1969">
      <iconSet>
        <cfvo type="percent" val="0"/>
        <cfvo type="num" val="70"/>
        <cfvo type="num" val="90"/>
      </iconSet>
    </cfRule>
    <cfRule type="iconSet" priority="1968">
      <iconSet>
        <cfvo type="percent" val="0"/>
        <cfvo type="num" val="70"/>
        <cfvo type="num" val="90"/>
      </iconSet>
    </cfRule>
    <cfRule type="iconSet" priority="1967">
      <iconSet>
        <cfvo type="percent" val="0"/>
        <cfvo type="num" val="95"/>
        <cfvo type="num" val="100"/>
      </iconSet>
    </cfRule>
  </conditionalFormatting>
  <conditionalFormatting sqref="I16">
    <cfRule type="iconSet" priority="1958">
      <iconSet>
        <cfvo type="percent" val="0"/>
        <cfvo type="num" val="95"/>
        <cfvo type="num" val="100"/>
      </iconSet>
    </cfRule>
    <cfRule type="iconSet" priority="1959">
      <iconSet>
        <cfvo type="percent" val="0"/>
        <cfvo type="num" val="70"/>
        <cfvo type="num" val="90"/>
      </iconSet>
    </cfRule>
    <cfRule type="iconSet" priority="1960">
      <iconSet>
        <cfvo type="percent" val="0"/>
        <cfvo type="num" val="70"/>
        <cfvo type="num" val="90"/>
      </iconSet>
    </cfRule>
    <cfRule type="iconSet" priority="1961">
      <iconSet>
        <cfvo type="percent" val="0"/>
        <cfvo type="num" val="95"/>
        <cfvo type="num" val="100"/>
      </iconSet>
    </cfRule>
    <cfRule type="iconSet" priority="1962">
      <iconSet>
        <cfvo type="percent" val="0"/>
        <cfvo type="num" val="95"/>
        <cfvo type="num" val="100"/>
      </iconSet>
    </cfRule>
    <cfRule type="iconSet" priority="1963">
      <iconSet>
        <cfvo type="percent" val="0"/>
        <cfvo type="num" val="95"/>
        <cfvo type="num" val="100"/>
      </iconSet>
    </cfRule>
    <cfRule type="iconSet" priority="1964">
      <iconSet>
        <cfvo type="percent" val="0"/>
        <cfvo type="num" val="70"/>
        <cfvo type="num" val="90"/>
      </iconSet>
    </cfRule>
    <cfRule type="iconSet" priority="1966">
      <iconSet>
        <cfvo type="percent" val="0"/>
        <cfvo type="num" val="95"/>
        <cfvo type="num" val="100"/>
      </iconSet>
    </cfRule>
    <cfRule type="iconSet" priority="1965">
      <iconSet>
        <cfvo type="percent" val="0"/>
        <cfvo type="num" val="70"/>
        <cfvo type="num" val="90"/>
      </iconSet>
    </cfRule>
  </conditionalFormatting>
  <conditionalFormatting sqref="I17">
    <cfRule type="iconSet" priority="1957">
      <iconSet>
        <cfvo type="percent" val="0"/>
        <cfvo type="num" val="95"/>
        <cfvo type="num" val="100"/>
      </iconSet>
    </cfRule>
    <cfRule type="iconSet" priority="1955">
      <iconSet>
        <cfvo type="percent" val="0"/>
        <cfvo type="num" val="70"/>
        <cfvo type="num" val="90"/>
      </iconSet>
    </cfRule>
    <cfRule type="iconSet" priority="1949">
      <iconSet>
        <cfvo type="percent" val="0"/>
        <cfvo type="num" val="95"/>
        <cfvo type="num" val="100"/>
      </iconSet>
    </cfRule>
    <cfRule type="iconSet" priority="1950">
      <iconSet>
        <cfvo type="percent" val="0"/>
        <cfvo type="num" val="70"/>
        <cfvo type="num" val="90"/>
      </iconSet>
    </cfRule>
    <cfRule type="iconSet" priority="1951">
      <iconSet>
        <cfvo type="percent" val="0"/>
        <cfvo type="num" val="70"/>
        <cfvo type="num" val="90"/>
      </iconSet>
    </cfRule>
    <cfRule type="iconSet" priority="1952">
      <iconSet>
        <cfvo type="percent" val="0"/>
        <cfvo type="num" val="95"/>
        <cfvo type="num" val="100"/>
      </iconSet>
    </cfRule>
    <cfRule type="iconSet" priority="1953">
      <iconSet>
        <cfvo type="percent" val="0"/>
        <cfvo type="num" val="95"/>
        <cfvo type="num" val="100"/>
      </iconSet>
    </cfRule>
    <cfRule type="iconSet" priority="1954">
      <iconSet>
        <cfvo type="percent" val="0"/>
        <cfvo type="num" val="95"/>
        <cfvo type="num" val="100"/>
      </iconSet>
    </cfRule>
    <cfRule type="iconSet" priority="1956">
      <iconSet>
        <cfvo type="percent" val="0"/>
        <cfvo type="num" val="70"/>
        <cfvo type="num" val="90"/>
      </iconSet>
    </cfRule>
  </conditionalFormatting>
  <conditionalFormatting sqref="I18">
    <cfRule type="iconSet" priority="1940">
      <iconSet>
        <cfvo type="percent" val="0"/>
        <cfvo type="num" val="95"/>
        <cfvo type="num" val="100"/>
      </iconSet>
    </cfRule>
    <cfRule type="iconSet" priority="1941">
      <iconSet>
        <cfvo type="percent" val="0"/>
        <cfvo type="num" val="70"/>
        <cfvo type="num" val="90"/>
      </iconSet>
    </cfRule>
    <cfRule type="iconSet" priority="1942">
      <iconSet>
        <cfvo type="percent" val="0"/>
        <cfvo type="num" val="70"/>
        <cfvo type="num" val="90"/>
      </iconSet>
    </cfRule>
    <cfRule type="iconSet" priority="1943">
      <iconSet>
        <cfvo type="percent" val="0"/>
        <cfvo type="num" val="95"/>
        <cfvo type="num" val="100"/>
      </iconSet>
    </cfRule>
    <cfRule type="iconSet" priority="1944">
      <iconSet>
        <cfvo type="percent" val="0"/>
        <cfvo type="num" val="95"/>
        <cfvo type="num" val="100"/>
      </iconSet>
    </cfRule>
    <cfRule type="iconSet" priority="1945">
      <iconSet>
        <cfvo type="percent" val="0"/>
        <cfvo type="num" val="95"/>
        <cfvo type="num" val="100"/>
      </iconSet>
    </cfRule>
    <cfRule type="iconSet" priority="1946">
      <iconSet>
        <cfvo type="percent" val="0"/>
        <cfvo type="num" val="70"/>
        <cfvo type="num" val="90"/>
      </iconSet>
    </cfRule>
    <cfRule type="iconSet" priority="1947">
      <iconSet>
        <cfvo type="percent" val="0"/>
        <cfvo type="num" val="70"/>
        <cfvo type="num" val="90"/>
      </iconSet>
    </cfRule>
    <cfRule type="iconSet" priority="1948">
      <iconSet>
        <cfvo type="percent" val="0"/>
        <cfvo type="num" val="95"/>
        <cfvo type="num" val="100"/>
      </iconSet>
    </cfRule>
  </conditionalFormatting>
  <conditionalFormatting sqref="I19">
    <cfRule type="iconSet" priority="2092">
      <iconSet>
        <cfvo type="percent" val="0"/>
        <cfvo type="num" val="70"/>
        <cfvo type="num" val="90"/>
      </iconSet>
    </cfRule>
    <cfRule type="iconSet" priority="2091">
      <iconSet>
        <cfvo type="percent" val="0"/>
        <cfvo type="num" val="95"/>
        <cfvo type="num" val="100"/>
      </iconSet>
    </cfRule>
    <cfRule type="iconSet" priority="2090">
      <iconSet>
        <cfvo type="percent" val="0"/>
        <cfvo type="num" val="95"/>
        <cfvo type="num" val="100"/>
      </iconSet>
    </cfRule>
    <cfRule type="iconSet" priority="2103">
      <iconSet>
        <cfvo type="percent" val="0"/>
        <cfvo type="num" val="95"/>
        <cfvo type="num" val="100"/>
      </iconSet>
    </cfRule>
    <cfRule type="iconSet" priority="2089">
      <iconSet>
        <cfvo type="percent" val="0"/>
        <cfvo type="num" val="70"/>
        <cfvo type="num" val="90"/>
      </iconSet>
    </cfRule>
    <cfRule type="iconSet" priority="2088">
      <iconSet>
        <cfvo type="percent" val="0"/>
        <cfvo type="num" val="70"/>
        <cfvo type="num" val="90"/>
      </iconSet>
    </cfRule>
    <cfRule type="iconSet" priority="2087">
      <iconSet>
        <cfvo type="percent" val="0"/>
        <cfvo type="num" val="95"/>
        <cfvo type="num" val="100"/>
      </iconSet>
    </cfRule>
    <cfRule type="iconSet" priority="2086">
      <iconSet>
        <cfvo type="percent" val="0"/>
        <cfvo type="num" val="95"/>
        <cfvo type="num" val="100"/>
      </iconSet>
    </cfRule>
    <cfRule type="iconSet" priority="2085">
      <iconSet>
        <cfvo type="percent" val="0"/>
        <cfvo type="num" val="70"/>
        <cfvo type="num" val="90"/>
      </iconSet>
    </cfRule>
    <cfRule type="iconSet" priority="2084">
      <iconSet>
        <cfvo type="percent" val="0"/>
        <cfvo type="num" val="70"/>
        <cfvo type="num" val="90"/>
      </iconSet>
    </cfRule>
    <cfRule type="iconSet" priority="2083">
      <iconSet>
        <cfvo type="percent" val="0"/>
        <cfvo type="num" val="95"/>
        <cfvo type="num" val="100"/>
      </iconSet>
    </cfRule>
    <cfRule type="iconSet" priority="2082">
      <iconSet>
        <cfvo type="percent" val="0"/>
        <cfvo type="num" val="95"/>
        <cfvo type="num" val="100"/>
      </iconSet>
    </cfRule>
    <cfRule type="iconSet" priority="2081">
      <iconSet>
        <cfvo type="percent" val="0"/>
        <cfvo type="num" val="70"/>
        <cfvo type="num" val="90"/>
      </iconSet>
    </cfRule>
    <cfRule type="iconSet" priority="2080">
      <iconSet>
        <cfvo type="percent" val="0"/>
        <cfvo type="num" val="70"/>
        <cfvo type="num" val="90"/>
      </iconSet>
    </cfRule>
    <cfRule type="iconSet" priority="2107">
      <iconSet>
        <cfvo type="percent" val="0"/>
        <cfvo type="num" val="95"/>
        <cfvo type="num" val="100"/>
      </iconSet>
    </cfRule>
    <cfRule type="iconSet" priority="2106">
      <iconSet>
        <cfvo type="percent" val="0"/>
        <cfvo type="num" val="95"/>
        <cfvo type="num" val="100"/>
      </iconSet>
    </cfRule>
    <cfRule type="iconSet" priority="2105">
      <iconSet>
        <cfvo type="percent" val="0"/>
        <cfvo type="num" val="70"/>
        <cfvo type="num" val="90"/>
      </iconSet>
    </cfRule>
    <cfRule type="iconSet" priority="2104">
      <iconSet>
        <cfvo type="percent" val="0"/>
        <cfvo type="num" val="70"/>
        <cfvo type="num" val="90"/>
      </iconSet>
    </cfRule>
    <cfRule type="iconSet" priority="2079">
      <iconSet>
        <cfvo type="percent" val="0"/>
        <cfvo type="num" val="95"/>
        <cfvo type="num" val="100"/>
      </iconSet>
    </cfRule>
    <cfRule type="iconSet" priority="2102">
      <iconSet>
        <cfvo type="percent" val="0"/>
        <cfvo type="num" val="95"/>
        <cfvo type="num" val="100"/>
      </iconSet>
    </cfRule>
    <cfRule type="iconSet" priority="2101">
      <iconSet>
        <cfvo type="percent" val="0"/>
        <cfvo type="num" val="70"/>
        <cfvo type="num" val="90"/>
      </iconSet>
    </cfRule>
    <cfRule type="iconSet" priority="2100">
      <iconSet>
        <cfvo type="percent" val="0"/>
        <cfvo type="num" val="70"/>
        <cfvo type="num" val="90"/>
      </iconSet>
    </cfRule>
    <cfRule type="iconSet" priority="2099">
      <iconSet>
        <cfvo type="percent" val="0"/>
        <cfvo type="num" val="95"/>
        <cfvo type="num" val="100"/>
      </iconSet>
    </cfRule>
    <cfRule type="iconSet" priority="2098">
      <iconSet>
        <cfvo type="percent" val="0"/>
        <cfvo type="num" val="95"/>
        <cfvo type="num" val="100"/>
      </iconSet>
    </cfRule>
    <cfRule type="iconSet" priority="2097">
      <iconSet>
        <cfvo type="percent" val="0"/>
        <cfvo type="num" val="70"/>
        <cfvo type="num" val="90"/>
      </iconSet>
    </cfRule>
    <cfRule type="iconSet" priority="2096">
      <iconSet>
        <cfvo type="percent" val="0"/>
        <cfvo type="num" val="70"/>
        <cfvo type="num" val="90"/>
      </iconSet>
    </cfRule>
    <cfRule type="iconSet" priority="2095">
      <iconSet>
        <cfvo type="percent" val="0"/>
        <cfvo type="num" val="95"/>
        <cfvo type="num" val="100"/>
      </iconSet>
    </cfRule>
    <cfRule type="iconSet" priority="2094">
      <iconSet>
        <cfvo type="percent" val="0"/>
        <cfvo type="num" val="95"/>
        <cfvo type="num" val="100"/>
      </iconSet>
    </cfRule>
    <cfRule type="iconSet" priority="2093">
      <iconSet>
        <cfvo type="percent" val="0"/>
        <cfvo type="num" val="70"/>
        <cfvo type="num" val="90"/>
      </iconSet>
    </cfRule>
  </conditionalFormatting>
  <conditionalFormatting sqref="I20">
    <cfRule type="iconSet" priority="1937">
      <iconSet>
        <cfvo type="percent" val="0"/>
        <cfvo type="num" val="70"/>
        <cfvo type="num" val="90"/>
      </iconSet>
    </cfRule>
    <cfRule type="iconSet" priority="1933">
      <iconSet>
        <cfvo type="percent" val="0"/>
        <cfvo type="num" val="70"/>
        <cfvo type="num" val="90"/>
      </iconSet>
    </cfRule>
    <cfRule type="iconSet" priority="1934">
      <iconSet>
        <cfvo type="percent" val="0"/>
        <cfvo type="num" val="95"/>
        <cfvo type="num" val="100"/>
      </iconSet>
    </cfRule>
    <cfRule type="iconSet" priority="1935">
      <iconSet>
        <cfvo type="percent" val="0"/>
        <cfvo type="num" val="95"/>
        <cfvo type="num" val="100"/>
      </iconSet>
    </cfRule>
    <cfRule type="iconSet" priority="1936">
      <iconSet>
        <cfvo type="percent" val="0"/>
        <cfvo type="num" val="95"/>
        <cfvo type="num" val="100"/>
      </iconSet>
    </cfRule>
    <cfRule type="iconSet" priority="1939">
      <iconSet>
        <cfvo type="percent" val="0"/>
        <cfvo type="num" val="95"/>
        <cfvo type="num" val="100"/>
      </iconSet>
    </cfRule>
    <cfRule type="iconSet" priority="1932">
      <iconSet>
        <cfvo type="percent" val="0"/>
        <cfvo type="num" val="70"/>
        <cfvo type="num" val="90"/>
      </iconSet>
    </cfRule>
    <cfRule type="iconSet" priority="1938">
      <iconSet>
        <cfvo type="percent" val="0"/>
        <cfvo type="num" val="70"/>
        <cfvo type="num" val="90"/>
      </iconSet>
    </cfRule>
    <cfRule type="iconSet" priority="1931">
      <iconSet>
        <cfvo type="percent" val="0"/>
        <cfvo type="num" val="95"/>
        <cfvo type="num" val="100"/>
      </iconSet>
    </cfRule>
  </conditionalFormatting>
  <conditionalFormatting sqref="I21">
    <cfRule type="iconSet" priority="1925">
      <iconSet>
        <cfvo type="percent" val="0"/>
        <cfvo type="num" val="95"/>
        <cfvo type="num" val="100"/>
      </iconSet>
    </cfRule>
    <cfRule type="iconSet" priority="1923">
      <iconSet>
        <cfvo type="percent" val="0"/>
        <cfvo type="num" val="70"/>
        <cfvo type="num" val="90"/>
      </iconSet>
    </cfRule>
    <cfRule type="iconSet" priority="1924">
      <iconSet>
        <cfvo type="percent" val="0"/>
        <cfvo type="num" val="70"/>
        <cfvo type="num" val="90"/>
      </iconSet>
    </cfRule>
    <cfRule type="iconSet" priority="1928">
      <iconSet>
        <cfvo type="percent" val="0"/>
        <cfvo type="num" val="70"/>
        <cfvo type="num" val="90"/>
      </iconSet>
    </cfRule>
    <cfRule type="iconSet" priority="1929">
      <iconSet>
        <cfvo type="percent" val="0"/>
        <cfvo type="num" val="70"/>
        <cfvo type="num" val="90"/>
      </iconSet>
    </cfRule>
    <cfRule type="iconSet" priority="1930">
      <iconSet>
        <cfvo type="percent" val="0"/>
        <cfvo type="num" val="95"/>
        <cfvo type="num" val="100"/>
      </iconSet>
    </cfRule>
    <cfRule type="iconSet" priority="1927">
      <iconSet>
        <cfvo type="percent" val="0"/>
        <cfvo type="num" val="95"/>
        <cfvo type="num" val="100"/>
      </iconSet>
    </cfRule>
    <cfRule type="iconSet" priority="1926">
      <iconSet>
        <cfvo type="percent" val="0"/>
        <cfvo type="num" val="95"/>
        <cfvo type="num" val="100"/>
      </iconSet>
    </cfRule>
    <cfRule type="iconSet" priority="1922">
      <iconSet>
        <cfvo type="percent" val="0"/>
        <cfvo type="num" val="95"/>
        <cfvo type="num" val="100"/>
      </iconSet>
    </cfRule>
  </conditionalFormatting>
  <conditionalFormatting sqref="I22">
    <cfRule type="iconSet" priority="1918">
      <iconSet>
        <cfvo type="percent" val="0"/>
        <cfvo type="num" val="95"/>
        <cfvo type="num" val="100"/>
      </iconSet>
    </cfRule>
    <cfRule type="iconSet" priority="1919">
      <iconSet>
        <cfvo type="percent" val="0"/>
        <cfvo type="num" val="70"/>
        <cfvo type="num" val="90"/>
      </iconSet>
    </cfRule>
    <cfRule type="iconSet" priority="1913">
      <iconSet>
        <cfvo type="percent" val="0"/>
        <cfvo type="num" val="95"/>
        <cfvo type="num" val="100"/>
      </iconSet>
    </cfRule>
    <cfRule type="iconSet" priority="1914">
      <iconSet>
        <cfvo type="percent" val="0"/>
        <cfvo type="num" val="70"/>
        <cfvo type="num" val="90"/>
      </iconSet>
    </cfRule>
    <cfRule type="iconSet" priority="1915">
      <iconSet>
        <cfvo type="percent" val="0"/>
        <cfvo type="num" val="70"/>
        <cfvo type="num" val="90"/>
      </iconSet>
    </cfRule>
    <cfRule type="iconSet" priority="1917">
      <iconSet>
        <cfvo type="percent" val="0"/>
        <cfvo type="num" val="95"/>
        <cfvo type="num" val="100"/>
      </iconSet>
    </cfRule>
    <cfRule type="iconSet" priority="1916">
      <iconSet>
        <cfvo type="percent" val="0"/>
        <cfvo type="num" val="95"/>
        <cfvo type="num" val="100"/>
      </iconSet>
    </cfRule>
    <cfRule type="iconSet" priority="1921">
      <iconSet>
        <cfvo type="percent" val="0"/>
        <cfvo type="num" val="95"/>
        <cfvo type="num" val="100"/>
      </iconSet>
    </cfRule>
    <cfRule type="iconSet" priority="1920">
      <iconSet>
        <cfvo type="percent" val="0"/>
        <cfvo type="num" val="70"/>
        <cfvo type="num" val="90"/>
      </iconSet>
    </cfRule>
  </conditionalFormatting>
  <conditionalFormatting sqref="I23">
    <cfRule type="iconSet" priority="1911">
      <iconSet>
        <cfvo type="percent" val="0"/>
        <cfvo type="num" val="70"/>
        <cfvo type="num" val="90"/>
      </iconSet>
    </cfRule>
    <cfRule type="iconSet" priority="1912">
      <iconSet>
        <cfvo type="percent" val="0"/>
        <cfvo type="num" val="95"/>
        <cfvo type="num" val="100"/>
      </iconSet>
    </cfRule>
    <cfRule type="iconSet" priority="1904">
      <iconSet>
        <cfvo type="percent" val="0"/>
        <cfvo type="num" val="95"/>
        <cfvo type="num" val="100"/>
      </iconSet>
    </cfRule>
    <cfRule type="iconSet" priority="1905">
      <iconSet>
        <cfvo type="percent" val="0"/>
        <cfvo type="num" val="70"/>
        <cfvo type="num" val="90"/>
      </iconSet>
    </cfRule>
    <cfRule type="iconSet" priority="1906">
      <iconSet>
        <cfvo type="percent" val="0"/>
        <cfvo type="num" val="70"/>
        <cfvo type="num" val="90"/>
      </iconSet>
    </cfRule>
    <cfRule type="iconSet" priority="1908">
      <iconSet>
        <cfvo type="percent" val="0"/>
        <cfvo type="num" val="95"/>
        <cfvo type="num" val="100"/>
      </iconSet>
    </cfRule>
    <cfRule type="iconSet" priority="1907">
      <iconSet>
        <cfvo type="percent" val="0"/>
        <cfvo type="num" val="95"/>
        <cfvo type="num" val="100"/>
      </iconSet>
    </cfRule>
    <cfRule type="iconSet" priority="1909">
      <iconSet>
        <cfvo type="percent" val="0"/>
        <cfvo type="num" val="95"/>
        <cfvo type="num" val="100"/>
      </iconSet>
    </cfRule>
    <cfRule type="iconSet" priority="1910">
      <iconSet>
        <cfvo type="percent" val="0"/>
        <cfvo type="num" val="70"/>
        <cfvo type="num" val="90"/>
      </iconSet>
    </cfRule>
  </conditionalFormatting>
  <conditionalFormatting sqref="I24">
    <cfRule type="iconSet" priority="1903">
      <iconSet>
        <cfvo type="percent" val="0"/>
        <cfvo type="num" val="95"/>
        <cfvo type="num" val="100"/>
      </iconSet>
    </cfRule>
    <cfRule type="iconSet" priority="1898">
      <iconSet>
        <cfvo type="percent" val="0"/>
        <cfvo type="num" val="95"/>
        <cfvo type="num" val="100"/>
      </iconSet>
    </cfRule>
    <cfRule type="iconSet" priority="1897">
      <iconSet>
        <cfvo type="percent" val="0"/>
        <cfvo type="num" val="70"/>
        <cfvo type="num" val="90"/>
      </iconSet>
    </cfRule>
    <cfRule type="iconSet" priority="1896">
      <iconSet>
        <cfvo type="percent" val="0"/>
        <cfvo type="num" val="70"/>
        <cfvo type="num" val="90"/>
      </iconSet>
    </cfRule>
    <cfRule type="iconSet" priority="1895">
      <iconSet>
        <cfvo type="percent" val="0"/>
        <cfvo type="num" val="95"/>
        <cfvo type="num" val="100"/>
      </iconSet>
    </cfRule>
    <cfRule type="iconSet" priority="1900">
      <iconSet>
        <cfvo type="percent" val="0"/>
        <cfvo type="num" val="95"/>
        <cfvo type="num" val="100"/>
      </iconSet>
    </cfRule>
    <cfRule type="iconSet" priority="1901">
      <iconSet>
        <cfvo type="percent" val="0"/>
        <cfvo type="num" val="70"/>
        <cfvo type="num" val="90"/>
      </iconSet>
    </cfRule>
    <cfRule type="iconSet" priority="1902">
      <iconSet>
        <cfvo type="percent" val="0"/>
        <cfvo type="num" val="70"/>
        <cfvo type="num" val="90"/>
      </iconSet>
    </cfRule>
    <cfRule type="iconSet" priority="1899">
      <iconSet>
        <cfvo type="percent" val="0"/>
        <cfvo type="num" val="95"/>
        <cfvo type="num" val="100"/>
      </iconSet>
    </cfRule>
  </conditionalFormatting>
  <conditionalFormatting sqref="I25">
    <cfRule type="iconSet" priority="2078">
      <iconSet>
        <cfvo type="percent" val="0"/>
        <cfvo type="num" val="95"/>
        <cfvo type="num" val="100"/>
      </iconSet>
    </cfRule>
  </conditionalFormatting>
  <conditionalFormatting sqref="I26">
    <cfRule type="iconSet" priority="1894">
      <iconSet>
        <cfvo type="percent" val="0"/>
        <cfvo type="num" val="95"/>
        <cfvo type="num" val="100"/>
      </iconSet>
    </cfRule>
    <cfRule type="iconSet" priority="1892">
      <iconSet>
        <cfvo type="percent" val="0"/>
        <cfvo type="num" val="70"/>
        <cfvo type="num" val="90"/>
      </iconSet>
    </cfRule>
    <cfRule type="iconSet" priority="1889">
      <iconSet>
        <cfvo type="percent" val="0"/>
        <cfvo type="num" val="95"/>
        <cfvo type="num" val="100"/>
      </iconSet>
    </cfRule>
    <cfRule type="iconSet" priority="1888">
      <iconSet>
        <cfvo type="percent" val="0"/>
        <cfvo type="num" val="70"/>
        <cfvo type="num" val="90"/>
      </iconSet>
    </cfRule>
    <cfRule type="iconSet" priority="1887">
      <iconSet>
        <cfvo type="percent" val="0"/>
        <cfvo type="num" val="70"/>
        <cfvo type="num" val="90"/>
      </iconSet>
    </cfRule>
    <cfRule type="iconSet" priority="1891">
      <iconSet>
        <cfvo type="percent" val="0"/>
        <cfvo type="num" val="95"/>
        <cfvo type="num" val="100"/>
      </iconSet>
    </cfRule>
    <cfRule type="iconSet" priority="1890">
      <iconSet>
        <cfvo type="percent" val="0"/>
        <cfvo type="num" val="95"/>
        <cfvo type="num" val="100"/>
      </iconSet>
    </cfRule>
    <cfRule type="iconSet" priority="1893">
      <iconSet>
        <cfvo type="percent" val="0"/>
        <cfvo type="num" val="70"/>
        <cfvo type="num" val="90"/>
      </iconSet>
    </cfRule>
    <cfRule type="iconSet" priority="1886">
      <iconSet>
        <cfvo type="percent" val="0"/>
        <cfvo type="num" val="95"/>
        <cfvo type="num" val="100"/>
      </iconSet>
    </cfRule>
  </conditionalFormatting>
  <conditionalFormatting sqref="I27">
    <cfRule type="iconSet" priority="2112">
      <iconSet>
        <cfvo type="percent" val="0"/>
        <cfvo type="num" val="95"/>
        <cfvo type="num" val="100"/>
      </iconSet>
    </cfRule>
  </conditionalFormatting>
  <conditionalFormatting sqref="I28:I30">
    <cfRule type="iconSet" priority="1878">
      <iconSet>
        <cfvo type="percent" val="0"/>
        <cfvo type="num" val="70"/>
        <cfvo type="num" val="90"/>
      </iconSet>
    </cfRule>
    <cfRule type="iconSet" priority="1877">
      <iconSet>
        <cfvo type="percent" val="0"/>
        <cfvo type="num" val="95"/>
        <cfvo type="num" val="100"/>
      </iconSet>
    </cfRule>
    <cfRule type="iconSet" priority="1885">
      <iconSet>
        <cfvo type="percent" val="0"/>
        <cfvo type="num" val="95"/>
        <cfvo type="num" val="100"/>
      </iconSet>
    </cfRule>
    <cfRule type="iconSet" priority="1884">
      <iconSet>
        <cfvo type="percent" val="0"/>
        <cfvo type="num" val="70"/>
        <cfvo type="num" val="90"/>
      </iconSet>
    </cfRule>
    <cfRule type="iconSet" priority="1883">
      <iconSet>
        <cfvo type="percent" val="0"/>
        <cfvo type="num" val="70"/>
        <cfvo type="num" val="90"/>
      </iconSet>
    </cfRule>
    <cfRule type="iconSet" priority="1882">
      <iconSet>
        <cfvo type="percent" val="0"/>
        <cfvo type="num" val="95"/>
        <cfvo type="num" val="100"/>
      </iconSet>
    </cfRule>
    <cfRule type="iconSet" priority="1881">
      <iconSet>
        <cfvo type="percent" val="0"/>
        <cfvo type="num" val="95"/>
        <cfvo type="num" val="100"/>
      </iconSet>
    </cfRule>
    <cfRule type="iconSet" priority="1880">
      <iconSet>
        <cfvo type="percent" val="0"/>
        <cfvo type="num" val="95"/>
        <cfvo type="num" val="100"/>
      </iconSet>
    </cfRule>
    <cfRule type="iconSet" priority="1879">
      <iconSet>
        <cfvo type="percent" val="0"/>
        <cfvo type="num" val="70"/>
        <cfvo type="num" val="90"/>
      </iconSet>
    </cfRule>
  </conditionalFormatting>
  <conditionalFormatting sqref="I31:I33">
    <cfRule type="iconSet" priority="1868">
      <iconSet>
        <cfvo type="percent" val="0"/>
        <cfvo type="num" val="95"/>
        <cfvo type="num" val="100"/>
      </iconSet>
    </cfRule>
    <cfRule type="iconSet" priority="1869">
      <iconSet>
        <cfvo type="percent" val="0"/>
        <cfvo type="num" val="70"/>
        <cfvo type="num" val="90"/>
      </iconSet>
    </cfRule>
    <cfRule type="iconSet" priority="1870">
      <iconSet>
        <cfvo type="percent" val="0"/>
        <cfvo type="num" val="70"/>
        <cfvo type="num" val="90"/>
      </iconSet>
    </cfRule>
    <cfRule type="iconSet" priority="1871">
      <iconSet>
        <cfvo type="percent" val="0"/>
        <cfvo type="num" val="95"/>
        <cfvo type="num" val="100"/>
      </iconSet>
    </cfRule>
    <cfRule type="iconSet" priority="1872">
      <iconSet>
        <cfvo type="percent" val="0"/>
        <cfvo type="num" val="95"/>
        <cfvo type="num" val="100"/>
      </iconSet>
    </cfRule>
    <cfRule type="iconSet" priority="1873">
      <iconSet>
        <cfvo type="percent" val="0"/>
        <cfvo type="num" val="95"/>
        <cfvo type="num" val="100"/>
      </iconSet>
    </cfRule>
    <cfRule type="iconSet" priority="1874">
      <iconSet>
        <cfvo type="percent" val="0"/>
        <cfvo type="num" val="70"/>
        <cfvo type="num" val="90"/>
      </iconSet>
    </cfRule>
    <cfRule type="iconSet" priority="1875">
      <iconSet>
        <cfvo type="percent" val="0"/>
        <cfvo type="num" val="70"/>
        <cfvo type="num" val="90"/>
      </iconSet>
    </cfRule>
    <cfRule type="iconSet" priority="1876">
      <iconSet>
        <cfvo type="percent" val="0"/>
        <cfvo type="num" val="95"/>
        <cfvo type="num" val="100"/>
      </iconSet>
    </cfRule>
  </conditionalFormatting>
  <conditionalFormatting sqref="I34">
    <cfRule type="iconSet" priority="2016">
      <iconSet>
        <cfvo type="percent" val="0"/>
        <cfvo type="num" val="95"/>
        <cfvo type="num" val="100"/>
      </iconSet>
    </cfRule>
  </conditionalFormatting>
  <conditionalFormatting sqref="I35:I36">
    <cfRule type="iconSet" priority="1859">
      <iconSet>
        <cfvo type="percent" val="0"/>
        <cfvo type="num" val="95"/>
        <cfvo type="num" val="100"/>
      </iconSet>
    </cfRule>
    <cfRule type="iconSet" priority="1861">
      <iconSet>
        <cfvo type="percent" val="0"/>
        <cfvo type="num" val="70"/>
        <cfvo type="num" val="90"/>
      </iconSet>
    </cfRule>
    <cfRule type="iconSet" priority="1862">
      <iconSet>
        <cfvo type="percent" val="0"/>
        <cfvo type="num" val="95"/>
        <cfvo type="num" val="100"/>
      </iconSet>
    </cfRule>
    <cfRule type="iconSet" priority="1863">
      <iconSet>
        <cfvo type="percent" val="0"/>
        <cfvo type="num" val="95"/>
        <cfvo type="num" val="100"/>
      </iconSet>
    </cfRule>
    <cfRule type="iconSet" priority="1864">
      <iconSet>
        <cfvo type="percent" val="0"/>
        <cfvo type="num" val="95"/>
        <cfvo type="num" val="100"/>
      </iconSet>
    </cfRule>
    <cfRule type="iconSet" priority="1865">
      <iconSet>
        <cfvo type="percent" val="0"/>
        <cfvo type="num" val="70"/>
        <cfvo type="num" val="90"/>
      </iconSet>
    </cfRule>
    <cfRule type="iconSet" priority="1866">
      <iconSet>
        <cfvo type="percent" val="0"/>
        <cfvo type="num" val="70"/>
        <cfvo type="num" val="90"/>
      </iconSet>
    </cfRule>
    <cfRule type="iconSet" priority="1867">
      <iconSet>
        <cfvo type="percent" val="0"/>
        <cfvo type="num" val="95"/>
        <cfvo type="num" val="100"/>
      </iconSet>
    </cfRule>
    <cfRule type="iconSet" priority="1860">
      <iconSet>
        <cfvo type="percent" val="0"/>
        <cfvo type="num" val="70"/>
        <cfvo type="num" val="90"/>
      </iconSet>
    </cfRule>
  </conditionalFormatting>
  <conditionalFormatting sqref="I37">
    <cfRule type="iconSet" priority="2138">
      <iconSet>
        <cfvo type="percent" val="0"/>
        <cfvo type="num" val="70"/>
        <cfvo type="num" val="90"/>
      </iconSet>
    </cfRule>
    <cfRule type="iconSet" priority="2139">
      <iconSet>
        <cfvo type="percent" val="0"/>
        <cfvo type="num" val="70"/>
        <cfvo type="num" val="90"/>
      </iconSet>
    </cfRule>
    <cfRule type="iconSet" priority="2140">
      <iconSet>
        <cfvo type="percent" val="0"/>
        <cfvo type="num" val="95"/>
        <cfvo type="num" val="100"/>
      </iconSet>
    </cfRule>
    <cfRule type="iconSet" priority="2137">
      <iconSet>
        <cfvo type="percent" val="0"/>
        <cfvo type="num" val="95"/>
        <cfvo type="num" val="100"/>
      </iconSet>
    </cfRule>
  </conditionalFormatting>
  <conditionalFormatting sqref="I37:I38">
    <cfRule type="iconSet" priority="2129">
      <iconSet>
        <cfvo type="percent" val="0"/>
        <cfvo type="num" val="95"/>
        <cfvo type="num" val="100"/>
      </iconSet>
    </cfRule>
    <cfRule type="iconSet" priority="2130">
      <iconSet>
        <cfvo type="percent" val="0"/>
        <cfvo type="num" val="70"/>
        <cfvo type="num" val="90"/>
      </iconSet>
    </cfRule>
    <cfRule type="iconSet" priority="2125">
      <iconSet>
        <cfvo type="percent" val="0"/>
        <cfvo type="num" val="95"/>
        <cfvo type="num" val="100"/>
      </iconSet>
    </cfRule>
    <cfRule type="iconSet" priority="2126">
      <iconSet>
        <cfvo type="percent" val="0"/>
        <cfvo type="num" val="70"/>
        <cfvo type="num" val="90"/>
      </iconSet>
    </cfRule>
    <cfRule type="iconSet" priority="2131">
      <iconSet>
        <cfvo type="percent" val="0"/>
        <cfvo type="num" val="70"/>
        <cfvo type="num" val="90"/>
      </iconSet>
    </cfRule>
    <cfRule type="iconSet" priority="2127">
      <iconSet>
        <cfvo type="percent" val="0"/>
        <cfvo type="num" val="70"/>
        <cfvo type="num" val="90"/>
      </iconSet>
    </cfRule>
    <cfRule type="iconSet" priority="2128">
      <iconSet>
        <cfvo type="percent" val="0"/>
        <cfvo type="num" val="95"/>
        <cfvo type="num" val="100"/>
      </iconSet>
    </cfRule>
    <cfRule type="iconSet" priority="2132">
      <iconSet>
        <cfvo type="percent" val="0"/>
        <cfvo type="num" val="95"/>
        <cfvo type="num" val="100"/>
      </iconSet>
    </cfRule>
  </conditionalFormatting>
  <conditionalFormatting sqref="I37:I39">
    <cfRule type="iconSet" priority="2145">
      <iconSet>
        <cfvo type="percent" val="0"/>
        <cfvo type="num" val="95"/>
        <cfvo type="num" val="100"/>
      </iconSet>
    </cfRule>
  </conditionalFormatting>
  <conditionalFormatting sqref="I38">
    <cfRule type="iconSet" priority="2113">
      <iconSet>
        <cfvo type="percent" val="0"/>
        <cfvo type="num" val="95"/>
        <cfvo type="num" val="100"/>
      </iconSet>
    </cfRule>
    <cfRule type="iconSet" priority="2111">
      <iconSet>
        <cfvo type="percent" val="0"/>
        <cfvo type="num" val="95"/>
        <cfvo type="num" val="100"/>
      </iconSet>
    </cfRule>
    <cfRule type="iconSet" priority="2110">
      <iconSet>
        <cfvo type="percent" val="0"/>
        <cfvo type="num" val="70"/>
        <cfvo type="num" val="90"/>
      </iconSet>
    </cfRule>
    <cfRule type="iconSet" priority="2109">
      <iconSet>
        <cfvo type="percent" val="0"/>
        <cfvo type="num" val="70"/>
        <cfvo type="num" val="90"/>
      </iconSet>
    </cfRule>
    <cfRule type="iconSet" priority="2108">
      <iconSet>
        <cfvo type="percent" val="0"/>
        <cfvo type="num" val="95"/>
        <cfvo type="num" val="100"/>
      </iconSet>
    </cfRule>
    <cfRule type="iconSet" priority="2122">
      <iconSet>
        <cfvo type="percent" val="0"/>
        <cfvo type="num" val="70"/>
        <cfvo type="num" val="90"/>
      </iconSet>
    </cfRule>
    <cfRule type="iconSet" priority="2136">
      <iconSet>
        <cfvo type="percent" val="0"/>
        <cfvo type="num" val="95"/>
        <cfvo type="num" val="100"/>
      </iconSet>
    </cfRule>
    <cfRule type="iconSet" priority="2018">
      <iconSet>
        <cfvo type="percent" val="0"/>
        <cfvo type="num" val="95"/>
        <cfvo type="num" val="100"/>
      </iconSet>
    </cfRule>
    <cfRule type="iconSet" priority="2019">
      <iconSet>
        <cfvo type="percent" val="0"/>
        <cfvo type="num" val="70"/>
        <cfvo type="num" val="90"/>
      </iconSet>
    </cfRule>
    <cfRule type="iconSet" priority="2020">
      <iconSet>
        <cfvo type="percent" val="0"/>
        <cfvo type="num" val="70"/>
        <cfvo type="num" val="90"/>
      </iconSet>
    </cfRule>
    <cfRule type="iconSet" priority="2021">
      <iconSet>
        <cfvo type="percent" val="0"/>
        <cfvo type="num" val="95"/>
        <cfvo type="num" val="100"/>
      </iconSet>
    </cfRule>
    <cfRule type="iconSet" priority="2114">
      <iconSet>
        <cfvo type="percent" val="0"/>
        <cfvo type="num" val="70"/>
        <cfvo type="num" val="90"/>
      </iconSet>
    </cfRule>
    <cfRule type="iconSet" priority="2135">
      <iconSet>
        <cfvo type="percent" val="0"/>
        <cfvo type="num" val="70"/>
        <cfvo type="num" val="90"/>
      </iconSet>
    </cfRule>
    <cfRule type="iconSet" priority="2134">
      <iconSet>
        <cfvo type="percent" val="0"/>
        <cfvo type="num" val="70"/>
        <cfvo type="num" val="90"/>
      </iconSet>
    </cfRule>
    <cfRule type="iconSet" priority="2133">
      <iconSet>
        <cfvo type="percent" val="0"/>
        <cfvo type="num" val="95"/>
        <cfvo type="num" val="100"/>
      </iconSet>
    </cfRule>
    <cfRule type="iconSet" priority="2124">
      <iconSet>
        <cfvo type="percent" val="0"/>
        <cfvo type="num" val="95"/>
        <cfvo type="num" val="100"/>
      </iconSet>
    </cfRule>
    <cfRule type="iconSet" priority="2123">
      <iconSet>
        <cfvo type="percent" val="0"/>
        <cfvo type="num" val="70"/>
        <cfvo type="num" val="90"/>
      </iconSet>
    </cfRule>
    <cfRule type="iconSet" priority="2121">
      <iconSet>
        <cfvo type="percent" val="0"/>
        <cfvo type="num" val="95"/>
        <cfvo type="num" val="100"/>
      </iconSet>
    </cfRule>
    <cfRule type="iconSet" priority="2120">
      <iconSet>
        <cfvo type="percent" val="0"/>
        <cfvo type="num" val="95"/>
        <cfvo type="num" val="100"/>
      </iconSet>
    </cfRule>
    <cfRule type="iconSet" priority="2119">
      <iconSet>
        <cfvo type="percent" val="0"/>
        <cfvo type="num" val="70"/>
        <cfvo type="num" val="90"/>
      </iconSet>
    </cfRule>
    <cfRule type="iconSet" priority="2118">
      <iconSet>
        <cfvo type="percent" val="0"/>
        <cfvo type="num" val="70"/>
        <cfvo type="num" val="90"/>
      </iconSet>
    </cfRule>
    <cfRule type="iconSet" priority="2117">
      <iconSet>
        <cfvo type="percent" val="0"/>
        <cfvo type="num" val="95"/>
        <cfvo type="num" val="100"/>
      </iconSet>
    </cfRule>
    <cfRule type="iconSet" priority="2116">
      <iconSet>
        <cfvo type="percent" val="0"/>
        <cfvo type="num" val="95"/>
        <cfvo type="num" val="100"/>
      </iconSet>
    </cfRule>
    <cfRule type="iconSet" priority="2115">
      <iconSet>
        <cfvo type="percent" val="0"/>
        <cfvo type="num" val="70"/>
        <cfvo type="num" val="90"/>
      </iconSet>
    </cfRule>
  </conditionalFormatting>
  <conditionalFormatting sqref="I39">
    <cfRule type="iconSet" priority="2076">
      <iconSet>
        <cfvo type="percent" val="0"/>
        <cfvo type="num" val="70"/>
        <cfvo type="num" val="90"/>
      </iconSet>
    </cfRule>
    <cfRule type="iconSet" priority="2075">
      <iconSet>
        <cfvo type="percent" val="0"/>
        <cfvo type="num" val="70"/>
        <cfvo type="num" val="90"/>
      </iconSet>
    </cfRule>
    <cfRule type="iconSet" priority="2074">
      <iconSet>
        <cfvo type="percent" val="0"/>
        <cfvo type="num" val="95"/>
        <cfvo type="num" val="100"/>
      </iconSet>
    </cfRule>
    <cfRule type="iconSet" priority="2073">
      <iconSet>
        <cfvo type="percent" val="0"/>
        <cfvo type="num" val="95"/>
        <cfvo type="num" val="100"/>
      </iconSet>
    </cfRule>
    <cfRule type="iconSet" priority="2072">
      <iconSet>
        <cfvo type="percent" val="0"/>
        <cfvo type="num" val="70"/>
        <cfvo type="num" val="90"/>
      </iconSet>
    </cfRule>
    <cfRule type="iconSet" priority="2071">
      <iconSet>
        <cfvo type="percent" val="0"/>
        <cfvo type="num" val="70"/>
        <cfvo type="num" val="90"/>
      </iconSet>
    </cfRule>
    <cfRule type="iconSet" priority="2067">
      <iconSet>
        <cfvo type="percent" val="0"/>
        <cfvo type="num" val="70"/>
        <cfvo type="num" val="90"/>
      </iconSet>
    </cfRule>
    <cfRule type="iconSet" priority="2068">
      <iconSet>
        <cfvo type="percent" val="0"/>
        <cfvo type="num" val="70"/>
        <cfvo type="num" val="90"/>
      </iconSet>
    </cfRule>
    <cfRule type="iconSet" priority="2069">
      <iconSet>
        <cfvo type="percent" val="0"/>
        <cfvo type="num" val="95"/>
        <cfvo type="num" val="100"/>
      </iconSet>
    </cfRule>
    <cfRule type="iconSet" priority="2061">
      <iconSet>
        <cfvo type="percent" val="0"/>
        <cfvo type="num" val="95"/>
        <cfvo type="num" val="100"/>
      </iconSet>
    </cfRule>
    <cfRule type="iconSet" priority="2141">
      <iconSet>
        <cfvo type="percent" val="0"/>
        <cfvo type="num" val="70"/>
        <cfvo type="num" val="90"/>
      </iconSet>
    </cfRule>
    <cfRule type="iconSet" priority="2070">
      <iconSet>
        <cfvo type="percent" val="0"/>
        <cfvo type="num" val="95"/>
        <cfvo type="num" val="100"/>
      </iconSet>
    </cfRule>
    <cfRule type="iconSet" priority="2056">
      <iconSet>
        <cfvo type="percent" val="0"/>
        <cfvo type="num" val="70"/>
        <cfvo type="num" val="90"/>
      </iconSet>
    </cfRule>
    <cfRule type="iconSet" priority="2055">
      <iconSet>
        <cfvo type="percent" val="0"/>
        <cfvo type="num" val="70"/>
        <cfvo type="num" val="90"/>
      </iconSet>
    </cfRule>
    <cfRule type="iconSet" priority="2054">
      <iconSet>
        <cfvo type="percent" val="0"/>
        <cfvo type="num" val="95"/>
        <cfvo type="num" val="100"/>
      </iconSet>
    </cfRule>
    <cfRule type="iconSet" priority="2062">
      <iconSet>
        <cfvo type="percent" val="0"/>
        <cfvo type="num" val="95"/>
        <cfvo type="num" val="100"/>
      </iconSet>
    </cfRule>
    <cfRule type="iconSet" priority="2057">
      <iconSet>
        <cfvo type="percent" val="0"/>
        <cfvo type="num" val="95"/>
        <cfvo type="num" val="100"/>
      </iconSet>
    </cfRule>
    <cfRule type="iconSet" priority="2058">
      <iconSet>
        <cfvo type="percent" val="0"/>
        <cfvo type="num" val="95"/>
        <cfvo type="num" val="100"/>
      </iconSet>
    </cfRule>
    <cfRule type="iconSet" priority="2059">
      <iconSet>
        <cfvo type="percent" val="0"/>
        <cfvo type="num" val="70"/>
        <cfvo type="num" val="90"/>
      </iconSet>
    </cfRule>
    <cfRule type="iconSet" priority="2077">
      <iconSet>
        <cfvo type="percent" val="0"/>
        <cfvo type="num" val="95"/>
        <cfvo type="num" val="100"/>
      </iconSet>
    </cfRule>
    <cfRule type="iconSet" priority="2142">
      <iconSet>
        <cfvo type="percent" val="0"/>
        <cfvo type="num" val="95"/>
        <cfvo type="num" val="100"/>
      </iconSet>
    </cfRule>
    <cfRule type="iconSet" priority="2063">
      <iconSet>
        <cfvo type="percent" val="0"/>
        <cfvo type="num" val="70"/>
        <cfvo type="num" val="90"/>
      </iconSet>
    </cfRule>
    <cfRule type="iconSet" priority="2053">
      <iconSet>
        <cfvo type="percent" val="0"/>
        <cfvo type="num" val="95"/>
        <cfvo type="num" val="100"/>
      </iconSet>
    </cfRule>
    <cfRule type="iconSet" priority="2052">
      <iconSet>
        <cfvo type="percent" val="0"/>
        <cfvo type="num" val="70"/>
        <cfvo type="num" val="90"/>
      </iconSet>
    </cfRule>
    <cfRule type="iconSet" priority="2051">
      <iconSet>
        <cfvo type="percent" val="0"/>
        <cfvo type="num" val="70"/>
        <cfvo type="num" val="90"/>
      </iconSet>
    </cfRule>
    <cfRule type="iconSet" priority="2050">
      <iconSet>
        <cfvo type="percent" val="0"/>
        <cfvo type="num" val="95"/>
        <cfvo type="num" val="100"/>
      </iconSet>
    </cfRule>
    <cfRule type="iconSet" priority="2064">
      <iconSet>
        <cfvo type="percent" val="0"/>
        <cfvo type="num" val="70"/>
        <cfvo type="num" val="90"/>
      </iconSet>
    </cfRule>
    <cfRule type="iconSet" priority="2065">
      <iconSet>
        <cfvo type="percent" val="0"/>
        <cfvo type="num" val="95"/>
        <cfvo type="num" val="100"/>
      </iconSet>
    </cfRule>
    <cfRule type="iconSet" priority="2066">
      <iconSet>
        <cfvo type="percent" val="0"/>
        <cfvo type="num" val="95"/>
        <cfvo type="num" val="100"/>
      </iconSet>
    </cfRule>
    <cfRule type="iconSet" priority="2060">
      <iconSet>
        <cfvo type="percent" val="0"/>
        <cfvo type="num" val="70"/>
        <cfvo type="num" val="90"/>
      </iconSet>
    </cfRule>
  </conditionalFormatting>
  <conditionalFormatting sqref="I40">
    <cfRule type="iconSet" priority="653">
      <iconSet>
        <cfvo type="percent" val="0"/>
        <cfvo type="num" val="70"/>
        <cfvo type="num" val="90"/>
      </iconSet>
    </cfRule>
    <cfRule type="iconSet" priority="654">
      <iconSet>
        <cfvo type="percent" val="0"/>
        <cfvo type="num" val="95"/>
        <cfvo type="num" val="100"/>
      </iconSet>
    </cfRule>
    <cfRule type="iconSet" priority="655">
      <iconSet>
        <cfvo type="percent" val="0"/>
        <cfvo type="num" val="95"/>
        <cfvo type="num" val="100"/>
      </iconSet>
    </cfRule>
    <cfRule type="iconSet" priority="656">
      <iconSet>
        <cfvo type="percent" val="0"/>
        <cfvo type="num" val="70"/>
        <cfvo type="num" val="90"/>
      </iconSet>
    </cfRule>
    <cfRule type="iconSet" priority="657">
      <iconSet>
        <cfvo type="percent" val="0"/>
        <cfvo type="num" val="70"/>
        <cfvo type="num" val="90"/>
      </iconSet>
    </cfRule>
    <cfRule type="iconSet" priority="658">
      <iconSet>
        <cfvo type="percent" val="0"/>
        <cfvo type="num" val="95"/>
        <cfvo type="num" val="100"/>
      </iconSet>
    </cfRule>
    <cfRule type="iconSet" priority="659">
      <iconSet>
        <cfvo type="percent" val="0"/>
        <cfvo type="num" val="95"/>
        <cfvo type="num" val="100"/>
      </iconSet>
    </cfRule>
    <cfRule type="iconSet" priority="660">
      <iconSet>
        <cfvo type="percent" val="0"/>
        <cfvo type="num" val="70"/>
        <cfvo type="num" val="90"/>
      </iconSet>
    </cfRule>
    <cfRule type="iconSet" priority="661">
      <iconSet>
        <cfvo type="percent" val="0"/>
        <cfvo type="num" val="70"/>
        <cfvo type="num" val="90"/>
      </iconSet>
    </cfRule>
    <cfRule type="iconSet" priority="662">
      <iconSet>
        <cfvo type="percent" val="0"/>
        <cfvo type="num" val="95"/>
        <cfvo type="num" val="100"/>
      </iconSet>
    </cfRule>
    <cfRule type="iconSet" priority="663">
      <iconSet>
        <cfvo type="percent" val="0"/>
        <cfvo type="num" val="95"/>
        <cfvo type="num" val="100"/>
      </iconSet>
    </cfRule>
    <cfRule type="iconSet" priority="664">
      <iconSet>
        <cfvo type="percent" val="0"/>
        <cfvo type="num" val="70"/>
        <cfvo type="num" val="90"/>
      </iconSet>
    </cfRule>
    <cfRule type="iconSet" priority="665">
      <iconSet>
        <cfvo type="percent" val="0"/>
        <cfvo type="num" val="70"/>
        <cfvo type="num" val="90"/>
      </iconSet>
    </cfRule>
    <cfRule type="iconSet" priority="666">
      <iconSet>
        <cfvo type="percent" val="0"/>
        <cfvo type="num" val="95"/>
        <cfvo type="num" val="100"/>
      </iconSet>
    </cfRule>
    <cfRule type="iconSet" priority="667">
      <iconSet>
        <cfvo type="percent" val="0"/>
        <cfvo type="num" val="95"/>
        <cfvo type="num" val="100"/>
      </iconSet>
    </cfRule>
    <cfRule type="iconSet" priority="668">
      <iconSet>
        <cfvo type="percent" val="0"/>
        <cfvo type="num" val="70"/>
        <cfvo type="num" val="90"/>
      </iconSet>
    </cfRule>
    <cfRule type="iconSet" priority="669">
      <iconSet>
        <cfvo type="percent" val="0"/>
        <cfvo type="num" val="70"/>
        <cfvo type="num" val="90"/>
      </iconSet>
    </cfRule>
    <cfRule type="iconSet" priority="670">
      <iconSet>
        <cfvo type="percent" val="0"/>
        <cfvo type="num" val="95"/>
        <cfvo type="num" val="100"/>
      </iconSet>
    </cfRule>
    <cfRule type="iconSet" priority="672">
      <iconSet>
        <cfvo type="percent" val="0"/>
        <cfvo type="num" val="70"/>
        <cfvo type="num" val="90"/>
      </iconSet>
    </cfRule>
    <cfRule type="iconSet" priority="673">
      <iconSet>
        <cfvo type="percent" val="0"/>
        <cfvo type="num" val="70"/>
        <cfvo type="num" val="90"/>
      </iconSet>
    </cfRule>
    <cfRule type="iconSet" priority="674">
      <iconSet>
        <cfvo type="percent" val="0"/>
        <cfvo type="num" val="95"/>
        <cfvo type="num" val="100"/>
      </iconSet>
    </cfRule>
    <cfRule type="iconSet" priority="675">
      <iconSet>
        <cfvo type="percent" val="0"/>
        <cfvo type="num" val="95"/>
        <cfvo type="num" val="100"/>
      </iconSet>
    </cfRule>
    <cfRule type="iconSet" priority="676">
      <iconSet>
        <cfvo type="percent" val="0"/>
        <cfvo type="num" val="70"/>
        <cfvo type="num" val="90"/>
      </iconSet>
    </cfRule>
    <cfRule type="iconSet" priority="677">
      <iconSet>
        <cfvo type="percent" val="0"/>
        <cfvo type="num" val="70"/>
        <cfvo type="num" val="90"/>
      </iconSet>
    </cfRule>
    <cfRule type="iconSet" priority="678">
      <iconSet>
        <cfvo type="percent" val="0"/>
        <cfvo type="num" val="95"/>
        <cfvo type="num" val="100"/>
      </iconSet>
    </cfRule>
    <cfRule type="iconSet" priority="679">
      <iconSet>
        <cfvo type="percent" val="0"/>
        <cfvo type="num" val="70"/>
        <cfvo type="num" val="90"/>
      </iconSet>
    </cfRule>
    <cfRule type="iconSet" priority="680">
      <iconSet>
        <cfvo type="percent" val="0"/>
        <cfvo type="num" val="95"/>
        <cfvo type="num" val="100"/>
      </iconSet>
    </cfRule>
    <cfRule type="iconSet" priority="681">
      <iconSet>
        <cfvo type="percent" val="0"/>
        <cfvo type="num" val="95"/>
        <cfvo type="num" val="100"/>
      </iconSet>
    </cfRule>
    <cfRule type="iconSet" priority="671">
      <iconSet>
        <cfvo type="percent" val="0"/>
        <cfvo type="num" val="95"/>
        <cfvo type="num" val="100"/>
      </iconSet>
    </cfRule>
    <cfRule type="iconSet" priority="651">
      <iconSet>
        <cfvo type="percent" val="0"/>
        <cfvo type="num" val="95"/>
        <cfvo type="num" val="100"/>
      </iconSet>
    </cfRule>
    <cfRule type="iconSet" priority="652">
      <iconSet>
        <cfvo type="percent" val="0"/>
        <cfvo type="num" val="70"/>
        <cfvo type="num" val="90"/>
      </iconSet>
    </cfRule>
  </conditionalFormatting>
  <conditionalFormatting sqref="I41">
    <cfRule type="iconSet" priority="2017">
      <iconSet>
        <cfvo type="percent" val="0"/>
        <cfvo type="num" val="95"/>
        <cfvo type="num" val="100"/>
      </iconSet>
    </cfRule>
  </conditionalFormatting>
  <conditionalFormatting sqref="O8">
    <cfRule type="iconSet" priority="1131">
      <iconSet>
        <cfvo type="percent" val="0"/>
        <cfvo type="num" val="95"/>
        <cfvo type="num" val="100"/>
      </iconSet>
    </cfRule>
    <cfRule type="iconSet" priority="1132">
      <iconSet>
        <cfvo type="percent" val="0"/>
        <cfvo type="num" val="95"/>
        <cfvo type="num" val="100"/>
      </iconSet>
    </cfRule>
    <cfRule type="iconSet" priority="1134">
      <iconSet>
        <cfvo type="percent" val="0"/>
        <cfvo type="num" val="70"/>
        <cfvo type="num" val="90"/>
      </iconSet>
    </cfRule>
    <cfRule type="iconSet" priority="1135">
      <iconSet>
        <cfvo type="percent" val="0"/>
        <cfvo type="num" val="95"/>
        <cfvo type="num" val="100"/>
      </iconSet>
    </cfRule>
    <cfRule type="iconSet" priority="1133">
      <iconSet>
        <cfvo type="percent" val="0"/>
        <cfvo type="num" val="70"/>
        <cfvo type="num" val="90"/>
      </iconSet>
    </cfRule>
    <cfRule type="iconSet" priority="1127">
      <iconSet>
        <cfvo type="percent" val="0"/>
        <cfvo type="num" val="95"/>
        <cfvo type="num" val="100"/>
      </iconSet>
    </cfRule>
    <cfRule type="iconSet" priority="1128">
      <iconSet>
        <cfvo type="percent" val="0"/>
        <cfvo type="num" val="70"/>
        <cfvo type="num" val="90"/>
      </iconSet>
    </cfRule>
    <cfRule type="iconSet" priority="1129">
      <iconSet>
        <cfvo type="percent" val="0"/>
        <cfvo type="num" val="70"/>
        <cfvo type="num" val="90"/>
      </iconSet>
    </cfRule>
    <cfRule type="iconSet" priority="1130">
      <iconSet>
        <cfvo type="percent" val="0"/>
        <cfvo type="num" val="95"/>
        <cfvo type="num" val="100"/>
      </iconSet>
    </cfRule>
  </conditionalFormatting>
  <conditionalFormatting sqref="O9">
    <cfRule type="iconSet" priority="977">
      <iconSet>
        <cfvo type="percent" val="0"/>
        <cfvo type="num" val="95"/>
        <cfvo type="num" val="100"/>
      </iconSet>
    </cfRule>
    <cfRule type="iconSet" priority="974">
      <iconSet>
        <cfvo type="percent" val="0"/>
        <cfvo type="num" val="95"/>
        <cfvo type="num" val="100"/>
      </iconSet>
    </cfRule>
    <cfRule type="iconSet" priority="975">
      <iconSet>
        <cfvo type="percent" val="0"/>
        <cfvo type="num" val="70"/>
        <cfvo type="num" val="90"/>
      </iconSet>
    </cfRule>
    <cfRule type="iconSet" priority="976">
      <iconSet>
        <cfvo type="percent" val="0"/>
        <cfvo type="num" val="70"/>
        <cfvo type="num" val="90"/>
      </iconSet>
    </cfRule>
    <cfRule type="iconSet" priority="978">
      <iconSet>
        <cfvo type="percent" val="0"/>
        <cfvo type="num" val="95"/>
        <cfvo type="num" val="100"/>
      </iconSet>
    </cfRule>
    <cfRule type="iconSet" priority="979">
      <iconSet>
        <cfvo type="percent" val="0"/>
        <cfvo type="num" val="95"/>
        <cfvo type="num" val="100"/>
      </iconSet>
    </cfRule>
    <cfRule type="iconSet" priority="980">
      <iconSet>
        <cfvo type="percent" val="0"/>
        <cfvo type="num" val="70"/>
        <cfvo type="num" val="90"/>
      </iconSet>
    </cfRule>
    <cfRule type="iconSet" priority="981">
      <iconSet>
        <cfvo type="percent" val="0"/>
        <cfvo type="num" val="70"/>
        <cfvo type="num" val="90"/>
      </iconSet>
    </cfRule>
    <cfRule type="iconSet" priority="982">
      <iconSet>
        <cfvo type="percent" val="0"/>
        <cfvo type="num" val="95"/>
        <cfvo type="num" val="100"/>
      </iconSet>
    </cfRule>
  </conditionalFormatting>
  <conditionalFormatting sqref="O10">
    <cfRule type="iconSet" priority="1119">
      <iconSet>
        <cfvo type="percent" val="0"/>
        <cfvo type="num" val="70"/>
        <cfvo type="num" val="90"/>
      </iconSet>
    </cfRule>
    <cfRule type="iconSet" priority="1120">
      <iconSet>
        <cfvo type="percent" val="0"/>
        <cfvo type="num" val="70"/>
        <cfvo type="num" val="90"/>
      </iconSet>
    </cfRule>
    <cfRule type="iconSet" priority="1121">
      <iconSet>
        <cfvo type="percent" val="0"/>
        <cfvo type="num" val="95"/>
        <cfvo type="num" val="100"/>
      </iconSet>
    </cfRule>
    <cfRule type="iconSet" priority="1122">
      <iconSet>
        <cfvo type="percent" val="0"/>
        <cfvo type="num" val="95"/>
        <cfvo type="num" val="100"/>
      </iconSet>
    </cfRule>
    <cfRule type="iconSet" priority="1118">
      <iconSet>
        <cfvo type="percent" val="0"/>
        <cfvo type="num" val="95"/>
        <cfvo type="num" val="100"/>
      </iconSet>
    </cfRule>
    <cfRule type="iconSet" priority="1124">
      <iconSet>
        <cfvo type="percent" val="0"/>
        <cfvo type="num" val="70"/>
        <cfvo type="num" val="90"/>
      </iconSet>
    </cfRule>
    <cfRule type="iconSet" priority="1125">
      <iconSet>
        <cfvo type="percent" val="0"/>
        <cfvo type="num" val="70"/>
        <cfvo type="num" val="90"/>
      </iconSet>
    </cfRule>
    <cfRule type="iconSet" priority="1126">
      <iconSet>
        <cfvo type="percent" val="0"/>
        <cfvo type="num" val="95"/>
        <cfvo type="num" val="100"/>
      </iconSet>
    </cfRule>
    <cfRule type="iconSet" priority="1123">
      <iconSet>
        <cfvo type="percent" val="0"/>
        <cfvo type="num" val="95"/>
        <cfvo type="num" val="100"/>
      </iconSet>
    </cfRule>
  </conditionalFormatting>
  <conditionalFormatting sqref="O12">
    <cfRule type="iconSet" priority="1111">
      <iconSet>
        <cfvo type="percent" val="0"/>
        <cfvo type="num" val="70"/>
        <cfvo type="num" val="90"/>
      </iconSet>
    </cfRule>
    <cfRule type="iconSet" priority="1110">
      <iconSet>
        <cfvo type="percent" val="0"/>
        <cfvo type="num" val="70"/>
        <cfvo type="num" val="90"/>
      </iconSet>
    </cfRule>
    <cfRule type="iconSet" priority="1109">
      <iconSet>
        <cfvo type="percent" val="0"/>
        <cfvo type="num" val="95"/>
        <cfvo type="num" val="100"/>
      </iconSet>
    </cfRule>
    <cfRule type="iconSet" priority="1114">
      <iconSet>
        <cfvo type="percent" val="0"/>
        <cfvo type="num" val="95"/>
        <cfvo type="num" val="100"/>
      </iconSet>
    </cfRule>
    <cfRule type="iconSet" priority="1112">
      <iconSet>
        <cfvo type="percent" val="0"/>
        <cfvo type="num" val="95"/>
        <cfvo type="num" val="100"/>
      </iconSet>
    </cfRule>
    <cfRule type="iconSet" priority="1115">
      <iconSet>
        <cfvo type="percent" val="0"/>
        <cfvo type="num" val="70"/>
        <cfvo type="num" val="90"/>
      </iconSet>
    </cfRule>
    <cfRule type="iconSet" priority="1116">
      <iconSet>
        <cfvo type="percent" val="0"/>
        <cfvo type="num" val="70"/>
        <cfvo type="num" val="90"/>
      </iconSet>
    </cfRule>
    <cfRule type="iconSet" priority="1117">
      <iconSet>
        <cfvo type="percent" val="0"/>
        <cfvo type="num" val="95"/>
        <cfvo type="num" val="100"/>
      </iconSet>
    </cfRule>
    <cfRule type="iconSet" priority="1113">
      <iconSet>
        <cfvo type="percent" val="0"/>
        <cfvo type="num" val="95"/>
        <cfvo type="num" val="100"/>
      </iconSet>
    </cfRule>
  </conditionalFormatting>
  <conditionalFormatting sqref="O13">
    <cfRule type="iconSet" priority="1102">
      <iconSet>
        <cfvo type="percent" val="0"/>
        <cfvo type="num" val="70"/>
        <cfvo type="num" val="90"/>
      </iconSet>
    </cfRule>
    <cfRule type="iconSet" priority="1101">
      <iconSet>
        <cfvo type="percent" val="0"/>
        <cfvo type="num" val="70"/>
        <cfvo type="num" val="90"/>
      </iconSet>
    </cfRule>
    <cfRule type="iconSet" priority="1100">
      <iconSet>
        <cfvo type="percent" val="0"/>
        <cfvo type="num" val="95"/>
        <cfvo type="num" val="100"/>
      </iconSet>
    </cfRule>
    <cfRule type="iconSet" priority="1107">
      <iconSet>
        <cfvo type="percent" val="0"/>
        <cfvo type="num" val="70"/>
        <cfvo type="num" val="90"/>
      </iconSet>
    </cfRule>
    <cfRule type="iconSet" priority="1106">
      <iconSet>
        <cfvo type="percent" val="0"/>
        <cfvo type="num" val="70"/>
        <cfvo type="num" val="90"/>
      </iconSet>
    </cfRule>
    <cfRule type="iconSet" priority="1105">
      <iconSet>
        <cfvo type="percent" val="0"/>
        <cfvo type="num" val="95"/>
        <cfvo type="num" val="100"/>
      </iconSet>
    </cfRule>
    <cfRule type="iconSet" priority="1108">
      <iconSet>
        <cfvo type="percent" val="0"/>
        <cfvo type="num" val="95"/>
        <cfvo type="num" val="100"/>
      </iconSet>
    </cfRule>
    <cfRule type="iconSet" priority="1103">
      <iconSet>
        <cfvo type="percent" val="0"/>
        <cfvo type="num" val="95"/>
        <cfvo type="num" val="100"/>
      </iconSet>
    </cfRule>
    <cfRule type="iconSet" priority="1104">
      <iconSet>
        <cfvo type="percent" val="0"/>
        <cfvo type="num" val="95"/>
        <cfvo type="num" val="100"/>
      </iconSet>
    </cfRule>
  </conditionalFormatting>
  <conditionalFormatting sqref="O14">
    <cfRule type="iconSet" priority="1093">
      <iconSet>
        <cfvo type="percent" val="0"/>
        <cfvo type="num" val="70"/>
        <cfvo type="num" val="90"/>
      </iconSet>
    </cfRule>
    <cfRule type="iconSet" priority="1092">
      <iconSet>
        <cfvo type="percent" val="0"/>
        <cfvo type="num" val="70"/>
        <cfvo type="num" val="90"/>
      </iconSet>
    </cfRule>
    <cfRule type="iconSet" priority="1091">
      <iconSet>
        <cfvo type="percent" val="0"/>
        <cfvo type="num" val="95"/>
        <cfvo type="num" val="100"/>
      </iconSet>
    </cfRule>
    <cfRule type="iconSet" priority="1099">
      <iconSet>
        <cfvo type="percent" val="0"/>
        <cfvo type="num" val="95"/>
        <cfvo type="num" val="100"/>
      </iconSet>
    </cfRule>
    <cfRule type="iconSet" priority="1098">
      <iconSet>
        <cfvo type="percent" val="0"/>
        <cfvo type="num" val="70"/>
        <cfvo type="num" val="90"/>
      </iconSet>
    </cfRule>
    <cfRule type="iconSet" priority="1097">
      <iconSet>
        <cfvo type="percent" val="0"/>
        <cfvo type="num" val="70"/>
        <cfvo type="num" val="90"/>
      </iconSet>
    </cfRule>
    <cfRule type="iconSet" priority="1096">
      <iconSet>
        <cfvo type="percent" val="0"/>
        <cfvo type="num" val="95"/>
        <cfvo type="num" val="100"/>
      </iconSet>
    </cfRule>
    <cfRule type="iconSet" priority="1095">
      <iconSet>
        <cfvo type="percent" val="0"/>
        <cfvo type="num" val="95"/>
        <cfvo type="num" val="100"/>
      </iconSet>
    </cfRule>
    <cfRule type="iconSet" priority="1094">
      <iconSet>
        <cfvo type="percent" val="0"/>
        <cfvo type="num" val="95"/>
        <cfvo type="num" val="100"/>
      </iconSet>
    </cfRule>
  </conditionalFormatting>
  <conditionalFormatting sqref="O16">
    <cfRule type="iconSet" priority="1084">
      <iconSet>
        <cfvo type="percent" val="0"/>
        <cfvo type="num" val="70"/>
        <cfvo type="num" val="90"/>
      </iconSet>
    </cfRule>
    <cfRule type="iconSet" priority="1083">
      <iconSet>
        <cfvo type="percent" val="0"/>
        <cfvo type="num" val="70"/>
        <cfvo type="num" val="90"/>
      </iconSet>
    </cfRule>
    <cfRule type="iconSet" priority="1082">
      <iconSet>
        <cfvo type="percent" val="0"/>
        <cfvo type="num" val="95"/>
        <cfvo type="num" val="100"/>
      </iconSet>
    </cfRule>
    <cfRule type="iconSet" priority="1090">
      <iconSet>
        <cfvo type="percent" val="0"/>
        <cfvo type="num" val="95"/>
        <cfvo type="num" val="100"/>
      </iconSet>
    </cfRule>
    <cfRule type="iconSet" priority="1089">
      <iconSet>
        <cfvo type="percent" val="0"/>
        <cfvo type="num" val="70"/>
        <cfvo type="num" val="90"/>
      </iconSet>
    </cfRule>
    <cfRule type="iconSet" priority="1088">
      <iconSet>
        <cfvo type="percent" val="0"/>
        <cfvo type="num" val="70"/>
        <cfvo type="num" val="90"/>
      </iconSet>
    </cfRule>
    <cfRule type="iconSet" priority="1087">
      <iconSet>
        <cfvo type="percent" val="0"/>
        <cfvo type="num" val="95"/>
        <cfvo type="num" val="100"/>
      </iconSet>
    </cfRule>
    <cfRule type="iconSet" priority="1086">
      <iconSet>
        <cfvo type="percent" val="0"/>
        <cfvo type="num" val="95"/>
        <cfvo type="num" val="100"/>
      </iconSet>
    </cfRule>
    <cfRule type="iconSet" priority="1085">
      <iconSet>
        <cfvo type="percent" val="0"/>
        <cfvo type="num" val="95"/>
        <cfvo type="num" val="100"/>
      </iconSet>
    </cfRule>
  </conditionalFormatting>
  <conditionalFormatting sqref="O17">
    <cfRule type="iconSet" priority="1081">
      <iconSet>
        <cfvo type="percent" val="0"/>
        <cfvo type="num" val="95"/>
        <cfvo type="num" val="100"/>
      </iconSet>
    </cfRule>
    <cfRule type="iconSet" priority="1080">
      <iconSet>
        <cfvo type="percent" val="0"/>
        <cfvo type="num" val="70"/>
        <cfvo type="num" val="90"/>
      </iconSet>
    </cfRule>
    <cfRule type="iconSet" priority="1079">
      <iconSet>
        <cfvo type="percent" val="0"/>
        <cfvo type="num" val="70"/>
        <cfvo type="num" val="90"/>
      </iconSet>
    </cfRule>
    <cfRule type="iconSet" priority="1077">
      <iconSet>
        <cfvo type="percent" val="0"/>
        <cfvo type="num" val="95"/>
        <cfvo type="num" val="100"/>
      </iconSet>
    </cfRule>
    <cfRule type="iconSet" priority="1076">
      <iconSet>
        <cfvo type="percent" val="0"/>
        <cfvo type="num" val="95"/>
        <cfvo type="num" val="100"/>
      </iconSet>
    </cfRule>
    <cfRule type="iconSet" priority="1075">
      <iconSet>
        <cfvo type="percent" val="0"/>
        <cfvo type="num" val="70"/>
        <cfvo type="num" val="90"/>
      </iconSet>
    </cfRule>
    <cfRule type="iconSet" priority="1074">
      <iconSet>
        <cfvo type="percent" val="0"/>
        <cfvo type="num" val="70"/>
        <cfvo type="num" val="90"/>
      </iconSet>
    </cfRule>
    <cfRule type="iconSet" priority="1073">
      <iconSet>
        <cfvo type="percent" val="0"/>
        <cfvo type="num" val="95"/>
        <cfvo type="num" val="100"/>
      </iconSet>
    </cfRule>
    <cfRule type="iconSet" priority="1078">
      <iconSet>
        <cfvo type="percent" val="0"/>
        <cfvo type="num" val="95"/>
        <cfvo type="num" val="100"/>
      </iconSet>
    </cfRule>
  </conditionalFormatting>
  <conditionalFormatting sqref="O18">
    <cfRule type="iconSet" priority="1069">
      <iconSet>
        <cfvo type="percent" val="0"/>
        <cfvo type="num" val="95"/>
        <cfvo type="num" val="100"/>
      </iconSet>
    </cfRule>
    <cfRule type="iconSet" priority="1072">
      <iconSet>
        <cfvo type="percent" val="0"/>
        <cfvo type="num" val="95"/>
        <cfvo type="num" val="100"/>
      </iconSet>
    </cfRule>
    <cfRule type="iconSet" priority="1071">
      <iconSet>
        <cfvo type="percent" val="0"/>
        <cfvo type="num" val="70"/>
        <cfvo type="num" val="90"/>
      </iconSet>
    </cfRule>
    <cfRule type="iconSet" priority="1070">
      <iconSet>
        <cfvo type="percent" val="0"/>
        <cfvo type="num" val="70"/>
        <cfvo type="num" val="90"/>
      </iconSet>
    </cfRule>
    <cfRule type="iconSet" priority="1067">
      <iconSet>
        <cfvo type="percent" val="0"/>
        <cfvo type="num" val="95"/>
        <cfvo type="num" val="100"/>
      </iconSet>
    </cfRule>
    <cfRule type="iconSet" priority="1066">
      <iconSet>
        <cfvo type="percent" val="0"/>
        <cfvo type="num" val="70"/>
        <cfvo type="num" val="90"/>
      </iconSet>
    </cfRule>
    <cfRule type="iconSet" priority="1065">
      <iconSet>
        <cfvo type="percent" val="0"/>
        <cfvo type="num" val="70"/>
        <cfvo type="num" val="90"/>
      </iconSet>
    </cfRule>
    <cfRule type="iconSet" priority="1064">
      <iconSet>
        <cfvo type="percent" val="0"/>
        <cfvo type="num" val="95"/>
        <cfvo type="num" val="100"/>
      </iconSet>
    </cfRule>
    <cfRule type="iconSet" priority="1068">
      <iconSet>
        <cfvo type="percent" val="0"/>
        <cfvo type="num" val="95"/>
        <cfvo type="num" val="100"/>
      </iconSet>
    </cfRule>
  </conditionalFormatting>
  <conditionalFormatting sqref="O19">
    <cfRule type="iconSet" priority="1222">
      <iconSet>
        <cfvo type="percent" val="0"/>
        <cfvo type="num" val="95"/>
        <cfvo type="num" val="100"/>
      </iconSet>
    </cfRule>
    <cfRule type="iconSet" priority="1223">
      <iconSet>
        <cfvo type="percent" val="0"/>
        <cfvo type="num" val="95"/>
        <cfvo type="num" val="100"/>
      </iconSet>
    </cfRule>
    <cfRule type="iconSet" priority="1224">
      <iconSet>
        <cfvo type="percent" val="0"/>
        <cfvo type="num" val="70"/>
        <cfvo type="num" val="90"/>
      </iconSet>
    </cfRule>
    <cfRule type="iconSet" priority="1225">
      <iconSet>
        <cfvo type="percent" val="0"/>
        <cfvo type="num" val="70"/>
        <cfvo type="num" val="90"/>
      </iconSet>
    </cfRule>
    <cfRule type="iconSet" priority="1226">
      <iconSet>
        <cfvo type="percent" val="0"/>
        <cfvo type="num" val="95"/>
        <cfvo type="num" val="100"/>
      </iconSet>
    </cfRule>
    <cfRule type="iconSet" priority="1227">
      <iconSet>
        <cfvo type="percent" val="0"/>
        <cfvo type="num" val="95"/>
        <cfvo type="num" val="100"/>
      </iconSet>
    </cfRule>
    <cfRule type="iconSet" priority="1201">
      <iconSet>
        <cfvo type="percent" val="0"/>
        <cfvo type="num" val="70"/>
        <cfvo type="num" val="90"/>
      </iconSet>
    </cfRule>
    <cfRule type="iconSet" priority="1199">
      <iconSet>
        <cfvo type="percent" val="0"/>
        <cfvo type="num" val="95"/>
        <cfvo type="num" val="100"/>
      </iconSet>
    </cfRule>
    <cfRule type="iconSet" priority="1200">
      <iconSet>
        <cfvo type="percent" val="0"/>
        <cfvo type="num" val="70"/>
        <cfvo type="num" val="90"/>
      </iconSet>
    </cfRule>
    <cfRule type="iconSet" priority="1202">
      <iconSet>
        <cfvo type="percent" val="0"/>
        <cfvo type="num" val="95"/>
        <cfvo type="num" val="100"/>
      </iconSet>
    </cfRule>
    <cfRule type="iconSet" priority="1203">
      <iconSet>
        <cfvo type="percent" val="0"/>
        <cfvo type="num" val="95"/>
        <cfvo type="num" val="100"/>
      </iconSet>
    </cfRule>
    <cfRule type="iconSet" priority="1204">
      <iconSet>
        <cfvo type="percent" val="0"/>
        <cfvo type="num" val="70"/>
        <cfvo type="num" val="90"/>
      </iconSet>
    </cfRule>
    <cfRule type="iconSet" priority="1205">
      <iconSet>
        <cfvo type="percent" val="0"/>
        <cfvo type="num" val="70"/>
        <cfvo type="num" val="90"/>
      </iconSet>
    </cfRule>
    <cfRule type="iconSet" priority="1206">
      <iconSet>
        <cfvo type="percent" val="0"/>
        <cfvo type="num" val="95"/>
        <cfvo type="num" val="100"/>
      </iconSet>
    </cfRule>
    <cfRule type="iconSet" priority="1207">
      <iconSet>
        <cfvo type="percent" val="0"/>
        <cfvo type="num" val="95"/>
        <cfvo type="num" val="100"/>
      </iconSet>
    </cfRule>
    <cfRule type="iconSet" priority="1208">
      <iconSet>
        <cfvo type="percent" val="0"/>
        <cfvo type="num" val="70"/>
        <cfvo type="num" val="90"/>
      </iconSet>
    </cfRule>
    <cfRule type="iconSet" priority="1209">
      <iconSet>
        <cfvo type="percent" val="0"/>
        <cfvo type="num" val="70"/>
        <cfvo type="num" val="90"/>
      </iconSet>
    </cfRule>
    <cfRule type="iconSet" priority="1210">
      <iconSet>
        <cfvo type="percent" val="0"/>
        <cfvo type="num" val="95"/>
        <cfvo type="num" val="100"/>
      </iconSet>
    </cfRule>
    <cfRule type="iconSet" priority="1211">
      <iconSet>
        <cfvo type="percent" val="0"/>
        <cfvo type="num" val="95"/>
        <cfvo type="num" val="100"/>
      </iconSet>
    </cfRule>
    <cfRule type="iconSet" priority="1212">
      <iconSet>
        <cfvo type="percent" val="0"/>
        <cfvo type="num" val="70"/>
        <cfvo type="num" val="90"/>
      </iconSet>
    </cfRule>
    <cfRule type="iconSet" priority="1213">
      <iconSet>
        <cfvo type="percent" val="0"/>
        <cfvo type="num" val="70"/>
        <cfvo type="num" val="90"/>
      </iconSet>
    </cfRule>
    <cfRule type="iconSet" priority="1214">
      <iconSet>
        <cfvo type="percent" val="0"/>
        <cfvo type="num" val="95"/>
        <cfvo type="num" val="100"/>
      </iconSet>
    </cfRule>
    <cfRule type="iconSet" priority="1215">
      <iconSet>
        <cfvo type="percent" val="0"/>
        <cfvo type="num" val="95"/>
        <cfvo type="num" val="100"/>
      </iconSet>
    </cfRule>
    <cfRule type="iconSet" priority="1216">
      <iconSet>
        <cfvo type="percent" val="0"/>
        <cfvo type="num" val="70"/>
        <cfvo type="num" val="90"/>
      </iconSet>
    </cfRule>
    <cfRule type="iconSet" priority="1217">
      <iconSet>
        <cfvo type="percent" val="0"/>
        <cfvo type="num" val="70"/>
        <cfvo type="num" val="90"/>
      </iconSet>
    </cfRule>
    <cfRule type="iconSet" priority="1218">
      <iconSet>
        <cfvo type="percent" val="0"/>
        <cfvo type="num" val="95"/>
        <cfvo type="num" val="100"/>
      </iconSet>
    </cfRule>
    <cfRule type="iconSet" priority="1219">
      <iconSet>
        <cfvo type="percent" val="0"/>
        <cfvo type="num" val="95"/>
        <cfvo type="num" val="100"/>
      </iconSet>
    </cfRule>
    <cfRule type="iconSet" priority="1220">
      <iconSet>
        <cfvo type="percent" val="0"/>
        <cfvo type="num" val="70"/>
        <cfvo type="num" val="90"/>
      </iconSet>
    </cfRule>
    <cfRule type="iconSet" priority="1221">
      <iconSet>
        <cfvo type="percent" val="0"/>
        <cfvo type="num" val="70"/>
        <cfvo type="num" val="90"/>
      </iconSet>
    </cfRule>
  </conditionalFormatting>
  <conditionalFormatting sqref="O20">
    <cfRule type="iconSet" priority="1058">
      <iconSet>
        <cfvo type="percent" val="0"/>
        <cfvo type="num" val="95"/>
        <cfvo type="num" val="100"/>
      </iconSet>
    </cfRule>
    <cfRule type="iconSet" priority="1059">
      <iconSet>
        <cfvo type="percent" val="0"/>
        <cfvo type="num" val="95"/>
        <cfvo type="num" val="100"/>
      </iconSet>
    </cfRule>
    <cfRule type="iconSet" priority="1060">
      <iconSet>
        <cfvo type="percent" val="0"/>
        <cfvo type="num" val="95"/>
        <cfvo type="num" val="100"/>
      </iconSet>
    </cfRule>
    <cfRule type="iconSet" priority="1063">
      <iconSet>
        <cfvo type="percent" val="0"/>
        <cfvo type="num" val="95"/>
        <cfvo type="num" val="100"/>
      </iconSet>
    </cfRule>
    <cfRule type="iconSet" priority="1061">
      <iconSet>
        <cfvo type="percent" val="0"/>
        <cfvo type="num" val="70"/>
        <cfvo type="num" val="90"/>
      </iconSet>
    </cfRule>
    <cfRule type="iconSet" priority="1057">
      <iconSet>
        <cfvo type="percent" val="0"/>
        <cfvo type="num" val="70"/>
        <cfvo type="num" val="90"/>
      </iconSet>
    </cfRule>
    <cfRule type="iconSet" priority="1062">
      <iconSet>
        <cfvo type="percent" val="0"/>
        <cfvo type="num" val="70"/>
        <cfvo type="num" val="90"/>
      </iconSet>
    </cfRule>
    <cfRule type="iconSet" priority="1055">
      <iconSet>
        <cfvo type="percent" val="0"/>
        <cfvo type="num" val="95"/>
        <cfvo type="num" val="100"/>
      </iconSet>
    </cfRule>
    <cfRule type="iconSet" priority="1056">
      <iconSet>
        <cfvo type="percent" val="0"/>
        <cfvo type="num" val="70"/>
        <cfvo type="num" val="90"/>
      </iconSet>
    </cfRule>
  </conditionalFormatting>
  <conditionalFormatting sqref="O21">
    <cfRule type="iconSet" priority="1046">
      <iconSet>
        <cfvo type="percent" val="0"/>
        <cfvo type="num" val="95"/>
        <cfvo type="num" val="100"/>
      </iconSet>
    </cfRule>
    <cfRule type="iconSet" priority="1047">
      <iconSet>
        <cfvo type="percent" val="0"/>
        <cfvo type="num" val="70"/>
        <cfvo type="num" val="90"/>
      </iconSet>
    </cfRule>
    <cfRule type="iconSet" priority="1048">
      <iconSet>
        <cfvo type="percent" val="0"/>
        <cfvo type="num" val="70"/>
        <cfvo type="num" val="90"/>
      </iconSet>
    </cfRule>
    <cfRule type="iconSet" priority="1049">
      <iconSet>
        <cfvo type="percent" val="0"/>
        <cfvo type="num" val="95"/>
        <cfvo type="num" val="100"/>
      </iconSet>
    </cfRule>
    <cfRule type="iconSet" priority="1050">
      <iconSet>
        <cfvo type="percent" val="0"/>
        <cfvo type="num" val="95"/>
        <cfvo type="num" val="100"/>
      </iconSet>
    </cfRule>
    <cfRule type="iconSet" priority="1051">
      <iconSet>
        <cfvo type="percent" val="0"/>
        <cfvo type="num" val="95"/>
        <cfvo type="num" val="100"/>
      </iconSet>
    </cfRule>
    <cfRule type="iconSet" priority="1052">
      <iconSet>
        <cfvo type="percent" val="0"/>
        <cfvo type="num" val="70"/>
        <cfvo type="num" val="90"/>
      </iconSet>
    </cfRule>
    <cfRule type="iconSet" priority="1053">
      <iconSet>
        <cfvo type="percent" val="0"/>
        <cfvo type="num" val="70"/>
        <cfvo type="num" val="90"/>
      </iconSet>
    </cfRule>
    <cfRule type="iconSet" priority="1054">
      <iconSet>
        <cfvo type="percent" val="0"/>
        <cfvo type="num" val="95"/>
        <cfvo type="num" val="100"/>
      </iconSet>
    </cfRule>
  </conditionalFormatting>
  <conditionalFormatting sqref="O22">
    <cfRule type="iconSet" priority="1042">
      <iconSet>
        <cfvo type="percent" val="0"/>
        <cfvo type="num" val="95"/>
        <cfvo type="num" val="100"/>
      </iconSet>
    </cfRule>
    <cfRule type="iconSet" priority="1041">
      <iconSet>
        <cfvo type="percent" val="0"/>
        <cfvo type="num" val="95"/>
        <cfvo type="num" val="100"/>
      </iconSet>
    </cfRule>
    <cfRule type="iconSet" priority="1045">
      <iconSet>
        <cfvo type="percent" val="0"/>
        <cfvo type="num" val="95"/>
        <cfvo type="num" val="100"/>
      </iconSet>
    </cfRule>
    <cfRule type="iconSet" priority="1044">
      <iconSet>
        <cfvo type="percent" val="0"/>
        <cfvo type="num" val="70"/>
        <cfvo type="num" val="90"/>
      </iconSet>
    </cfRule>
    <cfRule type="iconSet" priority="1043">
      <iconSet>
        <cfvo type="percent" val="0"/>
        <cfvo type="num" val="70"/>
        <cfvo type="num" val="90"/>
      </iconSet>
    </cfRule>
    <cfRule type="iconSet" priority="1038">
      <iconSet>
        <cfvo type="percent" val="0"/>
        <cfvo type="num" val="70"/>
        <cfvo type="num" val="90"/>
      </iconSet>
    </cfRule>
    <cfRule type="iconSet" priority="1037">
      <iconSet>
        <cfvo type="percent" val="0"/>
        <cfvo type="num" val="95"/>
        <cfvo type="num" val="100"/>
      </iconSet>
    </cfRule>
    <cfRule type="iconSet" priority="1039">
      <iconSet>
        <cfvo type="percent" val="0"/>
        <cfvo type="num" val="70"/>
        <cfvo type="num" val="90"/>
      </iconSet>
    </cfRule>
    <cfRule type="iconSet" priority="1040">
      <iconSet>
        <cfvo type="percent" val="0"/>
        <cfvo type="num" val="95"/>
        <cfvo type="num" val="100"/>
      </iconSet>
    </cfRule>
  </conditionalFormatting>
  <conditionalFormatting sqref="O23">
    <cfRule type="iconSet" priority="1034">
      <iconSet>
        <cfvo type="percent" val="0"/>
        <cfvo type="num" val="70"/>
        <cfvo type="num" val="90"/>
      </iconSet>
    </cfRule>
    <cfRule type="iconSet" priority="1030">
      <iconSet>
        <cfvo type="percent" val="0"/>
        <cfvo type="num" val="70"/>
        <cfvo type="num" val="90"/>
      </iconSet>
    </cfRule>
    <cfRule type="iconSet" priority="1029">
      <iconSet>
        <cfvo type="percent" val="0"/>
        <cfvo type="num" val="70"/>
        <cfvo type="num" val="90"/>
      </iconSet>
    </cfRule>
    <cfRule type="iconSet" priority="1028">
      <iconSet>
        <cfvo type="percent" val="0"/>
        <cfvo type="num" val="95"/>
        <cfvo type="num" val="100"/>
      </iconSet>
    </cfRule>
    <cfRule type="iconSet" priority="1036">
      <iconSet>
        <cfvo type="percent" val="0"/>
        <cfvo type="num" val="95"/>
        <cfvo type="num" val="100"/>
      </iconSet>
    </cfRule>
    <cfRule type="iconSet" priority="1035">
      <iconSet>
        <cfvo type="percent" val="0"/>
        <cfvo type="num" val="70"/>
        <cfvo type="num" val="90"/>
      </iconSet>
    </cfRule>
    <cfRule type="iconSet" priority="1033">
      <iconSet>
        <cfvo type="percent" val="0"/>
        <cfvo type="num" val="95"/>
        <cfvo type="num" val="100"/>
      </iconSet>
    </cfRule>
    <cfRule type="iconSet" priority="1032">
      <iconSet>
        <cfvo type="percent" val="0"/>
        <cfvo type="num" val="95"/>
        <cfvo type="num" val="100"/>
      </iconSet>
    </cfRule>
    <cfRule type="iconSet" priority="1031">
      <iconSet>
        <cfvo type="percent" val="0"/>
        <cfvo type="num" val="95"/>
        <cfvo type="num" val="100"/>
      </iconSet>
    </cfRule>
  </conditionalFormatting>
  <conditionalFormatting sqref="O24">
    <cfRule type="iconSet" priority="1019">
      <iconSet>
        <cfvo type="percent" val="0"/>
        <cfvo type="num" val="95"/>
        <cfvo type="num" val="100"/>
      </iconSet>
    </cfRule>
    <cfRule type="iconSet" priority="1021">
      <iconSet>
        <cfvo type="percent" val="0"/>
        <cfvo type="num" val="70"/>
        <cfvo type="num" val="90"/>
      </iconSet>
    </cfRule>
    <cfRule type="iconSet" priority="1020">
      <iconSet>
        <cfvo type="percent" val="0"/>
        <cfvo type="num" val="70"/>
        <cfvo type="num" val="90"/>
      </iconSet>
    </cfRule>
    <cfRule type="iconSet" priority="1027">
      <iconSet>
        <cfvo type="percent" val="0"/>
        <cfvo type="num" val="95"/>
        <cfvo type="num" val="100"/>
      </iconSet>
    </cfRule>
    <cfRule type="iconSet" priority="1026">
      <iconSet>
        <cfvo type="percent" val="0"/>
        <cfvo type="num" val="70"/>
        <cfvo type="num" val="90"/>
      </iconSet>
    </cfRule>
    <cfRule type="iconSet" priority="1022">
      <iconSet>
        <cfvo type="percent" val="0"/>
        <cfvo type="num" val="95"/>
        <cfvo type="num" val="100"/>
      </iconSet>
    </cfRule>
    <cfRule type="iconSet" priority="1025">
      <iconSet>
        <cfvo type="percent" val="0"/>
        <cfvo type="num" val="70"/>
        <cfvo type="num" val="90"/>
      </iconSet>
    </cfRule>
    <cfRule type="iconSet" priority="1024">
      <iconSet>
        <cfvo type="percent" val="0"/>
        <cfvo type="num" val="95"/>
        <cfvo type="num" val="100"/>
      </iconSet>
    </cfRule>
    <cfRule type="iconSet" priority="1023">
      <iconSet>
        <cfvo type="percent" val="0"/>
        <cfvo type="num" val="95"/>
        <cfvo type="num" val="100"/>
      </iconSet>
    </cfRule>
  </conditionalFormatting>
  <conditionalFormatting sqref="O25">
    <cfRule type="iconSet" priority="1198">
      <iconSet>
        <cfvo type="percent" val="0"/>
        <cfvo type="num" val="95"/>
        <cfvo type="num" val="100"/>
      </iconSet>
    </cfRule>
  </conditionalFormatting>
  <conditionalFormatting sqref="O26">
    <cfRule type="iconSet" priority="1016">
      <iconSet>
        <cfvo type="percent" val="0"/>
        <cfvo type="num" val="70"/>
        <cfvo type="num" val="90"/>
      </iconSet>
    </cfRule>
    <cfRule type="iconSet" priority="1017">
      <iconSet>
        <cfvo type="percent" val="0"/>
        <cfvo type="num" val="70"/>
        <cfvo type="num" val="90"/>
      </iconSet>
    </cfRule>
    <cfRule type="iconSet" priority="1018">
      <iconSet>
        <cfvo type="percent" val="0"/>
        <cfvo type="num" val="95"/>
        <cfvo type="num" val="100"/>
      </iconSet>
    </cfRule>
    <cfRule type="iconSet" priority="1014">
      <iconSet>
        <cfvo type="percent" val="0"/>
        <cfvo type="num" val="95"/>
        <cfvo type="num" val="100"/>
      </iconSet>
    </cfRule>
    <cfRule type="iconSet" priority="1013">
      <iconSet>
        <cfvo type="percent" val="0"/>
        <cfvo type="num" val="95"/>
        <cfvo type="num" val="100"/>
      </iconSet>
    </cfRule>
    <cfRule type="iconSet" priority="1012">
      <iconSet>
        <cfvo type="percent" val="0"/>
        <cfvo type="num" val="70"/>
        <cfvo type="num" val="90"/>
      </iconSet>
    </cfRule>
    <cfRule type="iconSet" priority="1011">
      <iconSet>
        <cfvo type="percent" val="0"/>
        <cfvo type="num" val="70"/>
        <cfvo type="num" val="90"/>
      </iconSet>
    </cfRule>
    <cfRule type="iconSet" priority="1010">
      <iconSet>
        <cfvo type="percent" val="0"/>
        <cfvo type="num" val="95"/>
        <cfvo type="num" val="100"/>
      </iconSet>
    </cfRule>
    <cfRule type="iconSet" priority="1015">
      <iconSet>
        <cfvo type="percent" val="0"/>
        <cfvo type="num" val="95"/>
        <cfvo type="num" val="100"/>
      </iconSet>
    </cfRule>
  </conditionalFormatting>
  <conditionalFormatting sqref="O27">
    <cfRule type="iconSet" priority="1232">
      <iconSet>
        <cfvo type="percent" val="0"/>
        <cfvo type="num" val="95"/>
        <cfvo type="num" val="100"/>
      </iconSet>
    </cfRule>
  </conditionalFormatting>
  <conditionalFormatting sqref="O28:O30">
    <cfRule type="iconSet" priority="1008">
      <iconSet>
        <cfvo type="percent" val="0"/>
        <cfvo type="num" val="70"/>
        <cfvo type="num" val="90"/>
      </iconSet>
    </cfRule>
    <cfRule type="iconSet" priority="1001">
      <iconSet>
        <cfvo type="percent" val="0"/>
        <cfvo type="num" val="95"/>
        <cfvo type="num" val="100"/>
      </iconSet>
    </cfRule>
    <cfRule type="iconSet" priority="1003">
      <iconSet>
        <cfvo type="percent" val="0"/>
        <cfvo type="num" val="70"/>
        <cfvo type="num" val="90"/>
      </iconSet>
    </cfRule>
    <cfRule type="iconSet" priority="1004">
      <iconSet>
        <cfvo type="percent" val="0"/>
        <cfvo type="num" val="95"/>
        <cfvo type="num" val="100"/>
      </iconSet>
    </cfRule>
    <cfRule type="iconSet" priority="1005">
      <iconSet>
        <cfvo type="percent" val="0"/>
        <cfvo type="num" val="95"/>
        <cfvo type="num" val="100"/>
      </iconSet>
    </cfRule>
    <cfRule type="iconSet" priority="1006">
      <iconSet>
        <cfvo type="percent" val="0"/>
        <cfvo type="num" val="95"/>
        <cfvo type="num" val="100"/>
      </iconSet>
    </cfRule>
    <cfRule type="iconSet" priority="1007">
      <iconSet>
        <cfvo type="percent" val="0"/>
        <cfvo type="num" val="70"/>
        <cfvo type="num" val="90"/>
      </iconSet>
    </cfRule>
    <cfRule type="iconSet" priority="1009">
      <iconSet>
        <cfvo type="percent" val="0"/>
        <cfvo type="num" val="95"/>
        <cfvo type="num" val="100"/>
      </iconSet>
    </cfRule>
    <cfRule type="iconSet" priority="1002">
      <iconSet>
        <cfvo type="percent" val="0"/>
        <cfvo type="num" val="70"/>
        <cfvo type="num" val="90"/>
      </iconSet>
    </cfRule>
  </conditionalFormatting>
  <conditionalFormatting sqref="O31:O33">
    <cfRule type="iconSet" priority="996">
      <iconSet>
        <cfvo type="percent" val="0"/>
        <cfvo type="num" val="95"/>
        <cfvo type="num" val="100"/>
      </iconSet>
    </cfRule>
    <cfRule type="iconSet" priority="1000">
      <iconSet>
        <cfvo type="percent" val="0"/>
        <cfvo type="num" val="95"/>
        <cfvo type="num" val="100"/>
      </iconSet>
    </cfRule>
    <cfRule type="iconSet" priority="998">
      <iconSet>
        <cfvo type="percent" val="0"/>
        <cfvo type="num" val="70"/>
        <cfvo type="num" val="90"/>
      </iconSet>
    </cfRule>
    <cfRule type="iconSet" priority="999">
      <iconSet>
        <cfvo type="percent" val="0"/>
        <cfvo type="num" val="70"/>
        <cfvo type="num" val="90"/>
      </iconSet>
    </cfRule>
    <cfRule type="iconSet" priority="997">
      <iconSet>
        <cfvo type="percent" val="0"/>
        <cfvo type="num" val="95"/>
        <cfvo type="num" val="100"/>
      </iconSet>
    </cfRule>
    <cfRule type="iconSet" priority="993">
      <iconSet>
        <cfvo type="percent" val="0"/>
        <cfvo type="num" val="70"/>
        <cfvo type="num" val="90"/>
      </iconSet>
    </cfRule>
    <cfRule type="iconSet" priority="994">
      <iconSet>
        <cfvo type="percent" val="0"/>
        <cfvo type="num" val="70"/>
        <cfvo type="num" val="90"/>
      </iconSet>
    </cfRule>
    <cfRule type="iconSet" priority="995">
      <iconSet>
        <cfvo type="percent" val="0"/>
        <cfvo type="num" val="95"/>
        <cfvo type="num" val="100"/>
      </iconSet>
    </cfRule>
    <cfRule type="iconSet" priority="992">
      <iconSet>
        <cfvo type="percent" val="0"/>
        <cfvo type="num" val="95"/>
        <cfvo type="num" val="100"/>
      </iconSet>
    </cfRule>
  </conditionalFormatting>
  <conditionalFormatting sqref="O34">
    <cfRule type="iconSet" priority="1136">
      <iconSet>
        <cfvo type="percent" val="0"/>
        <cfvo type="num" val="95"/>
        <cfvo type="num" val="100"/>
      </iconSet>
    </cfRule>
  </conditionalFormatting>
  <conditionalFormatting sqref="O35:O36">
    <cfRule type="iconSet" priority="983">
      <iconSet>
        <cfvo type="percent" val="0"/>
        <cfvo type="num" val="95"/>
        <cfvo type="num" val="100"/>
      </iconSet>
    </cfRule>
    <cfRule type="iconSet" priority="985">
      <iconSet>
        <cfvo type="percent" val="0"/>
        <cfvo type="num" val="70"/>
        <cfvo type="num" val="90"/>
      </iconSet>
    </cfRule>
    <cfRule type="iconSet" priority="990">
      <iconSet>
        <cfvo type="percent" val="0"/>
        <cfvo type="num" val="70"/>
        <cfvo type="num" val="90"/>
      </iconSet>
    </cfRule>
    <cfRule type="iconSet" priority="989">
      <iconSet>
        <cfvo type="percent" val="0"/>
        <cfvo type="num" val="70"/>
        <cfvo type="num" val="90"/>
      </iconSet>
    </cfRule>
    <cfRule type="iconSet" priority="987">
      <iconSet>
        <cfvo type="percent" val="0"/>
        <cfvo type="num" val="95"/>
        <cfvo type="num" val="100"/>
      </iconSet>
    </cfRule>
    <cfRule type="iconSet" priority="988">
      <iconSet>
        <cfvo type="percent" val="0"/>
        <cfvo type="num" val="95"/>
        <cfvo type="num" val="100"/>
      </iconSet>
    </cfRule>
    <cfRule type="iconSet" priority="986">
      <iconSet>
        <cfvo type="percent" val="0"/>
        <cfvo type="num" val="95"/>
        <cfvo type="num" val="100"/>
      </iconSet>
    </cfRule>
    <cfRule type="iconSet" priority="984">
      <iconSet>
        <cfvo type="percent" val="0"/>
        <cfvo type="num" val="70"/>
        <cfvo type="num" val="90"/>
      </iconSet>
    </cfRule>
    <cfRule type="iconSet" priority="991">
      <iconSet>
        <cfvo type="percent" val="0"/>
        <cfvo type="num" val="95"/>
        <cfvo type="num" val="100"/>
      </iconSet>
    </cfRule>
  </conditionalFormatting>
  <conditionalFormatting sqref="O37">
    <cfRule type="iconSet" priority="1258">
      <iconSet>
        <cfvo type="percent" val="0"/>
        <cfvo type="num" val="70"/>
        <cfvo type="num" val="90"/>
      </iconSet>
    </cfRule>
    <cfRule type="iconSet" priority="1257">
      <iconSet>
        <cfvo type="percent" val="0"/>
        <cfvo type="num" val="95"/>
        <cfvo type="num" val="100"/>
      </iconSet>
    </cfRule>
    <cfRule type="iconSet" priority="1260">
      <iconSet>
        <cfvo type="percent" val="0"/>
        <cfvo type="num" val="95"/>
        <cfvo type="num" val="100"/>
      </iconSet>
    </cfRule>
    <cfRule type="iconSet" priority="1259">
      <iconSet>
        <cfvo type="percent" val="0"/>
        <cfvo type="num" val="70"/>
        <cfvo type="num" val="90"/>
      </iconSet>
    </cfRule>
  </conditionalFormatting>
  <conditionalFormatting sqref="O37:O38">
    <cfRule type="iconSet" priority="1252">
      <iconSet>
        <cfvo type="percent" val="0"/>
        <cfvo type="num" val="95"/>
        <cfvo type="num" val="100"/>
      </iconSet>
    </cfRule>
    <cfRule type="iconSet" priority="1250">
      <iconSet>
        <cfvo type="percent" val="0"/>
        <cfvo type="num" val="70"/>
        <cfvo type="num" val="90"/>
      </iconSet>
    </cfRule>
    <cfRule type="iconSet" priority="1249">
      <iconSet>
        <cfvo type="percent" val="0"/>
        <cfvo type="num" val="95"/>
        <cfvo type="num" val="100"/>
      </iconSet>
    </cfRule>
    <cfRule type="iconSet" priority="1248">
      <iconSet>
        <cfvo type="percent" val="0"/>
        <cfvo type="num" val="95"/>
        <cfvo type="num" val="100"/>
      </iconSet>
    </cfRule>
    <cfRule type="iconSet" priority="1247">
      <iconSet>
        <cfvo type="percent" val="0"/>
        <cfvo type="num" val="70"/>
        <cfvo type="num" val="90"/>
      </iconSet>
    </cfRule>
    <cfRule type="iconSet" priority="1246">
      <iconSet>
        <cfvo type="percent" val="0"/>
        <cfvo type="num" val="70"/>
        <cfvo type="num" val="90"/>
      </iconSet>
    </cfRule>
    <cfRule type="iconSet" priority="1245">
      <iconSet>
        <cfvo type="percent" val="0"/>
        <cfvo type="num" val="95"/>
        <cfvo type="num" val="100"/>
      </iconSet>
    </cfRule>
    <cfRule type="iconSet" priority="1251">
      <iconSet>
        <cfvo type="percent" val="0"/>
        <cfvo type="num" val="70"/>
        <cfvo type="num" val="90"/>
      </iconSet>
    </cfRule>
  </conditionalFormatting>
  <conditionalFormatting sqref="O37:O39">
    <cfRule type="iconSet" priority="1265">
      <iconSet>
        <cfvo type="percent" val="0"/>
        <cfvo type="num" val="95"/>
        <cfvo type="num" val="100"/>
      </iconSet>
    </cfRule>
  </conditionalFormatting>
  <conditionalFormatting sqref="O38">
    <cfRule type="iconSet" priority="1241">
      <iconSet>
        <cfvo type="percent" val="0"/>
        <cfvo type="num" val="95"/>
        <cfvo type="num" val="100"/>
      </iconSet>
    </cfRule>
    <cfRule type="iconSet" priority="1234">
      <iconSet>
        <cfvo type="percent" val="0"/>
        <cfvo type="num" val="70"/>
        <cfvo type="num" val="90"/>
      </iconSet>
    </cfRule>
    <cfRule type="iconSet" priority="1233">
      <iconSet>
        <cfvo type="percent" val="0"/>
        <cfvo type="num" val="95"/>
        <cfvo type="num" val="100"/>
      </iconSet>
    </cfRule>
    <cfRule type="iconSet" priority="1231">
      <iconSet>
        <cfvo type="percent" val="0"/>
        <cfvo type="num" val="95"/>
        <cfvo type="num" val="100"/>
      </iconSet>
    </cfRule>
    <cfRule type="iconSet" priority="1230">
      <iconSet>
        <cfvo type="percent" val="0"/>
        <cfvo type="num" val="70"/>
        <cfvo type="num" val="90"/>
      </iconSet>
    </cfRule>
    <cfRule type="iconSet" priority="1229">
      <iconSet>
        <cfvo type="percent" val="0"/>
        <cfvo type="num" val="70"/>
        <cfvo type="num" val="90"/>
      </iconSet>
    </cfRule>
    <cfRule type="iconSet" priority="1228">
      <iconSet>
        <cfvo type="percent" val="0"/>
        <cfvo type="num" val="95"/>
        <cfvo type="num" val="100"/>
      </iconSet>
    </cfRule>
    <cfRule type="iconSet" priority="1141">
      <iconSet>
        <cfvo type="percent" val="0"/>
        <cfvo type="num" val="95"/>
        <cfvo type="num" val="100"/>
      </iconSet>
    </cfRule>
    <cfRule type="iconSet" priority="1140">
      <iconSet>
        <cfvo type="percent" val="0"/>
        <cfvo type="num" val="70"/>
        <cfvo type="num" val="90"/>
      </iconSet>
    </cfRule>
    <cfRule type="iconSet" priority="1138">
      <iconSet>
        <cfvo type="percent" val="0"/>
        <cfvo type="num" val="95"/>
        <cfvo type="num" val="100"/>
      </iconSet>
    </cfRule>
    <cfRule type="iconSet" priority="1240">
      <iconSet>
        <cfvo type="percent" val="0"/>
        <cfvo type="num" val="95"/>
        <cfvo type="num" val="100"/>
      </iconSet>
    </cfRule>
    <cfRule type="iconSet" priority="1243">
      <iconSet>
        <cfvo type="percent" val="0"/>
        <cfvo type="num" val="70"/>
        <cfvo type="num" val="90"/>
      </iconSet>
    </cfRule>
    <cfRule type="iconSet" priority="1139">
      <iconSet>
        <cfvo type="percent" val="0"/>
        <cfvo type="num" val="70"/>
        <cfvo type="num" val="90"/>
      </iconSet>
    </cfRule>
    <cfRule type="iconSet" priority="1256">
      <iconSet>
        <cfvo type="percent" val="0"/>
        <cfvo type="num" val="95"/>
        <cfvo type="num" val="100"/>
      </iconSet>
    </cfRule>
    <cfRule type="iconSet" priority="1255">
      <iconSet>
        <cfvo type="percent" val="0"/>
        <cfvo type="num" val="70"/>
        <cfvo type="num" val="90"/>
      </iconSet>
    </cfRule>
    <cfRule type="iconSet" priority="1254">
      <iconSet>
        <cfvo type="percent" val="0"/>
        <cfvo type="num" val="70"/>
        <cfvo type="num" val="90"/>
      </iconSet>
    </cfRule>
    <cfRule type="iconSet" priority="1253">
      <iconSet>
        <cfvo type="percent" val="0"/>
        <cfvo type="num" val="95"/>
        <cfvo type="num" val="100"/>
      </iconSet>
    </cfRule>
    <cfRule type="iconSet" priority="1244">
      <iconSet>
        <cfvo type="percent" val="0"/>
        <cfvo type="num" val="95"/>
        <cfvo type="num" val="100"/>
      </iconSet>
    </cfRule>
    <cfRule type="iconSet" priority="1242">
      <iconSet>
        <cfvo type="percent" val="0"/>
        <cfvo type="num" val="70"/>
        <cfvo type="num" val="90"/>
      </iconSet>
    </cfRule>
    <cfRule type="iconSet" priority="1239">
      <iconSet>
        <cfvo type="percent" val="0"/>
        <cfvo type="num" val="70"/>
        <cfvo type="num" val="90"/>
      </iconSet>
    </cfRule>
    <cfRule type="iconSet" priority="1238">
      <iconSet>
        <cfvo type="percent" val="0"/>
        <cfvo type="num" val="70"/>
        <cfvo type="num" val="90"/>
      </iconSet>
    </cfRule>
    <cfRule type="iconSet" priority="1237">
      <iconSet>
        <cfvo type="percent" val="0"/>
        <cfvo type="num" val="95"/>
        <cfvo type="num" val="100"/>
      </iconSet>
    </cfRule>
    <cfRule type="iconSet" priority="1235">
      <iconSet>
        <cfvo type="percent" val="0"/>
        <cfvo type="num" val="70"/>
        <cfvo type="num" val="90"/>
      </iconSet>
    </cfRule>
    <cfRule type="iconSet" priority="1236">
      <iconSet>
        <cfvo type="percent" val="0"/>
        <cfvo type="num" val="95"/>
        <cfvo type="num" val="100"/>
      </iconSet>
    </cfRule>
  </conditionalFormatting>
  <conditionalFormatting sqref="O39">
    <cfRule type="iconSet" priority="1175">
      <iconSet>
        <cfvo type="percent" val="0"/>
        <cfvo type="num" val="70"/>
        <cfvo type="num" val="90"/>
      </iconSet>
    </cfRule>
    <cfRule type="iconSet" priority="1176">
      <iconSet>
        <cfvo type="percent" val="0"/>
        <cfvo type="num" val="70"/>
        <cfvo type="num" val="90"/>
      </iconSet>
    </cfRule>
    <cfRule type="iconSet" priority="1177">
      <iconSet>
        <cfvo type="percent" val="0"/>
        <cfvo type="num" val="95"/>
        <cfvo type="num" val="100"/>
      </iconSet>
    </cfRule>
    <cfRule type="iconSet" priority="1178">
      <iconSet>
        <cfvo type="percent" val="0"/>
        <cfvo type="num" val="95"/>
        <cfvo type="num" val="100"/>
      </iconSet>
    </cfRule>
    <cfRule type="iconSet" priority="1179">
      <iconSet>
        <cfvo type="percent" val="0"/>
        <cfvo type="num" val="70"/>
        <cfvo type="num" val="90"/>
      </iconSet>
    </cfRule>
    <cfRule type="iconSet" priority="1180">
      <iconSet>
        <cfvo type="percent" val="0"/>
        <cfvo type="num" val="70"/>
        <cfvo type="num" val="90"/>
      </iconSet>
    </cfRule>
    <cfRule type="iconSet" priority="1181">
      <iconSet>
        <cfvo type="percent" val="0"/>
        <cfvo type="num" val="95"/>
        <cfvo type="num" val="100"/>
      </iconSet>
    </cfRule>
    <cfRule type="iconSet" priority="1182">
      <iconSet>
        <cfvo type="percent" val="0"/>
        <cfvo type="num" val="95"/>
        <cfvo type="num" val="100"/>
      </iconSet>
    </cfRule>
    <cfRule type="iconSet" priority="1183">
      <iconSet>
        <cfvo type="percent" val="0"/>
        <cfvo type="num" val="70"/>
        <cfvo type="num" val="90"/>
      </iconSet>
    </cfRule>
    <cfRule type="iconSet" priority="1184">
      <iconSet>
        <cfvo type="percent" val="0"/>
        <cfvo type="num" val="70"/>
        <cfvo type="num" val="90"/>
      </iconSet>
    </cfRule>
    <cfRule type="iconSet" priority="1186">
      <iconSet>
        <cfvo type="percent" val="0"/>
        <cfvo type="num" val="95"/>
        <cfvo type="num" val="100"/>
      </iconSet>
    </cfRule>
    <cfRule type="iconSet" priority="1187">
      <iconSet>
        <cfvo type="percent" val="0"/>
        <cfvo type="num" val="70"/>
        <cfvo type="num" val="90"/>
      </iconSet>
    </cfRule>
    <cfRule type="iconSet" priority="1188">
      <iconSet>
        <cfvo type="percent" val="0"/>
        <cfvo type="num" val="70"/>
        <cfvo type="num" val="90"/>
      </iconSet>
    </cfRule>
    <cfRule type="iconSet" priority="1189">
      <iconSet>
        <cfvo type="percent" val="0"/>
        <cfvo type="num" val="95"/>
        <cfvo type="num" val="100"/>
      </iconSet>
    </cfRule>
    <cfRule type="iconSet" priority="1190">
      <iconSet>
        <cfvo type="percent" val="0"/>
        <cfvo type="num" val="95"/>
        <cfvo type="num" val="100"/>
      </iconSet>
    </cfRule>
    <cfRule type="iconSet" priority="1191">
      <iconSet>
        <cfvo type="percent" val="0"/>
        <cfvo type="num" val="70"/>
        <cfvo type="num" val="90"/>
      </iconSet>
    </cfRule>
    <cfRule type="iconSet" priority="1192">
      <iconSet>
        <cfvo type="percent" val="0"/>
        <cfvo type="num" val="70"/>
        <cfvo type="num" val="90"/>
      </iconSet>
    </cfRule>
    <cfRule type="iconSet" priority="1194">
      <iconSet>
        <cfvo type="percent" val="0"/>
        <cfvo type="num" val="95"/>
        <cfvo type="num" val="100"/>
      </iconSet>
    </cfRule>
    <cfRule type="iconSet" priority="1193">
      <iconSet>
        <cfvo type="percent" val="0"/>
        <cfvo type="num" val="95"/>
        <cfvo type="num" val="100"/>
      </iconSet>
    </cfRule>
    <cfRule type="iconSet" priority="1196">
      <iconSet>
        <cfvo type="percent" val="0"/>
        <cfvo type="num" val="70"/>
        <cfvo type="num" val="90"/>
      </iconSet>
    </cfRule>
    <cfRule type="iconSet" priority="1197">
      <iconSet>
        <cfvo type="percent" val="0"/>
        <cfvo type="num" val="95"/>
        <cfvo type="num" val="100"/>
      </iconSet>
    </cfRule>
    <cfRule type="iconSet" priority="1170">
      <iconSet>
        <cfvo type="percent" val="0"/>
        <cfvo type="num" val="95"/>
        <cfvo type="num" val="100"/>
      </iconSet>
    </cfRule>
    <cfRule type="iconSet" priority="1172">
      <iconSet>
        <cfvo type="percent" val="0"/>
        <cfvo type="num" val="70"/>
        <cfvo type="num" val="90"/>
      </iconSet>
    </cfRule>
    <cfRule type="iconSet" priority="1195">
      <iconSet>
        <cfvo type="percent" val="0"/>
        <cfvo type="num" val="70"/>
        <cfvo type="num" val="90"/>
      </iconSet>
    </cfRule>
    <cfRule type="iconSet" priority="1261">
      <iconSet>
        <cfvo type="percent" val="0"/>
        <cfvo type="num" val="70"/>
        <cfvo type="num" val="90"/>
      </iconSet>
    </cfRule>
    <cfRule type="iconSet" priority="1262">
      <iconSet>
        <cfvo type="percent" val="0"/>
        <cfvo type="num" val="95"/>
        <cfvo type="num" val="100"/>
      </iconSet>
    </cfRule>
    <cfRule type="iconSet" priority="1171">
      <iconSet>
        <cfvo type="percent" val="0"/>
        <cfvo type="num" val="70"/>
        <cfvo type="num" val="90"/>
      </iconSet>
    </cfRule>
    <cfRule type="iconSet" priority="1174">
      <iconSet>
        <cfvo type="percent" val="0"/>
        <cfvo type="num" val="95"/>
        <cfvo type="num" val="100"/>
      </iconSet>
    </cfRule>
    <cfRule type="iconSet" priority="1173">
      <iconSet>
        <cfvo type="percent" val="0"/>
        <cfvo type="num" val="95"/>
        <cfvo type="num" val="100"/>
      </iconSet>
    </cfRule>
    <cfRule type="iconSet" priority="1185">
      <iconSet>
        <cfvo type="percent" val="0"/>
        <cfvo type="num" val="95"/>
        <cfvo type="num" val="100"/>
      </iconSet>
    </cfRule>
  </conditionalFormatting>
  <conditionalFormatting sqref="O40">
    <cfRule type="iconSet" priority="634">
      <iconSet>
        <cfvo type="percent" val="0"/>
        <cfvo type="num" val="95"/>
        <cfvo type="num" val="100"/>
      </iconSet>
    </cfRule>
    <cfRule type="iconSet" priority="632">
      <iconSet>
        <cfvo type="percent" val="0"/>
        <cfvo type="num" val="70"/>
        <cfvo type="num" val="90"/>
      </iconSet>
    </cfRule>
    <cfRule type="iconSet" priority="635">
      <iconSet>
        <cfvo type="percent" val="0"/>
        <cfvo type="num" val="70"/>
        <cfvo type="num" val="90"/>
      </iconSet>
    </cfRule>
    <cfRule type="iconSet" priority="636">
      <iconSet>
        <cfvo type="percent" val="0"/>
        <cfvo type="num" val="70"/>
        <cfvo type="num" val="90"/>
      </iconSet>
    </cfRule>
    <cfRule type="iconSet" priority="637">
      <iconSet>
        <cfvo type="percent" val="0"/>
        <cfvo type="num" val="95"/>
        <cfvo type="num" val="100"/>
      </iconSet>
    </cfRule>
    <cfRule type="iconSet" priority="628">
      <iconSet>
        <cfvo type="percent" val="0"/>
        <cfvo type="num" val="70"/>
        <cfvo type="num" val="90"/>
      </iconSet>
    </cfRule>
    <cfRule type="iconSet" priority="629">
      <iconSet>
        <cfvo type="percent" val="0"/>
        <cfvo type="num" val="95"/>
        <cfvo type="num" val="100"/>
      </iconSet>
    </cfRule>
    <cfRule type="iconSet" priority="638">
      <iconSet>
        <cfvo type="percent" val="0"/>
        <cfvo type="num" val="95"/>
        <cfvo type="num" val="100"/>
      </iconSet>
    </cfRule>
    <cfRule type="iconSet" priority="640">
      <iconSet>
        <cfvo type="percent" val="0"/>
        <cfvo type="num" val="70"/>
        <cfvo type="num" val="90"/>
      </iconSet>
    </cfRule>
    <cfRule type="iconSet" priority="641">
      <iconSet>
        <cfvo type="percent" val="0"/>
        <cfvo type="num" val="95"/>
        <cfvo type="num" val="100"/>
      </iconSet>
    </cfRule>
    <cfRule type="iconSet" priority="630">
      <iconSet>
        <cfvo type="percent" val="0"/>
        <cfvo type="num" val="95"/>
        <cfvo type="num" val="100"/>
      </iconSet>
    </cfRule>
    <cfRule type="iconSet" priority="642">
      <iconSet>
        <cfvo type="percent" val="0"/>
        <cfvo type="num" val="95"/>
        <cfvo type="num" val="100"/>
      </iconSet>
    </cfRule>
    <cfRule type="iconSet" priority="618">
      <iconSet>
        <cfvo type="percent" val="0"/>
        <cfvo type="num" val="95"/>
        <cfvo type="num" val="100"/>
      </iconSet>
    </cfRule>
    <cfRule type="iconSet" priority="619">
      <iconSet>
        <cfvo type="percent" val="0"/>
        <cfvo type="num" val="70"/>
        <cfvo type="num" val="90"/>
      </iconSet>
    </cfRule>
    <cfRule type="iconSet" priority="620">
      <iconSet>
        <cfvo type="percent" val="0"/>
        <cfvo type="num" val="70"/>
        <cfvo type="num" val="90"/>
      </iconSet>
    </cfRule>
    <cfRule type="iconSet" priority="621">
      <iconSet>
        <cfvo type="percent" val="0"/>
        <cfvo type="num" val="95"/>
        <cfvo type="num" val="100"/>
      </iconSet>
    </cfRule>
    <cfRule type="iconSet" priority="622">
      <iconSet>
        <cfvo type="percent" val="0"/>
        <cfvo type="num" val="95"/>
        <cfvo type="num" val="100"/>
      </iconSet>
    </cfRule>
    <cfRule type="iconSet" priority="623">
      <iconSet>
        <cfvo type="percent" val="0"/>
        <cfvo type="num" val="70"/>
        <cfvo type="num" val="90"/>
      </iconSet>
    </cfRule>
    <cfRule type="iconSet" priority="624">
      <iconSet>
        <cfvo type="percent" val="0"/>
        <cfvo type="num" val="70"/>
        <cfvo type="num" val="90"/>
      </iconSet>
    </cfRule>
    <cfRule type="iconSet" priority="625">
      <iconSet>
        <cfvo type="percent" val="0"/>
        <cfvo type="num" val="95"/>
        <cfvo type="num" val="100"/>
      </iconSet>
    </cfRule>
    <cfRule type="iconSet" priority="639">
      <iconSet>
        <cfvo type="percent" val="0"/>
        <cfvo type="num" val="70"/>
        <cfvo type="num" val="90"/>
      </iconSet>
    </cfRule>
    <cfRule type="iconSet" priority="643">
      <iconSet>
        <cfvo type="percent" val="0"/>
        <cfvo type="num" val="70"/>
        <cfvo type="num" val="90"/>
      </iconSet>
    </cfRule>
    <cfRule type="iconSet" priority="644">
      <iconSet>
        <cfvo type="percent" val="0"/>
        <cfvo type="num" val="70"/>
        <cfvo type="num" val="90"/>
      </iconSet>
    </cfRule>
    <cfRule type="iconSet" priority="645">
      <iconSet>
        <cfvo type="percent" val="0"/>
        <cfvo type="num" val="95"/>
        <cfvo type="num" val="100"/>
      </iconSet>
    </cfRule>
    <cfRule type="iconSet" priority="646">
      <iconSet>
        <cfvo type="percent" val="0"/>
        <cfvo type="num" val="70"/>
        <cfvo type="num" val="90"/>
      </iconSet>
    </cfRule>
    <cfRule type="iconSet" priority="631">
      <iconSet>
        <cfvo type="percent" val="0"/>
        <cfvo type="num" val="70"/>
        <cfvo type="num" val="90"/>
      </iconSet>
    </cfRule>
    <cfRule type="iconSet" priority="647">
      <iconSet>
        <cfvo type="percent" val="0"/>
        <cfvo type="num" val="95"/>
        <cfvo type="num" val="100"/>
      </iconSet>
    </cfRule>
    <cfRule type="iconSet" priority="648">
      <iconSet>
        <cfvo type="percent" val="0"/>
        <cfvo type="num" val="95"/>
        <cfvo type="num" val="100"/>
      </iconSet>
    </cfRule>
    <cfRule type="iconSet" priority="627">
      <iconSet>
        <cfvo type="percent" val="0"/>
        <cfvo type="num" val="70"/>
        <cfvo type="num" val="90"/>
      </iconSet>
    </cfRule>
    <cfRule type="iconSet" priority="633">
      <iconSet>
        <cfvo type="percent" val="0"/>
        <cfvo type="num" val="95"/>
        <cfvo type="num" val="100"/>
      </iconSet>
    </cfRule>
    <cfRule type="iconSet" priority="626">
      <iconSet>
        <cfvo type="percent" val="0"/>
        <cfvo type="num" val="95"/>
        <cfvo type="num" val="100"/>
      </iconSet>
    </cfRule>
  </conditionalFormatting>
  <conditionalFormatting sqref="O41">
    <cfRule type="iconSet" priority="1137">
      <iconSet>
        <cfvo type="percent" val="0"/>
        <cfvo type="num" val="95"/>
        <cfvo type="num" val="100"/>
      </iconSet>
    </cfRule>
  </conditionalFormatting>
  <conditionalFormatting sqref="U8">
    <cfRule type="iconSet" priority="835">
      <iconSet>
        <cfvo type="percent" val="0"/>
        <cfvo type="num" val="95"/>
        <cfvo type="num" val="100"/>
      </iconSet>
    </cfRule>
    <cfRule type="iconSet" priority="836">
      <iconSet>
        <cfvo type="percent" val="0"/>
        <cfvo type="num" val="70"/>
        <cfvo type="num" val="90"/>
      </iconSet>
    </cfRule>
    <cfRule type="iconSet" priority="839">
      <iconSet>
        <cfvo type="percent" val="0"/>
        <cfvo type="num" val="95"/>
        <cfvo type="num" val="100"/>
      </iconSet>
    </cfRule>
    <cfRule type="iconSet" priority="843">
      <iconSet>
        <cfvo type="percent" val="0"/>
        <cfvo type="num" val="95"/>
        <cfvo type="num" val="100"/>
      </iconSet>
    </cfRule>
    <cfRule type="iconSet" priority="842">
      <iconSet>
        <cfvo type="percent" val="0"/>
        <cfvo type="num" val="70"/>
        <cfvo type="num" val="90"/>
      </iconSet>
    </cfRule>
    <cfRule type="iconSet" priority="841">
      <iconSet>
        <cfvo type="percent" val="0"/>
        <cfvo type="num" val="70"/>
        <cfvo type="num" val="90"/>
      </iconSet>
    </cfRule>
    <cfRule type="iconSet" priority="840">
      <iconSet>
        <cfvo type="percent" val="0"/>
        <cfvo type="num" val="95"/>
        <cfvo type="num" val="100"/>
      </iconSet>
    </cfRule>
    <cfRule type="iconSet" priority="838">
      <iconSet>
        <cfvo type="percent" val="0"/>
        <cfvo type="num" val="95"/>
        <cfvo type="num" val="100"/>
      </iconSet>
    </cfRule>
    <cfRule type="iconSet" priority="837">
      <iconSet>
        <cfvo type="percent" val="0"/>
        <cfvo type="num" val="70"/>
        <cfvo type="num" val="90"/>
      </iconSet>
    </cfRule>
  </conditionalFormatting>
  <conditionalFormatting sqref="U9">
    <cfRule type="iconSet" priority="689">
      <iconSet>
        <cfvo type="percent" val="0"/>
        <cfvo type="num" val="70"/>
        <cfvo type="num" val="90"/>
      </iconSet>
    </cfRule>
    <cfRule type="iconSet" priority="690">
      <iconSet>
        <cfvo type="percent" val="0"/>
        <cfvo type="num" val="95"/>
        <cfvo type="num" val="100"/>
      </iconSet>
    </cfRule>
    <cfRule type="iconSet" priority="688">
      <iconSet>
        <cfvo type="percent" val="0"/>
        <cfvo type="num" val="70"/>
        <cfvo type="num" val="90"/>
      </iconSet>
    </cfRule>
    <cfRule type="iconSet" priority="682">
      <iconSet>
        <cfvo type="percent" val="0"/>
        <cfvo type="num" val="95"/>
        <cfvo type="num" val="100"/>
      </iconSet>
    </cfRule>
    <cfRule type="iconSet" priority="683">
      <iconSet>
        <cfvo type="percent" val="0"/>
        <cfvo type="num" val="70"/>
        <cfvo type="num" val="90"/>
      </iconSet>
    </cfRule>
    <cfRule type="iconSet" priority="685">
      <iconSet>
        <cfvo type="percent" val="0"/>
        <cfvo type="num" val="95"/>
        <cfvo type="num" val="100"/>
      </iconSet>
    </cfRule>
    <cfRule type="iconSet" priority="686">
      <iconSet>
        <cfvo type="percent" val="0"/>
        <cfvo type="num" val="95"/>
        <cfvo type="num" val="100"/>
      </iconSet>
    </cfRule>
    <cfRule type="iconSet" priority="687">
      <iconSet>
        <cfvo type="percent" val="0"/>
        <cfvo type="num" val="95"/>
        <cfvo type="num" val="100"/>
      </iconSet>
    </cfRule>
    <cfRule type="iconSet" priority="684">
      <iconSet>
        <cfvo type="percent" val="0"/>
        <cfvo type="num" val="70"/>
        <cfvo type="num" val="90"/>
      </iconSet>
    </cfRule>
  </conditionalFormatting>
  <conditionalFormatting sqref="U10">
    <cfRule type="iconSet" priority="829">
      <iconSet>
        <cfvo type="percent" val="0"/>
        <cfvo type="num" val="95"/>
        <cfvo type="num" val="100"/>
      </iconSet>
    </cfRule>
    <cfRule type="iconSet" priority="828">
      <iconSet>
        <cfvo type="percent" val="0"/>
        <cfvo type="num" val="70"/>
        <cfvo type="num" val="90"/>
      </iconSet>
    </cfRule>
    <cfRule type="iconSet" priority="827">
      <iconSet>
        <cfvo type="percent" val="0"/>
        <cfvo type="num" val="70"/>
        <cfvo type="num" val="90"/>
      </iconSet>
    </cfRule>
    <cfRule type="iconSet" priority="826">
      <iconSet>
        <cfvo type="percent" val="0"/>
        <cfvo type="num" val="95"/>
        <cfvo type="num" val="100"/>
      </iconSet>
    </cfRule>
    <cfRule type="iconSet" priority="834">
      <iconSet>
        <cfvo type="percent" val="0"/>
        <cfvo type="num" val="95"/>
        <cfvo type="num" val="100"/>
      </iconSet>
    </cfRule>
    <cfRule type="iconSet" priority="833">
      <iconSet>
        <cfvo type="percent" val="0"/>
        <cfvo type="num" val="70"/>
        <cfvo type="num" val="90"/>
      </iconSet>
    </cfRule>
    <cfRule type="iconSet" priority="832">
      <iconSet>
        <cfvo type="percent" val="0"/>
        <cfvo type="num" val="70"/>
        <cfvo type="num" val="90"/>
      </iconSet>
    </cfRule>
    <cfRule type="iconSet" priority="831">
      <iconSet>
        <cfvo type="percent" val="0"/>
        <cfvo type="num" val="95"/>
        <cfvo type="num" val="100"/>
      </iconSet>
    </cfRule>
    <cfRule type="iconSet" priority="830">
      <iconSet>
        <cfvo type="percent" val="0"/>
        <cfvo type="num" val="95"/>
        <cfvo type="num" val="100"/>
      </iconSet>
    </cfRule>
  </conditionalFormatting>
  <conditionalFormatting sqref="U12">
    <cfRule type="iconSet" priority="819">
      <iconSet>
        <cfvo type="percent" val="0"/>
        <cfvo type="num" val="70"/>
        <cfvo type="num" val="90"/>
      </iconSet>
    </cfRule>
    <cfRule type="iconSet" priority="820">
      <iconSet>
        <cfvo type="percent" val="0"/>
        <cfvo type="num" val="95"/>
        <cfvo type="num" val="100"/>
      </iconSet>
    </cfRule>
    <cfRule type="iconSet" priority="821">
      <iconSet>
        <cfvo type="percent" val="0"/>
        <cfvo type="num" val="95"/>
        <cfvo type="num" val="100"/>
      </iconSet>
    </cfRule>
    <cfRule type="iconSet" priority="822">
      <iconSet>
        <cfvo type="percent" val="0"/>
        <cfvo type="num" val="95"/>
        <cfvo type="num" val="100"/>
      </iconSet>
    </cfRule>
    <cfRule type="iconSet" priority="823">
      <iconSet>
        <cfvo type="percent" val="0"/>
        <cfvo type="num" val="70"/>
        <cfvo type="num" val="90"/>
      </iconSet>
    </cfRule>
    <cfRule type="iconSet" priority="817">
      <iconSet>
        <cfvo type="percent" val="0"/>
        <cfvo type="num" val="95"/>
        <cfvo type="num" val="100"/>
      </iconSet>
    </cfRule>
    <cfRule type="iconSet" priority="818">
      <iconSet>
        <cfvo type="percent" val="0"/>
        <cfvo type="num" val="70"/>
        <cfvo type="num" val="90"/>
      </iconSet>
    </cfRule>
    <cfRule type="iconSet" priority="825">
      <iconSet>
        <cfvo type="percent" val="0"/>
        <cfvo type="num" val="95"/>
        <cfvo type="num" val="100"/>
      </iconSet>
    </cfRule>
    <cfRule type="iconSet" priority="824">
      <iconSet>
        <cfvo type="percent" val="0"/>
        <cfvo type="num" val="70"/>
        <cfvo type="num" val="90"/>
      </iconSet>
    </cfRule>
  </conditionalFormatting>
  <conditionalFormatting sqref="U13">
    <cfRule type="iconSet" priority="814">
      <iconSet>
        <cfvo type="percent" val="0"/>
        <cfvo type="num" val="70"/>
        <cfvo type="num" val="90"/>
      </iconSet>
    </cfRule>
    <cfRule type="iconSet" priority="815">
      <iconSet>
        <cfvo type="percent" val="0"/>
        <cfvo type="num" val="70"/>
        <cfvo type="num" val="90"/>
      </iconSet>
    </cfRule>
    <cfRule type="iconSet" priority="816">
      <iconSet>
        <cfvo type="percent" val="0"/>
        <cfvo type="num" val="95"/>
        <cfvo type="num" val="100"/>
      </iconSet>
    </cfRule>
    <cfRule type="iconSet" priority="808">
      <iconSet>
        <cfvo type="percent" val="0"/>
        <cfvo type="num" val="95"/>
        <cfvo type="num" val="100"/>
      </iconSet>
    </cfRule>
    <cfRule type="iconSet" priority="809">
      <iconSet>
        <cfvo type="percent" val="0"/>
        <cfvo type="num" val="70"/>
        <cfvo type="num" val="90"/>
      </iconSet>
    </cfRule>
    <cfRule type="iconSet" priority="810">
      <iconSet>
        <cfvo type="percent" val="0"/>
        <cfvo type="num" val="70"/>
        <cfvo type="num" val="90"/>
      </iconSet>
    </cfRule>
    <cfRule type="iconSet" priority="811">
      <iconSet>
        <cfvo type="percent" val="0"/>
        <cfvo type="num" val="95"/>
        <cfvo type="num" val="100"/>
      </iconSet>
    </cfRule>
    <cfRule type="iconSet" priority="812">
      <iconSet>
        <cfvo type="percent" val="0"/>
        <cfvo type="num" val="95"/>
        <cfvo type="num" val="100"/>
      </iconSet>
    </cfRule>
    <cfRule type="iconSet" priority="813">
      <iconSet>
        <cfvo type="percent" val="0"/>
        <cfvo type="num" val="95"/>
        <cfvo type="num" val="100"/>
      </iconSet>
    </cfRule>
  </conditionalFormatting>
  <conditionalFormatting sqref="U14">
    <cfRule type="iconSet" priority="805">
      <iconSet>
        <cfvo type="percent" val="0"/>
        <cfvo type="num" val="70"/>
        <cfvo type="num" val="90"/>
      </iconSet>
    </cfRule>
    <cfRule type="iconSet" priority="799">
      <iconSet>
        <cfvo type="percent" val="0"/>
        <cfvo type="num" val="95"/>
        <cfvo type="num" val="100"/>
      </iconSet>
    </cfRule>
    <cfRule type="iconSet" priority="807">
      <iconSet>
        <cfvo type="percent" val="0"/>
        <cfvo type="num" val="95"/>
        <cfvo type="num" val="100"/>
      </iconSet>
    </cfRule>
    <cfRule type="iconSet" priority="806">
      <iconSet>
        <cfvo type="percent" val="0"/>
        <cfvo type="num" val="70"/>
        <cfvo type="num" val="90"/>
      </iconSet>
    </cfRule>
    <cfRule type="iconSet" priority="804">
      <iconSet>
        <cfvo type="percent" val="0"/>
        <cfvo type="num" val="95"/>
        <cfvo type="num" val="100"/>
      </iconSet>
    </cfRule>
    <cfRule type="iconSet" priority="803">
      <iconSet>
        <cfvo type="percent" val="0"/>
        <cfvo type="num" val="95"/>
        <cfvo type="num" val="100"/>
      </iconSet>
    </cfRule>
    <cfRule type="iconSet" priority="802">
      <iconSet>
        <cfvo type="percent" val="0"/>
        <cfvo type="num" val="95"/>
        <cfvo type="num" val="100"/>
      </iconSet>
    </cfRule>
    <cfRule type="iconSet" priority="801">
      <iconSet>
        <cfvo type="percent" val="0"/>
        <cfvo type="num" val="70"/>
        <cfvo type="num" val="90"/>
      </iconSet>
    </cfRule>
    <cfRule type="iconSet" priority="800">
      <iconSet>
        <cfvo type="percent" val="0"/>
        <cfvo type="num" val="70"/>
        <cfvo type="num" val="90"/>
      </iconSet>
    </cfRule>
  </conditionalFormatting>
  <conditionalFormatting sqref="U16">
    <cfRule type="iconSet" priority="798">
      <iconSet>
        <cfvo type="percent" val="0"/>
        <cfvo type="num" val="95"/>
        <cfvo type="num" val="100"/>
      </iconSet>
    </cfRule>
    <cfRule type="iconSet" priority="796">
      <iconSet>
        <cfvo type="percent" val="0"/>
        <cfvo type="num" val="70"/>
        <cfvo type="num" val="90"/>
      </iconSet>
    </cfRule>
    <cfRule type="iconSet" priority="795">
      <iconSet>
        <cfvo type="percent" val="0"/>
        <cfvo type="num" val="95"/>
        <cfvo type="num" val="100"/>
      </iconSet>
    </cfRule>
    <cfRule type="iconSet" priority="794">
      <iconSet>
        <cfvo type="percent" val="0"/>
        <cfvo type="num" val="95"/>
        <cfvo type="num" val="100"/>
      </iconSet>
    </cfRule>
    <cfRule type="iconSet" priority="793">
      <iconSet>
        <cfvo type="percent" val="0"/>
        <cfvo type="num" val="95"/>
        <cfvo type="num" val="100"/>
      </iconSet>
    </cfRule>
    <cfRule type="iconSet" priority="792">
      <iconSet>
        <cfvo type="percent" val="0"/>
        <cfvo type="num" val="70"/>
        <cfvo type="num" val="90"/>
      </iconSet>
    </cfRule>
    <cfRule type="iconSet" priority="791">
      <iconSet>
        <cfvo type="percent" val="0"/>
        <cfvo type="num" val="70"/>
        <cfvo type="num" val="90"/>
      </iconSet>
    </cfRule>
    <cfRule type="iconSet" priority="790">
      <iconSet>
        <cfvo type="percent" val="0"/>
        <cfvo type="num" val="95"/>
        <cfvo type="num" val="100"/>
      </iconSet>
    </cfRule>
    <cfRule type="iconSet" priority="797">
      <iconSet>
        <cfvo type="percent" val="0"/>
        <cfvo type="num" val="70"/>
        <cfvo type="num" val="90"/>
      </iconSet>
    </cfRule>
  </conditionalFormatting>
  <conditionalFormatting sqref="U17">
    <cfRule type="iconSet" priority="788">
      <iconSet>
        <cfvo type="percent" val="0"/>
        <cfvo type="num" val="70"/>
        <cfvo type="num" val="90"/>
      </iconSet>
    </cfRule>
    <cfRule type="iconSet" priority="789">
      <iconSet>
        <cfvo type="percent" val="0"/>
        <cfvo type="num" val="95"/>
        <cfvo type="num" val="100"/>
      </iconSet>
    </cfRule>
    <cfRule type="iconSet" priority="787">
      <iconSet>
        <cfvo type="percent" val="0"/>
        <cfvo type="num" val="70"/>
        <cfvo type="num" val="90"/>
      </iconSet>
    </cfRule>
    <cfRule type="iconSet" priority="786">
      <iconSet>
        <cfvo type="percent" val="0"/>
        <cfvo type="num" val="95"/>
        <cfvo type="num" val="100"/>
      </iconSet>
    </cfRule>
    <cfRule type="iconSet" priority="785">
      <iconSet>
        <cfvo type="percent" val="0"/>
        <cfvo type="num" val="95"/>
        <cfvo type="num" val="100"/>
      </iconSet>
    </cfRule>
    <cfRule type="iconSet" priority="784">
      <iconSet>
        <cfvo type="percent" val="0"/>
        <cfvo type="num" val="95"/>
        <cfvo type="num" val="100"/>
      </iconSet>
    </cfRule>
    <cfRule type="iconSet" priority="783">
      <iconSet>
        <cfvo type="percent" val="0"/>
        <cfvo type="num" val="70"/>
        <cfvo type="num" val="90"/>
      </iconSet>
    </cfRule>
    <cfRule type="iconSet" priority="782">
      <iconSet>
        <cfvo type="percent" val="0"/>
        <cfvo type="num" val="70"/>
        <cfvo type="num" val="90"/>
      </iconSet>
    </cfRule>
    <cfRule type="iconSet" priority="781">
      <iconSet>
        <cfvo type="percent" val="0"/>
        <cfvo type="num" val="95"/>
        <cfvo type="num" val="100"/>
      </iconSet>
    </cfRule>
  </conditionalFormatting>
  <conditionalFormatting sqref="U18">
    <cfRule type="iconSet" priority="777">
      <iconSet>
        <cfvo type="percent" val="0"/>
        <cfvo type="num" val="95"/>
        <cfvo type="num" val="100"/>
      </iconSet>
    </cfRule>
    <cfRule type="iconSet" priority="780">
      <iconSet>
        <cfvo type="percent" val="0"/>
        <cfvo type="num" val="95"/>
        <cfvo type="num" val="100"/>
      </iconSet>
    </cfRule>
    <cfRule type="iconSet" priority="779">
      <iconSet>
        <cfvo type="percent" val="0"/>
        <cfvo type="num" val="70"/>
        <cfvo type="num" val="90"/>
      </iconSet>
    </cfRule>
    <cfRule type="iconSet" priority="778">
      <iconSet>
        <cfvo type="percent" val="0"/>
        <cfvo type="num" val="70"/>
        <cfvo type="num" val="90"/>
      </iconSet>
    </cfRule>
    <cfRule type="iconSet" priority="776">
      <iconSet>
        <cfvo type="percent" val="0"/>
        <cfvo type="num" val="95"/>
        <cfvo type="num" val="100"/>
      </iconSet>
    </cfRule>
    <cfRule type="iconSet" priority="775">
      <iconSet>
        <cfvo type="percent" val="0"/>
        <cfvo type="num" val="95"/>
        <cfvo type="num" val="100"/>
      </iconSet>
    </cfRule>
    <cfRule type="iconSet" priority="774">
      <iconSet>
        <cfvo type="percent" val="0"/>
        <cfvo type="num" val="70"/>
        <cfvo type="num" val="90"/>
      </iconSet>
    </cfRule>
    <cfRule type="iconSet" priority="773">
      <iconSet>
        <cfvo type="percent" val="0"/>
        <cfvo type="num" val="70"/>
        <cfvo type="num" val="90"/>
      </iconSet>
    </cfRule>
    <cfRule type="iconSet" priority="772">
      <iconSet>
        <cfvo type="percent" val="0"/>
        <cfvo type="num" val="95"/>
        <cfvo type="num" val="100"/>
      </iconSet>
    </cfRule>
  </conditionalFormatting>
  <conditionalFormatting sqref="U19">
    <cfRule type="iconSet" priority="930">
      <iconSet>
        <cfvo type="percent" val="0"/>
        <cfvo type="num" val="95"/>
        <cfvo type="num" val="100"/>
      </iconSet>
    </cfRule>
    <cfRule type="iconSet" priority="931">
      <iconSet>
        <cfvo type="percent" val="0"/>
        <cfvo type="num" val="95"/>
        <cfvo type="num" val="100"/>
      </iconSet>
    </cfRule>
    <cfRule type="iconSet" priority="932">
      <iconSet>
        <cfvo type="percent" val="0"/>
        <cfvo type="num" val="70"/>
        <cfvo type="num" val="90"/>
      </iconSet>
    </cfRule>
    <cfRule type="iconSet" priority="933">
      <iconSet>
        <cfvo type="percent" val="0"/>
        <cfvo type="num" val="70"/>
        <cfvo type="num" val="90"/>
      </iconSet>
    </cfRule>
    <cfRule type="iconSet" priority="934">
      <iconSet>
        <cfvo type="percent" val="0"/>
        <cfvo type="num" val="95"/>
        <cfvo type="num" val="100"/>
      </iconSet>
    </cfRule>
    <cfRule type="iconSet" priority="935">
      <iconSet>
        <cfvo type="percent" val="0"/>
        <cfvo type="num" val="95"/>
        <cfvo type="num" val="100"/>
      </iconSet>
    </cfRule>
    <cfRule type="iconSet" priority="923">
      <iconSet>
        <cfvo type="percent" val="0"/>
        <cfvo type="num" val="95"/>
        <cfvo type="num" val="100"/>
      </iconSet>
    </cfRule>
    <cfRule type="iconSet" priority="913">
      <iconSet>
        <cfvo type="percent" val="0"/>
        <cfvo type="num" val="70"/>
        <cfvo type="num" val="90"/>
      </iconSet>
    </cfRule>
    <cfRule type="iconSet" priority="912">
      <iconSet>
        <cfvo type="percent" val="0"/>
        <cfvo type="num" val="70"/>
        <cfvo type="num" val="90"/>
      </iconSet>
    </cfRule>
    <cfRule type="iconSet" priority="911">
      <iconSet>
        <cfvo type="percent" val="0"/>
        <cfvo type="num" val="95"/>
        <cfvo type="num" val="100"/>
      </iconSet>
    </cfRule>
    <cfRule type="iconSet" priority="910">
      <iconSet>
        <cfvo type="percent" val="0"/>
        <cfvo type="num" val="95"/>
        <cfvo type="num" val="100"/>
      </iconSet>
    </cfRule>
    <cfRule type="iconSet" priority="909">
      <iconSet>
        <cfvo type="percent" val="0"/>
        <cfvo type="num" val="70"/>
        <cfvo type="num" val="90"/>
      </iconSet>
    </cfRule>
    <cfRule type="iconSet" priority="908">
      <iconSet>
        <cfvo type="percent" val="0"/>
        <cfvo type="num" val="70"/>
        <cfvo type="num" val="90"/>
      </iconSet>
    </cfRule>
    <cfRule type="iconSet" priority="907">
      <iconSet>
        <cfvo type="percent" val="0"/>
        <cfvo type="num" val="95"/>
        <cfvo type="num" val="100"/>
      </iconSet>
    </cfRule>
    <cfRule type="iconSet" priority="915">
      <iconSet>
        <cfvo type="percent" val="0"/>
        <cfvo type="num" val="95"/>
        <cfvo type="num" val="100"/>
      </iconSet>
    </cfRule>
    <cfRule type="iconSet" priority="916">
      <iconSet>
        <cfvo type="percent" val="0"/>
        <cfvo type="num" val="70"/>
        <cfvo type="num" val="90"/>
      </iconSet>
    </cfRule>
    <cfRule type="iconSet" priority="917">
      <iconSet>
        <cfvo type="percent" val="0"/>
        <cfvo type="num" val="70"/>
        <cfvo type="num" val="90"/>
      </iconSet>
    </cfRule>
    <cfRule type="iconSet" priority="918">
      <iconSet>
        <cfvo type="percent" val="0"/>
        <cfvo type="num" val="95"/>
        <cfvo type="num" val="100"/>
      </iconSet>
    </cfRule>
    <cfRule type="iconSet" priority="919">
      <iconSet>
        <cfvo type="percent" val="0"/>
        <cfvo type="num" val="95"/>
        <cfvo type="num" val="100"/>
      </iconSet>
    </cfRule>
    <cfRule type="iconSet" priority="920">
      <iconSet>
        <cfvo type="percent" val="0"/>
        <cfvo type="num" val="70"/>
        <cfvo type="num" val="90"/>
      </iconSet>
    </cfRule>
    <cfRule type="iconSet" priority="914">
      <iconSet>
        <cfvo type="percent" val="0"/>
        <cfvo type="num" val="95"/>
        <cfvo type="num" val="100"/>
      </iconSet>
    </cfRule>
    <cfRule type="iconSet" priority="921">
      <iconSet>
        <cfvo type="percent" val="0"/>
        <cfvo type="num" val="70"/>
        <cfvo type="num" val="90"/>
      </iconSet>
    </cfRule>
    <cfRule type="iconSet" priority="922">
      <iconSet>
        <cfvo type="percent" val="0"/>
        <cfvo type="num" val="95"/>
        <cfvo type="num" val="100"/>
      </iconSet>
    </cfRule>
    <cfRule type="iconSet" priority="928">
      <iconSet>
        <cfvo type="percent" val="0"/>
        <cfvo type="num" val="70"/>
        <cfvo type="num" val="90"/>
      </iconSet>
    </cfRule>
    <cfRule type="iconSet" priority="924">
      <iconSet>
        <cfvo type="percent" val="0"/>
        <cfvo type="num" val="70"/>
        <cfvo type="num" val="90"/>
      </iconSet>
    </cfRule>
    <cfRule type="iconSet" priority="925">
      <iconSet>
        <cfvo type="percent" val="0"/>
        <cfvo type="num" val="70"/>
        <cfvo type="num" val="90"/>
      </iconSet>
    </cfRule>
    <cfRule type="iconSet" priority="926">
      <iconSet>
        <cfvo type="percent" val="0"/>
        <cfvo type="num" val="95"/>
        <cfvo type="num" val="100"/>
      </iconSet>
    </cfRule>
    <cfRule type="iconSet" priority="927">
      <iconSet>
        <cfvo type="percent" val="0"/>
        <cfvo type="num" val="95"/>
        <cfvo type="num" val="100"/>
      </iconSet>
    </cfRule>
    <cfRule type="iconSet" priority="929">
      <iconSet>
        <cfvo type="percent" val="0"/>
        <cfvo type="num" val="70"/>
        <cfvo type="num" val="90"/>
      </iconSet>
    </cfRule>
  </conditionalFormatting>
  <conditionalFormatting sqref="U20">
    <cfRule type="iconSet" priority="771">
      <iconSet>
        <cfvo type="percent" val="0"/>
        <cfvo type="num" val="95"/>
        <cfvo type="num" val="100"/>
      </iconSet>
    </cfRule>
    <cfRule type="iconSet" priority="770">
      <iconSet>
        <cfvo type="percent" val="0"/>
        <cfvo type="num" val="70"/>
        <cfvo type="num" val="90"/>
      </iconSet>
    </cfRule>
    <cfRule type="iconSet" priority="769">
      <iconSet>
        <cfvo type="percent" val="0"/>
        <cfvo type="num" val="70"/>
        <cfvo type="num" val="90"/>
      </iconSet>
    </cfRule>
    <cfRule type="iconSet" priority="768">
      <iconSet>
        <cfvo type="percent" val="0"/>
        <cfvo type="num" val="95"/>
        <cfvo type="num" val="100"/>
      </iconSet>
    </cfRule>
    <cfRule type="iconSet" priority="767">
      <iconSet>
        <cfvo type="percent" val="0"/>
        <cfvo type="num" val="95"/>
        <cfvo type="num" val="100"/>
      </iconSet>
    </cfRule>
    <cfRule type="iconSet" priority="766">
      <iconSet>
        <cfvo type="percent" val="0"/>
        <cfvo type="num" val="95"/>
        <cfvo type="num" val="100"/>
      </iconSet>
    </cfRule>
    <cfRule type="iconSet" priority="765">
      <iconSet>
        <cfvo type="percent" val="0"/>
        <cfvo type="num" val="70"/>
        <cfvo type="num" val="90"/>
      </iconSet>
    </cfRule>
    <cfRule type="iconSet" priority="764">
      <iconSet>
        <cfvo type="percent" val="0"/>
        <cfvo type="num" val="70"/>
        <cfvo type="num" val="90"/>
      </iconSet>
    </cfRule>
    <cfRule type="iconSet" priority="763">
      <iconSet>
        <cfvo type="percent" val="0"/>
        <cfvo type="num" val="95"/>
        <cfvo type="num" val="100"/>
      </iconSet>
    </cfRule>
  </conditionalFormatting>
  <conditionalFormatting sqref="U21">
    <cfRule type="iconSet" priority="761">
      <iconSet>
        <cfvo type="percent" val="0"/>
        <cfvo type="num" val="70"/>
        <cfvo type="num" val="90"/>
      </iconSet>
    </cfRule>
    <cfRule type="iconSet" priority="760">
      <iconSet>
        <cfvo type="percent" val="0"/>
        <cfvo type="num" val="70"/>
        <cfvo type="num" val="90"/>
      </iconSet>
    </cfRule>
    <cfRule type="iconSet" priority="759">
      <iconSet>
        <cfvo type="percent" val="0"/>
        <cfvo type="num" val="95"/>
        <cfvo type="num" val="100"/>
      </iconSet>
    </cfRule>
    <cfRule type="iconSet" priority="758">
      <iconSet>
        <cfvo type="percent" val="0"/>
        <cfvo type="num" val="95"/>
        <cfvo type="num" val="100"/>
      </iconSet>
    </cfRule>
    <cfRule type="iconSet" priority="757">
      <iconSet>
        <cfvo type="percent" val="0"/>
        <cfvo type="num" val="95"/>
        <cfvo type="num" val="100"/>
      </iconSet>
    </cfRule>
    <cfRule type="iconSet" priority="756">
      <iconSet>
        <cfvo type="percent" val="0"/>
        <cfvo type="num" val="70"/>
        <cfvo type="num" val="90"/>
      </iconSet>
    </cfRule>
    <cfRule type="iconSet" priority="755">
      <iconSet>
        <cfvo type="percent" val="0"/>
        <cfvo type="num" val="70"/>
        <cfvo type="num" val="90"/>
      </iconSet>
    </cfRule>
    <cfRule type="iconSet" priority="754">
      <iconSet>
        <cfvo type="percent" val="0"/>
        <cfvo type="num" val="95"/>
        <cfvo type="num" val="100"/>
      </iconSet>
    </cfRule>
    <cfRule type="iconSet" priority="762">
      <iconSet>
        <cfvo type="percent" val="0"/>
        <cfvo type="num" val="95"/>
        <cfvo type="num" val="100"/>
      </iconSet>
    </cfRule>
  </conditionalFormatting>
  <conditionalFormatting sqref="U22">
    <cfRule type="iconSet" priority="751">
      <iconSet>
        <cfvo type="percent" val="0"/>
        <cfvo type="num" val="70"/>
        <cfvo type="num" val="90"/>
      </iconSet>
    </cfRule>
    <cfRule type="iconSet" priority="746">
      <iconSet>
        <cfvo type="percent" val="0"/>
        <cfvo type="num" val="70"/>
        <cfvo type="num" val="90"/>
      </iconSet>
    </cfRule>
    <cfRule type="iconSet" priority="753">
      <iconSet>
        <cfvo type="percent" val="0"/>
        <cfvo type="num" val="95"/>
        <cfvo type="num" val="100"/>
      </iconSet>
    </cfRule>
    <cfRule type="iconSet" priority="752">
      <iconSet>
        <cfvo type="percent" val="0"/>
        <cfvo type="num" val="70"/>
        <cfvo type="num" val="90"/>
      </iconSet>
    </cfRule>
    <cfRule type="iconSet" priority="748">
      <iconSet>
        <cfvo type="percent" val="0"/>
        <cfvo type="num" val="95"/>
        <cfvo type="num" val="100"/>
      </iconSet>
    </cfRule>
    <cfRule type="iconSet" priority="750">
      <iconSet>
        <cfvo type="percent" val="0"/>
        <cfvo type="num" val="95"/>
        <cfvo type="num" val="100"/>
      </iconSet>
    </cfRule>
    <cfRule type="iconSet" priority="747">
      <iconSet>
        <cfvo type="percent" val="0"/>
        <cfvo type="num" val="70"/>
        <cfvo type="num" val="90"/>
      </iconSet>
    </cfRule>
    <cfRule type="iconSet" priority="745">
      <iconSet>
        <cfvo type="percent" val="0"/>
        <cfvo type="num" val="95"/>
        <cfvo type="num" val="100"/>
      </iconSet>
    </cfRule>
    <cfRule type="iconSet" priority="749">
      <iconSet>
        <cfvo type="percent" val="0"/>
        <cfvo type="num" val="95"/>
        <cfvo type="num" val="100"/>
      </iconSet>
    </cfRule>
  </conditionalFormatting>
  <conditionalFormatting sqref="U23">
    <cfRule type="iconSet" priority="740">
      <iconSet>
        <cfvo type="percent" val="0"/>
        <cfvo type="num" val="95"/>
        <cfvo type="num" val="100"/>
      </iconSet>
    </cfRule>
    <cfRule type="iconSet" priority="744">
      <iconSet>
        <cfvo type="percent" val="0"/>
        <cfvo type="num" val="95"/>
        <cfvo type="num" val="100"/>
      </iconSet>
    </cfRule>
    <cfRule type="iconSet" priority="743">
      <iconSet>
        <cfvo type="percent" val="0"/>
        <cfvo type="num" val="70"/>
        <cfvo type="num" val="90"/>
      </iconSet>
    </cfRule>
    <cfRule type="iconSet" priority="742">
      <iconSet>
        <cfvo type="percent" val="0"/>
        <cfvo type="num" val="70"/>
        <cfvo type="num" val="90"/>
      </iconSet>
    </cfRule>
    <cfRule type="iconSet" priority="741">
      <iconSet>
        <cfvo type="percent" val="0"/>
        <cfvo type="num" val="95"/>
        <cfvo type="num" val="100"/>
      </iconSet>
    </cfRule>
    <cfRule type="iconSet" priority="737">
      <iconSet>
        <cfvo type="percent" val="0"/>
        <cfvo type="num" val="70"/>
        <cfvo type="num" val="90"/>
      </iconSet>
    </cfRule>
    <cfRule type="iconSet" priority="738">
      <iconSet>
        <cfvo type="percent" val="0"/>
        <cfvo type="num" val="70"/>
        <cfvo type="num" val="90"/>
      </iconSet>
    </cfRule>
    <cfRule type="iconSet" priority="739">
      <iconSet>
        <cfvo type="percent" val="0"/>
        <cfvo type="num" val="95"/>
        <cfvo type="num" val="100"/>
      </iconSet>
    </cfRule>
    <cfRule type="iconSet" priority="736">
      <iconSet>
        <cfvo type="percent" val="0"/>
        <cfvo type="num" val="95"/>
        <cfvo type="num" val="100"/>
      </iconSet>
    </cfRule>
  </conditionalFormatting>
  <conditionalFormatting sqref="U24">
    <cfRule type="iconSet" priority="730">
      <iconSet>
        <cfvo type="percent" val="0"/>
        <cfvo type="num" val="95"/>
        <cfvo type="num" val="100"/>
      </iconSet>
    </cfRule>
    <cfRule type="iconSet" priority="731">
      <iconSet>
        <cfvo type="percent" val="0"/>
        <cfvo type="num" val="95"/>
        <cfvo type="num" val="100"/>
      </iconSet>
    </cfRule>
    <cfRule type="iconSet" priority="727">
      <iconSet>
        <cfvo type="percent" val="0"/>
        <cfvo type="num" val="95"/>
        <cfvo type="num" val="100"/>
      </iconSet>
    </cfRule>
    <cfRule type="iconSet" priority="728">
      <iconSet>
        <cfvo type="percent" val="0"/>
        <cfvo type="num" val="70"/>
        <cfvo type="num" val="90"/>
      </iconSet>
    </cfRule>
    <cfRule type="iconSet" priority="729">
      <iconSet>
        <cfvo type="percent" val="0"/>
        <cfvo type="num" val="70"/>
        <cfvo type="num" val="90"/>
      </iconSet>
    </cfRule>
    <cfRule type="iconSet" priority="732">
      <iconSet>
        <cfvo type="percent" val="0"/>
        <cfvo type="num" val="95"/>
        <cfvo type="num" val="100"/>
      </iconSet>
    </cfRule>
    <cfRule type="iconSet" priority="733">
      <iconSet>
        <cfvo type="percent" val="0"/>
        <cfvo type="num" val="70"/>
        <cfvo type="num" val="90"/>
      </iconSet>
    </cfRule>
    <cfRule type="iconSet" priority="734">
      <iconSet>
        <cfvo type="percent" val="0"/>
        <cfvo type="num" val="70"/>
        <cfvo type="num" val="90"/>
      </iconSet>
    </cfRule>
    <cfRule type="iconSet" priority="735">
      <iconSet>
        <cfvo type="percent" val="0"/>
        <cfvo type="num" val="95"/>
        <cfvo type="num" val="100"/>
      </iconSet>
    </cfRule>
  </conditionalFormatting>
  <conditionalFormatting sqref="U25">
    <cfRule type="iconSet" priority="906">
      <iconSet>
        <cfvo type="percent" val="0"/>
        <cfvo type="num" val="95"/>
        <cfvo type="num" val="100"/>
      </iconSet>
    </cfRule>
  </conditionalFormatting>
  <conditionalFormatting sqref="U26">
    <cfRule type="iconSet" priority="726">
      <iconSet>
        <cfvo type="percent" val="0"/>
        <cfvo type="num" val="95"/>
        <cfvo type="num" val="100"/>
      </iconSet>
    </cfRule>
    <cfRule type="iconSet" priority="721">
      <iconSet>
        <cfvo type="percent" val="0"/>
        <cfvo type="num" val="95"/>
        <cfvo type="num" val="100"/>
      </iconSet>
    </cfRule>
    <cfRule type="iconSet" priority="720">
      <iconSet>
        <cfvo type="percent" val="0"/>
        <cfvo type="num" val="70"/>
        <cfvo type="num" val="90"/>
      </iconSet>
    </cfRule>
    <cfRule type="iconSet" priority="722">
      <iconSet>
        <cfvo type="percent" val="0"/>
        <cfvo type="num" val="95"/>
        <cfvo type="num" val="100"/>
      </iconSet>
    </cfRule>
    <cfRule type="iconSet" priority="723">
      <iconSet>
        <cfvo type="percent" val="0"/>
        <cfvo type="num" val="95"/>
        <cfvo type="num" val="100"/>
      </iconSet>
    </cfRule>
    <cfRule type="iconSet" priority="724">
      <iconSet>
        <cfvo type="percent" val="0"/>
        <cfvo type="num" val="70"/>
        <cfvo type="num" val="90"/>
      </iconSet>
    </cfRule>
    <cfRule type="iconSet" priority="725">
      <iconSet>
        <cfvo type="percent" val="0"/>
        <cfvo type="num" val="70"/>
        <cfvo type="num" val="90"/>
      </iconSet>
    </cfRule>
    <cfRule type="iconSet" priority="718">
      <iconSet>
        <cfvo type="percent" val="0"/>
        <cfvo type="num" val="95"/>
        <cfvo type="num" val="100"/>
      </iconSet>
    </cfRule>
    <cfRule type="iconSet" priority="719">
      <iconSet>
        <cfvo type="percent" val="0"/>
        <cfvo type="num" val="70"/>
        <cfvo type="num" val="90"/>
      </iconSet>
    </cfRule>
  </conditionalFormatting>
  <conditionalFormatting sqref="U27">
    <cfRule type="iconSet" priority="940">
      <iconSet>
        <cfvo type="percent" val="0"/>
        <cfvo type="num" val="95"/>
        <cfvo type="num" val="100"/>
      </iconSet>
    </cfRule>
  </conditionalFormatting>
  <conditionalFormatting sqref="U28:U30">
    <cfRule type="iconSet" priority="710">
      <iconSet>
        <cfvo type="percent" val="0"/>
        <cfvo type="num" val="70"/>
        <cfvo type="num" val="90"/>
      </iconSet>
    </cfRule>
    <cfRule type="iconSet" priority="711">
      <iconSet>
        <cfvo type="percent" val="0"/>
        <cfvo type="num" val="70"/>
        <cfvo type="num" val="90"/>
      </iconSet>
    </cfRule>
    <cfRule type="iconSet" priority="713">
      <iconSet>
        <cfvo type="percent" val="0"/>
        <cfvo type="num" val="95"/>
        <cfvo type="num" val="100"/>
      </iconSet>
    </cfRule>
    <cfRule type="iconSet" priority="714">
      <iconSet>
        <cfvo type="percent" val="0"/>
        <cfvo type="num" val="95"/>
        <cfvo type="num" val="100"/>
      </iconSet>
    </cfRule>
    <cfRule type="iconSet" priority="716">
      <iconSet>
        <cfvo type="percent" val="0"/>
        <cfvo type="num" val="70"/>
        <cfvo type="num" val="90"/>
      </iconSet>
    </cfRule>
    <cfRule type="iconSet" priority="717">
      <iconSet>
        <cfvo type="percent" val="0"/>
        <cfvo type="num" val="95"/>
        <cfvo type="num" val="100"/>
      </iconSet>
    </cfRule>
    <cfRule type="iconSet" priority="709">
      <iconSet>
        <cfvo type="percent" val="0"/>
        <cfvo type="num" val="95"/>
        <cfvo type="num" val="100"/>
      </iconSet>
    </cfRule>
    <cfRule type="iconSet" priority="712">
      <iconSet>
        <cfvo type="percent" val="0"/>
        <cfvo type="num" val="95"/>
        <cfvo type="num" val="100"/>
      </iconSet>
    </cfRule>
    <cfRule type="iconSet" priority="715">
      <iconSet>
        <cfvo type="percent" val="0"/>
        <cfvo type="num" val="70"/>
        <cfvo type="num" val="90"/>
      </iconSet>
    </cfRule>
  </conditionalFormatting>
  <conditionalFormatting sqref="U31:U33">
    <cfRule type="iconSet" priority="703">
      <iconSet>
        <cfvo type="percent" val="0"/>
        <cfvo type="num" val="95"/>
        <cfvo type="num" val="100"/>
      </iconSet>
    </cfRule>
    <cfRule type="iconSet" priority="701">
      <iconSet>
        <cfvo type="percent" val="0"/>
        <cfvo type="num" val="70"/>
        <cfvo type="num" val="90"/>
      </iconSet>
    </cfRule>
    <cfRule type="iconSet" priority="702">
      <iconSet>
        <cfvo type="percent" val="0"/>
        <cfvo type="num" val="70"/>
        <cfvo type="num" val="90"/>
      </iconSet>
    </cfRule>
    <cfRule type="iconSet" priority="704">
      <iconSet>
        <cfvo type="percent" val="0"/>
        <cfvo type="num" val="95"/>
        <cfvo type="num" val="100"/>
      </iconSet>
    </cfRule>
    <cfRule type="iconSet" priority="705">
      <iconSet>
        <cfvo type="percent" val="0"/>
        <cfvo type="num" val="95"/>
        <cfvo type="num" val="100"/>
      </iconSet>
    </cfRule>
    <cfRule type="iconSet" priority="706">
      <iconSet>
        <cfvo type="percent" val="0"/>
        <cfvo type="num" val="70"/>
        <cfvo type="num" val="90"/>
      </iconSet>
    </cfRule>
    <cfRule type="iconSet" priority="707">
      <iconSet>
        <cfvo type="percent" val="0"/>
        <cfvo type="num" val="70"/>
        <cfvo type="num" val="90"/>
      </iconSet>
    </cfRule>
    <cfRule type="iconSet" priority="708">
      <iconSet>
        <cfvo type="percent" val="0"/>
        <cfvo type="num" val="95"/>
        <cfvo type="num" val="100"/>
      </iconSet>
    </cfRule>
    <cfRule type="iconSet" priority="700">
      <iconSet>
        <cfvo type="percent" val="0"/>
        <cfvo type="num" val="95"/>
        <cfvo type="num" val="100"/>
      </iconSet>
    </cfRule>
  </conditionalFormatting>
  <conditionalFormatting sqref="U34">
    <cfRule type="iconSet" priority="844">
      <iconSet>
        <cfvo type="percent" val="0"/>
        <cfvo type="num" val="95"/>
        <cfvo type="num" val="100"/>
      </iconSet>
    </cfRule>
  </conditionalFormatting>
  <conditionalFormatting sqref="U35:U36">
    <cfRule type="iconSet" priority="699">
      <iconSet>
        <cfvo type="percent" val="0"/>
        <cfvo type="num" val="95"/>
        <cfvo type="num" val="100"/>
      </iconSet>
    </cfRule>
    <cfRule type="iconSet" priority="691">
      <iconSet>
        <cfvo type="percent" val="0"/>
        <cfvo type="num" val="95"/>
        <cfvo type="num" val="100"/>
      </iconSet>
    </cfRule>
    <cfRule type="iconSet" priority="692">
      <iconSet>
        <cfvo type="percent" val="0"/>
        <cfvo type="num" val="70"/>
        <cfvo type="num" val="90"/>
      </iconSet>
    </cfRule>
    <cfRule type="iconSet" priority="693">
      <iconSet>
        <cfvo type="percent" val="0"/>
        <cfvo type="num" val="70"/>
        <cfvo type="num" val="90"/>
      </iconSet>
    </cfRule>
    <cfRule type="iconSet" priority="694">
      <iconSet>
        <cfvo type="percent" val="0"/>
        <cfvo type="num" val="95"/>
        <cfvo type="num" val="100"/>
      </iconSet>
    </cfRule>
    <cfRule type="iconSet" priority="695">
      <iconSet>
        <cfvo type="percent" val="0"/>
        <cfvo type="num" val="95"/>
        <cfvo type="num" val="100"/>
      </iconSet>
    </cfRule>
    <cfRule type="iconSet" priority="696">
      <iconSet>
        <cfvo type="percent" val="0"/>
        <cfvo type="num" val="95"/>
        <cfvo type="num" val="100"/>
      </iconSet>
    </cfRule>
    <cfRule type="iconSet" priority="697">
      <iconSet>
        <cfvo type="percent" val="0"/>
        <cfvo type="num" val="70"/>
        <cfvo type="num" val="90"/>
      </iconSet>
    </cfRule>
    <cfRule type="iconSet" priority="698">
      <iconSet>
        <cfvo type="percent" val="0"/>
        <cfvo type="num" val="70"/>
        <cfvo type="num" val="90"/>
      </iconSet>
    </cfRule>
  </conditionalFormatting>
  <conditionalFormatting sqref="U37">
    <cfRule type="iconSet" priority="967">
      <iconSet>
        <cfvo type="percent" val="0"/>
        <cfvo type="num" val="70"/>
        <cfvo type="num" val="90"/>
      </iconSet>
    </cfRule>
    <cfRule type="iconSet" priority="966">
      <iconSet>
        <cfvo type="percent" val="0"/>
        <cfvo type="num" val="70"/>
        <cfvo type="num" val="90"/>
      </iconSet>
    </cfRule>
    <cfRule type="iconSet" priority="965">
      <iconSet>
        <cfvo type="percent" val="0"/>
        <cfvo type="num" val="95"/>
        <cfvo type="num" val="100"/>
      </iconSet>
    </cfRule>
    <cfRule type="iconSet" priority="968">
      <iconSet>
        <cfvo type="percent" val="0"/>
        <cfvo type="num" val="95"/>
        <cfvo type="num" val="100"/>
      </iconSet>
    </cfRule>
  </conditionalFormatting>
  <conditionalFormatting sqref="U37:U38">
    <cfRule type="iconSet" priority="960">
      <iconSet>
        <cfvo type="percent" val="0"/>
        <cfvo type="num" val="95"/>
        <cfvo type="num" val="100"/>
      </iconSet>
    </cfRule>
    <cfRule type="iconSet" priority="958">
      <iconSet>
        <cfvo type="percent" val="0"/>
        <cfvo type="num" val="70"/>
        <cfvo type="num" val="90"/>
      </iconSet>
    </cfRule>
    <cfRule type="iconSet" priority="957">
      <iconSet>
        <cfvo type="percent" val="0"/>
        <cfvo type="num" val="95"/>
        <cfvo type="num" val="100"/>
      </iconSet>
    </cfRule>
    <cfRule type="iconSet" priority="956">
      <iconSet>
        <cfvo type="percent" val="0"/>
        <cfvo type="num" val="95"/>
        <cfvo type="num" val="100"/>
      </iconSet>
    </cfRule>
    <cfRule type="iconSet" priority="955">
      <iconSet>
        <cfvo type="percent" val="0"/>
        <cfvo type="num" val="70"/>
        <cfvo type="num" val="90"/>
      </iconSet>
    </cfRule>
    <cfRule type="iconSet" priority="959">
      <iconSet>
        <cfvo type="percent" val="0"/>
        <cfvo type="num" val="70"/>
        <cfvo type="num" val="90"/>
      </iconSet>
    </cfRule>
    <cfRule type="iconSet" priority="954">
      <iconSet>
        <cfvo type="percent" val="0"/>
        <cfvo type="num" val="70"/>
        <cfvo type="num" val="90"/>
      </iconSet>
    </cfRule>
    <cfRule type="iconSet" priority="953">
      <iconSet>
        <cfvo type="percent" val="0"/>
        <cfvo type="num" val="95"/>
        <cfvo type="num" val="100"/>
      </iconSet>
    </cfRule>
  </conditionalFormatting>
  <conditionalFormatting sqref="U37:U39">
    <cfRule type="iconSet" priority="973">
      <iconSet>
        <cfvo type="percent" val="0"/>
        <cfvo type="num" val="95"/>
        <cfvo type="num" val="100"/>
      </iconSet>
    </cfRule>
  </conditionalFormatting>
  <conditionalFormatting sqref="U38">
    <cfRule type="iconSet" priority="949">
      <iconSet>
        <cfvo type="percent" val="0"/>
        <cfvo type="num" val="95"/>
        <cfvo type="num" val="100"/>
      </iconSet>
    </cfRule>
    <cfRule type="iconSet" priority="950">
      <iconSet>
        <cfvo type="percent" val="0"/>
        <cfvo type="num" val="70"/>
        <cfvo type="num" val="90"/>
      </iconSet>
    </cfRule>
    <cfRule type="iconSet" priority="951">
      <iconSet>
        <cfvo type="percent" val="0"/>
        <cfvo type="num" val="70"/>
        <cfvo type="num" val="90"/>
      </iconSet>
    </cfRule>
    <cfRule type="iconSet" priority="952">
      <iconSet>
        <cfvo type="percent" val="0"/>
        <cfvo type="num" val="95"/>
        <cfvo type="num" val="100"/>
      </iconSet>
    </cfRule>
    <cfRule type="iconSet" priority="961">
      <iconSet>
        <cfvo type="percent" val="0"/>
        <cfvo type="num" val="95"/>
        <cfvo type="num" val="100"/>
      </iconSet>
    </cfRule>
    <cfRule type="iconSet" priority="962">
      <iconSet>
        <cfvo type="percent" val="0"/>
        <cfvo type="num" val="70"/>
        <cfvo type="num" val="90"/>
      </iconSet>
    </cfRule>
    <cfRule type="iconSet" priority="963">
      <iconSet>
        <cfvo type="percent" val="0"/>
        <cfvo type="num" val="70"/>
        <cfvo type="num" val="90"/>
      </iconSet>
    </cfRule>
    <cfRule type="iconSet" priority="964">
      <iconSet>
        <cfvo type="percent" val="0"/>
        <cfvo type="num" val="95"/>
        <cfvo type="num" val="100"/>
      </iconSet>
    </cfRule>
    <cfRule type="iconSet" priority="947">
      <iconSet>
        <cfvo type="percent" val="0"/>
        <cfvo type="num" val="70"/>
        <cfvo type="num" val="90"/>
      </iconSet>
    </cfRule>
    <cfRule type="iconSet" priority="846">
      <iconSet>
        <cfvo type="percent" val="0"/>
        <cfvo type="num" val="95"/>
        <cfvo type="num" val="100"/>
      </iconSet>
    </cfRule>
    <cfRule type="iconSet" priority="847">
      <iconSet>
        <cfvo type="percent" val="0"/>
        <cfvo type="num" val="70"/>
        <cfvo type="num" val="90"/>
      </iconSet>
    </cfRule>
    <cfRule type="iconSet" priority="848">
      <iconSet>
        <cfvo type="percent" val="0"/>
        <cfvo type="num" val="70"/>
        <cfvo type="num" val="90"/>
      </iconSet>
    </cfRule>
    <cfRule type="iconSet" priority="849">
      <iconSet>
        <cfvo type="percent" val="0"/>
        <cfvo type="num" val="95"/>
        <cfvo type="num" val="100"/>
      </iconSet>
    </cfRule>
    <cfRule type="iconSet" priority="936">
      <iconSet>
        <cfvo type="percent" val="0"/>
        <cfvo type="num" val="95"/>
        <cfvo type="num" val="100"/>
      </iconSet>
    </cfRule>
    <cfRule type="iconSet" priority="937">
      <iconSet>
        <cfvo type="percent" val="0"/>
        <cfvo type="num" val="70"/>
        <cfvo type="num" val="90"/>
      </iconSet>
    </cfRule>
    <cfRule type="iconSet" priority="938">
      <iconSet>
        <cfvo type="percent" val="0"/>
        <cfvo type="num" val="70"/>
        <cfvo type="num" val="90"/>
      </iconSet>
    </cfRule>
    <cfRule type="iconSet" priority="939">
      <iconSet>
        <cfvo type="percent" val="0"/>
        <cfvo type="num" val="95"/>
        <cfvo type="num" val="100"/>
      </iconSet>
    </cfRule>
    <cfRule type="iconSet" priority="941">
      <iconSet>
        <cfvo type="percent" val="0"/>
        <cfvo type="num" val="95"/>
        <cfvo type="num" val="100"/>
      </iconSet>
    </cfRule>
    <cfRule type="iconSet" priority="942">
      <iconSet>
        <cfvo type="percent" val="0"/>
        <cfvo type="num" val="70"/>
        <cfvo type="num" val="90"/>
      </iconSet>
    </cfRule>
    <cfRule type="iconSet" priority="943">
      <iconSet>
        <cfvo type="percent" val="0"/>
        <cfvo type="num" val="70"/>
        <cfvo type="num" val="90"/>
      </iconSet>
    </cfRule>
    <cfRule type="iconSet" priority="944">
      <iconSet>
        <cfvo type="percent" val="0"/>
        <cfvo type="num" val="95"/>
        <cfvo type="num" val="100"/>
      </iconSet>
    </cfRule>
    <cfRule type="iconSet" priority="945">
      <iconSet>
        <cfvo type="percent" val="0"/>
        <cfvo type="num" val="95"/>
        <cfvo type="num" val="100"/>
      </iconSet>
    </cfRule>
    <cfRule type="iconSet" priority="946">
      <iconSet>
        <cfvo type="percent" val="0"/>
        <cfvo type="num" val="70"/>
        <cfvo type="num" val="90"/>
      </iconSet>
    </cfRule>
    <cfRule type="iconSet" priority="948">
      <iconSet>
        <cfvo type="percent" val="0"/>
        <cfvo type="num" val="95"/>
        <cfvo type="num" val="100"/>
      </iconSet>
    </cfRule>
  </conditionalFormatting>
  <conditionalFormatting sqref="U39">
    <cfRule type="iconSet" priority="898">
      <iconSet>
        <cfvo type="percent" val="0"/>
        <cfvo type="num" val="95"/>
        <cfvo type="num" val="100"/>
      </iconSet>
    </cfRule>
    <cfRule type="iconSet" priority="882">
      <iconSet>
        <cfvo type="percent" val="0"/>
        <cfvo type="num" val="95"/>
        <cfvo type="num" val="100"/>
      </iconSet>
    </cfRule>
    <cfRule type="iconSet" priority="883">
      <iconSet>
        <cfvo type="percent" val="0"/>
        <cfvo type="num" val="70"/>
        <cfvo type="num" val="90"/>
      </iconSet>
    </cfRule>
    <cfRule type="iconSet" priority="884">
      <iconSet>
        <cfvo type="percent" val="0"/>
        <cfvo type="num" val="70"/>
        <cfvo type="num" val="90"/>
      </iconSet>
    </cfRule>
    <cfRule type="iconSet" priority="885">
      <iconSet>
        <cfvo type="percent" val="0"/>
        <cfvo type="num" val="95"/>
        <cfvo type="num" val="100"/>
      </iconSet>
    </cfRule>
    <cfRule type="iconSet" priority="886">
      <iconSet>
        <cfvo type="percent" val="0"/>
        <cfvo type="num" val="95"/>
        <cfvo type="num" val="100"/>
      </iconSet>
    </cfRule>
    <cfRule type="iconSet" priority="887">
      <iconSet>
        <cfvo type="percent" val="0"/>
        <cfvo type="num" val="70"/>
        <cfvo type="num" val="90"/>
      </iconSet>
    </cfRule>
    <cfRule type="iconSet" priority="888">
      <iconSet>
        <cfvo type="percent" val="0"/>
        <cfvo type="num" val="70"/>
        <cfvo type="num" val="90"/>
      </iconSet>
    </cfRule>
    <cfRule type="iconSet" priority="889">
      <iconSet>
        <cfvo type="percent" val="0"/>
        <cfvo type="num" val="95"/>
        <cfvo type="num" val="100"/>
      </iconSet>
    </cfRule>
    <cfRule type="iconSet" priority="890">
      <iconSet>
        <cfvo type="percent" val="0"/>
        <cfvo type="num" val="95"/>
        <cfvo type="num" val="100"/>
      </iconSet>
    </cfRule>
    <cfRule type="iconSet" priority="891">
      <iconSet>
        <cfvo type="percent" val="0"/>
        <cfvo type="num" val="70"/>
        <cfvo type="num" val="90"/>
      </iconSet>
    </cfRule>
    <cfRule type="iconSet" priority="892">
      <iconSet>
        <cfvo type="percent" val="0"/>
        <cfvo type="num" val="70"/>
        <cfvo type="num" val="90"/>
      </iconSet>
    </cfRule>
    <cfRule type="iconSet" priority="893">
      <iconSet>
        <cfvo type="percent" val="0"/>
        <cfvo type="num" val="95"/>
        <cfvo type="num" val="100"/>
      </iconSet>
    </cfRule>
    <cfRule type="iconSet" priority="894">
      <iconSet>
        <cfvo type="percent" val="0"/>
        <cfvo type="num" val="95"/>
        <cfvo type="num" val="100"/>
      </iconSet>
    </cfRule>
    <cfRule type="iconSet" priority="895">
      <iconSet>
        <cfvo type="percent" val="0"/>
        <cfvo type="num" val="70"/>
        <cfvo type="num" val="90"/>
      </iconSet>
    </cfRule>
    <cfRule type="iconSet" priority="969">
      <iconSet>
        <cfvo type="percent" val="0"/>
        <cfvo type="num" val="70"/>
        <cfvo type="num" val="90"/>
      </iconSet>
    </cfRule>
    <cfRule type="iconSet" priority="897">
      <iconSet>
        <cfvo type="percent" val="0"/>
        <cfvo type="num" val="95"/>
        <cfvo type="num" val="100"/>
      </iconSet>
    </cfRule>
    <cfRule type="iconSet" priority="970">
      <iconSet>
        <cfvo type="percent" val="0"/>
        <cfvo type="num" val="95"/>
        <cfvo type="num" val="100"/>
      </iconSet>
    </cfRule>
    <cfRule type="iconSet" priority="899">
      <iconSet>
        <cfvo type="percent" val="0"/>
        <cfvo type="num" val="70"/>
        <cfvo type="num" val="90"/>
      </iconSet>
    </cfRule>
    <cfRule type="iconSet" priority="900">
      <iconSet>
        <cfvo type="percent" val="0"/>
        <cfvo type="num" val="70"/>
        <cfvo type="num" val="90"/>
      </iconSet>
    </cfRule>
    <cfRule type="iconSet" priority="901">
      <iconSet>
        <cfvo type="percent" val="0"/>
        <cfvo type="num" val="95"/>
        <cfvo type="num" val="100"/>
      </iconSet>
    </cfRule>
    <cfRule type="iconSet" priority="902">
      <iconSet>
        <cfvo type="percent" val="0"/>
        <cfvo type="num" val="95"/>
        <cfvo type="num" val="100"/>
      </iconSet>
    </cfRule>
    <cfRule type="iconSet" priority="896">
      <iconSet>
        <cfvo type="percent" val="0"/>
        <cfvo type="num" val="70"/>
        <cfvo type="num" val="90"/>
      </iconSet>
    </cfRule>
    <cfRule type="iconSet" priority="903">
      <iconSet>
        <cfvo type="percent" val="0"/>
        <cfvo type="num" val="70"/>
        <cfvo type="num" val="90"/>
      </iconSet>
    </cfRule>
    <cfRule type="iconSet" priority="904">
      <iconSet>
        <cfvo type="percent" val="0"/>
        <cfvo type="num" val="70"/>
        <cfvo type="num" val="90"/>
      </iconSet>
    </cfRule>
    <cfRule type="iconSet" priority="905">
      <iconSet>
        <cfvo type="percent" val="0"/>
        <cfvo type="num" val="95"/>
        <cfvo type="num" val="100"/>
      </iconSet>
    </cfRule>
    <cfRule type="iconSet" priority="878">
      <iconSet>
        <cfvo type="percent" val="0"/>
        <cfvo type="num" val="95"/>
        <cfvo type="num" val="100"/>
      </iconSet>
    </cfRule>
    <cfRule type="iconSet" priority="879">
      <iconSet>
        <cfvo type="percent" val="0"/>
        <cfvo type="num" val="70"/>
        <cfvo type="num" val="90"/>
      </iconSet>
    </cfRule>
    <cfRule type="iconSet" priority="880">
      <iconSet>
        <cfvo type="percent" val="0"/>
        <cfvo type="num" val="70"/>
        <cfvo type="num" val="90"/>
      </iconSet>
    </cfRule>
    <cfRule type="iconSet" priority="881">
      <iconSet>
        <cfvo type="percent" val="0"/>
        <cfvo type="num" val="95"/>
        <cfvo type="num" val="100"/>
      </iconSet>
    </cfRule>
  </conditionalFormatting>
  <conditionalFormatting sqref="U40">
    <cfRule type="iconSet" priority="594">
      <iconSet>
        <cfvo type="percent" val="0"/>
        <cfvo type="num" val="95"/>
        <cfvo type="num" val="100"/>
      </iconSet>
    </cfRule>
    <cfRule type="iconSet" priority="593">
      <iconSet>
        <cfvo type="percent" val="0"/>
        <cfvo type="num" val="70"/>
        <cfvo type="num" val="90"/>
      </iconSet>
    </cfRule>
    <cfRule type="iconSet" priority="592">
      <iconSet>
        <cfvo type="percent" val="0"/>
        <cfvo type="num" val="70"/>
        <cfvo type="num" val="90"/>
      </iconSet>
    </cfRule>
    <cfRule type="iconSet" priority="591">
      <iconSet>
        <cfvo type="percent" val="0"/>
        <cfvo type="num" val="95"/>
        <cfvo type="num" val="100"/>
      </iconSet>
    </cfRule>
    <cfRule type="iconSet" priority="590">
      <iconSet>
        <cfvo type="percent" val="0"/>
        <cfvo type="num" val="95"/>
        <cfvo type="num" val="100"/>
      </iconSet>
    </cfRule>
    <cfRule type="iconSet" priority="589">
      <iconSet>
        <cfvo type="percent" val="0"/>
        <cfvo type="num" val="70"/>
        <cfvo type="num" val="90"/>
      </iconSet>
    </cfRule>
    <cfRule type="iconSet" priority="588">
      <iconSet>
        <cfvo type="percent" val="0"/>
        <cfvo type="num" val="70"/>
        <cfvo type="num" val="90"/>
      </iconSet>
    </cfRule>
    <cfRule type="iconSet" priority="587">
      <iconSet>
        <cfvo type="percent" val="0"/>
        <cfvo type="num" val="95"/>
        <cfvo type="num" val="100"/>
      </iconSet>
    </cfRule>
    <cfRule type="iconSet" priority="611">
      <iconSet>
        <cfvo type="percent" val="0"/>
        <cfvo type="num" val="95"/>
        <cfvo type="num" val="100"/>
      </iconSet>
    </cfRule>
    <cfRule type="iconSet" priority="608">
      <iconSet>
        <cfvo type="percent" val="0"/>
        <cfvo type="num" val="70"/>
        <cfvo type="num" val="90"/>
      </iconSet>
    </cfRule>
    <cfRule type="iconSet" priority="610">
      <iconSet>
        <cfvo type="percent" val="0"/>
        <cfvo type="num" val="95"/>
        <cfvo type="num" val="100"/>
      </iconSet>
    </cfRule>
    <cfRule type="iconSet" priority="609">
      <iconSet>
        <cfvo type="percent" val="0"/>
        <cfvo type="num" val="70"/>
        <cfvo type="num" val="90"/>
      </iconSet>
    </cfRule>
    <cfRule type="iconSet" priority="595">
      <iconSet>
        <cfvo type="percent" val="0"/>
        <cfvo type="num" val="95"/>
        <cfvo type="num" val="100"/>
      </iconSet>
    </cfRule>
    <cfRule type="iconSet" priority="607">
      <iconSet>
        <cfvo type="percent" val="0"/>
        <cfvo type="num" val="95"/>
        <cfvo type="num" val="100"/>
      </iconSet>
    </cfRule>
    <cfRule type="iconSet" priority="605">
      <iconSet>
        <cfvo type="percent" val="0"/>
        <cfvo type="num" val="70"/>
        <cfvo type="num" val="90"/>
      </iconSet>
    </cfRule>
    <cfRule type="iconSet" priority="604">
      <iconSet>
        <cfvo type="percent" val="0"/>
        <cfvo type="num" val="70"/>
        <cfvo type="num" val="90"/>
      </iconSet>
    </cfRule>
    <cfRule type="iconSet" priority="603">
      <iconSet>
        <cfvo type="percent" val="0"/>
        <cfvo type="num" val="95"/>
        <cfvo type="num" val="100"/>
      </iconSet>
    </cfRule>
    <cfRule type="iconSet" priority="602">
      <iconSet>
        <cfvo type="percent" val="0"/>
        <cfvo type="num" val="95"/>
        <cfvo type="num" val="100"/>
      </iconSet>
    </cfRule>
    <cfRule type="iconSet" priority="601">
      <iconSet>
        <cfvo type="percent" val="0"/>
        <cfvo type="num" val="70"/>
        <cfvo type="num" val="90"/>
      </iconSet>
    </cfRule>
    <cfRule type="iconSet" priority="600">
      <iconSet>
        <cfvo type="percent" val="0"/>
        <cfvo type="num" val="70"/>
        <cfvo type="num" val="90"/>
      </iconSet>
    </cfRule>
    <cfRule type="iconSet" priority="599">
      <iconSet>
        <cfvo type="percent" val="0"/>
        <cfvo type="num" val="95"/>
        <cfvo type="num" val="100"/>
      </iconSet>
    </cfRule>
    <cfRule type="iconSet" priority="616">
      <iconSet>
        <cfvo type="percent" val="0"/>
        <cfvo type="num" val="95"/>
        <cfvo type="num" val="100"/>
      </iconSet>
    </cfRule>
    <cfRule type="iconSet" priority="615">
      <iconSet>
        <cfvo type="percent" val="0"/>
        <cfvo type="num" val="70"/>
        <cfvo type="num" val="90"/>
      </iconSet>
    </cfRule>
    <cfRule type="iconSet" priority="614">
      <iconSet>
        <cfvo type="percent" val="0"/>
        <cfvo type="num" val="95"/>
        <cfvo type="num" val="100"/>
      </iconSet>
    </cfRule>
    <cfRule type="iconSet" priority="617">
      <iconSet>
        <cfvo type="percent" val="0"/>
        <cfvo type="num" val="95"/>
        <cfvo type="num" val="100"/>
      </iconSet>
    </cfRule>
    <cfRule type="iconSet" priority="606">
      <iconSet>
        <cfvo type="percent" val="0"/>
        <cfvo type="num" val="95"/>
        <cfvo type="num" val="100"/>
      </iconSet>
    </cfRule>
    <cfRule type="iconSet" priority="598">
      <iconSet>
        <cfvo type="percent" val="0"/>
        <cfvo type="num" val="95"/>
        <cfvo type="num" val="100"/>
      </iconSet>
    </cfRule>
    <cfRule type="iconSet" priority="597">
      <iconSet>
        <cfvo type="percent" val="0"/>
        <cfvo type="num" val="70"/>
        <cfvo type="num" val="90"/>
      </iconSet>
    </cfRule>
    <cfRule type="iconSet" priority="596">
      <iconSet>
        <cfvo type="percent" val="0"/>
        <cfvo type="num" val="70"/>
        <cfvo type="num" val="90"/>
      </iconSet>
    </cfRule>
    <cfRule type="iconSet" priority="613">
      <iconSet>
        <cfvo type="percent" val="0"/>
        <cfvo type="num" val="70"/>
        <cfvo type="num" val="90"/>
      </iconSet>
    </cfRule>
    <cfRule type="iconSet" priority="612">
      <iconSet>
        <cfvo type="percent" val="0"/>
        <cfvo type="num" val="70"/>
        <cfvo type="num" val="90"/>
      </iconSet>
    </cfRule>
  </conditionalFormatting>
  <conditionalFormatting sqref="U41">
    <cfRule type="iconSet" priority="845">
      <iconSet>
        <cfvo type="percent" val="0"/>
        <cfvo type="num" val="95"/>
        <cfvo type="num" val="100"/>
      </iconSet>
    </cfRule>
  </conditionalFormatting>
  <conditionalFormatting sqref="AA8">
    <cfRule type="iconSet" priority="483">
      <iconSet>
        <cfvo type="percent" val="0"/>
        <cfvo type="num" val="95"/>
        <cfvo type="num" val="100"/>
      </iconSet>
    </cfRule>
    <cfRule type="iconSet" priority="481">
      <iconSet>
        <cfvo type="percent" val="0"/>
        <cfvo type="num" val="95"/>
        <cfvo type="num" val="100"/>
      </iconSet>
    </cfRule>
    <cfRule type="iconSet" priority="484">
      <iconSet>
        <cfvo type="percent" val="0"/>
        <cfvo type="num" val="70"/>
        <cfvo type="num" val="90"/>
      </iconSet>
    </cfRule>
    <cfRule type="iconSet" priority="480">
      <iconSet>
        <cfvo type="percent" val="0"/>
        <cfvo type="num" val="70"/>
        <cfvo type="num" val="90"/>
      </iconSet>
    </cfRule>
    <cfRule type="iconSet" priority="485">
      <iconSet>
        <cfvo type="percent" val="0"/>
        <cfvo type="num" val="70"/>
        <cfvo type="num" val="90"/>
      </iconSet>
    </cfRule>
    <cfRule type="iconSet" priority="482">
      <iconSet>
        <cfvo type="percent" val="0"/>
        <cfvo type="num" val="95"/>
        <cfvo type="num" val="100"/>
      </iconSet>
    </cfRule>
    <cfRule type="iconSet" priority="479">
      <iconSet>
        <cfvo type="percent" val="0"/>
        <cfvo type="num" val="70"/>
        <cfvo type="num" val="90"/>
      </iconSet>
    </cfRule>
    <cfRule type="iconSet" priority="478">
      <iconSet>
        <cfvo type="percent" val="0"/>
        <cfvo type="num" val="95"/>
        <cfvo type="num" val="100"/>
      </iconSet>
    </cfRule>
    <cfRule type="iconSet" priority="486">
      <iconSet>
        <cfvo type="percent" val="0"/>
        <cfvo type="num" val="95"/>
        <cfvo type="num" val="100"/>
      </iconSet>
    </cfRule>
  </conditionalFormatting>
  <conditionalFormatting sqref="AA9">
    <cfRule type="iconSet" priority="333">
      <iconSet>
        <cfvo type="percent" val="0"/>
        <cfvo type="num" val="95"/>
        <cfvo type="num" val="100"/>
      </iconSet>
    </cfRule>
    <cfRule type="iconSet" priority="330">
      <iconSet>
        <cfvo type="percent" val="0"/>
        <cfvo type="num" val="95"/>
        <cfvo type="num" val="100"/>
      </iconSet>
    </cfRule>
    <cfRule type="iconSet" priority="331">
      <iconSet>
        <cfvo type="percent" val="0"/>
        <cfvo type="num" val="70"/>
        <cfvo type="num" val="90"/>
      </iconSet>
    </cfRule>
    <cfRule type="iconSet" priority="332">
      <iconSet>
        <cfvo type="percent" val="0"/>
        <cfvo type="num" val="70"/>
        <cfvo type="num" val="90"/>
      </iconSet>
    </cfRule>
    <cfRule type="iconSet" priority="325">
      <iconSet>
        <cfvo type="percent" val="0"/>
        <cfvo type="num" val="95"/>
        <cfvo type="num" val="100"/>
      </iconSet>
    </cfRule>
    <cfRule type="iconSet" priority="326">
      <iconSet>
        <cfvo type="percent" val="0"/>
        <cfvo type="num" val="70"/>
        <cfvo type="num" val="90"/>
      </iconSet>
    </cfRule>
    <cfRule type="iconSet" priority="327">
      <iconSet>
        <cfvo type="percent" val="0"/>
        <cfvo type="num" val="70"/>
        <cfvo type="num" val="90"/>
      </iconSet>
    </cfRule>
    <cfRule type="iconSet" priority="328">
      <iconSet>
        <cfvo type="percent" val="0"/>
        <cfvo type="num" val="95"/>
        <cfvo type="num" val="100"/>
      </iconSet>
    </cfRule>
    <cfRule type="iconSet" priority="329">
      <iconSet>
        <cfvo type="percent" val="0"/>
        <cfvo type="num" val="95"/>
        <cfvo type="num" val="100"/>
      </iconSet>
    </cfRule>
  </conditionalFormatting>
  <conditionalFormatting sqref="AA10">
    <cfRule type="iconSet" priority="470">
      <iconSet>
        <cfvo type="percent" val="0"/>
        <cfvo type="num" val="70"/>
        <cfvo type="num" val="90"/>
      </iconSet>
    </cfRule>
    <cfRule type="iconSet" priority="471">
      <iconSet>
        <cfvo type="percent" val="0"/>
        <cfvo type="num" val="70"/>
        <cfvo type="num" val="90"/>
      </iconSet>
    </cfRule>
    <cfRule type="iconSet" priority="472">
      <iconSet>
        <cfvo type="percent" val="0"/>
        <cfvo type="num" val="95"/>
        <cfvo type="num" val="100"/>
      </iconSet>
    </cfRule>
    <cfRule type="iconSet" priority="473">
      <iconSet>
        <cfvo type="percent" val="0"/>
        <cfvo type="num" val="95"/>
        <cfvo type="num" val="100"/>
      </iconSet>
    </cfRule>
    <cfRule type="iconSet" priority="476">
      <iconSet>
        <cfvo type="percent" val="0"/>
        <cfvo type="num" val="70"/>
        <cfvo type="num" val="90"/>
      </iconSet>
    </cfRule>
    <cfRule type="iconSet" priority="477">
      <iconSet>
        <cfvo type="percent" val="0"/>
        <cfvo type="num" val="95"/>
        <cfvo type="num" val="100"/>
      </iconSet>
    </cfRule>
    <cfRule type="iconSet" priority="469">
      <iconSet>
        <cfvo type="percent" val="0"/>
        <cfvo type="num" val="95"/>
        <cfvo type="num" val="100"/>
      </iconSet>
    </cfRule>
    <cfRule type="iconSet" priority="475">
      <iconSet>
        <cfvo type="percent" val="0"/>
        <cfvo type="num" val="70"/>
        <cfvo type="num" val="90"/>
      </iconSet>
    </cfRule>
    <cfRule type="iconSet" priority="474">
      <iconSet>
        <cfvo type="percent" val="0"/>
        <cfvo type="num" val="95"/>
        <cfvo type="num" val="100"/>
      </iconSet>
    </cfRule>
  </conditionalFormatting>
  <conditionalFormatting sqref="AA12">
    <cfRule type="iconSet" priority="463">
      <iconSet>
        <cfvo type="percent" val="0"/>
        <cfvo type="num" val="95"/>
        <cfvo type="num" val="100"/>
      </iconSet>
    </cfRule>
    <cfRule type="iconSet" priority="464">
      <iconSet>
        <cfvo type="percent" val="0"/>
        <cfvo type="num" val="95"/>
        <cfvo type="num" val="100"/>
      </iconSet>
    </cfRule>
    <cfRule type="iconSet" priority="460">
      <iconSet>
        <cfvo type="percent" val="0"/>
        <cfvo type="num" val="95"/>
        <cfvo type="num" val="100"/>
      </iconSet>
    </cfRule>
    <cfRule type="iconSet" priority="461">
      <iconSet>
        <cfvo type="percent" val="0"/>
        <cfvo type="num" val="70"/>
        <cfvo type="num" val="90"/>
      </iconSet>
    </cfRule>
    <cfRule type="iconSet" priority="462">
      <iconSet>
        <cfvo type="percent" val="0"/>
        <cfvo type="num" val="70"/>
        <cfvo type="num" val="90"/>
      </iconSet>
    </cfRule>
    <cfRule type="iconSet" priority="468">
      <iconSet>
        <cfvo type="percent" val="0"/>
        <cfvo type="num" val="95"/>
        <cfvo type="num" val="100"/>
      </iconSet>
    </cfRule>
    <cfRule type="iconSet" priority="467">
      <iconSet>
        <cfvo type="percent" val="0"/>
        <cfvo type="num" val="70"/>
        <cfvo type="num" val="90"/>
      </iconSet>
    </cfRule>
    <cfRule type="iconSet" priority="466">
      <iconSet>
        <cfvo type="percent" val="0"/>
        <cfvo type="num" val="70"/>
        <cfvo type="num" val="90"/>
      </iconSet>
    </cfRule>
    <cfRule type="iconSet" priority="465">
      <iconSet>
        <cfvo type="percent" val="0"/>
        <cfvo type="num" val="95"/>
        <cfvo type="num" val="100"/>
      </iconSet>
    </cfRule>
  </conditionalFormatting>
  <conditionalFormatting sqref="AA13">
    <cfRule type="iconSet" priority="451">
      <iconSet>
        <cfvo type="percent" val="0"/>
        <cfvo type="num" val="95"/>
        <cfvo type="num" val="100"/>
      </iconSet>
    </cfRule>
    <cfRule type="iconSet" priority="452">
      <iconSet>
        <cfvo type="percent" val="0"/>
        <cfvo type="num" val="70"/>
        <cfvo type="num" val="90"/>
      </iconSet>
    </cfRule>
    <cfRule type="iconSet" priority="453">
      <iconSet>
        <cfvo type="percent" val="0"/>
        <cfvo type="num" val="70"/>
        <cfvo type="num" val="90"/>
      </iconSet>
    </cfRule>
    <cfRule type="iconSet" priority="455">
      <iconSet>
        <cfvo type="percent" val="0"/>
        <cfvo type="num" val="95"/>
        <cfvo type="num" val="100"/>
      </iconSet>
    </cfRule>
    <cfRule type="iconSet" priority="456">
      <iconSet>
        <cfvo type="percent" val="0"/>
        <cfvo type="num" val="95"/>
        <cfvo type="num" val="100"/>
      </iconSet>
    </cfRule>
    <cfRule type="iconSet" priority="457">
      <iconSet>
        <cfvo type="percent" val="0"/>
        <cfvo type="num" val="70"/>
        <cfvo type="num" val="90"/>
      </iconSet>
    </cfRule>
    <cfRule type="iconSet" priority="458">
      <iconSet>
        <cfvo type="percent" val="0"/>
        <cfvo type="num" val="70"/>
        <cfvo type="num" val="90"/>
      </iconSet>
    </cfRule>
    <cfRule type="iconSet" priority="459">
      <iconSet>
        <cfvo type="percent" val="0"/>
        <cfvo type="num" val="95"/>
        <cfvo type="num" val="100"/>
      </iconSet>
    </cfRule>
    <cfRule type="iconSet" priority="454">
      <iconSet>
        <cfvo type="percent" val="0"/>
        <cfvo type="num" val="95"/>
        <cfvo type="num" val="100"/>
      </iconSet>
    </cfRule>
  </conditionalFormatting>
  <conditionalFormatting sqref="AA14">
    <cfRule type="iconSet" priority="446">
      <iconSet>
        <cfvo type="percent" val="0"/>
        <cfvo type="num" val="95"/>
        <cfvo type="num" val="100"/>
      </iconSet>
    </cfRule>
    <cfRule type="iconSet" priority="450">
      <iconSet>
        <cfvo type="percent" val="0"/>
        <cfvo type="num" val="95"/>
        <cfvo type="num" val="100"/>
      </iconSet>
    </cfRule>
    <cfRule type="iconSet" priority="449">
      <iconSet>
        <cfvo type="percent" val="0"/>
        <cfvo type="num" val="70"/>
        <cfvo type="num" val="90"/>
      </iconSet>
    </cfRule>
    <cfRule type="iconSet" priority="448">
      <iconSet>
        <cfvo type="percent" val="0"/>
        <cfvo type="num" val="70"/>
        <cfvo type="num" val="90"/>
      </iconSet>
    </cfRule>
    <cfRule type="iconSet" priority="447">
      <iconSet>
        <cfvo type="percent" val="0"/>
        <cfvo type="num" val="95"/>
        <cfvo type="num" val="100"/>
      </iconSet>
    </cfRule>
    <cfRule type="iconSet" priority="445">
      <iconSet>
        <cfvo type="percent" val="0"/>
        <cfvo type="num" val="95"/>
        <cfvo type="num" val="100"/>
      </iconSet>
    </cfRule>
    <cfRule type="iconSet" priority="444">
      <iconSet>
        <cfvo type="percent" val="0"/>
        <cfvo type="num" val="70"/>
        <cfvo type="num" val="90"/>
      </iconSet>
    </cfRule>
    <cfRule type="iconSet" priority="443">
      <iconSet>
        <cfvo type="percent" val="0"/>
        <cfvo type="num" val="70"/>
        <cfvo type="num" val="90"/>
      </iconSet>
    </cfRule>
    <cfRule type="iconSet" priority="442">
      <iconSet>
        <cfvo type="percent" val="0"/>
        <cfvo type="num" val="95"/>
        <cfvo type="num" val="100"/>
      </iconSet>
    </cfRule>
  </conditionalFormatting>
  <conditionalFormatting sqref="AA16">
    <cfRule type="iconSet" priority="441">
      <iconSet>
        <cfvo type="percent" val="0"/>
        <cfvo type="num" val="95"/>
        <cfvo type="num" val="100"/>
      </iconSet>
    </cfRule>
    <cfRule type="iconSet" priority="440">
      <iconSet>
        <cfvo type="percent" val="0"/>
        <cfvo type="num" val="70"/>
        <cfvo type="num" val="90"/>
      </iconSet>
    </cfRule>
    <cfRule type="iconSet" priority="439">
      <iconSet>
        <cfvo type="percent" val="0"/>
        <cfvo type="num" val="70"/>
        <cfvo type="num" val="90"/>
      </iconSet>
    </cfRule>
    <cfRule type="iconSet" priority="438">
      <iconSet>
        <cfvo type="percent" val="0"/>
        <cfvo type="num" val="95"/>
        <cfvo type="num" val="100"/>
      </iconSet>
    </cfRule>
    <cfRule type="iconSet" priority="437">
      <iconSet>
        <cfvo type="percent" val="0"/>
        <cfvo type="num" val="95"/>
        <cfvo type="num" val="100"/>
      </iconSet>
    </cfRule>
    <cfRule type="iconSet" priority="436">
      <iconSet>
        <cfvo type="percent" val="0"/>
        <cfvo type="num" val="95"/>
        <cfvo type="num" val="100"/>
      </iconSet>
    </cfRule>
    <cfRule type="iconSet" priority="435">
      <iconSet>
        <cfvo type="percent" val="0"/>
        <cfvo type="num" val="70"/>
        <cfvo type="num" val="90"/>
      </iconSet>
    </cfRule>
    <cfRule type="iconSet" priority="434">
      <iconSet>
        <cfvo type="percent" val="0"/>
        <cfvo type="num" val="70"/>
        <cfvo type="num" val="90"/>
      </iconSet>
    </cfRule>
    <cfRule type="iconSet" priority="433">
      <iconSet>
        <cfvo type="percent" val="0"/>
        <cfvo type="num" val="95"/>
        <cfvo type="num" val="100"/>
      </iconSet>
    </cfRule>
  </conditionalFormatting>
  <conditionalFormatting sqref="AA17">
    <cfRule type="iconSet" priority="432">
      <iconSet>
        <cfvo type="percent" val="0"/>
        <cfvo type="num" val="95"/>
        <cfvo type="num" val="100"/>
      </iconSet>
    </cfRule>
    <cfRule type="iconSet" priority="431">
      <iconSet>
        <cfvo type="percent" val="0"/>
        <cfvo type="num" val="70"/>
        <cfvo type="num" val="90"/>
      </iconSet>
    </cfRule>
    <cfRule type="iconSet" priority="430">
      <iconSet>
        <cfvo type="percent" val="0"/>
        <cfvo type="num" val="70"/>
        <cfvo type="num" val="90"/>
      </iconSet>
    </cfRule>
    <cfRule type="iconSet" priority="429">
      <iconSet>
        <cfvo type="percent" val="0"/>
        <cfvo type="num" val="95"/>
        <cfvo type="num" val="100"/>
      </iconSet>
    </cfRule>
    <cfRule type="iconSet" priority="428">
      <iconSet>
        <cfvo type="percent" val="0"/>
        <cfvo type="num" val="95"/>
        <cfvo type="num" val="100"/>
      </iconSet>
    </cfRule>
    <cfRule type="iconSet" priority="427">
      <iconSet>
        <cfvo type="percent" val="0"/>
        <cfvo type="num" val="95"/>
        <cfvo type="num" val="100"/>
      </iconSet>
    </cfRule>
    <cfRule type="iconSet" priority="426">
      <iconSet>
        <cfvo type="percent" val="0"/>
        <cfvo type="num" val="70"/>
        <cfvo type="num" val="90"/>
      </iconSet>
    </cfRule>
    <cfRule type="iconSet" priority="425">
      <iconSet>
        <cfvo type="percent" val="0"/>
        <cfvo type="num" val="70"/>
        <cfvo type="num" val="90"/>
      </iconSet>
    </cfRule>
    <cfRule type="iconSet" priority="424">
      <iconSet>
        <cfvo type="percent" val="0"/>
        <cfvo type="num" val="95"/>
        <cfvo type="num" val="100"/>
      </iconSet>
    </cfRule>
  </conditionalFormatting>
  <conditionalFormatting sqref="AA18">
    <cfRule type="iconSet" priority="422">
      <iconSet>
        <cfvo type="percent" val="0"/>
        <cfvo type="num" val="70"/>
        <cfvo type="num" val="90"/>
      </iconSet>
    </cfRule>
    <cfRule type="iconSet" priority="419">
      <iconSet>
        <cfvo type="percent" val="0"/>
        <cfvo type="num" val="95"/>
        <cfvo type="num" val="100"/>
      </iconSet>
    </cfRule>
    <cfRule type="iconSet" priority="423">
      <iconSet>
        <cfvo type="percent" val="0"/>
        <cfvo type="num" val="95"/>
        <cfvo type="num" val="100"/>
      </iconSet>
    </cfRule>
    <cfRule type="iconSet" priority="421">
      <iconSet>
        <cfvo type="percent" val="0"/>
        <cfvo type="num" val="70"/>
        <cfvo type="num" val="90"/>
      </iconSet>
    </cfRule>
    <cfRule type="iconSet" priority="420">
      <iconSet>
        <cfvo type="percent" val="0"/>
        <cfvo type="num" val="95"/>
        <cfvo type="num" val="100"/>
      </iconSet>
    </cfRule>
    <cfRule type="iconSet" priority="418">
      <iconSet>
        <cfvo type="percent" val="0"/>
        <cfvo type="num" val="95"/>
        <cfvo type="num" val="100"/>
      </iconSet>
    </cfRule>
    <cfRule type="iconSet" priority="417">
      <iconSet>
        <cfvo type="percent" val="0"/>
        <cfvo type="num" val="70"/>
        <cfvo type="num" val="90"/>
      </iconSet>
    </cfRule>
    <cfRule type="iconSet" priority="416">
      <iconSet>
        <cfvo type="percent" val="0"/>
        <cfvo type="num" val="70"/>
        <cfvo type="num" val="90"/>
      </iconSet>
    </cfRule>
    <cfRule type="iconSet" priority="415">
      <iconSet>
        <cfvo type="percent" val="0"/>
        <cfvo type="num" val="95"/>
        <cfvo type="num" val="100"/>
      </iconSet>
    </cfRule>
  </conditionalFormatting>
  <conditionalFormatting sqref="AA19">
    <cfRule type="iconSet" priority="524">
      <iconSet>
        <cfvo type="percent" val="0"/>
        <cfvo type="num" val="70"/>
        <cfvo type="num" val="90"/>
      </iconSet>
    </cfRule>
    <cfRule type="iconSet" priority="525">
      <iconSet>
        <cfvo type="percent" val="0"/>
        <cfvo type="num" val="95"/>
        <cfvo type="num" val="100"/>
      </iconSet>
    </cfRule>
    <cfRule type="iconSet" priority="526">
      <iconSet>
        <cfvo type="percent" val="0"/>
        <cfvo type="num" val="95"/>
        <cfvo type="num" val="100"/>
      </iconSet>
    </cfRule>
    <cfRule type="iconSet" priority="527">
      <iconSet>
        <cfvo type="percent" val="0"/>
        <cfvo type="num" val="70"/>
        <cfvo type="num" val="90"/>
      </iconSet>
    </cfRule>
    <cfRule type="iconSet" priority="542">
      <iconSet>
        <cfvo type="percent" val="0"/>
        <cfvo type="num" val="95"/>
        <cfvo type="num" val="100"/>
      </iconSet>
    </cfRule>
    <cfRule type="iconSet" priority="531">
      <iconSet>
        <cfvo type="percent" val="0"/>
        <cfvo type="num" val="70"/>
        <cfvo type="num" val="90"/>
      </iconSet>
    </cfRule>
    <cfRule type="iconSet" priority="530">
      <iconSet>
        <cfvo type="percent" val="0"/>
        <cfvo type="num" val="95"/>
        <cfvo type="num" val="100"/>
      </iconSet>
    </cfRule>
    <cfRule type="iconSet" priority="550">
      <iconSet>
        <cfvo type="percent" val="0"/>
        <cfvo type="num" val="95"/>
        <cfvo type="num" val="100"/>
      </iconSet>
    </cfRule>
    <cfRule type="iconSet" priority="549">
      <iconSet>
        <cfvo type="percent" val="0"/>
        <cfvo type="num" val="95"/>
        <cfvo type="num" val="100"/>
      </iconSet>
    </cfRule>
    <cfRule type="iconSet" priority="548">
      <iconSet>
        <cfvo type="percent" val="0"/>
        <cfvo type="num" val="70"/>
        <cfvo type="num" val="90"/>
      </iconSet>
    </cfRule>
    <cfRule type="iconSet" priority="547">
      <iconSet>
        <cfvo type="percent" val="0"/>
        <cfvo type="num" val="70"/>
        <cfvo type="num" val="90"/>
      </iconSet>
    </cfRule>
    <cfRule type="iconSet" priority="546">
      <iconSet>
        <cfvo type="percent" val="0"/>
        <cfvo type="num" val="95"/>
        <cfvo type="num" val="100"/>
      </iconSet>
    </cfRule>
    <cfRule type="iconSet" priority="545">
      <iconSet>
        <cfvo type="percent" val="0"/>
        <cfvo type="num" val="95"/>
        <cfvo type="num" val="100"/>
      </iconSet>
    </cfRule>
    <cfRule type="iconSet" priority="544">
      <iconSet>
        <cfvo type="percent" val="0"/>
        <cfvo type="num" val="70"/>
        <cfvo type="num" val="90"/>
      </iconSet>
    </cfRule>
    <cfRule type="iconSet" priority="543">
      <iconSet>
        <cfvo type="percent" val="0"/>
        <cfvo type="num" val="70"/>
        <cfvo type="num" val="90"/>
      </iconSet>
    </cfRule>
    <cfRule type="iconSet" priority="541">
      <iconSet>
        <cfvo type="percent" val="0"/>
        <cfvo type="num" val="95"/>
        <cfvo type="num" val="100"/>
      </iconSet>
    </cfRule>
    <cfRule type="iconSet" priority="540">
      <iconSet>
        <cfvo type="percent" val="0"/>
        <cfvo type="num" val="70"/>
        <cfvo type="num" val="90"/>
      </iconSet>
    </cfRule>
    <cfRule type="iconSet" priority="539">
      <iconSet>
        <cfvo type="percent" val="0"/>
        <cfvo type="num" val="70"/>
        <cfvo type="num" val="90"/>
      </iconSet>
    </cfRule>
    <cfRule type="iconSet" priority="538">
      <iconSet>
        <cfvo type="percent" val="0"/>
        <cfvo type="num" val="95"/>
        <cfvo type="num" val="100"/>
      </iconSet>
    </cfRule>
    <cfRule type="iconSet" priority="529">
      <iconSet>
        <cfvo type="percent" val="0"/>
        <cfvo type="num" val="95"/>
        <cfvo type="num" val="100"/>
      </iconSet>
    </cfRule>
    <cfRule type="iconSet" priority="537">
      <iconSet>
        <cfvo type="percent" val="0"/>
        <cfvo type="num" val="95"/>
        <cfvo type="num" val="100"/>
      </iconSet>
    </cfRule>
    <cfRule type="iconSet" priority="536">
      <iconSet>
        <cfvo type="percent" val="0"/>
        <cfvo type="num" val="70"/>
        <cfvo type="num" val="90"/>
      </iconSet>
    </cfRule>
    <cfRule type="iconSet" priority="528">
      <iconSet>
        <cfvo type="percent" val="0"/>
        <cfvo type="num" val="70"/>
        <cfvo type="num" val="90"/>
      </iconSet>
    </cfRule>
    <cfRule type="iconSet" priority="535">
      <iconSet>
        <cfvo type="percent" val="0"/>
        <cfvo type="num" val="70"/>
        <cfvo type="num" val="90"/>
      </iconSet>
    </cfRule>
    <cfRule type="iconSet" priority="534">
      <iconSet>
        <cfvo type="percent" val="0"/>
        <cfvo type="num" val="95"/>
        <cfvo type="num" val="100"/>
      </iconSet>
    </cfRule>
    <cfRule type="iconSet" priority="522">
      <iconSet>
        <cfvo type="percent" val="0"/>
        <cfvo type="num" val="95"/>
        <cfvo type="num" val="100"/>
      </iconSet>
    </cfRule>
    <cfRule type="iconSet" priority="523">
      <iconSet>
        <cfvo type="percent" val="0"/>
        <cfvo type="num" val="70"/>
        <cfvo type="num" val="90"/>
      </iconSet>
    </cfRule>
    <cfRule type="iconSet" priority="533">
      <iconSet>
        <cfvo type="percent" val="0"/>
        <cfvo type="num" val="95"/>
        <cfvo type="num" val="100"/>
      </iconSet>
    </cfRule>
    <cfRule type="iconSet" priority="532">
      <iconSet>
        <cfvo type="percent" val="0"/>
        <cfvo type="num" val="70"/>
        <cfvo type="num" val="90"/>
      </iconSet>
    </cfRule>
  </conditionalFormatting>
  <conditionalFormatting sqref="AA20">
    <cfRule type="iconSet" priority="412">
      <iconSet>
        <cfvo type="percent" val="0"/>
        <cfvo type="num" val="70"/>
        <cfvo type="num" val="90"/>
      </iconSet>
    </cfRule>
    <cfRule type="iconSet" priority="411">
      <iconSet>
        <cfvo type="percent" val="0"/>
        <cfvo type="num" val="95"/>
        <cfvo type="num" val="100"/>
      </iconSet>
    </cfRule>
    <cfRule type="iconSet" priority="410">
      <iconSet>
        <cfvo type="percent" val="0"/>
        <cfvo type="num" val="95"/>
        <cfvo type="num" val="100"/>
      </iconSet>
    </cfRule>
    <cfRule type="iconSet" priority="409">
      <iconSet>
        <cfvo type="percent" val="0"/>
        <cfvo type="num" val="95"/>
        <cfvo type="num" val="100"/>
      </iconSet>
    </cfRule>
    <cfRule type="iconSet" priority="408">
      <iconSet>
        <cfvo type="percent" val="0"/>
        <cfvo type="num" val="70"/>
        <cfvo type="num" val="90"/>
      </iconSet>
    </cfRule>
    <cfRule type="iconSet" priority="407">
      <iconSet>
        <cfvo type="percent" val="0"/>
        <cfvo type="num" val="70"/>
        <cfvo type="num" val="90"/>
      </iconSet>
    </cfRule>
    <cfRule type="iconSet" priority="406">
      <iconSet>
        <cfvo type="percent" val="0"/>
        <cfvo type="num" val="95"/>
        <cfvo type="num" val="100"/>
      </iconSet>
    </cfRule>
    <cfRule type="iconSet" priority="414">
      <iconSet>
        <cfvo type="percent" val="0"/>
        <cfvo type="num" val="95"/>
        <cfvo type="num" val="100"/>
      </iconSet>
    </cfRule>
    <cfRule type="iconSet" priority="413">
      <iconSet>
        <cfvo type="percent" val="0"/>
        <cfvo type="num" val="70"/>
        <cfvo type="num" val="90"/>
      </iconSet>
    </cfRule>
  </conditionalFormatting>
  <conditionalFormatting sqref="AA21">
    <cfRule type="iconSet" priority="403">
      <iconSet>
        <cfvo type="percent" val="0"/>
        <cfvo type="num" val="70"/>
        <cfvo type="num" val="90"/>
      </iconSet>
    </cfRule>
    <cfRule type="iconSet" priority="402">
      <iconSet>
        <cfvo type="percent" val="0"/>
        <cfvo type="num" val="95"/>
        <cfvo type="num" val="100"/>
      </iconSet>
    </cfRule>
    <cfRule type="iconSet" priority="401">
      <iconSet>
        <cfvo type="percent" val="0"/>
        <cfvo type="num" val="95"/>
        <cfvo type="num" val="100"/>
      </iconSet>
    </cfRule>
    <cfRule type="iconSet" priority="400">
      <iconSet>
        <cfvo type="percent" val="0"/>
        <cfvo type="num" val="95"/>
        <cfvo type="num" val="100"/>
      </iconSet>
    </cfRule>
    <cfRule type="iconSet" priority="399">
      <iconSet>
        <cfvo type="percent" val="0"/>
        <cfvo type="num" val="70"/>
        <cfvo type="num" val="90"/>
      </iconSet>
    </cfRule>
    <cfRule type="iconSet" priority="398">
      <iconSet>
        <cfvo type="percent" val="0"/>
        <cfvo type="num" val="70"/>
        <cfvo type="num" val="90"/>
      </iconSet>
    </cfRule>
    <cfRule type="iconSet" priority="397">
      <iconSet>
        <cfvo type="percent" val="0"/>
        <cfvo type="num" val="95"/>
        <cfvo type="num" val="100"/>
      </iconSet>
    </cfRule>
    <cfRule type="iconSet" priority="405">
      <iconSet>
        <cfvo type="percent" val="0"/>
        <cfvo type="num" val="95"/>
        <cfvo type="num" val="100"/>
      </iconSet>
    </cfRule>
    <cfRule type="iconSet" priority="404">
      <iconSet>
        <cfvo type="percent" val="0"/>
        <cfvo type="num" val="70"/>
        <cfvo type="num" val="90"/>
      </iconSet>
    </cfRule>
  </conditionalFormatting>
  <conditionalFormatting sqref="AA22">
    <cfRule type="iconSet" priority="394">
      <iconSet>
        <cfvo type="percent" val="0"/>
        <cfvo type="num" val="70"/>
        <cfvo type="num" val="90"/>
      </iconSet>
    </cfRule>
    <cfRule type="iconSet" priority="393">
      <iconSet>
        <cfvo type="percent" val="0"/>
        <cfvo type="num" val="95"/>
        <cfvo type="num" val="100"/>
      </iconSet>
    </cfRule>
    <cfRule type="iconSet" priority="392">
      <iconSet>
        <cfvo type="percent" val="0"/>
        <cfvo type="num" val="95"/>
        <cfvo type="num" val="100"/>
      </iconSet>
    </cfRule>
    <cfRule type="iconSet" priority="391">
      <iconSet>
        <cfvo type="percent" val="0"/>
        <cfvo type="num" val="95"/>
        <cfvo type="num" val="100"/>
      </iconSet>
    </cfRule>
    <cfRule type="iconSet" priority="390">
      <iconSet>
        <cfvo type="percent" val="0"/>
        <cfvo type="num" val="70"/>
        <cfvo type="num" val="90"/>
      </iconSet>
    </cfRule>
    <cfRule type="iconSet" priority="389">
      <iconSet>
        <cfvo type="percent" val="0"/>
        <cfvo type="num" val="70"/>
        <cfvo type="num" val="90"/>
      </iconSet>
    </cfRule>
    <cfRule type="iconSet" priority="388">
      <iconSet>
        <cfvo type="percent" val="0"/>
        <cfvo type="num" val="95"/>
        <cfvo type="num" val="100"/>
      </iconSet>
    </cfRule>
    <cfRule type="iconSet" priority="395">
      <iconSet>
        <cfvo type="percent" val="0"/>
        <cfvo type="num" val="70"/>
        <cfvo type="num" val="90"/>
      </iconSet>
    </cfRule>
    <cfRule type="iconSet" priority="396">
      <iconSet>
        <cfvo type="percent" val="0"/>
        <cfvo type="num" val="95"/>
        <cfvo type="num" val="100"/>
      </iconSet>
    </cfRule>
  </conditionalFormatting>
  <conditionalFormatting sqref="AA23">
    <cfRule type="iconSet" priority="387">
      <iconSet>
        <cfvo type="percent" val="0"/>
        <cfvo type="num" val="95"/>
        <cfvo type="num" val="100"/>
      </iconSet>
    </cfRule>
    <cfRule type="iconSet" priority="386">
      <iconSet>
        <cfvo type="percent" val="0"/>
        <cfvo type="num" val="70"/>
        <cfvo type="num" val="90"/>
      </iconSet>
    </cfRule>
    <cfRule type="iconSet" priority="385">
      <iconSet>
        <cfvo type="percent" val="0"/>
        <cfvo type="num" val="70"/>
        <cfvo type="num" val="90"/>
      </iconSet>
    </cfRule>
    <cfRule type="iconSet" priority="384">
      <iconSet>
        <cfvo type="percent" val="0"/>
        <cfvo type="num" val="95"/>
        <cfvo type="num" val="100"/>
      </iconSet>
    </cfRule>
    <cfRule type="iconSet" priority="383">
      <iconSet>
        <cfvo type="percent" val="0"/>
        <cfvo type="num" val="95"/>
        <cfvo type="num" val="100"/>
      </iconSet>
    </cfRule>
    <cfRule type="iconSet" priority="382">
      <iconSet>
        <cfvo type="percent" val="0"/>
        <cfvo type="num" val="95"/>
        <cfvo type="num" val="100"/>
      </iconSet>
    </cfRule>
    <cfRule type="iconSet" priority="381">
      <iconSet>
        <cfvo type="percent" val="0"/>
        <cfvo type="num" val="70"/>
        <cfvo type="num" val="90"/>
      </iconSet>
    </cfRule>
    <cfRule type="iconSet" priority="380">
      <iconSet>
        <cfvo type="percent" val="0"/>
        <cfvo type="num" val="70"/>
        <cfvo type="num" val="90"/>
      </iconSet>
    </cfRule>
    <cfRule type="iconSet" priority="379">
      <iconSet>
        <cfvo type="percent" val="0"/>
        <cfvo type="num" val="95"/>
        <cfvo type="num" val="100"/>
      </iconSet>
    </cfRule>
  </conditionalFormatting>
  <conditionalFormatting sqref="AA24">
    <cfRule type="iconSet" priority="376">
      <iconSet>
        <cfvo type="percent" val="0"/>
        <cfvo type="num" val="70"/>
        <cfvo type="num" val="90"/>
      </iconSet>
    </cfRule>
    <cfRule type="iconSet" priority="375">
      <iconSet>
        <cfvo type="percent" val="0"/>
        <cfvo type="num" val="95"/>
        <cfvo type="num" val="100"/>
      </iconSet>
    </cfRule>
    <cfRule type="iconSet" priority="374">
      <iconSet>
        <cfvo type="percent" val="0"/>
        <cfvo type="num" val="95"/>
        <cfvo type="num" val="100"/>
      </iconSet>
    </cfRule>
    <cfRule type="iconSet" priority="373">
      <iconSet>
        <cfvo type="percent" val="0"/>
        <cfvo type="num" val="95"/>
        <cfvo type="num" val="100"/>
      </iconSet>
    </cfRule>
    <cfRule type="iconSet" priority="372">
      <iconSet>
        <cfvo type="percent" val="0"/>
        <cfvo type="num" val="70"/>
        <cfvo type="num" val="90"/>
      </iconSet>
    </cfRule>
    <cfRule type="iconSet" priority="371">
      <iconSet>
        <cfvo type="percent" val="0"/>
        <cfvo type="num" val="70"/>
        <cfvo type="num" val="90"/>
      </iconSet>
    </cfRule>
    <cfRule type="iconSet" priority="370">
      <iconSet>
        <cfvo type="percent" val="0"/>
        <cfvo type="num" val="95"/>
        <cfvo type="num" val="100"/>
      </iconSet>
    </cfRule>
    <cfRule type="iconSet" priority="378">
      <iconSet>
        <cfvo type="percent" val="0"/>
        <cfvo type="num" val="95"/>
        <cfvo type="num" val="100"/>
      </iconSet>
    </cfRule>
    <cfRule type="iconSet" priority="377">
      <iconSet>
        <cfvo type="percent" val="0"/>
        <cfvo type="num" val="70"/>
        <cfvo type="num" val="90"/>
      </iconSet>
    </cfRule>
  </conditionalFormatting>
  <conditionalFormatting sqref="AA25">
    <cfRule type="iconSet" priority="521">
      <iconSet>
        <cfvo type="percent" val="0"/>
        <cfvo type="num" val="95"/>
        <cfvo type="num" val="100"/>
      </iconSet>
    </cfRule>
  </conditionalFormatting>
  <conditionalFormatting sqref="AA26">
    <cfRule type="iconSet" priority="367">
      <iconSet>
        <cfvo type="percent" val="0"/>
        <cfvo type="num" val="70"/>
        <cfvo type="num" val="90"/>
      </iconSet>
    </cfRule>
    <cfRule type="iconSet" priority="366">
      <iconSet>
        <cfvo type="percent" val="0"/>
        <cfvo type="num" val="95"/>
        <cfvo type="num" val="100"/>
      </iconSet>
    </cfRule>
    <cfRule type="iconSet" priority="365">
      <iconSet>
        <cfvo type="percent" val="0"/>
        <cfvo type="num" val="95"/>
        <cfvo type="num" val="100"/>
      </iconSet>
    </cfRule>
    <cfRule type="iconSet" priority="364">
      <iconSet>
        <cfvo type="percent" val="0"/>
        <cfvo type="num" val="95"/>
        <cfvo type="num" val="100"/>
      </iconSet>
    </cfRule>
    <cfRule type="iconSet" priority="363">
      <iconSet>
        <cfvo type="percent" val="0"/>
        <cfvo type="num" val="70"/>
        <cfvo type="num" val="90"/>
      </iconSet>
    </cfRule>
    <cfRule type="iconSet" priority="362">
      <iconSet>
        <cfvo type="percent" val="0"/>
        <cfvo type="num" val="70"/>
        <cfvo type="num" val="90"/>
      </iconSet>
    </cfRule>
    <cfRule type="iconSet" priority="361">
      <iconSet>
        <cfvo type="percent" val="0"/>
        <cfvo type="num" val="95"/>
        <cfvo type="num" val="100"/>
      </iconSet>
    </cfRule>
    <cfRule type="iconSet" priority="369">
      <iconSet>
        <cfvo type="percent" val="0"/>
        <cfvo type="num" val="95"/>
        <cfvo type="num" val="100"/>
      </iconSet>
    </cfRule>
    <cfRule type="iconSet" priority="368">
      <iconSet>
        <cfvo type="percent" val="0"/>
        <cfvo type="num" val="70"/>
        <cfvo type="num" val="90"/>
      </iconSet>
    </cfRule>
  </conditionalFormatting>
  <conditionalFormatting sqref="AA27">
    <cfRule type="iconSet" priority="555">
      <iconSet>
        <cfvo type="percent" val="0"/>
        <cfvo type="num" val="95"/>
        <cfvo type="num" val="100"/>
      </iconSet>
    </cfRule>
  </conditionalFormatting>
  <conditionalFormatting sqref="AA28:AA30">
    <cfRule type="iconSet" priority="356">
      <iconSet>
        <cfvo type="percent" val="0"/>
        <cfvo type="num" val="95"/>
        <cfvo type="num" val="100"/>
      </iconSet>
    </cfRule>
    <cfRule type="iconSet" priority="355">
      <iconSet>
        <cfvo type="percent" val="0"/>
        <cfvo type="num" val="95"/>
        <cfvo type="num" val="100"/>
      </iconSet>
    </cfRule>
    <cfRule type="iconSet" priority="354">
      <iconSet>
        <cfvo type="percent" val="0"/>
        <cfvo type="num" val="70"/>
        <cfvo type="num" val="90"/>
      </iconSet>
    </cfRule>
    <cfRule type="iconSet" priority="353">
      <iconSet>
        <cfvo type="percent" val="0"/>
        <cfvo type="num" val="70"/>
        <cfvo type="num" val="90"/>
      </iconSet>
    </cfRule>
    <cfRule type="iconSet" priority="352">
      <iconSet>
        <cfvo type="percent" val="0"/>
        <cfvo type="num" val="95"/>
        <cfvo type="num" val="100"/>
      </iconSet>
    </cfRule>
    <cfRule type="iconSet" priority="360">
      <iconSet>
        <cfvo type="percent" val="0"/>
        <cfvo type="num" val="95"/>
        <cfvo type="num" val="100"/>
      </iconSet>
    </cfRule>
    <cfRule type="iconSet" priority="359">
      <iconSet>
        <cfvo type="percent" val="0"/>
        <cfvo type="num" val="70"/>
        <cfvo type="num" val="90"/>
      </iconSet>
    </cfRule>
    <cfRule type="iconSet" priority="358">
      <iconSet>
        <cfvo type="percent" val="0"/>
        <cfvo type="num" val="70"/>
        <cfvo type="num" val="90"/>
      </iconSet>
    </cfRule>
    <cfRule type="iconSet" priority="357">
      <iconSet>
        <cfvo type="percent" val="0"/>
        <cfvo type="num" val="95"/>
        <cfvo type="num" val="100"/>
      </iconSet>
    </cfRule>
  </conditionalFormatting>
  <conditionalFormatting sqref="AA31:AA33">
    <cfRule type="iconSet" priority="347">
      <iconSet>
        <cfvo type="percent" val="0"/>
        <cfvo type="num" val="95"/>
        <cfvo type="num" val="100"/>
      </iconSet>
    </cfRule>
    <cfRule type="iconSet" priority="346">
      <iconSet>
        <cfvo type="percent" val="0"/>
        <cfvo type="num" val="95"/>
        <cfvo type="num" val="100"/>
      </iconSet>
    </cfRule>
    <cfRule type="iconSet" priority="345">
      <iconSet>
        <cfvo type="percent" val="0"/>
        <cfvo type="num" val="70"/>
        <cfvo type="num" val="90"/>
      </iconSet>
    </cfRule>
    <cfRule type="iconSet" priority="344">
      <iconSet>
        <cfvo type="percent" val="0"/>
        <cfvo type="num" val="70"/>
        <cfvo type="num" val="90"/>
      </iconSet>
    </cfRule>
    <cfRule type="iconSet" priority="343">
      <iconSet>
        <cfvo type="percent" val="0"/>
        <cfvo type="num" val="95"/>
        <cfvo type="num" val="100"/>
      </iconSet>
    </cfRule>
    <cfRule type="iconSet" priority="351">
      <iconSet>
        <cfvo type="percent" val="0"/>
        <cfvo type="num" val="95"/>
        <cfvo type="num" val="100"/>
      </iconSet>
    </cfRule>
    <cfRule type="iconSet" priority="350">
      <iconSet>
        <cfvo type="percent" val="0"/>
        <cfvo type="num" val="70"/>
        <cfvo type="num" val="90"/>
      </iconSet>
    </cfRule>
    <cfRule type="iconSet" priority="349">
      <iconSet>
        <cfvo type="percent" val="0"/>
        <cfvo type="num" val="70"/>
        <cfvo type="num" val="90"/>
      </iconSet>
    </cfRule>
    <cfRule type="iconSet" priority="348">
      <iconSet>
        <cfvo type="percent" val="0"/>
        <cfvo type="num" val="95"/>
        <cfvo type="num" val="100"/>
      </iconSet>
    </cfRule>
  </conditionalFormatting>
  <conditionalFormatting sqref="AA34">
    <cfRule type="iconSet" priority="487">
      <iconSet>
        <cfvo type="percent" val="0"/>
        <cfvo type="num" val="95"/>
        <cfvo type="num" val="100"/>
      </iconSet>
    </cfRule>
  </conditionalFormatting>
  <conditionalFormatting sqref="AA35:AA36">
    <cfRule type="iconSet" priority="342">
      <iconSet>
        <cfvo type="percent" val="0"/>
        <cfvo type="num" val="95"/>
        <cfvo type="num" val="100"/>
      </iconSet>
    </cfRule>
    <cfRule type="iconSet" priority="341">
      <iconSet>
        <cfvo type="percent" val="0"/>
        <cfvo type="num" val="70"/>
        <cfvo type="num" val="90"/>
      </iconSet>
    </cfRule>
    <cfRule type="iconSet" priority="340">
      <iconSet>
        <cfvo type="percent" val="0"/>
        <cfvo type="num" val="70"/>
        <cfvo type="num" val="90"/>
      </iconSet>
    </cfRule>
    <cfRule type="iconSet" priority="339">
      <iconSet>
        <cfvo type="percent" val="0"/>
        <cfvo type="num" val="95"/>
        <cfvo type="num" val="100"/>
      </iconSet>
    </cfRule>
    <cfRule type="iconSet" priority="338">
      <iconSet>
        <cfvo type="percent" val="0"/>
        <cfvo type="num" val="95"/>
        <cfvo type="num" val="100"/>
      </iconSet>
    </cfRule>
    <cfRule type="iconSet" priority="337">
      <iconSet>
        <cfvo type="percent" val="0"/>
        <cfvo type="num" val="95"/>
        <cfvo type="num" val="100"/>
      </iconSet>
    </cfRule>
    <cfRule type="iconSet" priority="336">
      <iconSet>
        <cfvo type="percent" val="0"/>
        <cfvo type="num" val="70"/>
        <cfvo type="num" val="90"/>
      </iconSet>
    </cfRule>
    <cfRule type="iconSet" priority="335">
      <iconSet>
        <cfvo type="percent" val="0"/>
        <cfvo type="num" val="70"/>
        <cfvo type="num" val="90"/>
      </iconSet>
    </cfRule>
    <cfRule type="iconSet" priority="334">
      <iconSet>
        <cfvo type="percent" val="0"/>
        <cfvo type="num" val="95"/>
        <cfvo type="num" val="100"/>
      </iconSet>
    </cfRule>
  </conditionalFormatting>
  <conditionalFormatting sqref="AA37">
    <cfRule type="iconSet" priority="580">
      <iconSet>
        <cfvo type="percent" val="0"/>
        <cfvo type="num" val="95"/>
        <cfvo type="num" val="100"/>
      </iconSet>
    </cfRule>
    <cfRule type="iconSet" priority="581">
      <iconSet>
        <cfvo type="percent" val="0"/>
        <cfvo type="num" val="70"/>
        <cfvo type="num" val="90"/>
      </iconSet>
    </cfRule>
    <cfRule type="iconSet" priority="583">
      <iconSet>
        <cfvo type="percent" val="0"/>
        <cfvo type="num" val="95"/>
        <cfvo type="num" val="100"/>
      </iconSet>
    </cfRule>
    <cfRule type="iconSet" priority="582">
      <iconSet>
        <cfvo type="percent" val="0"/>
        <cfvo type="num" val="70"/>
        <cfvo type="num" val="90"/>
      </iconSet>
    </cfRule>
  </conditionalFormatting>
  <conditionalFormatting sqref="AA37:AA38">
    <cfRule type="iconSet" priority="569">
      <iconSet>
        <cfvo type="percent" val="0"/>
        <cfvo type="num" val="70"/>
        <cfvo type="num" val="90"/>
      </iconSet>
    </cfRule>
    <cfRule type="iconSet" priority="570">
      <iconSet>
        <cfvo type="percent" val="0"/>
        <cfvo type="num" val="70"/>
        <cfvo type="num" val="90"/>
      </iconSet>
    </cfRule>
    <cfRule type="iconSet" priority="571">
      <iconSet>
        <cfvo type="percent" val="0"/>
        <cfvo type="num" val="95"/>
        <cfvo type="num" val="100"/>
      </iconSet>
    </cfRule>
    <cfRule type="iconSet" priority="572">
      <iconSet>
        <cfvo type="percent" val="0"/>
        <cfvo type="num" val="95"/>
        <cfvo type="num" val="100"/>
      </iconSet>
    </cfRule>
    <cfRule type="iconSet" priority="573">
      <iconSet>
        <cfvo type="percent" val="0"/>
        <cfvo type="num" val="70"/>
        <cfvo type="num" val="90"/>
      </iconSet>
    </cfRule>
    <cfRule type="iconSet" priority="574">
      <iconSet>
        <cfvo type="percent" val="0"/>
        <cfvo type="num" val="70"/>
        <cfvo type="num" val="90"/>
      </iconSet>
    </cfRule>
    <cfRule type="iconSet" priority="575">
      <iconSet>
        <cfvo type="percent" val="0"/>
        <cfvo type="num" val="95"/>
        <cfvo type="num" val="100"/>
      </iconSet>
    </cfRule>
    <cfRule type="iconSet" priority="568">
      <iconSet>
        <cfvo type="percent" val="0"/>
        <cfvo type="num" val="95"/>
        <cfvo type="num" val="100"/>
      </iconSet>
    </cfRule>
  </conditionalFormatting>
  <conditionalFormatting sqref="AA37:AA39">
    <cfRule type="iconSet" priority="586">
      <iconSet>
        <cfvo type="percent" val="0"/>
        <cfvo type="num" val="95"/>
        <cfvo type="num" val="100"/>
      </iconSet>
    </cfRule>
  </conditionalFormatting>
  <conditionalFormatting sqref="AA38">
    <cfRule type="iconSet" priority="553">
      <iconSet>
        <cfvo type="percent" val="0"/>
        <cfvo type="num" val="70"/>
        <cfvo type="num" val="90"/>
      </iconSet>
    </cfRule>
    <cfRule type="iconSet" priority="560">
      <iconSet>
        <cfvo type="percent" val="0"/>
        <cfvo type="num" val="95"/>
        <cfvo type="num" val="100"/>
      </iconSet>
    </cfRule>
    <cfRule type="iconSet" priority="489">
      <iconSet>
        <cfvo type="percent" val="0"/>
        <cfvo type="num" val="95"/>
        <cfvo type="num" val="100"/>
      </iconSet>
    </cfRule>
    <cfRule type="iconSet" priority="490">
      <iconSet>
        <cfvo type="percent" val="0"/>
        <cfvo type="num" val="70"/>
        <cfvo type="num" val="90"/>
      </iconSet>
    </cfRule>
    <cfRule type="iconSet" priority="491">
      <iconSet>
        <cfvo type="percent" val="0"/>
        <cfvo type="num" val="70"/>
        <cfvo type="num" val="90"/>
      </iconSet>
    </cfRule>
    <cfRule type="iconSet" priority="492">
      <iconSet>
        <cfvo type="percent" val="0"/>
        <cfvo type="num" val="95"/>
        <cfvo type="num" val="100"/>
      </iconSet>
    </cfRule>
    <cfRule type="iconSet" priority="559">
      <iconSet>
        <cfvo type="percent" val="0"/>
        <cfvo type="num" val="95"/>
        <cfvo type="num" val="100"/>
      </iconSet>
    </cfRule>
    <cfRule type="iconSet" priority="558">
      <iconSet>
        <cfvo type="percent" val="0"/>
        <cfvo type="num" val="70"/>
        <cfvo type="num" val="90"/>
      </iconSet>
    </cfRule>
    <cfRule type="iconSet" priority="557">
      <iconSet>
        <cfvo type="percent" val="0"/>
        <cfvo type="num" val="70"/>
        <cfvo type="num" val="90"/>
      </iconSet>
    </cfRule>
    <cfRule type="iconSet" priority="556">
      <iconSet>
        <cfvo type="percent" val="0"/>
        <cfvo type="num" val="95"/>
        <cfvo type="num" val="100"/>
      </iconSet>
    </cfRule>
    <cfRule type="iconSet" priority="552">
      <iconSet>
        <cfvo type="percent" val="0"/>
        <cfvo type="num" val="70"/>
        <cfvo type="num" val="90"/>
      </iconSet>
    </cfRule>
    <cfRule type="iconSet" priority="551">
      <iconSet>
        <cfvo type="percent" val="0"/>
        <cfvo type="num" val="95"/>
        <cfvo type="num" val="100"/>
      </iconSet>
    </cfRule>
    <cfRule type="iconSet" priority="554">
      <iconSet>
        <cfvo type="percent" val="0"/>
        <cfvo type="num" val="95"/>
        <cfvo type="num" val="100"/>
      </iconSet>
    </cfRule>
    <cfRule type="iconSet" priority="579">
      <iconSet>
        <cfvo type="percent" val="0"/>
        <cfvo type="num" val="95"/>
        <cfvo type="num" val="100"/>
      </iconSet>
    </cfRule>
    <cfRule type="iconSet" priority="578">
      <iconSet>
        <cfvo type="percent" val="0"/>
        <cfvo type="num" val="70"/>
        <cfvo type="num" val="90"/>
      </iconSet>
    </cfRule>
    <cfRule type="iconSet" priority="577">
      <iconSet>
        <cfvo type="percent" val="0"/>
        <cfvo type="num" val="70"/>
        <cfvo type="num" val="90"/>
      </iconSet>
    </cfRule>
    <cfRule type="iconSet" priority="576">
      <iconSet>
        <cfvo type="percent" val="0"/>
        <cfvo type="num" val="95"/>
        <cfvo type="num" val="100"/>
      </iconSet>
    </cfRule>
    <cfRule type="iconSet" priority="567">
      <iconSet>
        <cfvo type="percent" val="0"/>
        <cfvo type="num" val="95"/>
        <cfvo type="num" val="100"/>
      </iconSet>
    </cfRule>
    <cfRule type="iconSet" priority="566">
      <iconSet>
        <cfvo type="percent" val="0"/>
        <cfvo type="num" val="70"/>
        <cfvo type="num" val="90"/>
      </iconSet>
    </cfRule>
    <cfRule type="iconSet" priority="565">
      <iconSet>
        <cfvo type="percent" val="0"/>
        <cfvo type="num" val="70"/>
        <cfvo type="num" val="90"/>
      </iconSet>
    </cfRule>
    <cfRule type="iconSet" priority="564">
      <iconSet>
        <cfvo type="percent" val="0"/>
        <cfvo type="num" val="95"/>
        <cfvo type="num" val="100"/>
      </iconSet>
    </cfRule>
    <cfRule type="iconSet" priority="563">
      <iconSet>
        <cfvo type="percent" val="0"/>
        <cfvo type="num" val="95"/>
        <cfvo type="num" val="100"/>
      </iconSet>
    </cfRule>
    <cfRule type="iconSet" priority="562">
      <iconSet>
        <cfvo type="percent" val="0"/>
        <cfvo type="num" val="70"/>
        <cfvo type="num" val="90"/>
      </iconSet>
    </cfRule>
    <cfRule type="iconSet" priority="561">
      <iconSet>
        <cfvo type="percent" val="0"/>
        <cfvo type="num" val="70"/>
        <cfvo type="num" val="90"/>
      </iconSet>
    </cfRule>
  </conditionalFormatting>
  <conditionalFormatting sqref="AA39">
    <cfRule type="iconSet" priority="503">
      <iconSet>
        <cfvo type="percent" val="0"/>
        <cfvo type="num" val="70"/>
        <cfvo type="num" val="90"/>
      </iconSet>
    </cfRule>
    <cfRule type="iconSet" priority="493">
      <iconSet>
        <cfvo type="percent" val="0"/>
        <cfvo type="num" val="95"/>
        <cfvo type="num" val="100"/>
      </iconSet>
    </cfRule>
    <cfRule type="iconSet" priority="494">
      <iconSet>
        <cfvo type="percent" val="0"/>
        <cfvo type="num" val="70"/>
        <cfvo type="num" val="90"/>
      </iconSet>
    </cfRule>
    <cfRule type="iconSet" priority="497">
      <iconSet>
        <cfvo type="percent" val="0"/>
        <cfvo type="num" val="95"/>
        <cfvo type="num" val="100"/>
      </iconSet>
    </cfRule>
    <cfRule type="iconSet" priority="496">
      <iconSet>
        <cfvo type="percent" val="0"/>
        <cfvo type="num" val="95"/>
        <cfvo type="num" val="100"/>
      </iconSet>
    </cfRule>
    <cfRule type="iconSet" priority="585">
      <iconSet>
        <cfvo type="percent" val="0"/>
        <cfvo type="num" val="95"/>
        <cfvo type="num" val="100"/>
      </iconSet>
    </cfRule>
    <cfRule type="iconSet" priority="584">
      <iconSet>
        <cfvo type="percent" val="0"/>
        <cfvo type="num" val="70"/>
        <cfvo type="num" val="90"/>
      </iconSet>
    </cfRule>
    <cfRule type="iconSet" priority="500">
      <iconSet>
        <cfvo type="percent" val="0"/>
        <cfvo type="num" val="95"/>
        <cfvo type="num" val="100"/>
      </iconSet>
    </cfRule>
    <cfRule type="iconSet" priority="501">
      <iconSet>
        <cfvo type="percent" val="0"/>
        <cfvo type="num" val="95"/>
        <cfvo type="num" val="100"/>
      </iconSet>
    </cfRule>
    <cfRule type="iconSet" priority="502">
      <iconSet>
        <cfvo type="percent" val="0"/>
        <cfvo type="num" val="70"/>
        <cfvo type="num" val="90"/>
      </iconSet>
    </cfRule>
    <cfRule type="iconSet" priority="514">
      <iconSet>
        <cfvo type="percent" val="0"/>
        <cfvo type="num" val="70"/>
        <cfvo type="num" val="90"/>
      </iconSet>
    </cfRule>
    <cfRule type="iconSet" priority="495">
      <iconSet>
        <cfvo type="percent" val="0"/>
        <cfvo type="num" val="70"/>
        <cfvo type="num" val="90"/>
      </iconSet>
    </cfRule>
    <cfRule type="iconSet" priority="513">
      <iconSet>
        <cfvo type="percent" val="0"/>
        <cfvo type="num" val="95"/>
        <cfvo type="num" val="100"/>
      </iconSet>
    </cfRule>
    <cfRule type="iconSet" priority="512">
      <iconSet>
        <cfvo type="percent" val="0"/>
        <cfvo type="num" val="95"/>
        <cfvo type="num" val="100"/>
      </iconSet>
    </cfRule>
    <cfRule type="iconSet" priority="511">
      <iconSet>
        <cfvo type="percent" val="0"/>
        <cfvo type="num" val="70"/>
        <cfvo type="num" val="90"/>
      </iconSet>
    </cfRule>
    <cfRule type="iconSet" priority="510">
      <iconSet>
        <cfvo type="percent" val="0"/>
        <cfvo type="num" val="70"/>
        <cfvo type="num" val="90"/>
      </iconSet>
    </cfRule>
    <cfRule type="iconSet" priority="509">
      <iconSet>
        <cfvo type="percent" val="0"/>
        <cfvo type="num" val="95"/>
        <cfvo type="num" val="100"/>
      </iconSet>
    </cfRule>
    <cfRule type="iconSet" priority="508">
      <iconSet>
        <cfvo type="percent" val="0"/>
        <cfvo type="num" val="95"/>
        <cfvo type="num" val="100"/>
      </iconSet>
    </cfRule>
    <cfRule type="iconSet" priority="507">
      <iconSet>
        <cfvo type="percent" val="0"/>
        <cfvo type="num" val="70"/>
        <cfvo type="num" val="90"/>
      </iconSet>
    </cfRule>
    <cfRule type="iconSet" priority="506">
      <iconSet>
        <cfvo type="percent" val="0"/>
        <cfvo type="num" val="70"/>
        <cfvo type="num" val="90"/>
      </iconSet>
    </cfRule>
    <cfRule type="iconSet" priority="505">
      <iconSet>
        <cfvo type="percent" val="0"/>
        <cfvo type="num" val="95"/>
        <cfvo type="num" val="100"/>
      </iconSet>
    </cfRule>
    <cfRule type="iconSet" priority="504">
      <iconSet>
        <cfvo type="percent" val="0"/>
        <cfvo type="num" val="95"/>
        <cfvo type="num" val="100"/>
      </iconSet>
    </cfRule>
    <cfRule type="iconSet" priority="499">
      <iconSet>
        <cfvo type="percent" val="0"/>
        <cfvo type="num" val="70"/>
        <cfvo type="num" val="90"/>
      </iconSet>
    </cfRule>
    <cfRule type="iconSet" priority="498">
      <iconSet>
        <cfvo type="percent" val="0"/>
        <cfvo type="num" val="70"/>
        <cfvo type="num" val="90"/>
      </iconSet>
    </cfRule>
    <cfRule type="iconSet" priority="515">
      <iconSet>
        <cfvo type="percent" val="0"/>
        <cfvo type="num" val="70"/>
        <cfvo type="num" val="90"/>
      </iconSet>
    </cfRule>
    <cfRule type="iconSet" priority="516">
      <iconSet>
        <cfvo type="percent" val="0"/>
        <cfvo type="num" val="95"/>
        <cfvo type="num" val="100"/>
      </iconSet>
    </cfRule>
    <cfRule type="iconSet" priority="517">
      <iconSet>
        <cfvo type="percent" val="0"/>
        <cfvo type="num" val="95"/>
        <cfvo type="num" val="100"/>
      </iconSet>
    </cfRule>
    <cfRule type="iconSet" priority="518">
      <iconSet>
        <cfvo type="percent" val="0"/>
        <cfvo type="num" val="70"/>
        <cfvo type="num" val="90"/>
      </iconSet>
    </cfRule>
    <cfRule type="iconSet" priority="519">
      <iconSet>
        <cfvo type="percent" val="0"/>
        <cfvo type="num" val="70"/>
        <cfvo type="num" val="90"/>
      </iconSet>
    </cfRule>
    <cfRule type="iconSet" priority="520">
      <iconSet>
        <cfvo type="percent" val="0"/>
        <cfvo type="num" val="95"/>
        <cfvo type="num" val="100"/>
      </iconSet>
    </cfRule>
  </conditionalFormatting>
  <conditionalFormatting sqref="AA40">
    <cfRule type="iconSet" priority="313">
      <iconSet>
        <cfvo type="percent" val="0"/>
        <cfvo type="num" val="95"/>
        <cfvo type="num" val="100"/>
      </iconSet>
    </cfRule>
    <cfRule type="iconSet" priority="308">
      <iconSet>
        <cfvo type="percent" val="0"/>
        <cfvo type="num" val="70"/>
        <cfvo type="num" val="90"/>
      </iconSet>
    </cfRule>
    <cfRule type="iconSet" priority="302">
      <iconSet>
        <cfvo type="percent" val="0"/>
        <cfvo type="num" val="95"/>
        <cfvo type="num" val="100"/>
      </iconSet>
    </cfRule>
    <cfRule type="iconSet" priority="301">
      <iconSet>
        <cfvo type="percent" val="0"/>
        <cfvo type="num" val="95"/>
        <cfvo type="num" val="100"/>
      </iconSet>
    </cfRule>
    <cfRule type="iconSet" priority="300">
      <iconSet>
        <cfvo type="percent" val="0"/>
        <cfvo type="num" val="70"/>
        <cfvo type="num" val="90"/>
      </iconSet>
    </cfRule>
    <cfRule type="iconSet" priority="299">
      <iconSet>
        <cfvo type="percent" val="0"/>
        <cfvo type="num" val="70"/>
        <cfvo type="num" val="90"/>
      </iconSet>
    </cfRule>
    <cfRule type="iconSet" priority="309">
      <iconSet>
        <cfvo type="percent" val="0"/>
        <cfvo type="num" val="95"/>
        <cfvo type="num" val="100"/>
      </iconSet>
    </cfRule>
    <cfRule type="iconSet" priority="310">
      <iconSet>
        <cfvo type="percent" val="0"/>
        <cfvo type="num" val="95"/>
        <cfvo type="num" val="100"/>
      </iconSet>
    </cfRule>
    <cfRule type="iconSet" priority="311">
      <iconSet>
        <cfvo type="percent" val="0"/>
        <cfvo type="num" val="70"/>
        <cfvo type="num" val="90"/>
      </iconSet>
    </cfRule>
    <cfRule type="iconSet" priority="312">
      <iconSet>
        <cfvo type="percent" val="0"/>
        <cfvo type="num" val="70"/>
        <cfvo type="num" val="90"/>
      </iconSet>
    </cfRule>
    <cfRule type="iconSet" priority="305">
      <iconSet>
        <cfvo type="percent" val="0"/>
        <cfvo type="num" val="95"/>
        <cfvo type="num" val="100"/>
      </iconSet>
    </cfRule>
    <cfRule type="iconSet" priority="314">
      <iconSet>
        <cfvo type="percent" val="0"/>
        <cfvo type="num" val="95"/>
        <cfvo type="num" val="100"/>
      </iconSet>
    </cfRule>
    <cfRule type="iconSet" priority="315">
      <iconSet>
        <cfvo type="percent" val="0"/>
        <cfvo type="num" val="70"/>
        <cfvo type="num" val="90"/>
      </iconSet>
    </cfRule>
    <cfRule type="iconSet" priority="316">
      <iconSet>
        <cfvo type="percent" val="0"/>
        <cfvo type="num" val="70"/>
        <cfvo type="num" val="90"/>
      </iconSet>
    </cfRule>
    <cfRule type="iconSet" priority="298">
      <iconSet>
        <cfvo type="percent" val="0"/>
        <cfvo type="num" val="95"/>
        <cfvo type="num" val="100"/>
      </iconSet>
    </cfRule>
    <cfRule type="iconSet" priority="297">
      <iconSet>
        <cfvo type="percent" val="0"/>
        <cfvo type="num" val="95"/>
        <cfvo type="num" val="100"/>
      </iconSet>
    </cfRule>
    <cfRule type="iconSet" priority="296">
      <iconSet>
        <cfvo type="percent" val="0"/>
        <cfvo type="num" val="70"/>
        <cfvo type="num" val="90"/>
      </iconSet>
    </cfRule>
    <cfRule type="iconSet" priority="295">
      <iconSet>
        <cfvo type="percent" val="0"/>
        <cfvo type="num" val="70"/>
        <cfvo type="num" val="90"/>
      </iconSet>
    </cfRule>
    <cfRule type="iconSet" priority="294">
      <iconSet>
        <cfvo type="percent" val="0"/>
        <cfvo type="num" val="95"/>
        <cfvo type="num" val="100"/>
      </iconSet>
    </cfRule>
    <cfRule type="iconSet" priority="306">
      <iconSet>
        <cfvo type="percent" val="0"/>
        <cfvo type="num" val="95"/>
        <cfvo type="num" val="100"/>
      </iconSet>
    </cfRule>
    <cfRule type="iconSet" priority="317">
      <iconSet>
        <cfvo type="percent" val="0"/>
        <cfvo type="num" val="95"/>
        <cfvo type="num" val="100"/>
      </iconSet>
    </cfRule>
    <cfRule type="iconSet" priority="303">
      <iconSet>
        <cfvo type="percent" val="0"/>
        <cfvo type="num" val="70"/>
        <cfvo type="num" val="90"/>
      </iconSet>
    </cfRule>
    <cfRule type="iconSet" priority="324">
      <iconSet>
        <cfvo type="percent" val="0"/>
        <cfvo type="num" val="95"/>
        <cfvo type="num" val="100"/>
      </iconSet>
    </cfRule>
    <cfRule type="iconSet" priority="323">
      <iconSet>
        <cfvo type="percent" val="0"/>
        <cfvo type="num" val="95"/>
        <cfvo type="num" val="100"/>
      </iconSet>
    </cfRule>
    <cfRule type="iconSet" priority="322">
      <iconSet>
        <cfvo type="percent" val="0"/>
        <cfvo type="num" val="70"/>
        <cfvo type="num" val="90"/>
      </iconSet>
    </cfRule>
    <cfRule type="iconSet" priority="321">
      <iconSet>
        <cfvo type="percent" val="0"/>
        <cfvo type="num" val="95"/>
        <cfvo type="num" val="100"/>
      </iconSet>
    </cfRule>
    <cfRule type="iconSet" priority="307">
      <iconSet>
        <cfvo type="percent" val="0"/>
        <cfvo type="num" val="70"/>
        <cfvo type="num" val="90"/>
      </iconSet>
    </cfRule>
    <cfRule type="iconSet" priority="318">
      <iconSet>
        <cfvo type="percent" val="0"/>
        <cfvo type="num" val="95"/>
        <cfvo type="num" val="100"/>
      </iconSet>
    </cfRule>
    <cfRule type="iconSet" priority="319">
      <iconSet>
        <cfvo type="percent" val="0"/>
        <cfvo type="num" val="70"/>
        <cfvo type="num" val="90"/>
      </iconSet>
    </cfRule>
    <cfRule type="iconSet" priority="320">
      <iconSet>
        <cfvo type="percent" val="0"/>
        <cfvo type="num" val="70"/>
        <cfvo type="num" val="90"/>
      </iconSet>
    </cfRule>
    <cfRule type="iconSet" priority="304">
      <iconSet>
        <cfvo type="percent" val="0"/>
        <cfvo type="num" val="70"/>
        <cfvo type="num" val="90"/>
      </iconSet>
    </cfRule>
  </conditionalFormatting>
  <conditionalFormatting sqref="AA41">
    <cfRule type="iconSet" priority="488">
      <iconSet>
        <cfvo type="percent" val="0"/>
        <cfvo type="num" val="95"/>
        <cfvo type="num" val="100"/>
      </iconSet>
    </cfRule>
  </conditionalFormatting>
  <conditionalFormatting sqref="AG8">
    <cfRule type="iconSet" priority="191">
      <iconSet>
        <cfvo type="percent" val="0"/>
        <cfvo type="num" val="70"/>
        <cfvo type="num" val="90"/>
      </iconSet>
    </cfRule>
    <cfRule type="iconSet" priority="190">
      <iconSet>
        <cfvo type="percent" val="0"/>
        <cfvo type="num" val="95"/>
        <cfvo type="num" val="100"/>
      </iconSet>
    </cfRule>
    <cfRule type="iconSet" priority="192">
      <iconSet>
        <cfvo type="percent" val="0"/>
        <cfvo type="num" val="70"/>
        <cfvo type="num" val="90"/>
      </iconSet>
    </cfRule>
    <cfRule type="iconSet" priority="189">
      <iconSet>
        <cfvo type="percent" val="0"/>
        <cfvo type="num" val="95"/>
        <cfvo type="num" val="100"/>
      </iconSet>
    </cfRule>
    <cfRule type="iconSet" priority="188">
      <iconSet>
        <cfvo type="percent" val="0"/>
        <cfvo type="num" val="95"/>
        <cfvo type="num" val="100"/>
      </iconSet>
    </cfRule>
    <cfRule type="iconSet" priority="193">
      <iconSet>
        <cfvo type="percent" val="0"/>
        <cfvo type="num" val="95"/>
        <cfvo type="num" val="100"/>
      </iconSet>
    </cfRule>
    <cfRule type="iconSet" priority="187">
      <iconSet>
        <cfvo type="percent" val="0"/>
        <cfvo type="num" val="70"/>
        <cfvo type="num" val="90"/>
      </iconSet>
    </cfRule>
    <cfRule type="iconSet" priority="186">
      <iconSet>
        <cfvo type="percent" val="0"/>
        <cfvo type="num" val="70"/>
        <cfvo type="num" val="90"/>
      </iconSet>
    </cfRule>
    <cfRule type="iconSet" priority="185">
      <iconSet>
        <cfvo type="percent" val="0"/>
        <cfvo type="num" val="95"/>
        <cfvo type="num" val="100"/>
      </iconSet>
    </cfRule>
  </conditionalFormatting>
  <conditionalFormatting sqref="AG9">
    <cfRule type="iconSet" priority="39">
      <iconSet>
        <cfvo type="percent" val="0"/>
        <cfvo type="num" val="70"/>
        <cfvo type="num" val="90"/>
      </iconSet>
    </cfRule>
    <cfRule type="iconSet" priority="38">
      <iconSet>
        <cfvo type="percent" val="0"/>
        <cfvo type="num" val="70"/>
        <cfvo type="num" val="90"/>
      </iconSet>
    </cfRule>
    <cfRule type="iconSet" priority="37">
      <iconSet>
        <cfvo type="percent" val="0"/>
        <cfvo type="num" val="95"/>
        <cfvo type="num" val="100"/>
      </iconSet>
    </cfRule>
    <cfRule type="iconSet" priority="36">
      <iconSet>
        <cfvo type="percent" val="0"/>
        <cfvo type="num" val="95"/>
        <cfvo type="num" val="100"/>
      </iconSet>
    </cfRule>
    <cfRule type="iconSet" priority="35">
      <iconSet>
        <cfvo type="percent" val="0"/>
        <cfvo type="num" val="95"/>
        <cfvo type="num" val="100"/>
      </iconSet>
    </cfRule>
    <cfRule type="iconSet" priority="34">
      <iconSet>
        <cfvo type="percent" val="0"/>
        <cfvo type="num" val="70"/>
        <cfvo type="num" val="90"/>
      </iconSet>
    </cfRule>
    <cfRule type="iconSet" priority="33">
      <iconSet>
        <cfvo type="percent" val="0"/>
        <cfvo type="num" val="70"/>
        <cfvo type="num" val="90"/>
      </iconSet>
    </cfRule>
    <cfRule type="iconSet" priority="32">
      <iconSet>
        <cfvo type="percent" val="0"/>
        <cfvo type="num" val="95"/>
        <cfvo type="num" val="100"/>
      </iconSet>
    </cfRule>
    <cfRule type="iconSet" priority="40">
      <iconSet>
        <cfvo type="percent" val="0"/>
        <cfvo type="num" val="95"/>
        <cfvo type="num" val="100"/>
      </iconSet>
    </cfRule>
  </conditionalFormatting>
  <conditionalFormatting sqref="AG10">
    <cfRule type="iconSet" priority="180">
      <iconSet>
        <cfvo type="percent" val="0"/>
        <cfvo type="num" val="95"/>
        <cfvo type="num" val="100"/>
      </iconSet>
    </cfRule>
    <cfRule type="iconSet" priority="179">
      <iconSet>
        <cfvo type="percent" val="0"/>
        <cfvo type="num" val="95"/>
        <cfvo type="num" val="100"/>
      </iconSet>
    </cfRule>
    <cfRule type="iconSet" priority="177">
      <iconSet>
        <cfvo type="percent" val="0"/>
        <cfvo type="num" val="70"/>
        <cfvo type="num" val="90"/>
      </iconSet>
    </cfRule>
    <cfRule type="iconSet" priority="176">
      <iconSet>
        <cfvo type="percent" val="0"/>
        <cfvo type="num" val="95"/>
        <cfvo type="num" val="100"/>
      </iconSet>
    </cfRule>
    <cfRule type="iconSet" priority="184">
      <iconSet>
        <cfvo type="percent" val="0"/>
        <cfvo type="num" val="95"/>
        <cfvo type="num" val="100"/>
      </iconSet>
    </cfRule>
    <cfRule type="iconSet" priority="178">
      <iconSet>
        <cfvo type="percent" val="0"/>
        <cfvo type="num" val="70"/>
        <cfvo type="num" val="90"/>
      </iconSet>
    </cfRule>
    <cfRule type="iconSet" priority="183">
      <iconSet>
        <cfvo type="percent" val="0"/>
        <cfvo type="num" val="70"/>
        <cfvo type="num" val="90"/>
      </iconSet>
    </cfRule>
    <cfRule type="iconSet" priority="182">
      <iconSet>
        <cfvo type="percent" val="0"/>
        <cfvo type="num" val="70"/>
        <cfvo type="num" val="90"/>
      </iconSet>
    </cfRule>
    <cfRule type="iconSet" priority="181">
      <iconSet>
        <cfvo type="percent" val="0"/>
        <cfvo type="num" val="95"/>
        <cfvo type="num" val="100"/>
      </iconSet>
    </cfRule>
  </conditionalFormatting>
  <conditionalFormatting sqref="AG12">
    <cfRule type="iconSet" priority="168">
      <iconSet>
        <cfvo type="percent" val="0"/>
        <cfvo type="num" val="70"/>
        <cfvo type="num" val="90"/>
      </iconSet>
    </cfRule>
    <cfRule type="iconSet" priority="175">
      <iconSet>
        <cfvo type="percent" val="0"/>
        <cfvo type="num" val="95"/>
        <cfvo type="num" val="100"/>
      </iconSet>
    </cfRule>
    <cfRule type="iconSet" priority="167">
      <iconSet>
        <cfvo type="percent" val="0"/>
        <cfvo type="num" val="95"/>
        <cfvo type="num" val="100"/>
      </iconSet>
    </cfRule>
    <cfRule type="iconSet" priority="170">
      <iconSet>
        <cfvo type="percent" val="0"/>
        <cfvo type="num" val="95"/>
        <cfvo type="num" val="100"/>
      </iconSet>
    </cfRule>
    <cfRule type="iconSet" priority="171">
      <iconSet>
        <cfvo type="percent" val="0"/>
        <cfvo type="num" val="95"/>
        <cfvo type="num" val="100"/>
      </iconSet>
    </cfRule>
    <cfRule type="iconSet" priority="172">
      <iconSet>
        <cfvo type="percent" val="0"/>
        <cfvo type="num" val="95"/>
        <cfvo type="num" val="100"/>
      </iconSet>
    </cfRule>
    <cfRule type="iconSet" priority="173">
      <iconSet>
        <cfvo type="percent" val="0"/>
        <cfvo type="num" val="70"/>
        <cfvo type="num" val="90"/>
      </iconSet>
    </cfRule>
    <cfRule type="iconSet" priority="174">
      <iconSet>
        <cfvo type="percent" val="0"/>
        <cfvo type="num" val="70"/>
        <cfvo type="num" val="90"/>
      </iconSet>
    </cfRule>
    <cfRule type="iconSet" priority="169">
      <iconSet>
        <cfvo type="percent" val="0"/>
        <cfvo type="num" val="70"/>
        <cfvo type="num" val="90"/>
      </iconSet>
    </cfRule>
  </conditionalFormatting>
  <conditionalFormatting sqref="AG13">
    <cfRule type="iconSet" priority="165">
      <iconSet>
        <cfvo type="percent" val="0"/>
        <cfvo type="num" val="70"/>
        <cfvo type="num" val="90"/>
      </iconSet>
    </cfRule>
    <cfRule type="iconSet" priority="164">
      <iconSet>
        <cfvo type="percent" val="0"/>
        <cfvo type="num" val="70"/>
        <cfvo type="num" val="90"/>
      </iconSet>
    </cfRule>
    <cfRule type="iconSet" priority="163">
      <iconSet>
        <cfvo type="percent" val="0"/>
        <cfvo type="num" val="95"/>
        <cfvo type="num" val="100"/>
      </iconSet>
    </cfRule>
    <cfRule type="iconSet" priority="162">
      <iconSet>
        <cfvo type="percent" val="0"/>
        <cfvo type="num" val="95"/>
        <cfvo type="num" val="100"/>
      </iconSet>
    </cfRule>
    <cfRule type="iconSet" priority="161">
      <iconSet>
        <cfvo type="percent" val="0"/>
        <cfvo type="num" val="95"/>
        <cfvo type="num" val="100"/>
      </iconSet>
    </cfRule>
    <cfRule type="iconSet" priority="160">
      <iconSet>
        <cfvo type="percent" val="0"/>
        <cfvo type="num" val="70"/>
        <cfvo type="num" val="90"/>
      </iconSet>
    </cfRule>
    <cfRule type="iconSet" priority="159">
      <iconSet>
        <cfvo type="percent" val="0"/>
        <cfvo type="num" val="70"/>
        <cfvo type="num" val="90"/>
      </iconSet>
    </cfRule>
    <cfRule type="iconSet" priority="158">
      <iconSet>
        <cfvo type="percent" val="0"/>
        <cfvo type="num" val="95"/>
        <cfvo type="num" val="100"/>
      </iconSet>
    </cfRule>
    <cfRule type="iconSet" priority="166">
      <iconSet>
        <cfvo type="percent" val="0"/>
        <cfvo type="num" val="95"/>
        <cfvo type="num" val="100"/>
      </iconSet>
    </cfRule>
  </conditionalFormatting>
  <conditionalFormatting sqref="AG14">
    <cfRule type="iconSet" priority="157">
      <iconSet>
        <cfvo type="percent" val="0"/>
        <cfvo type="num" val="95"/>
        <cfvo type="num" val="100"/>
      </iconSet>
    </cfRule>
    <cfRule type="iconSet" priority="150">
      <iconSet>
        <cfvo type="percent" val="0"/>
        <cfvo type="num" val="70"/>
        <cfvo type="num" val="90"/>
      </iconSet>
    </cfRule>
    <cfRule type="iconSet" priority="151">
      <iconSet>
        <cfvo type="percent" val="0"/>
        <cfvo type="num" val="70"/>
        <cfvo type="num" val="90"/>
      </iconSet>
    </cfRule>
    <cfRule type="iconSet" priority="152">
      <iconSet>
        <cfvo type="percent" val="0"/>
        <cfvo type="num" val="95"/>
        <cfvo type="num" val="100"/>
      </iconSet>
    </cfRule>
    <cfRule type="iconSet" priority="153">
      <iconSet>
        <cfvo type="percent" val="0"/>
        <cfvo type="num" val="95"/>
        <cfvo type="num" val="100"/>
      </iconSet>
    </cfRule>
    <cfRule type="iconSet" priority="154">
      <iconSet>
        <cfvo type="percent" val="0"/>
        <cfvo type="num" val="95"/>
        <cfvo type="num" val="100"/>
      </iconSet>
    </cfRule>
    <cfRule type="iconSet" priority="155">
      <iconSet>
        <cfvo type="percent" val="0"/>
        <cfvo type="num" val="70"/>
        <cfvo type="num" val="90"/>
      </iconSet>
    </cfRule>
    <cfRule type="iconSet" priority="156">
      <iconSet>
        <cfvo type="percent" val="0"/>
        <cfvo type="num" val="70"/>
        <cfvo type="num" val="90"/>
      </iconSet>
    </cfRule>
    <cfRule type="iconSet" priority="149">
      <iconSet>
        <cfvo type="percent" val="0"/>
        <cfvo type="num" val="95"/>
        <cfvo type="num" val="100"/>
      </iconSet>
    </cfRule>
  </conditionalFormatting>
  <conditionalFormatting sqref="AG16">
    <cfRule type="iconSet" priority="148">
      <iconSet>
        <cfvo type="percent" val="0"/>
        <cfvo type="num" val="95"/>
        <cfvo type="num" val="100"/>
      </iconSet>
    </cfRule>
    <cfRule type="iconSet" priority="147">
      <iconSet>
        <cfvo type="percent" val="0"/>
        <cfvo type="num" val="70"/>
        <cfvo type="num" val="90"/>
      </iconSet>
    </cfRule>
    <cfRule type="iconSet" priority="146">
      <iconSet>
        <cfvo type="percent" val="0"/>
        <cfvo type="num" val="70"/>
        <cfvo type="num" val="90"/>
      </iconSet>
    </cfRule>
    <cfRule type="iconSet" priority="145">
      <iconSet>
        <cfvo type="percent" val="0"/>
        <cfvo type="num" val="95"/>
        <cfvo type="num" val="100"/>
      </iconSet>
    </cfRule>
    <cfRule type="iconSet" priority="144">
      <iconSet>
        <cfvo type="percent" val="0"/>
        <cfvo type="num" val="95"/>
        <cfvo type="num" val="100"/>
      </iconSet>
    </cfRule>
    <cfRule type="iconSet" priority="143">
      <iconSet>
        <cfvo type="percent" val="0"/>
        <cfvo type="num" val="95"/>
        <cfvo type="num" val="100"/>
      </iconSet>
    </cfRule>
    <cfRule type="iconSet" priority="142">
      <iconSet>
        <cfvo type="percent" val="0"/>
        <cfvo type="num" val="70"/>
        <cfvo type="num" val="90"/>
      </iconSet>
    </cfRule>
    <cfRule type="iconSet" priority="141">
      <iconSet>
        <cfvo type="percent" val="0"/>
        <cfvo type="num" val="70"/>
        <cfvo type="num" val="90"/>
      </iconSet>
    </cfRule>
    <cfRule type="iconSet" priority="140">
      <iconSet>
        <cfvo type="percent" val="0"/>
        <cfvo type="num" val="95"/>
        <cfvo type="num" val="100"/>
      </iconSet>
    </cfRule>
  </conditionalFormatting>
  <conditionalFormatting sqref="AG17">
    <cfRule type="iconSet" priority="138">
      <iconSet>
        <cfvo type="percent" val="0"/>
        <cfvo type="num" val="70"/>
        <cfvo type="num" val="90"/>
      </iconSet>
    </cfRule>
    <cfRule type="iconSet" priority="137">
      <iconSet>
        <cfvo type="percent" val="0"/>
        <cfvo type="num" val="70"/>
        <cfvo type="num" val="90"/>
      </iconSet>
    </cfRule>
    <cfRule type="iconSet" priority="136">
      <iconSet>
        <cfvo type="percent" val="0"/>
        <cfvo type="num" val="95"/>
        <cfvo type="num" val="100"/>
      </iconSet>
    </cfRule>
    <cfRule type="iconSet" priority="134">
      <iconSet>
        <cfvo type="percent" val="0"/>
        <cfvo type="num" val="95"/>
        <cfvo type="num" val="100"/>
      </iconSet>
    </cfRule>
    <cfRule type="iconSet" priority="133">
      <iconSet>
        <cfvo type="percent" val="0"/>
        <cfvo type="num" val="70"/>
        <cfvo type="num" val="90"/>
      </iconSet>
    </cfRule>
    <cfRule type="iconSet" priority="132">
      <iconSet>
        <cfvo type="percent" val="0"/>
        <cfvo type="num" val="70"/>
        <cfvo type="num" val="90"/>
      </iconSet>
    </cfRule>
    <cfRule type="iconSet" priority="131">
      <iconSet>
        <cfvo type="percent" val="0"/>
        <cfvo type="num" val="95"/>
        <cfvo type="num" val="100"/>
      </iconSet>
    </cfRule>
    <cfRule type="iconSet" priority="135">
      <iconSet>
        <cfvo type="percent" val="0"/>
        <cfvo type="num" val="95"/>
        <cfvo type="num" val="100"/>
      </iconSet>
    </cfRule>
    <cfRule type="iconSet" priority="139">
      <iconSet>
        <cfvo type="percent" val="0"/>
        <cfvo type="num" val="95"/>
        <cfvo type="num" val="100"/>
      </iconSet>
    </cfRule>
  </conditionalFormatting>
  <conditionalFormatting sqref="AG18">
    <cfRule type="iconSet" priority="130">
      <iconSet>
        <cfvo type="percent" val="0"/>
        <cfvo type="num" val="95"/>
        <cfvo type="num" val="100"/>
      </iconSet>
    </cfRule>
    <cfRule type="iconSet" priority="129">
      <iconSet>
        <cfvo type="percent" val="0"/>
        <cfvo type="num" val="70"/>
        <cfvo type="num" val="90"/>
      </iconSet>
    </cfRule>
    <cfRule type="iconSet" priority="128">
      <iconSet>
        <cfvo type="percent" val="0"/>
        <cfvo type="num" val="70"/>
        <cfvo type="num" val="90"/>
      </iconSet>
    </cfRule>
    <cfRule type="iconSet" priority="127">
      <iconSet>
        <cfvo type="percent" val="0"/>
        <cfvo type="num" val="95"/>
        <cfvo type="num" val="100"/>
      </iconSet>
    </cfRule>
    <cfRule type="iconSet" priority="126">
      <iconSet>
        <cfvo type="percent" val="0"/>
        <cfvo type="num" val="95"/>
        <cfvo type="num" val="100"/>
      </iconSet>
    </cfRule>
    <cfRule type="iconSet" priority="125">
      <iconSet>
        <cfvo type="percent" val="0"/>
        <cfvo type="num" val="95"/>
        <cfvo type="num" val="100"/>
      </iconSet>
    </cfRule>
    <cfRule type="iconSet" priority="124">
      <iconSet>
        <cfvo type="percent" val="0"/>
        <cfvo type="num" val="70"/>
        <cfvo type="num" val="90"/>
      </iconSet>
    </cfRule>
    <cfRule type="iconSet" priority="123">
      <iconSet>
        <cfvo type="percent" val="0"/>
        <cfvo type="num" val="70"/>
        <cfvo type="num" val="90"/>
      </iconSet>
    </cfRule>
    <cfRule type="iconSet" priority="122">
      <iconSet>
        <cfvo type="percent" val="0"/>
        <cfvo type="num" val="95"/>
        <cfvo type="num" val="100"/>
      </iconSet>
    </cfRule>
  </conditionalFormatting>
  <conditionalFormatting sqref="AG19">
    <cfRule type="iconSet" priority="241">
      <iconSet>
        <cfvo type="percent" val="0"/>
        <cfvo type="num" val="95"/>
        <cfvo type="num" val="100"/>
      </iconSet>
    </cfRule>
    <cfRule type="iconSet" priority="242">
      <iconSet>
        <cfvo type="percent" val="0"/>
        <cfvo type="num" val="70"/>
        <cfvo type="num" val="90"/>
      </iconSet>
    </cfRule>
    <cfRule type="iconSet" priority="243">
      <iconSet>
        <cfvo type="percent" val="0"/>
        <cfvo type="num" val="70"/>
        <cfvo type="num" val="90"/>
      </iconSet>
    </cfRule>
    <cfRule type="iconSet" priority="244">
      <iconSet>
        <cfvo type="percent" val="0"/>
        <cfvo type="num" val="95"/>
        <cfvo type="num" val="100"/>
      </iconSet>
    </cfRule>
    <cfRule type="iconSet" priority="245">
      <iconSet>
        <cfvo type="percent" val="0"/>
        <cfvo type="num" val="95"/>
        <cfvo type="num" val="100"/>
      </iconSet>
    </cfRule>
    <cfRule type="iconSet" priority="246">
      <iconSet>
        <cfvo type="percent" val="0"/>
        <cfvo type="num" val="70"/>
        <cfvo type="num" val="90"/>
      </iconSet>
    </cfRule>
    <cfRule type="iconSet" priority="248">
      <iconSet>
        <cfvo type="percent" val="0"/>
        <cfvo type="num" val="95"/>
        <cfvo type="num" val="100"/>
      </iconSet>
    </cfRule>
    <cfRule type="iconSet" priority="249">
      <iconSet>
        <cfvo type="percent" val="0"/>
        <cfvo type="num" val="95"/>
        <cfvo type="num" val="100"/>
      </iconSet>
    </cfRule>
    <cfRule type="iconSet" priority="250">
      <iconSet>
        <cfvo type="percent" val="0"/>
        <cfvo type="num" val="70"/>
        <cfvo type="num" val="90"/>
      </iconSet>
    </cfRule>
    <cfRule type="iconSet" priority="257">
      <iconSet>
        <cfvo type="percent" val="0"/>
        <cfvo type="num" val="95"/>
        <cfvo type="num" val="100"/>
      </iconSet>
    </cfRule>
    <cfRule type="iconSet" priority="256">
      <iconSet>
        <cfvo type="percent" val="0"/>
        <cfvo type="num" val="95"/>
        <cfvo type="num" val="100"/>
      </iconSet>
    </cfRule>
    <cfRule type="iconSet" priority="255">
      <iconSet>
        <cfvo type="percent" val="0"/>
        <cfvo type="num" val="70"/>
        <cfvo type="num" val="90"/>
      </iconSet>
    </cfRule>
    <cfRule type="iconSet" priority="251">
      <iconSet>
        <cfvo type="percent" val="0"/>
        <cfvo type="num" val="70"/>
        <cfvo type="num" val="90"/>
      </iconSet>
    </cfRule>
    <cfRule type="iconSet" priority="254">
      <iconSet>
        <cfvo type="percent" val="0"/>
        <cfvo type="num" val="70"/>
        <cfvo type="num" val="90"/>
      </iconSet>
    </cfRule>
    <cfRule type="iconSet" priority="253">
      <iconSet>
        <cfvo type="percent" val="0"/>
        <cfvo type="num" val="95"/>
        <cfvo type="num" val="100"/>
      </iconSet>
    </cfRule>
    <cfRule type="iconSet" priority="247">
      <iconSet>
        <cfvo type="percent" val="0"/>
        <cfvo type="num" val="70"/>
        <cfvo type="num" val="90"/>
      </iconSet>
    </cfRule>
    <cfRule type="iconSet" priority="235">
      <iconSet>
        <cfvo type="percent" val="0"/>
        <cfvo type="num" val="70"/>
        <cfvo type="num" val="90"/>
      </iconSet>
    </cfRule>
    <cfRule type="iconSet" priority="231">
      <iconSet>
        <cfvo type="percent" val="0"/>
        <cfvo type="num" val="70"/>
        <cfvo type="num" val="90"/>
      </iconSet>
    </cfRule>
    <cfRule type="iconSet" priority="232">
      <iconSet>
        <cfvo type="percent" val="0"/>
        <cfvo type="num" val="95"/>
        <cfvo type="num" val="100"/>
      </iconSet>
    </cfRule>
    <cfRule type="iconSet" priority="233">
      <iconSet>
        <cfvo type="percent" val="0"/>
        <cfvo type="num" val="95"/>
        <cfvo type="num" val="100"/>
      </iconSet>
    </cfRule>
    <cfRule type="iconSet" priority="234">
      <iconSet>
        <cfvo type="percent" val="0"/>
        <cfvo type="num" val="70"/>
        <cfvo type="num" val="90"/>
      </iconSet>
    </cfRule>
    <cfRule type="iconSet" priority="236">
      <iconSet>
        <cfvo type="percent" val="0"/>
        <cfvo type="num" val="95"/>
        <cfvo type="num" val="100"/>
      </iconSet>
    </cfRule>
    <cfRule type="iconSet" priority="237">
      <iconSet>
        <cfvo type="percent" val="0"/>
        <cfvo type="num" val="95"/>
        <cfvo type="num" val="100"/>
      </iconSet>
    </cfRule>
    <cfRule type="iconSet" priority="238">
      <iconSet>
        <cfvo type="percent" val="0"/>
        <cfvo type="num" val="70"/>
        <cfvo type="num" val="90"/>
      </iconSet>
    </cfRule>
    <cfRule type="iconSet" priority="239">
      <iconSet>
        <cfvo type="percent" val="0"/>
        <cfvo type="num" val="70"/>
        <cfvo type="num" val="90"/>
      </iconSet>
    </cfRule>
    <cfRule type="iconSet" priority="240">
      <iconSet>
        <cfvo type="percent" val="0"/>
        <cfvo type="num" val="95"/>
        <cfvo type="num" val="100"/>
      </iconSet>
    </cfRule>
    <cfRule type="iconSet" priority="252">
      <iconSet>
        <cfvo type="percent" val="0"/>
        <cfvo type="num" val="95"/>
        <cfvo type="num" val="100"/>
      </iconSet>
    </cfRule>
    <cfRule type="iconSet" priority="230">
      <iconSet>
        <cfvo type="percent" val="0"/>
        <cfvo type="num" val="70"/>
        <cfvo type="num" val="90"/>
      </iconSet>
    </cfRule>
    <cfRule type="iconSet" priority="229">
      <iconSet>
        <cfvo type="percent" val="0"/>
        <cfvo type="num" val="95"/>
        <cfvo type="num" val="100"/>
      </iconSet>
    </cfRule>
  </conditionalFormatting>
  <conditionalFormatting sqref="AG20">
    <cfRule type="iconSet" priority="119">
      <iconSet>
        <cfvo type="percent" val="0"/>
        <cfvo type="num" val="70"/>
        <cfvo type="num" val="90"/>
      </iconSet>
    </cfRule>
    <cfRule type="iconSet" priority="118">
      <iconSet>
        <cfvo type="percent" val="0"/>
        <cfvo type="num" val="95"/>
        <cfvo type="num" val="100"/>
      </iconSet>
    </cfRule>
    <cfRule type="iconSet" priority="117">
      <iconSet>
        <cfvo type="percent" val="0"/>
        <cfvo type="num" val="95"/>
        <cfvo type="num" val="100"/>
      </iconSet>
    </cfRule>
    <cfRule type="iconSet" priority="116">
      <iconSet>
        <cfvo type="percent" val="0"/>
        <cfvo type="num" val="95"/>
        <cfvo type="num" val="100"/>
      </iconSet>
    </cfRule>
    <cfRule type="iconSet" priority="115">
      <iconSet>
        <cfvo type="percent" val="0"/>
        <cfvo type="num" val="70"/>
        <cfvo type="num" val="90"/>
      </iconSet>
    </cfRule>
    <cfRule type="iconSet" priority="114">
      <iconSet>
        <cfvo type="percent" val="0"/>
        <cfvo type="num" val="70"/>
        <cfvo type="num" val="90"/>
      </iconSet>
    </cfRule>
    <cfRule type="iconSet" priority="113">
      <iconSet>
        <cfvo type="percent" val="0"/>
        <cfvo type="num" val="95"/>
        <cfvo type="num" val="100"/>
      </iconSet>
    </cfRule>
    <cfRule type="iconSet" priority="121">
      <iconSet>
        <cfvo type="percent" val="0"/>
        <cfvo type="num" val="95"/>
        <cfvo type="num" val="100"/>
      </iconSet>
    </cfRule>
    <cfRule type="iconSet" priority="120">
      <iconSet>
        <cfvo type="percent" val="0"/>
        <cfvo type="num" val="70"/>
        <cfvo type="num" val="90"/>
      </iconSet>
    </cfRule>
  </conditionalFormatting>
  <conditionalFormatting sqref="AG21">
    <cfRule type="iconSet" priority="110">
      <iconSet>
        <cfvo type="percent" val="0"/>
        <cfvo type="num" val="70"/>
        <cfvo type="num" val="90"/>
      </iconSet>
    </cfRule>
    <cfRule type="iconSet" priority="109">
      <iconSet>
        <cfvo type="percent" val="0"/>
        <cfvo type="num" val="95"/>
        <cfvo type="num" val="100"/>
      </iconSet>
    </cfRule>
    <cfRule type="iconSet" priority="108">
      <iconSet>
        <cfvo type="percent" val="0"/>
        <cfvo type="num" val="95"/>
        <cfvo type="num" val="100"/>
      </iconSet>
    </cfRule>
    <cfRule type="iconSet" priority="107">
      <iconSet>
        <cfvo type="percent" val="0"/>
        <cfvo type="num" val="95"/>
        <cfvo type="num" val="100"/>
      </iconSet>
    </cfRule>
    <cfRule type="iconSet" priority="106">
      <iconSet>
        <cfvo type="percent" val="0"/>
        <cfvo type="num" val="70"/>
        <cfvo type="num" val="90"/>
      </iconSet>
    </cfRule>
    <cfRule type="iconSet" priority="105">
      <iconSet>
        <cfvo type="percent" val="0"/>
        <cfvo type="num" val="70"/>
        <cfvo type="num" val="90"/>
      </iconSet>
    </cfRule>
    <cfRule type="iconSet" priority="104">
      <iconSet>
        <cfvo type="percent" val="0"/>
        <cfvo type="num" val="95"/>
        <cfvo type="num" val="100"/>
      </iconSet>
    </cfRule>
    <cfRule type="iconSet" priority="112">
      <iconSet>
        <cfvo type="percent" val="0"/>
        <cfvo type="num" val="95"/>
        <cfvo type="num" val="100"/>
      </iconSet>
    </cfRule>
    <cfRule type="iconSet" priority="111">
      <iconSet>
        <cfvo type="percent" val="0"/>
        <cfvo type="num" val="70"/>
        <cfvo type="num" val="90"/>
      </iconSet>
    </cfRule>
  </conditionalFormatting>
  <conditionalFormatting sqref="AG22">
    <cfRule type="iconSet" priority="103">
      <iconSet>
        <cfvo type="percent" val="0"/>
        <cfvo type="num" val="95"/>
        <cfvo type="num" val="100"/>
      </iconSet>
    </cfRule>
    <cfRule type="iconSet" priority="102">
      <iconSet>
        <cfvo type="percent" val="0"/>
        <cfvo type="num" val="70"/>
        <cfvo type="num" val="90"/>
      </iconSet>
    </cfRule>
    <cfRule type="iconSet" priority="101">
      <iconSet>
        <cfvo type="percent" val="0"/>
        <cfvo type="num" val="70"/>
        <cfvo type="num" val="90"/>
      </iconSet>
    </cfRule>
    <cfRule type="iconSet" priority="100">
      <iconSet>
        <cfvo type="percent" val="0"/>
        <cfvo type="num" val="95"/>
        <cfvo type="num" val="100"/>
      </iconSet>
    </cfRule>
    <cfRule type="iconSet" priority="99">
      <iconSet>
        <cfvo type="percent" val="0"/>
        <cfvo type="num" val="95"/>
        <cfvo type="num" val="100"/>
      </iconSet>
    </cfRule>
    <cfRule type="iconSet" priority="98">
      <iconSet>
        <cfvo type="percent" val="0"/>
        <cfvo type="num" val="95"/>
        <cfvo type="num" val="100"/>
      </iconSet>
    </cfRule>
    <cfRule type="iconSet" priority="97">
      <iconSet>
        <cfvo type="percent" val="0"/>
        <cfvo type="num" val="70"/>
        <cfvo type="num" val="90"/>
      </iconSet>
    </cfRule>
    <cfRule type="iconSet" priority="96">
      <iconSet>
        <cfvo type="percent" val="0"/>
        <cfvo type="num" val="70"/>
        <cfvo type="num" val="90"/>
      </iconSet>
    </cfRule>
    <cfRule type="iconSet" priority="95">
      <iconSet>
        <cfvo type="percent" val="0"/>
        <cfvo type="num" val="95"/>
        <cfvo type="num" val="100"/>
      </iconSet>
    </cfRule>
  </conditionalFormatting>
  <conditionalFormatting sqref="AG23">
    <cfRule type="iconSet" priority="92">
      <iconSet>
        <cfvo type="percent" val="0"/>
        <cfvo type="num" val="70"/>
        <cfvo type="num" val="90"/>
      </iconSet>
    </cfRule>
    <cfRule type="iconSet" priority="91">
      <iconSet>
        <cfvo type="percent" val="0"/>
        <cfvo type="num" val="95"/>
        <cfvo type="num" val="100"/>
      </iconSet>
    </cfRule>
    <cfRule type="iconSet" priority="90">
      <iconSet>
        <cfvo type="percent" val="0"/>
        <cfvo type="num" val="95"/>
        <cfvo type="num" val="100"/>
      </iconSet>
    </cfRule>
    <cfRule type="iconSet" priority="89">
      <iconSet>
        <cfvo type="percent" val="0"/>
        <cfvo type="num" val="95"/>
        <cfvo type="num" val="100"/>
      </iconSet>
    </cfRule>
    <cfRule type="iconSet" priority="88">
      <iconSet>
        <cfvo type="percent" val="0"/>
        <cfvo type="num" val="70"/>
        <cfvo type="num" val="90"/>
      </iconSet>
    </cfRule>
    <cfRule type="iconSet" priority="87">
      <iconSet>
        <cfvo type="percent" val="0"/>
        <cfvo type="num" val="70"/>
        <cfvo type="num" val="90"/>
      </iconSet>
    </cfRule>
    <cfRule type="iconSet" priority="86">
      <iconSet>
        <cfvo type="percent" val="0"/>
        <cfvo type="num" val="95"/>
        <cfvo type="num" val="100"/>
      </iconSet>
    </cfRule>
    <cfRule type="iconSet" priority="94">
      <iconSet>
        <cfvo type="percent" val="0"/>
        <cfvo type="num" val="95"/>
        <cfvo type="num" val="100"/>
      </iconSet>
    </cfRule>
    <cfRule type="iconSet" priority="93">
      <iconSet>
        <cfvo type="percent" val="0"/>
        <cfvo type="num" val="70"/>
        <cfvo type="num" val="90"/>
      </iconSet>
    </cfRule>
  </conditionalFormatting>
  <conditionalFormatting sqref="AG24">
    <cfRule type="iconSet" priority="83">
      <iconSet>
        <cfvo type="percent" val="0"/>
        <cfvo type="num" val="70"/>
        <cfvo type="num" val="90"/>
      </iconSet>
    </cfRule>
    <cfRule type="iconSet" priority="82">
      <iconSet>
        <cfvo type="percent" val="0"/>
        <cfvo type="num" val="95"/>
        <cfvo type="num" val="100"/>
      </iconSet>
    </cfRule>
    <cfRule type="iconSet" priority="81">
      <iconSet>
        <cfvo type="percent" val="0"/>
        <cfvo type="num" val="95"/>
        <cfvo type="num" val="100"/>
      </iconSet>
    </cfRule>
    <cfRule type="iconSet" priority="80">
      <iconSet>
        <cfvo type="percent" val="0"/>
        <cfvo type="num" val="95"/>
        <cfvo type="num" val="100"/>
      </iconSet>
    </cfRule>
    <cfRule type="iconSet" priority="79">
      <iconSet>
        <cfvo type="percent" val="0"/>
        <cfvo type="num" val="70"/>
        <cfvo type="num" val="90"/>
      </iconSet>
    </cfRule>
    <cfRule type="iconSet" priority="78">
      <iconSet>
        <cfvo type="percent" val="0"/>
        <cfvo type="num" val="70"/>
        <cfvo type="num" val="90"/>
      </iconSet>
    </cfRule>
    <cfRule type="iconSet" priority="77">
      <iconSet>
        <cfvo type="percent" val="0"/>
        <cfvo type="num" val="95"/>
        <cfvo type="num" val="100"/>
      </iconSet>
    </cfRule>
    <cfRule type="iconSet" priority="85">
      <iconSet>
        <cfvo type="percent" val="0"/>
        <cfvo type="num" val="95"/>
        <cfvo type="num" val="100"/>
      </iconSet>
    </cfRule>
    <cfRule type="iconSet" priority="84">
      <iconSet>
        <cfvo type="percent" val="0"/>
        <cfvo type="num" val="70"/>
        <cfvo type="num" val="90"/>
      </iconSet>
    </cfRule>
  </conditionalFormatting>
  <conditionalFormatting sqref="AG25">
    <cfRule type="iconSet" priority="228">
      <iconSet>
        <cfvo type="percent" val="0"/>
        <cfvo type="num" val="95"/>
        <cfvo type="num" val="100"/>
      </iconSet>
    </cfRule>
  </conditionalFormatting>
  <conditionalFormatting sqref="AG26">
    <cfRule type="iconSet" priority="73">
      <iconSet>
        <cfvo type="percent" val="0"/>
        <cfvo type="num" val="95"/>
        <cfvo type="num" val="100"/>
      </iconSet>
    </cfRule>
    <cfRule type="iconSet" priority="72">
      <iconSet>
        <cfvo type="percent" val="0"/>
        <cfvo type="num" val="95"/>
        <cfvo type="num" val="100"/>
      </iconSet>
    </cfRule>
    <cfRule type="iconSet" priority="71">
      <iconSet>
        <cfvo type="percent" val="0"/>
        <cfvo type="num" val="95"/>
        <cfvo type="num" val="100"/>
      </iconSet>
    </cfRule>
    <cfRule type="iconSet" priority="70">
      <iconSet>
        <cfvo type="percent" val="0"/>
        <cfvo type="num" val="70"/>
        <cfvo type="num" val="90"/>
      </iconSet>
    </cfRule>
    <cfRule type="iconSet" priority="69">
      <iconSet>
        <cfvo type="percent" val="0"/>
        <cfvo type="num" val="70"/>
        <cfvo type="num" val="90"/>
      </iconSet>
    </cfRule>
    <cfRule type="iconSet" priority="68">
      <iconSet>
        <cfvo type="percent" val="0"/>
        <cfvo type="num" val="95"/>
        <cfvo type="num" val="100"/>
      </iconSet>
    </cfRule>
    <cfRule type="iconSet" priority="76">
      <iconSet>
        <cfvo type="percent" val="0"/>
        <cfvo type="num" val="95"/>
        <cfvo type="num" val="100"/>
      </iconSet>
    </cfRule>
    <cfRule type="iconSet" priority="75">
      <iconSet>
        <cfvo type="percent" val="0"/>
        <cfvo type="num" val="70"/>
        <cfvo type="num" val="90"/>
      </iconSet>
    </cfRule>
    <cfRule type="iconSet" priority="74">
      <iconSet>
        <cfvo type="percent" val="0"/>
        <cfvo type="num" val="70"/>
        <cfvo type="num" val="90"/>
      </iconSet>
    </cfRule>
  </conditionalFormatting>
  <conditionalFormatting sqref="AG27">
    <cfRule type="iconSet" priority="262">
      <iconSet>
        <cfvo type="percent" val="0"/>
        <cfvo type="num" val="95"/>
        <cfvo type="num" val="100"/>
      </iconSet>
    </cfRule>
  </conditionalFormatting>
  <conditionalFormatting sqref="AG28:AG30">
    <cfRule type="iconSet" priority="64">
      <iconSet>
        <cfvo type="percent" val="0"/>
        <cfvo type="num" val="95"/>
        <cfvo type="num" val="100"/>
      </iconSet>
    </cfRule>
    <cfRule type="iconSet" priority="63">
      <iconSet>
        <cfvo type="percent" val="0"/>
        <cfvo type="num" val="95"/>
        <cfvo type="num" val="100"/>
      </iconSet>
    </cfRule>
    <cfRule type="iconSet" priority="62">
      <iconSet>
        <cfvo type="percent" val="0"/>
        <cfvo type="num" val="95"/>
        <cfvo type="num" val="100"/>
      </iconSet>
    </cfRule>
    <cfRule type="iconSet" priority="61">
      <iconSet>
        <cfvo type="percent" val="0"/>
        <cfvo type="num" val="70"/>
        <cfvo type="num" val="90"/>
      </iconSet>
    </cfRule>
    <cfRule type="iconSet" priority="60">
      <iconSet>
        <cfvo type="percent" val="0"/>
        <cfvo type="num" val="70"/>
        <cfvo type="num" val="90"/>
      </iconSet>
    </cfRule>
    <cfRule type="iconSet" priority="59">
      <iconSet>
        <cfvo type="percent" val="0"/>
        <cfvo type="num" val="95"/>
        <cfvo type="num" val="100"/>
      </iconSet>
    </cfRule>
    <cfRule type="iconSet" priority="67">
      <iconSet>
        <cfvo type="percent" val="0"/>
        <cfvo type="num" val="95"/>
        <cfvo type="num" val="100"/>
      </iconSet>
    </cfRule>
    <cfRule type="iconSet" priority="65">
      <iconSet>
        <cfvo type="percent" val="0"/>
        <cfvo type="num" val="70"/>
        <cfvo type="num" val="90"/>
      </iconSet>
    </cfRule>
    <cfRule type="iconSet" priority="66">
      <iconSet>
        <cfvo type="percent" val="0"/>
        <cfvo type="num" val="70"/>
        <cfvo type="num" val="90"/>
      </iconSet>
    </cfRule>
  </conditionalFormatting>
  <conditionalFormatting sqref="AG31:AG33">
    <cfRule type="iconSet" priority="58">
      <iconSet>
        <cfvo type="percent" val="0"/>
        <cfvo type="num" val="95"/>
        <cfvo type="num" val="100"/>
      </iconSet>
    </cfRule>
    <cfRule type="iconSet" priority="57">
      <iconSet>
        <cfvo type="percent" val="0"/>
        <cfvo type="num" val="70"/>
        <cfvo type="num" val="90"/>
      </iconSet>
    </cfRule>
    <cfRule type="iconSet" priority="56">
      <iconSet>
        <cfvo type="percent" val="0"/>
        <cfvo type="num" val="70"/>
        <cfvo type="num" val="90"/>
      </iconSet>
    </cfRule>
    <cfRule type="iconSet" priority="55">
      <iconSet>
        <cfvo type="percent" val="0"/>
        <cfvo type="num" val="95"/>
        <cfvo type="num" val="100"/>
      </iconSet>
    </cfRule>
    <cfRule type="iconSet" priority="54">
      <iconSet>
        <cfvo type="percent" val="0"/>
        <cfvo type="num" val="95"/>
        <cfvo type="num" val="100"/>
      </iconSet>
    </cfRule>
    <cfRule type="iconSet" priority="53">
      <iconSet>
        <cfvo type="percent" val="0"/>
        <cfvo type="num" val="95"/>
        <cfvo type="num" val="100"/>
      </iconSet>
    </cfRule>
    <cfRule type="iconSet" priority="52">
      <iconSet>
        <cfvo type="percent" val="0"/>
        <cfvo type="num" val="70"/>
        <cfvo type="num" val="90"/>
      </iconSet>
    </cfRule>
    <cfRule type="iconSet" priority="51">
      <iconSet>
        <cfvo type="percent" val="0"/>
        <cfvo type="num" val="70"/>
        <cfvo type="num" val="90"/>
      </iconSet>
    </cfRule>
    <cfRule type="iconSet" priority="50">
      <iconSet>
        <cfvo type="percent" val="0"/>
        <cfvo type="num" val="95"/>
        <cfvo type="num" val="100"/>
      </iconSet>
    </cfRule>
  </conditionalFormatting>
  <conditionalFormatting sqref="AG34">
    <cfRule type="iconSet" priority="194">
      <iconSet>
        <cfvo type="percent" val="0"/>
        <cfvo type="num" val="95"/>
        <cfvo type="num" val="100"/>
      </iconSet>
    </cfRule>
  </conditionalFormatting>
  <conditionalFormatting sqref="AG35:AG36">
    <cfRule type="iconSet" priority="44">
      <iconSet>
        <cfvo type="percent" val="0"/>
        <cfvo type="num" val="95"/>
        <cfvo type="num" val="100"/>
      </iconSet>
    </cfRule>
    <cfRule type="iconSet" priority="43">
      <iconSet>
        <cfvo type="percent" val="0"/>
        <cfvo type="num" val="70"/>
        <cfvo type="num" val="90"/>
      </iconSet>
    </cfRule>
    <cfRule type="iconSet" priority="42">
      <iconSet>
        <cfvo type="percent" val="0"/>
        <cfvo type="num" val="70"/>
        <cfvo type="num" val="90"/>
      </iconSet>
    </cfRule>
    <cfRule type="iconSet" priority="41">
      <iconSet>
        <cfvo type="percent" val="0"/>
        <cfvo type="num" val="95"/>
        <cfvo type="num" val="100"/>
      </iconSet>
    </cfRule>
    <cfRule type="iconSet" priority="49">
      <iconSet>
        <cfvo type="percent" val="0"/>
        <cfvo type="num" val="95"/>
        <cfvo type="num" val="100"/>
      </iconSet>
    </cfRule>
    <cfRule type="iconSet" priority="48">
      <iconSet>
        <cfvo type="percent" val="0"/>
        <cfvo type="num" val="70"/>
        <cfvo type="num" val="90"/>
      </iconSet>
    </cfRule>
    <cfRule type="iconSet" priority="47">
      <iconSet>
        <cfvo type="percent" val="0"/>
        <cfvo type="num" val="70"/>
        <cfvo type="num" val="90"/>
      </iconSet>
    </cfRule>
    <cfRule type="iconSet" priority="46">
      <iconSet>
        <cfvo type="percent" val="0"/>
        <cfvo type="num" val="95"/>
        <cfvo type="num" val="100"/>
      </iconSet>
    </cfRule>
    <cfRule type="iconSet" priority="45">
      <iconSet>
        <cfvo type="percent" val="0"/>
        <cfvo type="num" val="95"/>
        <cfvo type="num" val="100"/>
      </iconSet>
    </cfRule>
  </conditionalFormatting>
  <conditionalFormatting sqref="AG37">
    <cfRule type="iconSet" priority="289">
      <iconSet>
        <cfvo type="percent" val="0"/>
        <cfvo type="num" val="70"/>
        <cfvo type="num" val="90"/>
      </iconSet>
    </cfRule>
    <cfRule type="iconSet" priority="288">
      <iconSet>
        <cfvo type="percent" val="0"/>
        <cfvo type="num" val="70"/>
        <cfvo type="num" val="90"/>
      </iconSet>
    </cfRule>
    <cfRule type="iconSet" priority="287">
      <iconSet>
        <cfvo type="percent" val="0"/>
        <cfvo type="num" val="95"/>
        <cfvo type="num" val="100"/>
      </iconSet>
    </cfRule>
    <cfRule type="iconSet" priority="290">
      <iconSet>
        <cfvo type="percent" val="0"/>
        <cfvo type="num" val="95"/>
        <cfvo type="num" val="100"/>
      </iconSet>
    </cfRule>
  </conditionalFormatting>
  <conditionalFormatting sqref="AG37:AG38">
    <cfRule type="iconSet" priority="276">
      <iconSet>
        <cfvo type="percent" val="0"/>
        <cfvo type="num" val="70"/>
        <cfvo type="num" val="90"/>
      </iconSet>
    </cfRule>
    <cfRule type="iconSet" priority="277">
      <iconSet>
        <cfvo type="percent" val="0"/>
        <cfvo type="num" val="70"/>
        <cfvo type="num" val="90"/>
      </iconSet>
    </cfRule>
    <cfRule type="iconSet" priority="279">
      <iconSet>
        <cfvo type="percent" val="0"/>
        <cfvo type="num" val="95"/>
        <cfvo type="num" val="100"/>
      </iconSet>
    </cfRule>
    <cfRule type="iconSet" priority="281">
      <iconSet>
        <cfvo type="percent" val="0"/>
        <cfvo type="num" val="70"/>
        <cfvo type="num" val="90"/>
      </iconSet>
    </cfRule>
    <cfRule type="iconSet" priority="282">
      <iconSet>
        <cfvo type="percent" val="0"/>
        <cfvo type="num" val="95"/>
        <cfvo type="num" val="100"/>
      </iconSet>
    </cfRule>
    <cfRule type="iconSet" priority="280">
      <iconSet>
        <cfvo type="percent" val="0"/>
        <cfvo type="num" val="70"/>
        <cfvo type="num" val="90"/>
      </iconSet>
    </cfRule>
    <cfRule type="iconSet" priority="275">
      <iconSet>
        <cfvo type="percent" val="0"/>
        <cfvo type="num" val="95"/>
        <cfvo type="num" val="100"/>
      </iconSet>
    </cfRule>
    <cfRule type="iconSet" priority="278">
      <iconSet>
        <cfvo type="percent" val="0"/>
        <cfvo type="num" val="95"/>
        <cfvo type="num" val="100"/>
      </iconSet>
    </cfRule>
  </conditionalFormatting>
  <conditionalFormatting sqref="AG37:AG39">
    <cfRule type="iconSet" priority="293">
      <iconSet>
        <cfvo type="percent" val="0"/>
        <cfvo type="num" val="95"/>
        <cfvo type="num" val="100"/>
      </iconSet>
    </cfRule>
  </conditionalFormatting>
  <conditionalFormatting sqref="AG38">
    <cfRule type="iconSet" priority="271">
      <iconSet>
        <cfvo type="percent" val="0"/>
        <cfvo type="num" val="95"/>
        <cfvo type="num" val="100"/>
      </iconSet>
    </cfRule>
    <cfRule type="iconSet" priority="272">
      <iconSet>
        <cfvo type="percent" val="0"/>
        <cfvo type="num" val="70"/>
        <cfvo type="num" val="90"/>
      </iconSet>
    </cfRule>
    <cfRule type="iconSet" priority="273">
      <iconSet>
        <cfvo type="percent" val="0"/>
        <cfvo type="num" val="70"/>
        <cfvo type="num" val="90"/>
      </iconSet>
    </cfRule>
    <cfRule type="iconSet" priority="274">
      <iconSet>
        <cfvo type="percent" val="0"/>
        <cfvo type="num" val="95"/>
        <cfvo type="num" val="100"/>
      </iconSet>
    </cfRule>
    <cfRule type="iconSet" priority="284">
      <iconSet>
        <cfvo type="percent" val="0"/>
        <cfvo type="num" val="70"/>
        <cfvo type="num" val="90"/>
      </iconSet>
    </cfRule>
    <cfRule type="iconSet" priority="285">
      <iconSet>
        <cfvo type="percent" val="0"/>
        <cfvo type="num" val="70"/>
        <cfvo type="num" val="90"/>
      </iconSet>
    </cfRule>
    <cfRule type="iconSet" priority="286">
      <iconSet>
        <cfvo type="percent" val="0"/>
        <cfvo type="num" val="95"/>
        <cfvo type="num" val="100"/>
      </iconSet>
    </cfRule>
    <cfRule type="iconSet" priority="260">
      <iconSet>
        <cfvo type="percent" val="0"/>
        <cfvo type="num" val="70"/>
        <cfvo type="num" val="90"/>
      </iconSet>
    </cfRule>
    <cfRule type="iconSet" priority="258">
      <iconSet>
        <cfvo type="percent" val="0"/>
        <cfvo type="num" val="95"/>
        <cfvo type="num" val="100"/>
      </iconSet>
    </cfRule>
    <cfRule type="iconSet" priority="269">
      <iconSet>
        <cfvo type="percent" val="0"/>
        <cfvo type="num" val="70"/>
        <cfvo type="num" val="90"/>
      </iconSet>
    </cfRule>
    <cfRule type="iconSet" priority="268">
      <iconSet>
        <cfvo type="percent" val="0"/>
        <cfvo type="num" val="70"/>
        <cfvo type="num" val="90"/>
      </iconSet>
    </cfRule>
    <cfRule type="iconSet" priority="267">
      <iconSet>
        <cfvo type="percent" val="0"/>
        <cfvo type="num" val="95"/>
        <cfvo type="num" val="100"/>
      </iconSet>
    </cfRule>
    <cfRule type="iconSet" priority="266">
      <iconSet>
        <cfvo type="percent" val="0"/>
        <cfvo type="num" val="95"/>
        <cfvo type="num" val="100"/>
      </iconSet>
    </cfRule>
    <cfRule type="iconSet" priority="265">
      <iconSet>
        <cfvo type="percent" val="0"/>
        <cfvo type="num" val="70"/>
        <cfvo type="num" val="90"/>
      </iconSet>
    </cfRule>
    <cfRule type="iconSet" priority="264">
      <iconSet>
        <cfvo type="percent" val="0"/>
        <cfvo type="num" val="70"/>
        <cfvo type="num" val="90"/>
      </iconSet>
    </cfRule>
    <cfRule type="iconSet" priority="263">
      <iconSet>
        <cfvo type="percent" val="0"/>
        <cfvo type="num" val="95"/>
        <cfvo type="num" val="100"/>
      </iconSet>
    </cfRule>
    <cfRule type="iconSet" priority="261">
      <iconSet>
        <cfvo type="percent" val="0"/>
        <cfvo type="num" val="95"/>
        <cfvo type="num" val="100"/>
      </iconSet>
    </cfRule>
    <cfRule type="iconSet" priority="270">
      <iconSet>
        <cfvo type="percent" val="0"/>
        <cfvo type="num" val="95"/>
        <cfvo type="num" val="100"/>
      </iconSet>
    </cfRule>
    <cfRule type="iconSet" priority="196">
      <iconSet>
        <cfvo type="percent" val="0"/>
        <cfvo type="num" val="95"/>
        <cfvo type="num" val="100"/>
      </iconSet>
    </cfRule>
    <cfRule type="iconSet" priority="197">
      <iconSet>
        <cfvo type="percent" val="0"/>
        <cfvo type="num" val="70"/>
        <cfvo type="num" val="90"/>
      </iconSet>
    </cfRule>
    <cfRule type="iconSet" priority="198">
      <iconSet>
        <cfvo type="percent" val="0"/>
        <cfvo type="num" val="70"/>
        <cfvo type="num" val="90"/>
      </iconSet>
    </cfRule>
    <cfRule type="iconSet" priority="199">
      <iconSet>
        <cfvo type="percent" val="0"/>
        <cfvo type="num" val="95"/>
        <cfvo type="num" val="100"/>
      </iconSet>
    </cfRule>
    <cfRule type="iconSet" priority="259">
      <iconSet>
        <cfvo type="percent" val="0"/>
        <cfvo type="num" val="70"/>
        <cfvo type="num" val="90"/>
      </iconSet>
    </cfRule>
    <cfRule type="iconSet" priority="283">
      <iconSet>
        <cfvo type="percent" val="0"/>
        <cfvo type="num" val="95"/>
        <cfvo type="num" val="100"/>
      </iconSet>
    </cfRule>
  </conditionalFormatting>
  <conditionalFormatting sqref="AG39">
    <cfRule type="iconSet" priority="203">
      <iconSet>
        <cfvo type="percent" val="0"/>
        <cfvo type="num" val="95"/>
        <cfvo type="num" val="100"/>
      </iconSet>
    </cfRule>
    <cfRule type="iconSet" priority="209">
      <iconSet>
        <cfvo type="percent" val="0"/>
        <cfvo type="num" val="70"/>
        <cfvo type="num" val="90"/>
      </iconSet>
    </cfRule>
    <cfRule type="iconSet" priority="201">
      <iconSet>
        <cfvo type="percent" val="0"/>
        <cfvo type="num" val="70"/>
        <cfvo type="num" val="90"/>
      </iconSet>
    </cfRule>
    <cfRule type="iconSet" priority="227">
      <iconSet>
        <cfvo type="percent" val="0"/>
        <cfvo type="num" val="95"/>
        <cfvo type="num" val="100"/>
      </iconSet>
    </cfRule>
    <cfRule type="iconSet" priority="226">
      <iconSet>
        <cfvo type="percent" val="0"/>
        <cfvo type="num" val="70"/>
        <cfvo type="num" val="90"/>
      </iconSet>
    </cfRule>
    <cfRule type="iconSet" priority="224">
      <iconSet>
        <cfvo type="percent" val="0"/>
        <cfvo type="num" val="95"/>
        <cfvo type="num" val="100"/>
      </iconSet>
    </cfRule>
    <cfRule type="iconSet" priority="223">
      <iconSet>
        <cfvo type="percent" val="0"/>
        <cfvo type="num" val="95"/>
        <cfvo type="num" val="100"/>
      </iconSet>
    </cfRule>
    <cfRule type="iconSet" priority="225">
      <iconSet>
        <cfvo type="percent" val="0"/>
        <cfvo type="num" val="70"/>
        <cfvo type="num" val="90"/>
      </iconSet>
    </cfRule>
    <cfRule type="iconSet" priority="222">
      <iconSet>
        <cfvo type="percent" val="0"/>
        <cfvo type="num" val="70"/>
        <cfvo type="num" val="90"/>
      </iconSet>
    </cfRule>
    <cfRule type="iconSet" priority="221">
      <iconSet>
        <cfvo type="percent" val="0"/>
        <cfvo type="num" val="70"/>
        <cfvo type="num" val="90"/>
      </iconSet>
    </cfRule>
    <cfRule type="iconSet" priority="220">
      <iconSet>
        <cfvo type="percent" val="0"/>
        <cfvo type="num" val="95"/>
        <cfvo type="num" val="100"/>
      </iconSet>
    </cfRule>
    <cfRule type="iconSet" priority="219">
      <iconSet>
        <cfvo type="percent" val="0"/>
        <cfvo type="num" val="95"/>
        <cfvo type="num" val="100"/>
      </iconSet>
    </cfRule>
    <cfRule type="iconSet" priority="218">
      <iconSet>
        <cfvo type="percent" val="0"/>
        <cfvo type="num" val="70"/>
        <cfvo type="num" val="90"/>
      </iconSet>
    </cfRule>
    <cfRule type="iconSet" priority="217">
      <iconSet>
        <cfvo type="percent" val="0"/>
        <cfvo type="num" val="70"/>
        <cfvo type="num" val="90"/>
      </iconSet>
    </cfRule>
    <cfRule type="iconSet" priority="216">
      <iconSet>
        <cfvo type="percent" val="0"/>
        <cfvo type="num" val="95"/>
        <cfvo type="num" val="100"/>
      </iconSet>
    </cfRule>
    <cfRule type="iconSet" priority="215">
      <iconSet>
        <cfvo type="percent" val="0"/>
        <cfvo type="num" val="95"/>
        <cfvo type="num" val="100"/>
      </iconSet>
    </cfRule>
    <cfRule type="iconSet" priority="214">
      <iconSet>
        <cfvo type="percent" val="0"/>
        <cfvo type="num" val="70"/>
        <cfvo type="num" val="90"/>
      </iconSet>
    </cfRule>
    <cfRule type="iconSet" priority="213">
      <iconSet>
        <cfvo type="percent" val="0"/>
        <cfvo type="num" val="70"/>
        <cfvo type="num" val="90"/>
      </iconSet>
    </cfRule>
    <cfRule type="iconSet" priority="291">
      <iconSet>
        <cfvo type="percent" val="0"/>
        <cfvo type="num" val="70"/>
        <cfvo type="num" val="90"/>
      </iconSet>
    </cfRule>
    <cfRule type="iconSet" priority="292">
      <iconSet>
        <cfvo type="percent" val="0"/>
        <cfvo type="num" val="95"/>
        <cfvo type="num" val="100"/>
      </iconSet>
    </cfRule>
    <cfRule type="iconSet" priority="212">
      <iconSet>
        <cfvo type="percent" val="0"/>
        <cfvo type="num" val="95"/>
        <cfvo type="num" val="100"/>
      </iconSet>
    </cfRule>
    <cfRule type="iconSet" priority="211">
      <iconSet>
        <cfvo type="percent" val="0"/>
        <cfvo type="num" val="95"/>
        <cfvo type="num" val="100"/>
      </iconSet>
    </cfRule>
    <cfRule type="iconSet" priority="210">
      <iconSet>
        <cfvo type="percent" val="0"/>
        <cfvo type="num" val="70"/>
        <cfvo type="num" val="90"/>
      </iconSet>
    </cfRule>
    <cfRule type="iconSet" priority="208">
      <iconSet>
        <cfvo type="percent" val="0"/>
        <cfvo type="num" val="95"/>
        <cfvo type="num" val="100"/>
      </iconSet>
    </cfRule>
    <cfRule type="iconSet" priority="200">
      <iconSet>
        <cfvo type="percent" val="0"/>
        <cfvo type="num" val="95"/>
        <cfvo type="num" val="100"/>
      </iconSet>
    </cfRule>
    <cfRule type="iconSet" priority="207">
      <iconSet>
        <cfvo type="percent" val="0"/>
        <cfvo type="num" val="95"/>
        <cfvo type="num" val="100"/>
      </iconSet>
    </cfRule>
    <cfRule type="iconSet" priority="202">
      <iconSet>
        <cfvo type="percent" val="0"/>
        <cfvo type="num" val="70"/>
        <cfvo type="num" val="90"/>
      </iconSet>
    </cfRule>
    <cfRule type="iconSet" priority="206">
      <iconSet>
        <cfvo type="percent" val="0"/>
        <cfvo type="num" val="70"/>
        <cfvo type="num" val="90"/>
      </iconSet>
    </cfRule>
    <cfRule type="iconSet" priority="205">
      <iconSet>
        <cfvo type="percent" val="0"/>
        <cfvo type="num" val="70"/>
        <cfvo type="num" val="90"/>
      </iconSet>
    </cfRule>
    <cfRule type="iconSet" priority="204">
      <iconSet>
        <cfvo type="percent" val="0"/>
        <cfvo type="num" val="95"/>
        <cfvo type="num" val="100"/>
      </iconSet>
    </cfRule>
  </conditionalFormatting>
  <conditionalFormatting sqref="AG40">
    <cfRule type="iconSet" priority="31">
      <iconSet>
        <cfvo type="percent" val="0"/>
        <cfvo type="num" val="95"/>
        <cfvo type="num" val="100"/>
      </iconSet>
    </cfRule>
    <cfRule type="iconSet" priority="30">
      <iconSet>
        <cfvo type="percent" val="0"/>
        <cfvo type="num" val="95"/>
        <cfvo type="num" val="100"/>
      </iconSet>
    </cfRule>
    <cfRule type="iconSet" priority="29">
      <iconSet>
        <cfvo type="percent" val="0"/>
        <cfvo type="num" val="70"/>
        <cfvo type="num" val="90"/>
      </iconSet>
    </cfRule>
    <cfRule type="iconSet" priority="28">
      <iconSet>
        <cfvo type="percent" val="0"/>
        <cfvo type="num" val="95"/>
        <cfvo type="num" val="100"/>
      </iconSet>
    </cfRule>
    <cfRule type="iconSet" priority="27">
      <iconSet>
        <cfvo type="percent" val="0"/>
        <cfvo type="num" val="70"/>
        <cfvo type="num" val="90"/>
      </iconSet>
    </cfRule>
    <cfRule type="iconSet" priority="26">
      <iconSet>
        <cfvo type="percent" val="0"/>
        <cfvo type="num" val="70"/>
        <cfvo type="num" val="90"/>
      </iconSet>
    </cfRule>
    <cfRule type="iconSet" priority="25">
      <iconSet>
        <cfvo type="percent" val="0"/>
        <cfvo type="num" val="95"/>
        <cfvo type="num" val="100"/>
      </iconSet>
    </cfRule>
    <cfRule type="iconSet" priority="23">
      <iconSet>
        <cfvo type="percent" val="0"/>
        <cfvo type="num" val="70"/>
        <cfvo type="num" val="90"/>
      </iconSet>
    </cfRule>
    <cfRule type="iconSet" priority="22">
      <iconSet>
        <cfvo type="percent" val="0"/>
        <cfvo type="num" val="70"/>
        <cfvo type="num" val="90"/>
      </iconSet>
    </cfRule>
    <cfRule type="iconSet" priority="21">
      <iconSet>
        <cfvo type="percent" val="0"/>
        <cfvo type="num" val="95"/>
        <cfvo type="num" val="100"/>
      </iconSet>
    </cfRule>
    <cfRule type="iconSet" priority="20">
      <iconSet>
        <cfvo type="percent" val="0"/>
        <cfvo type="num" val="95"/>
        <cfvo type="num" val="100"/>
      </iconSet>
    </cfRule>
    <cfRule type="iconSet" priority="19">
      <iconSet>
        <cfvo type="percent" val="0"/>
        <cfvo type="num" val="70"/>
        <cfvo type="num" val="90"/>
      </iconSet>
    </cfRule>
    <cfRule type="iconSet" priority="17">
      <iconSet>
        <cfvo type="percent" val="0"/>
        <cfvo type="num" val="95"/>
        <cfvo type="num" val="100"/>
      </iconSet>
    </cfRule>
    <cfRule type="iconSet" priority="15">
      <iconSet>
        <cfvo type="percent" val="0"/>
        <cfvo type="num" val="70"/>
        <cfvo type="num" val="90"/>
      </iconSet>
    </cfRule>
    <cfRule type="iconSet" priority="14">
      <iconSet>
        <cfvo type="percent" val="0"/>
        <cfvo type="num" val="70"/>
        <cfvo type="num" val="90"/>
      </iconSet>
    </cfRule>
    <cfRule type="iconSet" priority="13">
      <iconSet>
        <cfvo type="percent" val="0"/>
        <cfvo type="num" val="95"/>
        <cfvo type="num" val="100"/>
      </iconSet>
    </cfRule>
    <cfRule type="iconSet" priority="6">
      <iconSet>
        <cfvo type="percent" val="0"/>
        <cfvo type="num" val="70"/>
        <cfvo type="num" val="90"/>
      </iconSet>
    </cfRule>
    <cfRule type="iconSet" priority="7">
      <iconSet>
        <cfvo type="percent" val="0"/>
        <cfvo type="num" val="70"/>
        <cfvo type="num" val="90"/>
      </iconSet>
    </cfRule>
    <cfRule type="iconSet" priority="1">
      <iconSet>
        <cfvo type="percent" val="0"/>
        <cfvo type="num" val="95"/>
        <cfvo type="num" val="100"/>
      </iconSet>
    </cfRule>
    <cfRule type="iconSet" priority="8">
      <iconSet>
        <cfvo type="percent" val="0"/>
        <cfvo type="num" val="95"/>
        <cfvo type="num" val="100"/>
      </iconSet>
    </cfRule>
    <cfRule type="iconSet" priority="2">
      <iconSet>
        <cfvo type="percent" val="0"/>
        <cfvo type="num" val="70"/>
        <cfvo type="num" val="90"/>
      </iconSet>
    </cfRule>
    <cfRule type="iconSet" priority="16">
      <iconSet>
        <cfvo type="percent" val="0"/>
        <cfvo type="num" val="95"/>
        <cfvo type="num" val="100"/>
      </iconSet>
    </cfRule>
    <cfRule type="iconSet" priority="3">
      <iconSet>
        <cfvo type="percent" val="0"/>
        <cfvo type="num" val="70"/>
        <cfvo type="num" val="90"/>
      </iconSet>
    </cfRule>
    <cfRule type="iconSet" priority="4">
      <iconSet>
        <cfvo type="percent" val="0"/>
        <cfvo type="num" val="95"/>
        <cfvo type="num" val="100"/>
      </iconSet>
    </cfRule>
    <cfRule type="iconSet" priority="5">
      <iconSet>
        <cfvo type="percent" val="0"/>
        <cfvo type="num" val="95"/>
        <cfvo type="num" val="100"/>
      </iconSet>
    </cfRule>
    <cfRule type="iconSet" priority="12">
      <iconSet>
        <cfvo type="percent" val="0"/>
        <cfvo type="num" val="95"/>
        <cfvo type="num" val="100"/>
      </iconSet>
    </cfRule>
    <cfRule type="iconSet" priority="10">
      <iconSet>
        <cfvo type="percent" val="0"/>
        <cfvo type="num" val="70"/>
        <cfvo type="num" val="90"/>
      </iconSet>
    </cfRule>
    <cfRule type="iconSet" priority="11">
      <iconSet>
        <cfvo type="percent" val="0"/>
        <cfvo type="num" val="70"/>
        <cfvo type="num" val="90"/>
      </iconSet>
    </cfRule>
    <cfRule type="iconSet" priority="24">
      <iconSet>
        <cfvo type="percent" val="0"/>
        <cfvo type="num" val="95"/>
        <cfvo type="num" val="100"/>
      </iconSet>
    </cfRule>
    <cfRule type="iconSet" priority="9">
      <iconSet>
        <cfvo type="percent" val="0"/>
        <cfvo type="num" val="95"/>
        <cfvo type="num" val="100"/>
      </iconSet>
    </cfRule>
    <cfRule type="iconSet" priority="18">
      <iconSet>
        <cfvo type="percent" val="0"/>
        <cfvo type="num" val="70"/>
        <cfvo type="num" val="90"/>
      </iconSet>
    </cfRule>
  </conditionalFormatting>
  <conditionalFormatting sqref="AG41">
    <cfRule type="iconSet" priority="195">
      <iconSet>
        <cfvo type="percent" val="0"/>
        <cfvo type="num" val="95"/>
        <cfvo type="num" val="100"/>
      </iconSet>
    </cfRule>
  </conditionalFormatting>
  <printOptions horizontalCentered="1"/>
  <pageMargins left="0.11811023622047245" right="0.11811023622047245" top="0.35433070866141736" bottom="0.15748031496062992" header="0.31496062992125984" footer="0.31496062992125984"/>
  <pageSetup paperSize="9" scale="75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N9"/>
  <sheetViews>
    <sheetView workbookViewId="0"/>
  </sheetViews>
  <sheetFormatPr defaultRowHeight="15"/>
  <cols>
    <col min="1" max="1" width="2.85546875" customWidth="1"/>
    <col min="2" max="2" width="30" customWidth="1"/>
    <col min="3" max="14" width="10.85546875" customWidth="1"/>
  </cols>
  <sheetData>
    <row r="1" spans="2:14" ht="15.75" thickBot="1"/>
    <row r="2" spans="2:14" ht="15.75" thickBot="1">
      <c r="B2" s="676" t="s">
        <v>106</v>
      </c>
      <c r="C2" s="678" t="s">
        <v>107</v>
      </c>
      <c r="D2" s="678"/>
      <c r="E2" s="678"/>
      <c r="F2" s="678"/>
      <c r="G2" s="678"/>
      <c r="H2" s="678"/>
      <c r="I2" s="678"/>
      <c r="J2" s="678"/>
      <c r="K2" s="678"/>
      <c r="L2" s="678"/>
      <c r="M2" s="678"/>
      <c r="N2" s="678"/>
    </row>
    <row r="3" spans="2:14" ht="15.75" thickBot="1">
      <c r="B3" s="677"/>
      <c r="C3" s="631" t="s">
        <v>108</v>
      </c>
      <c r="D3" s="631" t="s">
        <v>109</v>
      </c>
      <c r="E3" s="631" t="s">
        <v>110</v>
      </c>
      <c r="F3" s="631" t="s">
        <v>111</v>
      </c>
      <c r="G3" s="631" t="s">
        <v>112</v>
      </c>
      <c r="H3" s="631" t="s">
        <v>113</v>
      </c>
      <c r="I3" s="631" t="s">
        <v>114</v>
      </c>
      <c r="J3" s="631" t="s">
        <v>115</v>
      </c>
      <c r="K3" s="631" t="s">
        <v>116</v>
      </c>
      <c r="L3" s="631" t="s">
        <v>117</v>
      </c>
      <c r="M3" s="631" t="s">
        <v>118</v>
      </c>
      <c r="N3" s="631" t="s">
        <v>119</v>
      </c>
    </row>
    <row r="4" spans="2:14">
      <c r="B4" s="257" t="s">
        <v>90</v>
      </c>
      <c r="C4" s="263">
        <v>80.400000000000006</v>
      </c>
      <c r="D4" s="258">
        <v>87.04</v>
      </c>
      <c r="E4" s="258">
        <v>93.39</v>
      </c>
      <c r="F4" s="258"/>
      <c r="G4" s="258"/>
      <c r="H4" s="258"/>
      <c r="I4" s="258"/>
      <c r="J4" s="258"/>
      <c r="K4" s="258"/>
      <c r="L4" s="258"/>
      <c r="M4" s="258"/>
      <c r="N4" s="258"/>
    </row>
    <row r="5" spans="2:14">
      <c r="B5" s="259" t="s">
        <v>120</v>
      </c>
      <c r="C5" s="260">
        <v>75.72</v>
      </c>
      <c r="D5" s="260">
        <v>87.05</v>
      </c>
      <c r="E5" s="260">
        <v>93.36</v>
      </c>
      <c r="F5" s="260"/>
      <c r="G5" s="260"/>
      <c r="H5" s="260"/>
      <c r="I5" s="260"/>
      <c r="J5" s="260"/>
      <c r="K5" s="260"/>
      <c r="L5" s="260"/>
      <c r="M5" s="260"/>
      <c r="N5" s="260"/>
    </row>
    <row r="6" spans="2:14">
      <c r="B6" s="259" t="s">
        <v>87</v>
      </c>
      <c r="C6" s="260">
        <v>66.709999999999994</v>
      </c>
      <c r="D6" s="260">
        <v>77.27</v>
      </c>
      <c r="E6" s="260">
        <v>90.08</v>
      </c>
      <c r="F6" s="260"/>
      <c r="G6" s="260"/>
      <c r="H6" s="260"/>
      <c r="I6" s="260"/>
      <c r="J6" s="260"/>
      <c r="K6" s="260"/>
      <c r="L6" s="260"/>
      <c r="M6" s="260"/>
      <c r="N6" s="260"/>
    </row>
    <row r="7" spans="2:14">
      <c r="B7" s="259" t="s">
        <v>88</v>
      </c>
      <c r="C7" s="260">
        <v>74.87</v>
      </c>
      <c r="D7" s="260">
        <v>75.95</v>
      </c>
      <c r="E7" s="260">
        <v>87.94</v>
      </c>
      <c r="F7" s="260"/>
      <c r="G7" s="260"/>
      <c r="H7" s="260"/>
      <c r="I7" s="260"/>
      <c r="J7" s="260"/>
      <c r="K7" s="260"/>
      <c r="L7" s="260"/>
      <c r="M7" s="260"/>
      <c r="N7" s="260"/>
    </row>
    <row r="8" spans="2:14">
      <c r="B8" s="259" t="s">
        <v>121</v>
      </c>
      <c r="C8" s="260">
        <v>88.26</v>
      </c>
      <c r="D8" s="260">
        <v>86.77</v>
      </c>
      <c r="E8" s="260">
        <v>86.59</v>
      </c>
      <c r="F8" s="260"/>
      <c r="G8" s="260"/>
      <c r="H8" s="260"/>
      <c r="I8" s="260"/>
      <c r="J8" s="260"/>
      <c r="K8" s="260"/>
      <c r="L8" s="260"/>
      <c r="M8" s="260"/>
      <c r="N8" s="260"/>
    </row>
    <row r="9" spans="2:14" ht="15.75" thickBot="1">
      <c r="B9" s="261" t="s">
        <v>89</v>
      </c>
      <c r="C9" s="262">
        <v>65.25</v>
      </c>
      <c r="D9" s="262">
        <v>74.42</v>
      </c>
      <c r="E9" s="262">
        <v>79.989999999999995</v>
      </c>
      <c r="F9" s="262"/>
      <c r="G9" s="262"/>
      <c r="H9" s="262"/>
      <c r="I9" s="262"/>
      <c r="J9" s="262"/>
      <c r="K9" s="262"/>
      <c r="L9" s="262"/>
      <c r="M9" s="262"/>
      <c r="N9" s="262"/>
    </row>
  </sheetData>
  <mergeCells count="2">
    <mergeCell ref="B2:B3"/>
    <mergeCell ref="C2:N2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Y152"/>
  <sheetViews>
    <sheetView topLeftCell="B1" workbookViewId="0"/>
  </sheetViews>
  <sheetFormatPr defaultColWidth="8.85546875" defaultRowHeight="15"/>
  <cols>
    <col min="1" max="1" width="5.7109375" hidden="1" customWidth="1"/>
    <col min="2" max="2" width="15.5703125" customWidth="1"/>
    <col min="3" max="3" width="24.7109375" bestFit="1" customWidth="1"/>
    <col min="4" max="15" width="15.7109375" style="105" customWidth="1"/>
    <col min="16" max="16" width="11" customWidth="1"/>
    <col min="17" max="17" width="15.5703125" customWidth="1"/>
    <col min="18" max="18" width="24.7109375" bestFit="1" customWidth="1"/>
    <col min="19" max="19" width="19.7109375" style="105" bestFit="1" customWidth="1"/>
    <col min="20" max="20" width="17" style="105" bestFit="1" customWidth="1"/>
    <col min="21" max="21" width="18.7109375" style="105" bestFit="1" customWidth="1"/>
    <col min="22" max="30" width="15.42578125" style="105" bestFit="1" customWidth="1"/>
    <col min="31" max="31" width="12.28515625" bestFit="1" customWidth="1"/>
    <col min="32" max="32" width="15.5703125" customWidth="1"/>
    <col min="33" max="33" width="26" bestFit="1" customWidth="1"/>
    <col min="34" max="35" width="15.28515625" style="105" bestFit="1" customWidth="1"/>
    <col min="36" max="36" width="14.85546875" style="105" bestFit="1" customWidth="1"/>
    <col min="37" max="40" width="15.42578125" style="105" bestFit="1" customWidth="1"/>
    <col min="41" max="41" width="16" style="105" bestFit="1" customWidth="1"/>
    <col min="42" max="42" width="16.42578125" style="105" bestFit="1" customWidth="1"/>
    <col min="43" max="43" width="16" style="105" bestFit="1" customWidth="1"/>
    <col min="44" max="45" width="15.42578125" style="105" bestFit="1" customWidth="1"/>
    <col min="46" max="46" width="12" bestFit="1" customWidth="1"/>
    <col min="47" max="47" width="1.85546875" style="143" customWidth="1"/>
    <col min="49" max="49" width="22.7109375" customWidth="1"/>
    <col min="50" max="50" width="13.42578125" bestFit="1" customWidth="1"/>
    <col min="51" max="61" width="10.42578125" customWidth="1"/>
    <col min="63" max="63" width="22.28515625" customWidth="1"/>
    <col min="64" max="75" width="10.42578125" customWidth="1"/>
    <col min="77" max="77" width="22.28515625" customWidth="1"/>
    <col min="78" max="89" width="10.42578125" customWidth="1"/>
  </cols>
  <sheetData>
    <row r="1" spans="1:47" s="30" customFormat="1" ht="15.75">
      <c r="A1" s="28"/>
      <c r="B1" s="29" t="s">
        <v>122</v>
      </c>
      <c r="C1" s="28"/>
      <c r="D1" s="28"/>
      <c r="E1" s="28"/>
      <c r="F1" s="28"/>
      <c r="G1" s="28"/>
      <c r="H1" s="28"/>
      <c r="I1" s="141"/>
      <c r="J1" s="28"/>
      <c r="K1" s="28"/>
      <c r="L1" s="28"/>
      <c r="M1" s="28"/>
      <c r="N1" s="28"/>
      <c r="O1" s="28"/>
      <c r="Q1" s="29"/>
      <c r="R1" s="28"/>
      <c r="S1" s="27"/>
      <c r="T1" s="27"/>
      <c r="U1" s="141"/>
      <c r="V1" s="141"/>
      <c r="W1" s="141"/>
      <c r="X1" s="141"/>
      <c r="Y1" s="28"/>
      <c r="Z1" s="28"/>
      <c r="AA1" s="28"/>
      <c r="AB1" s="28"/>
      <c r="AC1" s="28"/>
      <c r="AD1" s="28"/>
      <c r="AF1" s="29"/>
      <c r="AG1" s="28"/>
      <c r="AH1" s="28"/>
      <c r="AI1" s="28"/>
      <c r="AJ1" s="28"/>
      <c r="AK1" s="28"/>
      <c r="AL1" s="28"/>
      <c r="AM1" s="141"/>
      <c r="AN1" s="28"/>
      <c r="AO1" s="28"/>
      <c r="AP1" s="28"/>
      <c r="AQ1" s="28"/>
      <c r="AR1" s="28"/>
      <c r="AS1" s="28"/>
      <c r="AU1" s="142"/>
    </row>
    <row r="2" spans="1:47" s="30" customFormat="1" ht="15.75">
      <c r="A2" s="28"/>
      <c r="B2" s="29" t="s">
        <v>123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Q2" s="29"/>
      <c r="R2" s="28"/>
      <c r="S2" s="27"/>
      <c r="T2" s="27"/>
      <c r="U2" s="141"/>
      <c r="V2" s="141"/>
      <c r="W2" s="141"/>
      <c r="X2" s="141"/>
      <c r="Y2" s="28"/>
      <c r="Z2" s="28"/>
      <c r="AA2" s="28"/>
      <c r="AB2" s="28"/>
      <c r="AC2" s="28"/>
      <c r="AD2" s="28"/>
      <c r="AF2" s="29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U2" s="142"/>
    </row>
    <row r="3" spans="1:47" s="30" customFormat="1" ht="15.75">
      <c r="A3" s="28"/>
      <c r="B3" s="29" t="s">
        <v>124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Q3" s="29"/>
      <c r="R3" s="28"/>
      <c r="S3" s="27"/>
      <c r="T3" s="27"/>
      <c r="U3" s="141"/>
      <c r="V3" s="141"/>
      <c r="W3" s="141"/>
      <c r="X3" s="141"/>
      <c r="Y3" s="28"/>
      <c r="Z3" s="28"/>
      <c r="AA3" s="28"/>
      <c r="AB3" s="28"/>
      <c r="AC3" s="28"/>
      <c r="AD3" s="28"/>
      <c r="AF3" s="29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U3" s="142"/>
    </row>
    <row r="4" spans="1:47">
      <c r="S4" s="151"/>
      <c r="T4" s="151"/>
      <c r="U4" s="151"/>
      <c r="V4" s="151"/>
      <c r="W4" s="151"/>
      <c r="X4" s="151"/>
      <c r="AC4" s="181"/>
      <c r="AD4" s="181"/>
      <c r="AU4" s="142"/>
    </row>
    <row r="5" spans="1:47" s="176" customFormat="1" ht="15.75">
      <c r="A5" s="179">
        <v>1</v>
      </c>
      <c r="B5" s="372" t="s">
        <v>125</v>
      </c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Q5" s="147"/>
      <c r="S5" s="199"/>
      <c r="T5" s="199"/>
      <c r="U5" s="199"/>
      <c r="V5" s="199"/>
      <c r="W5" s="199"/>
      <c r="X5" s="199"/>
      <c r="Y5" s="177"/>
      <c r="Z5" s="177"/>
      <c r="AA5" s="177"/>
      <c r="AB5" s="177"/>
      <c r="AC5" s="177"/>
      <c r="AD5" s="177"/>
      <c r="AF5" s="14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U5" s="142"/>
    </row>
    <row r="6" spans="1:47">
      <c r="B6" s="21" t="s">
        <v>100</v>
      </c>
      <c r="Q6" t="s">
        <v>126</v>
      </c>
      <c r="S6" s="151"/>
      <c r="T6" s="150"/>
      <c r="U6" s="150"/>
      <c r="V6" s="150"/>
      <c r="W6" s="150"/>
      <c r="X6" s="150"/>
      <c r="Y6" s="150"/>
      <c r="AF6" t="s">
        <v>127</v>
      </c>
      <c r="AU6" s="142"/>
    </row>
    <row r="7" spans="1:47">
      <c r="B7" s="681" t="s">
        <v>72</v>
      </c>
      <c r="C7" s="682"/>
      <c r="D7" s="638" t="s">
        <v>74</v>
      </c>
      <c r="E7" s="638" t="s">
        <v>75</v>
      </c>
      <c r="F7" s="638" t="s">
        <v>76</v>
      </c>
      <c r="G7" s="638" t="s">
        <v>77</v>
      </c>
      <c r="H7" s="638" t="s">
        <v>78</v>
      </c>
      <c r="I7" s="638" t="s">
        <v>79</v>
      </c>
      <c r="J7" s="638" t="s">
        <v>80</v>
      </c>
      <c r="K7" s="638" t="s">
        <v>81</v>
      </c>
      <c r="L7" s="638" t="s">
        <v>82</v>
      </c>
      <c r="M7" s="638" t="s">
        <v>83</v>
      </c>
      <c r="N7" s="638" t="s">
        <v>84</v>
      </c>
      <c r="O7" s="638" t="s">
        <v>85</v>
      </c>
      <c r="Q7" s="681" t="s">
        <v>72</v>
      </c>
      <c r="R7" s="682"/>
      <c r="S7" s="638" t="s">
        <v>74</v>
      </c>
      <c r="T7" s="638" t="s">
        <v>75</v>
      </c>
      <c r="U7" s="638" t="s">
        <v>76</v>
      </c>
      <c r="V7" s="638" t="s">
        <v>77</v>
      </c>
      <c r="W7" s="638" t="s">
        <v>78</v>
      </c>
      <c r="X7" s="638" t="s">
        <v>79</v>
      </c>
      <c r="Y7" s="638" t="s">
        <v>80</v>
      </c>
      <c r="Z7" s="638" t="s">
        <v>81</v>
      </c>
      <c r="AA7" s="638" t="s">
        <v>82</v>
      </c>
      <c r="AB7" s="638" t="s">
        <v>83</v>
      </c>
      <c r="AC7" s="638" t="s">
        <v>84</v>
      </c>
      <c r="AD7" s="638" t="s">
        <v>85</v>
      </c>
      <c r="AF7" s="681" t="s">
        <v>72</v>
      </c>
      <c r="AG7" s="682"/>
      <c r="AH7" s="638" t="s">
        <v>74</v>
      </c>
      <c r="AI7" s="638" t="s">
        <v>75</v>
      </c>
      <c r="AJ7" s="638" t="s">
        <v>76</v>
      </c>
      <c r="AK7" s="638" t="s">
        <v>77</v>
      </c>
      <c r="AL7" s="638" t="s">
        <v>78</v>
      </c>
      <c r="AM7" s="638" t="s">
        <v>79</v>
      </c>
      <c r="AN7" s="638" t="s">
        <v>80</v>
      </c>
      <c r="AO7" s="638" t="s">
        <v>81</v>
      </c>
      <c r="AP7" s="638" t="s">
        <v>82</v>
      </c>
      <c r="AQ7" s="638" t="s">
        <v>83</v>
      </c>
      <c r="AR7" s="638" t="s">
        <v>84</v>
      </c>
      <c r="AS7" s="638" t="s">
        <v>85</v>
      </c>
      <c r="AU7" s="142"/>
    </row>
    <row r="8" spans="1:47">
      <c r="B8" s="683" t="s">
        <v>128</v>
      </c>
      <c r="C8" s="328" t="s">
        <v>129</v>
      </c>
      <c r="D8" s="508">
        <v>6.54</v>
      </c>
      <c r="E8" s="508">
        <v>12.76</v>
      </c>
      <c r="F8" s="508">
        <v>19.68</v>
      </c>
      <c r="G8" s="508">
        <v>26.37</v>
      </c>
      <c r="H8" s="508">
        <v>33.24</v>
      </c>
      <c r="I8" s="508">
        <v>39.700000000000003</v>
      </c>
      <c r="J8" s="508">
        <v>46.24</v>
      </c>
      <c r="K8" s="508">
        <v>52.96</v>
      </c>
      <c r="L8" s="508">
        <v>59.74</v>
      </c>
      <c r="M8" s="508">
        <v>66.819999999999993</v>
      </c>
      <c r="N8" s="508">
        <v>73.760000000000005</v>
      </c>
      <c r="O8" s="508">
        <v>80.8</v>
      </c>
      <c r="Q8" s="683" t="s">
        <v>128</v>
      </c>
      <c r="R8" s="328" t="s">
        <v>129</v>
      </c>
      <c r="S8" s="508">
        <v>7.5138379950000003</v>
      </c>
      <c r="T8" s="508">
        <v>6.6075825760000004</v>
      </c>
      <c r="U8" s="508">
        <v>6.2866504499999998</v>
      </c>
      <c r="V8" s="508">
        <v>5.3273308750000004</v>
      </c>
      <c r="W8" s="508">
        <v>6.0775351679999998</v>
      </c>
      <c r="X8" s="508">
        <v>5.822720253</v>
      </c>
      <c r="Y8" s="508">
        <v>6.0798251319999999</v>
      </c>
      <c r="Z8" s="508">
        <v>6.0595865580000003</v>
      </c>
      <c r="AA8" s="508">
        <v>6.0901055519999998</v>
      </c>
      <c r="AB8" s="508"/>
      <c r="AC8" s="508"/>
      <c r="AD8" s="508"/>
      <c r="AF8" s="683" t="s">
        <v>128</v>
      </c>
      <c r="AG8" s="328" t="s">
        <v>129</v>
      </c>
      <c r="AH8" s="508">
        <f>IF(S8&gt;1,S8,0)</f>
        <v>7.5138379950000003</v>
      </c>
      <c r="AI8" s="508">
        <f t="shared" ref="AI8:AS9" si="0">IF(T8&gt;1,AH8+T8,0)</f>
        <v>14.121420571000002</v>
      </c>
      <c r="AJ8" s="508">
        <f t="shared" si="0"/>
        <v>20.408071021000001</v>
      </c>
      <c r="AK8" s="508">
        <f t="shared" si="0"/>
        <v>25.735401896000003</v>
      </c>
      <c r="AL8" s="508">
        <f t="shared" si="0"/>
        <v>31.812937064000003</v>
      </c>
      <c r="AM8" s="508">
        <f t="shared" si="0"/>
        <v>37.635657317000003</v>
      </c>
      <c r="AN8" s="508">
        <f t="shared" si="0"/>
        <v>43.715482449000007</v>
      </c>
      <c r="AO8" s="508">
        <f t="shared" si="0"/>
        <v>49.775069007000006</v>
      </c>
      <c r="AP8" s="508">
        <f t="shared" si="0"/>
        <v>55.865174559000003</v>
      </c>
      <c r="AQ8" s="508">
        <f t="shared" si="0"/>
        <v>0</v>
      </c>
      <c r="AR8" s="508">
        <f t="shared" si="0"/>
        <v>0</v>
      </c>
      <c r="AS8" s="508">
        <f t="shared" si="0"/>
        <v>0</v>
      </c>
      <c r="AU8" s="142"/>
    </row>
    <row r="9" spans="1:47">
      <c r="B9" s="684"/>
      <c r="C9" s="328" t="s">
        <v>130</v>
      </c>
      <c r="D9" s="509"/>
      <c r="E9" s="509"/>
      <c r="F9" s="509"/>
      <c r="G9" s="509"/>
      <c r="H9" s="509"/>
      <c r="I9" s="509"/>
      <c r="J9" s="509"/>
      <c r="K9" s="509"/>
      <c r="L9" s="509"/>
      <c r="M9" s="509"/>
      <c r="N9" s="509"/>
      <c r="O9" s="509"/>
      <c r="Q9" s="684"/>
      <c r="R9" s="328" t="s">
        <v>130</v>
      </c>
      <c r="S9" s="509">
        <v>5758.6688750000003</v>
      </c>
      <c r="T9" s="509">
        <v>4805.807006</v>
      </c>
      <c r="U9" s="509">
        <v>5685.7965050000003</v>
      </c>
      <c r="V9" s="509">
        <v>5644.9556730000004</v>
      </c>
      <c r="W9" s="509">
        <v>6466.539374</v>
      </c>
      <c r="X9" s="509">
        <v>6206.776116</v>
      </c>
      <c r="Y9" s="509">
        <v>6472.3053470000004</v>
      </c>
      <c r="Z9" s="509">
        <v>6395.7096929999998</v>
      </c>
      <c r="AA9" s="509">
        <v>6431.5954300000003</v>
      </c>
      <c r="AB9" s="509"/>
      <c r="AC9" s="509"/>
      <c r="AD9" s="509"/>
      <c r="AF9" s="684"/>
      <c r="AG9" s="328" t="s">
        <v>130</v>
      </c>
      <c r="AH9" s="509">
        <f>IF(S9&gt;1,S9,0)</f>
        <v>5758.6688750000003</v>
      </c>
      <c r="AI9" s="509">
        <f t="shared" si="0"/>
        <v>10564.475881</v>
      </c>
      <c r="AJ9" s="509">
        <f t="shared" si="0"/>
        <v>16250.272386000001</v>
      </c>
      <c r="AK9" s="509">
        <f t="shared" si="0"/>
        <v>21895.228059000001</v>
      </c>
      <c r="AL9" s="509">
        <f t="shared" si="0"/>
        <v>28361.767433000001</v>
      </c>
      <c r="AM9" s="509">
        <f t="shared" si="0"/>
        <v>34568.543549000002</v>
      </c>
      <c r="AN9" s="509">
        <f t="shared" si="0"/>
        <v>41040.848896000003</v>
      </c>
      <c r="AO9" s="509">
        <f t="shared" si="0"/>
        <v>47436.558589</v>
      </c>
      <c r="AP9" s="509">
        <f t="shared" si="0"/>
        <v>53868.154019000001</v>
      </c>
      <c r="AQ9" s="509">
        <f t="shared" si="0"/>
        <v>0</v>
      </c>
      <c r="AR9" s="509">
        <f t="shared" si="0"/>
        <v>0</v>
      </c>
      <c r="AS9" s="509">
        <f t="shared" si="0"/>
        <v>0</v>
      </c>
      <c r="AT9" s="251"/>
      <c r="AU9" s="142"/>
    </row>
    <row r="10" spans="1:47">
      <c r="B10" s="685"/>
      <c r="C10" s="479" t="s">
        <v>131</v>
      </c>
      <c r="D10" s="510"/>
      <c r="E10" s="510"/>
      <c r="F10" s="510"/>
      <c r="G10" s="510"/>
      <c r="H10" s="510"/>
      <c r="I10" s="510"/>
      <c r="J10" s="510"/>
      <c r="K10" s="510"/>
      <c r="L10" s="510"/>
      <c r="M10" s="510"/>
      <c r="N10" s="510"/>
      <c r="O10" s="510"/>
      <c r="Q10" s="685"/>
      <c r="R10" s="479" t="s">
        <v>131</v>
      </c>
      <c r="S10" s="510">
        <f t="shared" ref="S10:AD10" si="1">IF(S9=0,0,S9/S8)</f>
        <v>766.40844250728355</v>
      </c>
      <c r="T10" s="510">
        <f t="shared" si="1"/>
        <v>727.31698026077004</v>
      </c>
      <c r="U10" s="510">
        <f t="shared" si="1"/>
        <v>904.42383431704877</v>
      </c>
      <c r="V10" s="510">
        <f t="shared" si="1"/>
        <v>1059.6217515774258</v>
      </c>
      <c r="W10" s="510">
        <f t="shared" si="1"/>
        <v>1064.0069033328216</v>
      </c>
      <c r="X10" s="510">
        <f t="shared" si="1"/>
        <v>1065.958151227019</v>
      </c>
      <c r="Y10" s="510">
        <f t="shared" si="1"/>
        <v>1064.5545236053347</v>
      </c>
      <c r="Z10" s="510">
        <f t="shared" si="1"/>
        <v>1055.4696482644088</v>
      </c>
      <c r="AA10" s="510">
        <f t="shared" si="1"/>
        <v>1056.0728997361721</v>
      </c>
      <c r="AB10" s="510">
        <f t="shared" si="1"/>
        <v>0</v>
      </c>
      <c r="AC10" s="510">
        <f t="shared" si="1"/>
        <v>0</v>
      </c>
      <c r="AD10" s="510">
        <f t="shared" si="1"/>
        <v>0</v>
      </c>
      <c r="AF10" s="685"/>
      <c r="AG10" s="479" t="s">
        <v>131</v>
      </c>
      <c r="AH10" s="510">
        <f t="shared" ref="AH10:AS10" si="2">IF(AH9=0,0,AH9/AH8)</f>
        <v>766.40844250728355</v>
      </c>
      <c r="AI10" s="510">
        <f t="shared" si="2"/>
        <v>748.1170770237801</v>
      </c>
      <c r="AJ10" s="510">
        <f t="shared" si="2"/>
        <v>796.26694601750421</v>
      </c>
      <c r="AK10" s="510">
        <f t="shared" si="2"/>
        <v>850.78244153642413</v>
      </c>
      <c r="AL10" s="510">
        <f t="shared" si="2"/>
        <v>891.51678689531002</v>
      </c>
      <c r="AM10" s="510">
        <f t="shared" si="2"/>
        <v>918.50510960480585</v>
      </c>
      <c r="AN10" s="510">
        <f t="shared" si="2"/>
        <v>938.81724727342714</v>
      </c>
      <c r="AO10" s="510">
        <f t="shared" si="2"/>
        <v>953.01843945869496</v>
      </c>
      <c r="AP10" s="510">
        <f t="shared" si="2"/>
        <v>964.25285420184412</v>
      </c>
      <c r="AQ10" s="510">
        <f t="shared" si="2"/>
        <v>0</v>
      </c>
      <c r="AR10" s="510">
        <f t="shared" si="2"/>
        <v>0</v>
      </c>
      <c r="AS10" s="510">
        <f t="shared" si="2"/>
        <v>0</v>
      </c>
    </row>
    <row r="11" spans="1:47">
      <c r="B11" s="683" t="s">
        <v>87</v>
      </c>
      <c r="C11" s="328" t="s">
        <v>129</v>
      </c>
      <c r="D11" s="508">
        <v>4.2699999999999996</v>
      </c>
      <c r="E11" s="508">
        <v>8.33</v>
      </c>
      <c r="F11" s="508">
        <v>12.85</v>
      </c>
      <c r="G11" s="508">
        <v>17.22</v>
      </c>
      <c r="H11" s="508">
        <v>21.7</v>
      </c>
      <c r="I11" s="508">
        <v>25.92</v>
      </c>
      <c r="J11" s="508">
        <v>30.2</v>
      </c>
      <c r="K11" s="508">
        <v>34.58</v>
      </c>
      <c r="L11" s="508">
        <v>39.01</v>
      </c>
      <c r="M11" s="508">
        <v>43.63</v>
      </c>
      <c r="N11" s="508">
        <v>48.16</v>
      </c>
      <c r="O11" s="508">
        <v>52.76</v>
      </c>
      <c r="Q11" s="683" t="s">
        <v>87</v>
      </c>
      <c r="R11" s="328" t="s">
        <v>129</v>
      </c>
      <c r="S11" s="508">
        <v>5.0476841700000001</v>
      </c>
      <c r="T11" s="508">
        <v>4.2129476490000002</v>
      </c>
      <c r="U11" s="508">
        <v>4.2964539790000007</v>
      </c>
      <c r="V11" s="508">
        <v>3.7453335440000002</v>
      </c>
      <c r="W11" s="508">
        <v>4.1215168660000003</v>
      </c>
      <c r="X11" s="511">
        <v>4.2631920409999999</v>
      </c>
      <c r="Y11" s="512">
        <v>4.3133183129999999</v>
      </c>
      <c r="Z11" s="512">
        <v>4.4597583090000006</v>
      </c>
      <c r="AA11" s="508">
        <v>4.3609504220000002</v>
      </c>
      <c r="AB11" s="508"/>
      <c r="AC11" s="508"/>
      <c r="AD11" s="508"/>
      <c r="AF11" s="683" t="s">
        <v>87</v>
      </c>
      <c r="AG11" s="328" t="s">
        <v>129</v>
      </c>
      <c r="AH11" s="508">
        <f>IF(S11&gt;1,S11,0)</f>
        <v>5.0476841700000001</v>
      </c>
      <c r="AI11" s="508">
        <f t="shared" ref="AI11:AS12" si="3">IF(T11&gt;1,AH11+T11,0)</f>
        <v>9.2606318190000003</v>
      </c>
      <c r="AJ11" s="508">
        <f t="shared" si="3"/>
        <v>13.557085798000001</v>
      </c>
      <c r="AK11" s="508">
        <f t="shared" si="3"/>
        <v>17.302419342</v>
      </c>
      <c r="AL11" s="508">
        <f t="shared" si="3"/>
        <v>21.423936208000001</v>
      </c>
      <c r="AM11" s="508">
        <f t="shared" si="3"/>
        <v>25.687128249000001</v>
      </c>
      <c r="AN11" s="508">
        <f t="shared" si="3"/>
        <v>30.000446562</v>
      </c>
      <c r="AO11" s="508">
        <f t="shared" si="3"/>
        <v>34.460204871000002</v>
      </c>
      <c r="AP11" s="508">
        <f t="shared" si="3"/>
        <v>38.821155293000004</v>
      </c>
      <c r="AQ11" s="508">
        <f t="shared" si="3"/>
        <v>0</v>
      </c>
      <c r="AR11" s="508">
        <f t="shared" si="3"/>
        <v>0</v>
      </c>
      <c r="AS11" s="508">
        <f t="shared" si="3"/>
        <v>0</v>
      </c>
    </row>
    <row r="12" spans="1:47">
      <c r="B12" s="684"/>
      <c r="C12" s="328" t="s">
        <v>130</v>
      </c>
      <c r="D12" s="509"/>
      <c r="E12" s="509"/>
      <c r="F12" s="509"/>
      <c r="G12" s="509"/>
      <c r="H12" s="509"/>
      <c r="I12" s="509"/>
      <c r="J12" s="509"/>
      <c r="K12" s="509"/>
      <c r="L12" s="509"/>
      <c r="M12" s="509"/>
      <c r="N12" s="509"/>
      <c r="O12" s="509"/>
      <c r="Q12" s="684"/>
      <c r="R12" s="328" t="s">
        <v>130</v>
      </c>
      <c r="S12" s="509">
        <v>3590.4370370000001</v>
      </c>
      <c r="T12" s="509">
        <v>2787.8466570000001</v>
      </c>
      <c r="U12" s="509">
        <v>3850.805484</v>
      </c>
      <c r="V12" s="509">
        <v>3929.375661</v>
      </c>
      <c r="W12" s="509">
        <v>4350.1470939999999</v>
      </c>
      <c r="X12" s="509">
        <v>4541.8531750000002</v>
      </c>
      <c r="Y12" s="509">
        <v>4551.091711</v>
      </c>
      <c r="Z12" s="509">
        <v>4715.1306699999996</v>
      </c>
      <c r="AA12" s="509">
        <v>4593.0558289999999</v>
      </c>
      <c r="AB12" s="509"/>
      <c r="AC12" s="509"/>
      <c r="AD12" s="509"/>
      <c r="AF12" s="684"/>
      <c r="AG12" s="328" t="s">
        <v>130</v>
      </c>
      <c r="AH12" s="509">
        <f>IF(S12&gt;1,S12,0)</f>
        <v>3590.4370370000001</v>
      </c>
      <c r="AI12" s="509">
        <f t="shared" si="3"/>
        <v>6378.2836939999997</v>
      </c>
      <c r="AJ12" s="509">
        <f t="shared" si="3"/>
        <v>10229.089178</v>
      </c>
      <c r="AK12" s="509">
        <f t="shared" si="3"/>
        <v>14158.464839</v>
      </c>
      <c r="AL12" s="509">
        <f t="shared" si="3"/>
        <v>18508.611933</v>
      </c>
      <c r="AM12" s="509">
        <f t="shared" si="3"/>
        <v>23050.465108</v>
      </c>
      <c r="AN12" s="509">
        <f t="shared" si="3"/>
        <v>27601.556819000001</v>
      </c>
      <c r="AO12" s="509">
        <f t="shared" si="3"/>
        <v>32316.687489</v>
      </c>
      <c r="AP12" s="509">
        <f t="shared" si="3"/>
        <v>36909.743318000001</v>
      </c>
      <c r="AQ12" s="509">
        <f t="shared" si="3"/>
        <v>0</v>
      </c>
      <c r="AR12" s="509">
        <f t="shared" si="3"/>
        <v>0</v>
      </c>
      <c r="AS12" s="509">
        <f t="shared" si="3"/>
        <v>0</v>
      </c>
    </row>
    <row r="13" spans="1:47">
      <c r="B13" s="685"/>
      <c r="C13" s="479" t="s">
        <v>131</v>
      </c>
      <c r="D13" s="510"/>
      <c r="E13" s="510"/>
      <c r="F13" s="510"/>
      <c r="G13" s="510"/>
      <c r="H13" s="510"/>
      <c r="I13" s="510"/>
      <c r="J13" s="510"/>
      <c r="K13" s="510"/>
      <c r="L13" s="510"/>
      <c r="M13" s="510"/>
      <c r="N13" s="510"/>
      <c r="O13" s="510"/>
      <c r="Q13" s="685"/>
      <c r="R13" s="479" t="s">
        <v>131</v>
      </c>
      <c r="S13" s="510">
        <f t="shared" ref="S13:AD13" si="4">IF(S12=0,0,S12/S11)</f>
        <v>711.30382093616606</v>
      </c>
      <c r="T13" s="510">
        <f t="shared" si="4"/>
        <v>661.73304044300971</v>
      </c>
      <c r="U13" s="510">
        <f t="shared" si="4"/>
        <v>896.27527789702401</v>
      </c>
      <c r="V13" s="510">
        <f t="shared" si="4"/>
        <v>1049.1390459188433</v>
      </c>
      <c r="W13" s="510">
        <f t="shared" si="4"/>
        <v>1055.472350455741</v>
      </c>
      <c r="X13" s="510">
        <f t="shared" si="4"/>
        <v>1065.3644338139259</v>
      </c>
      <c r="Y13" s="510">
        <f t="shared" si="4"/>
        <v>1055.1254001549967</v>
      </c>
      <c r="Z13" s="510">
        <f t="shared" si="4"/>
        <v>1057.261479951648</v>
      </c>
      <c r="AA13" s="510">
        <f t="shared" si="4"/>
        <v>1053.2235830586565</v>
      </c>
      <c r="AB13" s="510">
        <f t="shared" si="4"/>
        <v>0</v>
      </c>
      <c r="AC13" s="510">
        <f t="shared" si="4"/>
        <v>0</v>
      </c>
      <c r="AD13" s="510">
        <f t="shared" si="4"/>
        <v>0</v>
      </c>
      <c r="AF13" s="685"/>
      <c r="AG13" s="479" t="s">
        <v>131</v>
      </c>
      <c r="AH13" s="510">
        <f t="shared" ref="AH13:AS13" si="5">IF(AH12=0,0,AH12/AH11)</f>
        <v>711.30382093616606</v>
      </c>
      <c r="AI13" s="510">
        <f t="shared" si="5"/>
        <v>688.75254071905772</v>
      </c>
      <c r="AJ13" s="510">
        <f t="shared" si="5"/>
        <v>754.51976408595419</v>
      </c>
      <c r="AK13" s="510">
        <f t="shared" si="5"/>
        <v>818.29393676938889</v>
      </c>
      <c r="AL13" s="510">
        <f t="shared" si="5"/>
        <v>863.92209878260485</v>
      </c>
      <c r="AM13" s="510">
        <f t="shared" si="5"/>
        <v>897.35469393692756</v>
      </c>
      <c r="AN13" s="510">
        <f t="shared" si="5"/>
        <v>920.03819883006179</v>
      </c>
      <c r="AO13" s="510">
        <f t="shared" si="5"/>
        <v>937.79731171001015</v>
      </c>
      <c r="AP13" s="510">
        <f t="shared" si="5"/>
        <v>950.76365037120217</v>
      </c>
      <c r="AQ13" s="510">
        <f t="shared" si="5"/>
        <v>0</v>
      </c>
      <c r="AR13" s="510">
        <f t="shared" si="5"/>
        <v>0</v>
      </c>
      <c r="AS13" s="510">
        <f t="shared" si="5"/>
        <v>0</v>
      </c>
    </row>
    <row r="14" spans="1:47">
      <c r="B14" s="683" t="s">
        <v>88</v>
      </c>
      <c r="C14" s="328" t="s">
        <v>129</v>
      </c>
      <c r="D14" s="508">
        <v>2.19</v>
      </c>
      <c r="E14" s="508">
        <v>4.28</v>
      </c>
      <c r="F14" s="508">
        <v>6.6</v>
      </c>
      <c r="G14" s="508">
        <v>8.84</v>
      </c>
      <c r="H14" s="508">
        <v>11.15</v>
      </c>
      <c r="I14" s="508">
        <v>13.31</v>
      </c>
      <c r="J14" s="508">
        <v>15.51</v>
      </c>
      <c r="K14" s="508">
        <v>17.760000000000002</v>
      </c>
      <c r="L14" s="508">
        <v>20.04</v>
      </c>
      <c r="M14" s="508">
        <v>22.41</v>
      </c>
      <c r="N14" s="508">
        <v>24.74</v>
      </c>
      <c r="O14" s="508">
        <v>27.1</v>
      </c>
      <c r="Q14" s="683" t="s">
        <v>88</v>
      </c>
      <c r="R14" s="328" t="s">
        <v>129</v>
      </c>
      <c r="S14" s="508">
        <v>3.349951645</v>
      </c>
      <c r="T14" s="508">
        <v>2.7952298939999998</v>
      </c>
      <c r="U14" s="508">
        <v>2.4283222979999999</v>
      </c>
      <c r="V14" s="508">
        <v>1.3904715360000002</v>
      </c>
      <c r="W14" s="508">
        <v>1.718491021</v>
      </c>
      <c r="X14" s="508">
        <v>1.95663857</v>
      </c>
      <c r="Y14" s="512">
        <v>2.0255425800000002</v>
      </c>
      <c r="Z14" s="512">
        <v>2.1538006009999999</v>
      </c>
      <c r="AA14" s="509">
        <v>2.2264042050000001</v>
      </c>
      <c r="AB14" s="512"/>
      <c r="AC14" s="508"/>
      <c r="AD14" s="508"/>
      <c r="AF14" s="683" t="s">
        <v>88</v>
      </c>
      <c r="AG14" s="328" t="s">
        <v>129</v>
      </c>
      <c r="AH14" s="508">
        <f>IF(S14&gt;1,S14,0)</f>
        <v>3.349951645</v>
      </c>
      <c r="AI14" s="508">
        <f t="shared" ref="AI14:AS15" si="6">IF(T14&gt;1,AH14+T14,0)</f>
        <v>6.1451815389999993</v>
      </c>
      <c r="AJ14" s="508">
        <f t="shared" si="6"/>
        <v>8.5735038369999987</v>
      </c>
      <c r="AK14" s="508">
        <f t="shared" si="6"/>
        <v>9.9639753729999985</v>
      </c>
      <c r="AL14" s="508">
        <f t="shared" si="6"/>
        <v>11.682466393999999</v>
      </c>
      <c r="AM14" s="508">
        <f t="shared" si="6"/>
        <v>13.639104963999998</v>
      </c>
      <c r="AN14" s="508">
        <f t="shared" si="6"/>
        <v>15.664647543999997</v>
      </c>
      <c r="AO14" s="508">
        <f t="shared" si="6"/>
        <v>17.818448144999998</v>
      </c>
      <c r="AP14" s="508">
        <f t="shared" si="6"/>
        <v>20.044852349999999</v>
      </c>
      <c r="AQ14" s="508">
        <f t="shared" si="6"/>
        <v>0</v>
      </c>
      <c r="AR14" s="508">
        <f t="shared" si="6"/>
        <v>0</v>
      </c>
      <c r="AS14" s="508">
        <f t="shared" si="6"/>
        <v>0</v>
      </c>
    </row>
    <row r="15" spans="1:47">
      <c r="B15" s="684"/>
      <c r="C15" s="328" t="s">
        <v>130</v>
      </c>
      <c r="D15" s="509"/>
      <c r="E15" s="509"/>
      <c r="F15" s="509"/>
      <c r="G15" s="509"/>
      <c r="H15" s="509"/>
      <c r="I15" s="509"/>
      <c r="J15" s="509"/>
      <c r="K15" s="509"/>
      <c r="L15" s="509"/>
      <c r="M15" s="509"/>
      <c r="N15" s="509"/>
      <c r="O15" s="509"/>
      <c r="Q15" s="684"/>
      <c r="R15" s="328" t="s">
        <v>130</v>
      </c>
      <c r="S15" s="509">
        <v>2094.2916749999999</v>
      </c>
      <c r="T15" s="509">
        <v>1685.6908599999999</v>
      </c>
      <c r="U15" s="509">
        <v>1628.1596320000001</v>
      </c>
      <c r="V15" s="509">
        <v>1396.817528</v>
      </c>
      <c r="W15" s="509">
        <v>1668.089514</v>
      </c>
      <c r="X15" s="508">
        <v>1935.3136050000001</v>
      </c>
      <c r="Y15" s="508">
        <v>1935.112259</v>
      </c>
      <c r="Z15" s="509">
        <v>2062.280217</v>
      </c>
      <c r="AA15" s="509">
        <v>2148.6192769999998</v>
      </c>
      <c r="AB15" s="509"/>
      <c r="AC15" s="509"/>
      <c r="AD15" s="509"/>
      <c r="AF15" s="684"/>
      <c r="AG15" s="328" t="s">
        <v>130</v>
      </c>
      <c r="AH15" s="509">
        <f>IF(S15&gt;1,S15,0)</f>
        <v>2094.2916749999999</v>
      </c>
      <c r="AI15" s="509">
        <f t="shared" si="6"/>
        <v>3779.9825350000001</v>
      </c>
      <c r="AJ15" s="509">
        <f t="shared" si="6"/>
        <v>5408.142167</v>
      </c>
      <c r="AK15" s="509">
        <f t="shared" si="6"/>
        <v>6804.9596949999996</v>
      </c>
      <c r="AL15" s="509">
        <f t="shared" si="6"/>
        <v>8473.0492089999989</v>
      </c>
      <c r="AM15" s="509">
        <f t="shared" si="6"/>
        <v>10408.362813999998</v>
      </c>
      <c r="AN15" s="509">
        <f t="shared" si="6"/>
        <v>12343.475072999998</v>
      </c>
      <c r="AO15" s="509">
        <f t="shared" si="6"/>
        <v>14405.755289999997</v>
      </c>
      <c r="AP15" s="509">
        <f t="shared" si="6"/>
        <v>16554.374566999999</v>
      </c>
      <c r="AQ15" s="509">
        <f t="shared" si="6"/>
        <v>0</v>
      </c>
      <c r="AR15" s="509">
        <f t="shared" si="6"/>
        <v>0</v>
      </c>
      <c r="AS15" s="509">
        <f t="shared" si="6"/>
        <v>0</v>
      </c>
    </row>
    <row r="16" spans="1:47">
      <c r="B16" s="685"/>
      <c r="C16" s="479" t="s">
        <v>131</v>
      </c>
      <c r="D16" s="510"/>
      <c r="E16" s="510"/>
      <c r="F16" s="510"/>
      <c r="G16" s="510"/>
      <c r="H16" s="510"/>
      <c r="I16" s="510"/>
      <c r="J16" s="510"/>
      <c r="K16" s="510"/>
      <c r="L16" s="510"/>
      <c r="M16" s="510"/>
      <c r="N16" s="510"/>
      <c r="O16" s="510"/>
      <c r="Q16" s="685"/>
      <c r="R16" s="479" t="s">
        <v>131</v>
      </c>
      <c r="S16" s="510">
        <f t="shared" ref="S16:AD16" si="7">IF(S15=0,0,S15/S14)</f>
        <v>625.17071794927358</v>
      </c>
      <c r="T16" s="510">
        <f t="shared" si="7"/>
        <v>603.05982832337304</v>
      </c>
      <c r="U16" s="510">
        <f t="shared" si="7"/>
        <v>670.48745273268503</v>
      </c>
      <c r="V16" s="510">
        <f t="shared" si="7"/>
        <v>1004.5639136333963</v>
      </c>
      <c r="W16" s="510">
        <f t="shared" si="7"/>
        <v>970.6710675912226</v>
      </c>
      <c r="X16" s="510">
        <f t="shared" si="7"/>
        <v>989.10122424909582</v>
      </c>
      <c r="Y16" s="510">
        <f t="shared" si="7"/>
        <v>955.35501356875932</v>
      </c>
      <c r="Z16" s="510">
        <f t="shared" si="7"/>
        <v>957.50749444609335</v>
      </c>
      <c r="AA16" s="510">
        <f t="shared" si="7"/>
        <v>965.06253095223542</v>
      </c>
      <c r="AB16" s="510">
        <f t="shared" si="7"/>
        <v>0</v>
      </c>
      <c r="AC16" s="510">
        <f t="shared" si="7"/>
        <v>0</v>
      </c>
      <c r="AD16" s="510">
        <f t="shared" si="7"/>
        <v>0</v>
      </c>
      <c r="AF16" s="685"/>
      <c r="AG16" s="479" t="s">
        <v>131</v>
      </c>
      <c r="AH16" s="510">
        <f t="shared" ref="AH16:AS16" si="8">IF(AH15=0,0,AH15/AH14)</f>
        <v>625.17071794927358</v>
      </c>
      <c r="AI16" s="510">
        <f t="shared" si="8"/>
        <v>615.11324132746677</v>
      </c>
      <c r="AJ16" s="510">
        <f t="shared" si="8"/>
        <v>630.79719445164346</v>
      </c>
      <c r="AK16" s="510">
        <f t="shared" si="8"/>
        <v>682.95629407513593</v>
      </c>
      <c r="AL16" s="510">
        <f t="shared" si="8"/>
        <v>725.27914254062603</v>
      </c>
      <c r="AM16" s="510">
        <f t="shared" si="8"/>
        <v>763.12652783834096</v>
      </c>
      <c r="AN16" s="510">
        <f t="shared" si="8"/>
        <v>787.98294301411829</v>
      </c>
      <c r="AO16" s="510">
        <f t="shared" si="8"/>
        <v>808.47418208203328</v>
      </c>
      <c r="AP16" s="510">
        <f t="shared" si="8"/>
        <v>825.86662540320481</v>
      </c>
      <c r="AQ16" s="510">
        <f t="shared" si="8"/>
        <v>0</v>
      </c>
      <c r="AR16" s="510">
        <f t="shared" si="8"/>
        <v>0</v>
      </c>
      <c r="AS16" s="510">
        <f t="shared" si="8"/>
        <v>0</v>
      </c>
    </row>
    <row r="17" spans="1:50">
      <c r="B17" s="683" t="s">
        <v>121</v>
      </c>
      <c r="C17" s="328" t="s">
        <v>129</v>
      </c>
      <c r="D17" s="508">
        <v>2.82</v>
      </c>
      <c r="E17" s="508">
        <v>5.5</v>
      </c>
      <c r="F17" s="508">
        <v>8.49</v>
      </c>
      <c r="G17" s="508">
        <v>11.37</v>
      </c>
      <c r="H17" s="508">
        <v>14.33</v>
      </c>
      <c r="I17" s="508">
        <v>17.11</v>
      </c>
      <c r="J17" s="508">
        <v>19.940000000000001</v>
      </c>
      <c r="K17" s="508">
        <v>22.83</v>
      </c>
      <c r="L17" s="508">
        <v>25.75</v>
      </c>
      <c r="M17" s="508">
        <v>28.8</v>
      </c>
      <c r="N17" s="508">
        <v>31.8</v>
      </c>
      <c r="O17" s="508">
        <v>34.83</v>
      </c>
      <c r="Q17" s="683" t="s">
        <v>121</v>
      </c>
      <c r="R17" s="328" t="s">
        <v>129</v>
      </c>
      <c r="S17" s="508">
        <v>3.2428241830000002</v>
      </c>
      <c r="T17" s="508">
        <v>2.5461385230000002</v>
      </c>
      <c r="U17" s="508">
        <v>2.7160147859999997</v>
      </c>
      <c r="V17" s="508">
        <v>2.4894413790000001</v>
      </c>
      <c r="W17" s="508">
        <v>2.7981959540000001</v>
      </c>
      <c r="X17" s="508">
        <v>2.8152356279999999</v>
      </c>
      <c r="Y17" s="508">
        <v>2.7164542730000001</v>
      </c>
      <c r="Z17" s="509">
        <v>2.618596234</v>
      </c>
      <c r="AA17" s="508">
        <v>2.7242466740000002</v>
      </c>
      <c r="AB17" s="512"/>
      <c r="AC17" s="512"/>
      <c r="AD17" s="512"/>
      <c r="AF17" s="683" t="s">
        <v>121</v>
      </c>
      <c r="AG17" s="328" t="s">
        <v>129</v>
      </c>
      <c r="AH17" s="508">
        <f>IF(S17&gt;1,S17,0)</f>
        <v>3.2428241830000002</v>
      </c>
      <c r="AI17" s="508">
        <f t="shared" ref="AI17:AS18" si="9">IF(T17&gt;1,AH17+T17,0)</f>
        <v>5.7889627060000004</v>
      </c>
      <c r="AJ17" s="508">
        <f t="shared" si="9"/>
        <v>8.5049774920000001</v>
      </c>
      <c r="AK17" s="508">
        <f t="shared" si="9"/>
        <v>10.994418871000001</v>
      </c>
      <c r="AL17" s="508">
        <f t="shared" si="9"/>
        <v>13.792614825000001</v>
      </c>
      <c r="AM17" s="508">
        <f t="shared" si="9"/>
        <v>16.607850453000001</v>
      </c>
      <c r="AN17" s="508">
        <f t="shared" si="9"/>
        <v>19.324304726000001</v>
      </c>
      <c r="AO17" s="508">
        <f t="shared" si="9"/>
        <v>21.942900960000003</v>
      </c>
      <c r="AP17" s="508">
        <f t="shared" si="9"/>
        <v>24.667147634000003</v>
      </c>
      <c r="AQ17" s="508">
        <f>IF(AB17&gt;1,AP17+AB17,0)</f>
        <v>0</v>
      </c>
      <c r="AR17" s="508">
        <f t="shared" si="9"/>
        <v>0</v>
      </c>
      <c r="AS17" s="508">
        <f t="shared" si="9"/>
        <v>0</v>
      </c>
    </row>
    <row r="18" spans="1:50">
      <c r="B18" s="684"/>
      <c r="C18" s="328" t="s">
        <v>130</v>
      </c>
      <c r="D18" s="509"/>
      <c r="E18" s="509"/>
      <c r="F18" s="509"/>
      <c r="G18" s="509"/>
      <c r="H18" s="509"/>
      <c r="I18" s="509"/>
      <c r="J18" s="509"/>
      <c r="K18" s="509"/>
      <c r="L18" s="509"/>
      <c r="M18" s="509"/>
      <c r="N18" s="509"/>
      <c r="O18" s="509"/>
      <c r="Q18" s="684"/>
      <c r="R18" s="328" t="s">
        <v>130</v>
      </c>
      <c r="S18" s="509">
        <v>1776.4605389999999</v>
      </c>
      <c r="T18" s="509">
        <v>1336.4275379999999</v>
      </c>
      <c r="U18" s="509">
        <v>1865.9663419999999</v>
      </c>
      <c r="V18" s="509">
        <v>2166.671257</v>
      </c>
      <c r="W18" s="509">
        <v>2408.7866589999999</v>
      </c>
      <c r="X18" s="509">
        <v>2391.1408160000001</v>
      </c>
      <c r="Y18" s="509">
        <v>2329.840541</v>
      </c>
      <c r="Z18" s="509">
        <v>2143.2015609999999</v>
      </c>
      <c r="AA18" s="509">
        <v>2273.9831089999998</v>
      </c>
      <c r="AB18" s="509"/>
      <c r="AC18" s="509"/>
      <c r="AD18" s="509"/>
      <c r="AF18" s="684"/>
      <c r="AG18" s="328" t="s">
        <v>130</v>
      </c>
      <c r="AH18" s="509">
        <f>IF(S18&gt;1,S18,0)</f>
        <v>1776.4605389999999</v>
      </c>
      <c r="AI18" s="509">
        <f t="shared" si="9"/>
        <v>3112.8880769999996</v>
      </c>
      <c r="AJ18" s="509">
        <f t="shared" si="9"/>
        <v>4978.8544189999993</v>
      </c>
      <c r="AK18" s="509">
        <f t="shared" si="9"/>
        <v>7145.5256759999993</v>
      </c>
      <c r="AL18" s="509">
        <f t="shared" si="9"/>
        <v>9554.3123349999987</v>
      </c>
      <c r="AM18" s="509">
        <f t="shared" si="9"/>
        <v>11945.453150999998</v>
      </c>
      <c r="AN18" s="509">
        <f t="shared" si="9"/>
        <v>14275.293691999997</v>
      </c>
      <c r="AO18" s="509">
        <f t="shared" si="9"/>
        <v>16418.495252999997</v>
      </c>
      <c r="AP18" s="509">
        <f t="shared" si="9"/>
        <v>18692.478361999998</v>
      </c>
      <c r="AQ18" s="509">
        <f t="shared" si="9"/>
        <v>0</v>
      </c>
      <c r="AR18" s="509">
        <f t="shared" si="9"/>
        <v>0</v>
      </c>
      <c r="AS18" s="509">
        <f t="shared" si="9"/>
        <v>0</v>
      </c>
    </row>
    <row r="19" spans="1:50">
      <c r="B19" s="685"/>
      <c r="C19" s="479" t="s">
        <v>131</v>
      </c>
      <c r="D19" s="510"/>
      <c r="E19" s="510"/>
      <c r="F19" s="510"/>
      <c r="G19" s="510"/>
      <c r="H19" s="510"/>
      <c r="I19" s="510"/>
      <c r="J19" s="510"/>
      <c r="K19" s="510"/>
      <c r="L19" s="510"/>
      <c r="M19" s="510"/>
      <c r="N19" s="510"/>
      <c r="O19" s="510"/>
      <c r="Q19" s="685"/>
      <c r="R19" s="479" t="s">
        <v>131</v>
      </c>
      <c r="S19" s="510">
        <f t="shared" ref="S19:AD19" si="10">IF(S18=0,0,S18/S17)</f>
        <v>547.8127825470209</v>
      </c>
      <c r="T19" s="510">
        <f t="shared" si="10"/>
        <v>524.88406499790415</v>
      </c>
      <c r="U19" s="510">
        <f t="shared" si="10"/>
        <v>687.02363168946317</v>
      </c>
      <c r="V19" s="510">
        <f t="shared" si="10"/>
        <v>870.34435728321682</v>
      </c>
      <c r="W19" s="510">
        <f t="shared" si="10"/>
        <v>860.83558785676087</v>
      </c>
      <c r="X19" s="510">
        <f t="shared" si="10"/>
        <v>849.35725884469377</v>
      </c>
      <c r="Y19" s="510">
        <f t="shared" si="10"/>
        <v>857.6770697586486</v>
      </c>
      <c r="Z19" s="510">
        <f t="shared" si="10"/>
        <v>818.45438146307208</v>
      </c>
      <c r="AA19" s="510">
        <f t="shared" si="10"/>
        <v>834.71997257176406</v>
      </c>
      <c r="AB19" s="510">
        <f t="shared" si="10"/>
        <v>0</v>
      </c>
      <c r="AC19" s="510">
        <f t="shared" si="10"/>
        <v>0</v>
      </c>
      <c r="AD19" s="510">
        <f t="shared" si="10"/>
        <v>0</v>
      </c>
      <c r="AF19" s="685"/>
      <c r="AG19" s="479" t="s">
        <v>131</v>
      </c>
      <c r="AH19" s="510">
        <f t="shared" ref="AH19:AS19" si="11">IF(AH18=0,0,AH18/AH17)</f>
        <v>547.8127825470209</v>
      </c>
      <c r="AI19" s="510">
        <f t="shared" si="11"/>
        <v>537.72812766156369</v>
      </c>
      <c r="AJ19" s="510">
        <f t="shared" si="11"/>
        <v>585.40477310883387</v>
      </c>
      <c r="AK19" s="510">
        <f t="shared" si="11"/>
        <v>649.9229981902696</v>
      </c>
      <c r="AL19" s="510">
        <f t="shared" si="11"/>
        <v>692.71218374649266</v>
      </c>
      <c r="AM19" s="510">
        <f t="shared" si="11"/>
        <v>719.26545730920884</v>
      </c>
      <c r="AN19" s="510">
        <f t="shared" si="11"/>
        <v>738.7222409504451</v>
      </c>
      <c r="AO19" s="510">
        <f t="shared" si="11"/>
        <v>748.23722182082872</v>
      </c>
      <c r="AP19" s="510">
        <f t="shared" si="11"/>
        <v>757.78840096757642</v>
      </c>
      <c r="AQ19" s="510">
        <f t="shared" si="11"/>
        <v>0</v>
      </c>
      <c r="AR19" s="510">
        <f t="shared" si="11"/>
        <v>0</v>
      </c>
      <c r="AS19" s="510">
        <f t="shared" si="11"/>
        <v>0</v>
      </c>
    </row>
    <row r="20" spans="1:50">
      <c r="B20" s="683" t="s">
        <v>89</v>
      </c>
      <c r="C20" s="328" t="s">
        <v>129</v>
      </c>
      <c r="D20" s="508">
        <v>2.91</v>
      </c>
      <c r="E20" s="508">
        <v>5.68</v>
      </c>
      <c r="F20" s="508">
        <v>8.77</v>
      </c>
      <c r="G20" s="508">
        <v>11.75</v>
      </c>
      <c r="H20" s="508">
        <v>14.81</v>
      </c>
      <c r="I20" s="508">
        <v>17.68</v>
      </c>
      <c r="J20" s="508">
        <v>20.6</v>
      </c>
      <c r="K20" s="508">
        <v>23.59</v>
      </c>
      <c r="L20" s="508">
        <v>26.61</v>
      </c>
      <c r="M20" s="508">
        <v>29.76</v>
      </c>
      <c r="N20" s="508">
        <v>32.86</v>
      </c>
      <c r="O20" s="508">
        <v>35.99</v>
      </c>
      <c r="Q20" s="683" t="s">
        <v>89</v>
      </c>
      <c r="R20" s="328" t="s">
        <v>129</v>
      </c>
      <c r="S20" s="508">
        <v>3.8265327429999996</v>
      </c>
      <c r="T20" s="508">
        <v>3.0600966129999998</v>
      </c>
      <c r="U20" s="508">
        <v>2.9960407500000001</v>
      </c>
      <c r="V20" s="508">
        <v>2.5332330219999997</v>
      </c>
      <c r="W20" s="508">
        <v>2.7785355909999998</v>
      </c>
      <c r="X20" s="508">
        <v>2.887387661</v>
      </c>
      <c r="Y20" s="512">
        <v>3.0526140929999999</v>
      </c>
      <c r="Z20" s="509">
        <v>2.9289135060000002</v>
      </c>
      <c r="AA20" s="509">
        <v>2.8941227889999999</v>
      </c>
      <c r="AB20" s="512"/>
      <c r="AC20" s="512"/>
      <c r="AD20" s="509"/>
      <c r="AF20" s="683" t="s">
        <v>89</v>
      </c>
      <c r="AG20" s="328" t="s">
        <v>129</v>
      </c>
      <c r="AH20" s="508">
        <f>IF(S20&gt;1,S20,0)</f>
        <v>3.8265327429999996</v>
      </c>
      <c r="AI20" s="508">
        <f t="shared" ref="AI20:AS21" si="12">IF(T20&gt;1,AH20+T20,0)</f>
        <v>6.8866293559999994</v>
      </c>
      <c r="AJ20" s="508">
        <f t="shared" si="12"/>
        <v>9.8826701059999991</v>
      </c>
      <c r="AK20" s="508">
        <f t="shared" si="12"/>
        <v>12.415903127999998</v>
      </c>
      <c r="AL20" s="508">
        <f t="shared" si="12"/>
        <v>15.194438718999997</v>
      </c>
      <c r="AM20" s="508">
        <f t="shared" si="12"/>
        <v>18.081826379999995</v>
      </c>
      <c r="AN20" s="508">
        <f t="shared" si="12"/>
        <v>21.134440472999994</v>
      </c>
      <c r="AO20" s="508">
        <f t="shared" si="12"/>
        <v>24.063353978999995</v>
      </c>
      <c r="AP20" s="508">
        <f t="shared" si="12"/>
        <v>26.957476767999996</v>
      </c>
      <c r="AQ20" s="508">
        <f t="shared" si="12"/>
        <v>0</v>
      </c>
      <c r="AR20" s="508">
        <f t="shared" si="12"/>
        <v>0</v>
      </c>
      <c r="AS20" s="508">
        <f t="shared" si="12"/>
        <v>0</v>
      </c>
    </row>
    <row r="21" spans="1:50">
      <c r="B21" s="684"/>
      <c r="C21" s="328" t="s">
        <v>130</v>
      </c>
      <c r="D21" s="509"/>
      <c r="E21" s="509"/>
      <c r="F21" s="509"/>
      <c r="G21" s="509"/>
      <c r="H21" s="509"/>
      <c r="I21" s="509"/>
      <c r="J21" s="509"/>
      <c r="K21" s="509"/>
      <c r="L21" s="509"/>
      <c r="M21" s="509"/>
      <c r="N21" s="509"/>
      <c r="O21" s="509"/>
      <c r="Q21" s="684"/>
      <c r="R21" s="328" t="s">
        <v>130</v>
      </c>
      <c r="S21" s="509">
        <v>2338.0715989999999</v>
      </c>
      <c r="T21" s="509">
        <v>1779.942937</v>
      </c>
      <c r="U21" s="509">
        <v>2315.2552260000002</v>
      </c>
      <c r="V21" s="509">
        <v>2456.7947389999999</v>
      </c>
      <c r="W21" s="509">
        <v>2671.172928</v>
      </c>
      <c r="X21" s="509">
        <v>2741.3748380000002</v>
      </c>
      <c r="Y21" s="509">
        <v>3020.970362</v>
      </c>
      <c r="Z21" s="509">
        <v>2782.4470980000001</v>
      </c>
      <c r="AA21" s="509">
        <v>2752.9710709999999</v>
      </c>
      <c r="AB21" s="509"/>
      <c r="AC21" s="509"/>
      <c r="AD21" s="509"/>
      <c r="AF21" s="684"/>
      <c r="AG21" s="328" t="s">
        <v>130</v>
      </c>
      <c r="AH21" s="509">
        <f>IF(S21&gt;1,S21,0)</f>
        <v>2338.0715989999999</v>
      </c>
      <c r="AI21" s="509">
        <f t="shared" si="12"/>
        <v>4118.0145359999997</v>
      </c>
      <c r="AJ21" s="509">
        <f t="shared" si="12"/>
        <v>6433.2697619999999</v>
      </c>
      <c r="AK21" s="509">
        <f t="shared" si="12"/>
        <v>8890.0645010000007</v>
      </c>
      <c r="AL21" s="509">
        <f t="shared" si="12"/>
        <v>11561.237429000001</v>
      </c>
      <c r="AM21" s="509">
        <f t="shared" si="12"/>
        <v>14302.612267</v>
      </c>
      <c r="AN21" s="509">
        <f t="shared" si="12"/>
        <v>17323.582629</v>
      </c>
      <c r="AO21" s="509">
        <f t="shared" si="12"/>
        <v>20106.029727000001</v>
      </c>
      <c r="AP21" s="509">
        <f t="shared" si="12"/>
        <v>22859.000798000001</v>
      </c>
      <c r="AQ21" s="509">
        <f t="shared" si="12"/>
        <v>0</v>
      </c>
      <c r="AR21" s="509">
        <f t="shared" si="12"/>
        <v>0</v>
      </c>
      <c r="AS21" s="509">
        <f t="shared" si="12"/>
        <v>0</v>
      </c>
    </row>
    <row r="22" spans="1:50">
      <c r="B22" s="685"/>
      <c r="C22" s="479" t="s">
        <v>131</v>
      </c>
      <c r="D22" s="510"/>
      <c r="E22" s="510"/>
      <c r="F22" s="510"/>
      <c r="G22" s="510"/>
      <c r="H22" s="510"/>
      <c r="I22" s="510"/>
      <c r="J22" s="510"/>
      <c r="K22" s="510"/>
      <c r="L22" s="510"/>
      <c r="M22" s="510"/>
      <c r="N22" s="510"/>
      <c r="O22" s="510"/>
      <c r="Q22" s="685"/>
      <c r="R22" s="479" t="s">
        <v>131</v>
      </c>
      <c r="S22" s="510">
        <f t="shared" ref="S22:AD22" si="13">IF(S21=0,0,S21/S20)</f>
        <v>611.01570430231129</v>
      </c>
      <c r="T22" s="510">
        <f t="shared" si="13"/>
        <v>581.66233361338652</v>
      </c>
      <c r="U22" s="510">
        <f t="shared" si="13"/>
        <v>772.77160732877223</v>
      </c>
      <c r="V22" s="510">
        <f t="shared" si="13"/>
        <v>969.82579875749002</v>
      </c>
      <c r="W22" s="510">
        <f t="shared" si="13"/>
        <v>961.35998280973615</v>
      </c>
      <c r="X22" s="510">
        <f t="shared" si="13"/>
        <v>949.43082116329663</v>
      </c>
      <c r="Y22" s="510">
        <f t="shared" si="13"/>
        <v>989.6338908109733</v>
      </c>
      <c r="Z22" s="510">
        <f t="shared" si="13"/>
        <v>949.99292136829661</v>
      </c>
      <c r="AA22" s="510">
        <f t="shared" si="13"/>
        <v>951.22815157100786</v>
      </c>
      <c r="AB22" s="510">
        <f t="shared" si="13"/>
        <v>0</v>
      </c>
      <c r="AC22" s="510">
        <f t="shared" si="13"/>
        <v>0</v>
      </c>
      <c r="AD22" s="510">
        <f t="shared" si="13"/>
        <v>0</v>
      </c>
      <c r="AF22" s="685"/>
      <c r="AG22" s="479" t="s">
        <v>131</v>
      </c>
      <c r="AH22" s="510">
        <f t="shared" ref="AH22:AS22" si="14">IF(AH21=0,0,AH21/AH20)</f>
        <v>611.01570430231129</v>
      </c>
      <c r="AI22" s="510">
        <f t="shared" si="14"/>
        <v>597.9724366045873</v>
      </c>
      <c r="AJ22" s="510">
        <f t="shared" si="14"/>
        <v>650.96473857750368</v>
      </c>
      <c r="AK22" s="510">
        <f t="shared" si="14"/>
        <v>716.02237947164519</v>
      </c>
      <c r="AL22" s="510">
        <f t="shared" si="14"/>
        <v>760.88611384790192</v>
      </c>
      <c r="AM22" s="510">
        <f t="shared" si="14"/>
        <v>790.99378383700662</v>
      </c>
      <c r="AN22" s="510">
        <f t="shared" si="14"/>
        <v>819.68494274222678</v>
      </c>
      <c r="AO22" s="510">
        <f t="shared" si="14"/>
        <v>835.54560783781278</v>
      </c>
      <c r="AP22" s="510">
        <f t="shared" si="14"/>
        <v>847.96514876848153</v>
      </c>
      <c r="AQ22" s="510">
        <f t="shared" si="14"/>
        <v>0</v>
      </c>
      <c r="AR22" s="510">
        <f t="shared" si="14"/>
        <v>0</v>
      </c>
      <c r="AS22" s="510">
        <f t="shared" si="14"/>
        <v>0</v>
      </c>
    </row>
    <row r="23" spans="1:50">
      <c r="B23" s="683" t="s">
        <v>90</v>
      </c>
      <c r="C23" s="328" t="s">
        <v>129</v>
      </c>
      <c r="D23" s="508">
        <v>18.739999999999998</v>
      </c>
      <c r="E23" s="508">
        <v>36.549999999999997</v>
      </c>
      <c r="F23" s="508">
        <v>56.39</v>
      </c>
      <c r="G23" s="508">
        <v>75.55</v>
      </c>
      <c r="H23" s="508">
        <v>95.22</v>
      </c>
      <c r="I23" s="508">
        <v>113.73</v>
      </c>
      <c r="J23" s="508">
        <v>132.49</v>
      </c>
      <c r="K23" s="508">
        <v>151.71</v>
      </c>
      <c r="L23" s="508">
        <v>171.15</v>
      </c>
      <c r="M23" s="508">
        <v>191.42</v>
      </c>
      <c r="N23" s="508">
        <v>211.32</v>
      </c>
      <c r="O23" s="508">
        <v>231.47</v>
      </c>
      <c r="Q23" s="683" t="s">
        <v>90</v>
      </c>
      <c r="R23" s="328" t="s">
        <v>129</v>
      </c>
      <c r="S23" s="508">
        <f t="shared" ref="S23:AD23" si="15">S8+S11+S14+S17+S20</f>
        <v>22.980830736000001</v>
      </c>
      <c r="T23" s="508">
        <f t="shared" si="15"/>
        <v>19.221995255</v>
      </c>
      <c r="U23" s="508">
        <f t="shared" si="15"/>
        <v>18.723482262999998</v>
      </c>
      <c r="V23" s="508">
        <f t="shared" si="15"/>
        <v>15.485810356</v>
      </c>
      <c r="W23" s="508">
        <f t="shared" si="15"/>
        <v>17.494274600000001</v>
      </c>
      <c r="X23" s="508">
        <f t="shared" si="15"/>
        <v>17.745174153000001</v>
      </c>
      <c r="Y23" s="508">
        <f t="shared" si="15"/>
        <v>18.187754390999999</v>
      </c>
      <c r="Z23" s="508">
        <f t="shared" si="15"/>
        <v>18.220655208</v>
      </c>
      <c r="AA23" s="508">
        <f t="shared" si="15"/>
        <v>18.295829641999998</v>
      </c>
      <c r="AB23" s="508">
        <f t="shared" si="15"/>
        <v>0</v>
      </c>
      <c r="AC23" s="508">
        <f t="shared" si="15"/>
        <v>0</v>
      </c>
      <c r="AD23" s="508">
        <f t="shared" si="15"/>
        <v>0</v>
      </c>
      <c r="AF23" s="683" t="s">
        <v>90</v>
      </c>
      <c r="AG23" s="328" t="s">
        <v>129</v>
      </c>
      <c r="AH23" s="508">
        <f t="shared" ref="AH23:AK24" si="16">AH8+AH11+AH14+AH17+AH20</f>
        <v>22.980830736000001</v>
      </c>
      <c r="AI23" s="508">
        <f t="shared" si="16"/>
        <v>42.202825991000005</v>
      </c>
      <c r="AJ23" s="508">
        <f t="shared" si="16"/>
        <v>60.926308253999998</v>
      </c>
      <c r="AK23" s="508">
        <f t="shared" si="16"/>
        <v>76.412118610000007</v>
      </c>
      <c r="AL23" s="508">
        <f t="shared" ref="AL23:AS23" si="17">AK23+W23</f>
        <v>93.906393210000005</v>
      </c>
      <c r="AM23" s="508">
        <f t="shared" si="17"/>
        <v>111.651567363</v>
      </c>
      <c r="AN23" s="508">
        <f t="shared" si="17"/>
        <v>129.839321754</v>
      </c>
      <c r="AO23" s="508">
        <f t="shared" si="17"/>
        <v>148.05997696200001</v>
      </c>
      <c r="AP23" s="508">
        <f t="shared" si="17"/>
        <v>166.35580660400001</v>
      </c>
      <c r="AQ23" s="508">
        <f t="shared" si="17"/>
        <v>166.35580660400001</v>
      </c>
      <c r="AR23" s="508">
        <f t="shared" si="17"/>
        <v>166.35580660400001</v>
      </c>
      <c r="AS23" s="508">
        <f t="shared" si="17"/>
        <v>166.35580660400001</v>
      </c>
      <c r="AT23" s="266"/>
    </row>
    <row r="24" spans="1:50">
      <c r="B24" s="684"/>
      <c r="C24" s="328" t="s">
        <v>130</v>
      </c>
      <c r="D24" s="509"/>
      <c r="E24" s="509"/>
      <c r="F24" s="509"/>
      <c r="G24" s="509"/>
      <c r="H24" s="509"/>
      <c r="I24" s="509"/>
      <c r="J24" s="509"/>
      <c r="K24" s="509"/>
      <c r="L24" s="509"/>
      <c r="M24" s="509"/>
      <c r="N24" s="509"/>
      <c r="O24" s="509"/>
      <c r="Q24" s="684"/>
      <c r="R24" s="328" t="s">
        <v>130</v>
      </c>
      <c r="S24" s="509">
        <f t="shared" ref="S24:AD24" si="18">S9+S12+S15+S18+S21</f>
        <v>15557.929725000002</v>
      </c>
      <c r="T24" s="509">
        <f t="shared" si="18"/>
        <v>12395.714997999999</v>
      </c>
      <c r="U24" s="509">
        <f t="shared" si="18"/>
        <v>15345.983189000002</v>
      </c>
      <c r="V24" s="509">
        <f t="shared" si="18"/>
        <v>15594.614858000001</v>
      </c>
      <c r="W24" s="509">
        <f t="shared" si="18"/>
        <v>17564.735568999997</v>
      </c>
      <c r="X24" s="509">
        <f t="shared" si="18"/>
        <v>17816.458549999999</v>
      </c>
      <c r="Y24" s="509">
        <f t="shared" si="18"/>
        <v>18309.320220000001</v>
      </c>
      <c r="Z24" s="509">
        <f t="shared" si="18"/>
        <v>18098.769238999997</v>
      </c>
      <c r="AA24" s="509">
        <f t="shared" si="18"/>
        <v>18200.224716000001</v>
      </c>
      <c r="AB24" s="509">
        <f t="shared" si="18"/>
        <v>0</v>
      </c>
      <c r="AC24" s="509">
        <f t="shared" si="18"/>
        <v>0</v>
      </c>
      <c r="AD24" s="509">
        <f t="shared" si="18"/>
        <v>0</v>
      </c>
      <c r="AF24" s="684"/>
      <c r="AG24" s="328" t="s">
        <v>130</v>
      </c>
      <c r="AH24" s="509">
        <f t="shared" si="16"/>
        <v>15557.929725000002</v>
      </c>
      <c r="AI24" s="509">
        <f t="shared" si="16"/>
        <v>27953.644722999998</v>
      </c>
      <c r="AJ24" s="509">
        <f t="shared" si="16"/>
        <v>43299.627911999996</v>
      </c>
      <c r="AK24" s="509">
        <f t="shared" si="16"/>
        <v>58894.242769999997</v>
      </c>
      <c r="AL24" s="509">
        <f t="shared" ref="AL24:AS24" si="19">AL9+AL12+AL15+AL18+AL21</f>
        <v>76458.978338999994</v>
      </c>
      <c r="AM24" s="509">
        <f t="shared" si="19"/>
        <v>94275.43688899999</v>
      </c>
      <c r="AN24" s="509">
        <f t="shared" si="19"/>
        <v>112584.75710899998</v>
      </c>
      <c r="AO24" s="509">
        <f t="shared" si="19"/>
        <v>130683.526348</v>
      </c>
      <c r="AP24" s="509">
        <f t="shared" si="19"/>
        <v>148883.75106399998</v>
      </c>
      <c r="AQ24" s="509">
        <f t="shared" si="19"/>
        <v>0</v>
      </c>
      <c r="AR24" s="509">
        <f t="shared" si="19"/>
        <v>0</v>
      </c>
      <c r="AS24" s="509">
        <f t="shared" si="19"/>
        <v>0</v>
      </c>
    </row>
    <row r="25" spans="1:50">
      <c r="B25" s="685"/>
      <c r="C25" s="479" t="s">
        <v>131</v>
      </c>
      <c r="D25" s="510"/>
      <c r="E25" s="510"/>
      <c r="F25" s="510"/>
      <c r="G25" s="510"/>
      <c r="H25" s="510"/>
      <c r="I25" s="510"/>
      <c r="J25" s="510"/>
      <c r="K25" s="510"/>
      <c r="L25" s="510"/>
      <c r="M25" s="510"/>
      <c r="N25" s="510"/>
      <c r="O25" s="510"/>
      <c r="Q25" s="685"/>
      <c r="R25" s="479" t="s">
        <v>131</v>
      </c>
      <c r="S25" s="510">
        <f t="shared" ref="S25:AD25" si="20">IF(S24=0,0,S24/S23)</f>
        <v>676.99596693117564</v>
      </c>
      <c r="T25" s="510">
        <f t="shared" si="20"/>
        <v>644.87140037013808</v>
      </c>
      <c r="U25" s="510">
        <f t="shared" si="20"/>
        <v>819.61159646705426</v>
      </c>
      <c r="V25" s="510">
        <f t="shared" si="20"/>
        <v>1007.0260773894757</v>
      </c>
      <c r="W25" s="510">
        <f t="shared" si="20"/>
        <v>1004.0276587975815</v>
      </c>
      <c r="X25" s="510">
        <f t="shared" si="20"/>
        <v>1004.0171145340913</v>
      </c>
      <c r="Y25" s="510">
        <f t="shared" si="20"/>
        <v>1006.6839383459103</v>
      </c>
      <c r="Z25" s="510">
        <f t="shared" si="20"/>
        <v>993.31056059133994</v>
      </c>
      <c r="AA25" s="510">
        <f t="shared" si="20"/>
        <v>994.77449627206158</v>
      </c>
      <c r="AB25" s="510">
        <f t="shared" si="20"/>
        <v>0</v>
      </c>
      <c r="AC25" s="510">
        <f t="shared" si="20"/>
        <v>0</v>
      </c>
      <c r="AD25" s="510">
        <f t="shared" si="20"/>
        <v>0</v>
      </c>
      <c r="AF25" s="685"/>
      <c r="AG25" s="479" t="s">
        <v>131</v>
      </c>
      <c r="AH25" s="510">
        <f t="shared" ref="AH25:AS25" si="21">IF(AH24=0,0,AH24/AH23)</f>
        <v>676.99596693117564</v>
      </c>
      <c r="AI25" s="510">
        <f t="shared" si="21"/>
        <v>662.36428643336046</v>
      </c>
      <c r="AJ25" s="510">
        <f t="shared" si="21"/>
        <v>710.68852114730328</v>
      </c>
      <c r="AK25" s="510">
        <f t="shared" si="21"/>
        <v>770.74479600010125</v>
      </c>
      <c r="AL25" s="510">
        <f t="shared" si="21"/>
        <v>814.20418488459154</v>
      </c>
      <c r="AM25" s="510">
        <f t="shared" si="21"/>
        <v>844.37181775060105</v>
      </c>
      <c r="AN25" s="510">
        <f t="shared" si="21"/>
        <v>867.1083273394529</v>
      </c>
      <c r="AO25" s="510">
        <f t="shared" si="21"/>
        <v>882.63911037579237</v>
      </c>
      <c r="AP25" s="510">
        <f t="shared" si="21"/>
        <v>894.97177227127872</v>
      </c>
      <c r="AQ25" s="510">
        <f t="shared" si="21"/>
        <v>0</v>
      </c>
      <c r="AR25" s="510">
        <f t="shared" si="21"/>
        <v>0</v>
      </c>
      <c r="AS25" s="510">
        <f t="shared" si="21"/>
        <v>0</v>
      </c>
    </row>
    <row r="26" spans="1:50">
      <c r="E26" s="150"/>
      <c r="S26" s="265"/>
      <c r="AH26" s="144"/>
    </row>
    <row r="27" spans="1:50">
      <c r="A27" s="105">
        <v>2</v>
      </c>
      <c r="B27" s="21" t="s">
        <v>67</v>
      </c>
      <c r="Q27" t="str">
        <f>B27</f>
        <v>SAIDI</v>
      </c>
      <c r="AF27" t="str">
        <f>B27</f>
        <v>SAIDI</v>
      </c>
    </row>
    <row r="28" spans="1:50">
      <c r="A28" s="105"/>
      <c r="B28" s="21" t="s">
        <v>100</v>
      </c>
      <c r="Q28" t="s">
        <v>126</v>
      </c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F28" t="s">
        <v>127</v>
      </c>
    </row>
    <row r="29" spans="1:50">
      <c r="A29" s="105"/>
      <c r="B29" s="681" t="s">
        <v>72</v>
      </c>
      <c r="C29" s="682"/>
      <c r="D29" s="638" t="s">
        <v>74</v>
      </c>
      <c r="E29" s="638" t="s">
        <v>75</v>
      </c>
      <c r="F29" s="638" t="s">
        <v>76</v>
      </c>
      <c r="G29" s="638" t="s">
        <v>77</v>
      </c>
      <c r="H29" s="638" t="s">
        <v>78</v>
      </c>
      <c r="I29" s="638" t="s">
        <v>79</v>
      </c>
      <c r="J29" s="638" t="s">
        <v>80</v>
      </c>
      <c r="K29" s="638" t="s">
        <v>81</v>
      </c>
      <c r="L29" s="638" t="s">
        <v>82</v>
      </c>
      <c r="M29" s="638" t="s">
        <v>83</v>
      </c>
      <c r="N29" s="638" t="s">
        <v>84</v>
      </c>
      <c r="O29" s="638" t="s">
        <v>85</v>
      </c>
      <c r="Q29" s="681" t="s">
        <v>72</v>
      </c>
      <c r="R29" s="682"/>
      <c r="S29" s="638" t="s">
        <v>74</v>
      </c>
      <c r="T29" s="638" t="s">
        <v>75</v>
      </c>
      <c r="U29" s="638" t="s">
        <v>76</v>
      </c>
      <c r="V29" s="638" t="s">
        <v>77</v>
      </c>
      <c r="W29" s="638" t="s">
        <v>78</v>
      </c>
      <c r="X29" s="638" t="s">
        <v>79</v>
      </c>
      <c r="Y29" s="638" t="s">
        <v>80</v>
      </c>
      <c r="Z29" s="638" t="s">
        <v>81</v>
      </c>
      <c r="AA29" s="638" t="s">
        <v>82</v>
      </c>
      <c r="AB29" s="638" t="s">
        <v>83</v>
      </c>
      <c r="AC29" s="638" t="s">
        <v>84</v>
      </c>
      <c r="AD29" s="638" t="s">
        <v>85</v>
      </c>
      <c r="AF29" s="681" t="s">
        <v>72</v>
      </c>
      <c r="AG29" s="682"/>
      <c r="AH29" s="638" t="s">
        <v>74</v>
      </c>
      <c r="AI29" s="638" t="s">
        <v>75</v>
      </c>
      <c r="AJ29" s="638" t="s">
        <v>76</v>
      </c>
      <c r="AK29" s="638" t="s">
        <v>77</v>
      </c>
      <c r="AL29" s="638" t="s">
        <v>78</v>
      </c>
      <c r="AM29" s="638" t="s">
        <v>79</v>
      </c>
      <c r="AN29" s="638" t="s">
        <v>80</v>
      </c>
      <c r="AO29" s="638" t="s">
        <v>81</v>
      </c>
      <c r="AP29" s="638" t="s">
        <v>82</v>
      </c>
      <c r="AQ29" s="638" t="s">
        <v>83</v>
      </c>
      <c r="AR29" s="638" t="s">
        <v>84</v>
      </c>
      <c r="AS29" s="638" t="s">
        <v>85</v>
      </c>
    </row>
    <row r="30" spans="1:50">
      <c r="A30" s="105"/>
      <c r="B30" s="679" t="s">
        <v>128</v>
      </c>
      <c r="C30" s="489" t="s">
        <v>132</v>
      </c>
      <c r="D30" s="513"/>
      <c r="E30" s="513"/>
      <c r="F30" s="513"/>
      <c r="G30" s="513"/>
      <c r="H30" s="513"/>
      <c r="I30" s="513"/>
      <c r="J30" s="513"/>
      <c r="K30" s="513"/>
      <c r="L30" s="513"/>
      <c r="M30" s="513"/>
      <c r="N30" s="513"/>
      <c r="O30" s="513"/>
      <c r="Q30" s="679" t="s">
        <v>128</v>
      </c>
      <c r="R30" s="489" t="s">
        <v>132</v>
      </c>
      <c r="S30" s="513">
        <f>10022.05*60</f>
        <v>601323</v>
      </c>
      <c r="T30" s="513">
        <f>2078.37*60</f>
        <v>124702.2</v>
      </c>
      <c r="U30" s="513">
        <f>1465.67 *60</f>
        <v>87940.200000000012</v>
      </c>
      <c r="V30" s="513">
        <v>1229737.2</v>
      </c>
      <c r="W30" s="513">
        <f>69028.87*60</f>
        <v>4141732.1999999997</v>
      </c>
      <c r="X30" s="513">
        <f>62522.48*60</f>
        <v>3751348.8000000003</v>
      </c>
      <c r="Y30" s="513">
        <f>10661.98*60</f>
        <v>639718.79999999993</v>
      </c>
      <c r="Z30" s="513">
        <f>4656.82*60</f>
        <v>279409.19999999995</v>
      </c>
      <c r="AA30" s="513">
        <f>12327.72*60</f>
        <v>739663.2</v>
      </c>
      <c r="AB30" s="513"/>
      <c r="AC30" s="251"/>
      <c r="AD30" s="513"/>
      <c r="AF30" s="679" t="s">
        <v>128</v>
      </c>
      <c r="AG30" s="514" t="s">
        <v>132</v>
      </c>
      <c r="AH30" s="513">
        <f>IF(S30=0,0,S30)</f>
        <v>601323</v>
      </c>
      <c r="AI30" s="513">
        <f t="shared" ref="AI30:AS30" si="22">IF(T30=0,0,AH30+T30)</f>
        <v>726025.2</v>
      </c>
      <c r="AJ30" s="513">
        <f t="shared" si="22"/>
        <v>813965.39999999991</v>
      </c>
      <c r="AK30" s="513">
        <f t="shared" si="22"/>
        <v>2043702.5999999999</v>
      </c>
      <c r="AL30" s="513">
        <f t="shared" si="22"/>
        <v>6185434.7999999998</v>
      </c>
      <c r="AM30" s="513">
        <f t="shared" si="22"/>
        <v>9936783.5999999996</v>
      </c>
      <c r="AN30" s="513">
        <f t="shared" si="22"/>
        <v>10576502.4</v>
      </c>
      <c r="AO30" s="513">
        <f t="shared" si="22"/>
        <v>10855911.6</v>
      </c>
      <c r="AP30" s="513">
        <f t="shared" si="22"/>
        <v>11595574.799999999</v>
      </c>
      <c r="AQ30" s="513">
        <f t="shared" si="22"/>
        <v>0</v>
      </c>
      <c r="AR30" s="513">
        <f t="shared" si="22"/>
        <v>0</v>
      </c>
      <c r="AS30" s="513">
        <f t="shared" si="22"/>
        <v>0</v>
      </c>
    </row>
    <row r="31" spans="1:50">
      <c r="A31" s="105"/>
      <c r="B31" s="679"/>
      <c r="C31" s="515" t="s">
        <v>133</v>
      </c>
      <c r="D31" s="513"/>
      <c r="E31" s="513"/>
      <c r="F31" s="513"/>
      <c r="G31" s="513"/>
      <c r="H31" s="513"/>
      <c r="I31" s="513"/>
      <c r="J31" s="513"/>
      <c r="K31" s="513"/>
      <c r="L31" s="513"/>
      <c r="M31" s="513"/>
      <c r="N31" s="513"/>
      <c r="O31" s="513"/>
      <c r="Q31" s="679"/>
      <c r="R31" s="515" t="s">
        <v>133</v>
      </c>
      <c r="S31" s="513">
        <v>46737</v>
      </c>
      <c r="T31" s="251">
        <v>46863</v>
      </c>
      <c r="U31" s="513">
        <v>46970</v>
      </c>
      <c r="V31" s="513">
        <v>47063</v>
      </c>
      <c r="W31" s="513">
        <v>47155</v>
      </c>
      <c r="X31" s="513">
        <v>47250</v>
      </c>
      <c r="Y31" s="513">
        <v>47346</v>
      </c>
      <c r="Z31" s="513">
        <v>47446</v>
      </c>
      <c r="AA31" s="513">
        <v>47552</v>
      </c>
      <c r="AB31" s="513"/>
      <c r="AC31" s="513"/>
      <c r="AD31" s="513"/>
      <c r="AF31" s="679"/>
      <c r="AG31" s="514" t="s">
        <v>133</v>
      </c>
      <c r="AH31" s="513">
        <f t="shared" ref="AH31:AS31" si="23">S31</f>
        <v>46737</v>
      </c>
      <c r="AI31" s="513">
        <f>T31</f>
        <v>46863</v>
      </c>
      <c r="AJ31" s="513">
        <f t="shared" si="23"/>
        <v>46970</v>
      </c>
      <c r="AK31" s="513">
        <f t="shared" si="23"/>
        <v>47063</v>
      </c>
      <c r="AL31" s="513">
        <f t="shared" si="23"/>
        <v>47155</v>
      </c>
      <c r="AM31" s="513">
        <f t="shared" si="23"/>
        <v>47250</v>
      </c>
      <c r="AN31" s="513">
        <f t="shared" si="23"/>
        <v>47346</v>
      </c>
      <c r="AO31" s="513">
        <f t="shared" si="23"/>
        <v>47446</v>
      </c>
      <c r="AP31" s="513">
        <f t="shared" si="23"/>
        <v>47552</v>
      </c>
      <c r="AQ31" s="513">
        <f t="shared" si="23"/>
        <v>0</v>
      </c>
      <c r="AR31" s="513">
        <f t="shared" si="23"/>
        <v>0</v>
      </c>
      <c r="AS31" s="513">
        <f t="shared" si="23"/>
        <v>0</v>
      </c>
      <c r="AX31" s="156"/>
    </row>
    <row r="32" spans="1:50">
      <c r="A32" s="105"/>
      <c r="B32" s="679"/>
      <c r="C32" s="516" t="s">
        <v>134</v>
      </c>
      <c r="D32" s="517">
        <v>32.44</v>
      </c>
      <c r="E32" s="517">
        <v>64.87</v>
      </c>
      <c r="F32" s="517">
        <v>97.31</v>
      </c>
      <c r="G32" s="517">
        <v>129.75</v>
      </c>
      <c r="H32" s="517">
        <v>162.18</v>
      </c>
      <c r="I32" s="517">
        <v>194.62</v>
      </c>
      <c r="J32" s="517">
        <v>227.06</v>
      </c>
      <c r="K32" s="517">
        <v>259.49</v>
      </c>
      <c r="L32" s="517">
        <v>291.93</v>
      </c>
      <c r="M32" s="517">
        <v>324.37</v>
      </c>
      <c r="N32" s="517">
        <v>356.8</v>
      </c>
      <c r="O32" s="517">
        <v>389.24</v>
      </c>
      <c r="Q32" s="679"/>
      <c r="R32" s="516" t="s">
        <v>134</v>
      </c>
      <c r="S32" s="518">
        <f t="shared" ref="S32:AD32" si="24">IF(S30=0,0,S30/S31)</f>
        <v>12.866101803710123</v>
      </c>
      <c r="T32" s="518">
        <f>IF(T30=0,0,T30/T31)</f>
        <v>2.6609948146725562</v>
      </c>
      <c r="U32" s="517">
        <f t="shared" si="24"/>
        <v>1.8722631466893764</v>
      </c>
      <c r="V32" s="517">
        <f t="shared" si="24"/>
        <v>26.129596498310775</v>
      </c>
      <c r="W32" s="517">
        <f>IF(W30=0,0,W30/W31)</f>
        <v>87.832301982822599</v>
      </c>
      <c r="X32" s="517">
        <f t="shared" si="24"/>
        <v>79.393625396825399</v>
      </c>
      <c r="Y32" s="517">
        <f t="shared" si="24"/>
        <v>13.511570143201114</v>
      </c>
      <c r="Z32" s="517">
        <f t="shared" si="24"/>
        <v>5.8889938034818519</v>
      </c>
      <c r="AA32" s="517">
        <f t="shared" si="24"/>
        <v>15.554828398384926</v>
      </c>
      <c r="AB32" s="519">
        <f t="shared" si="24"/>
        <v>0</v>
      </c>
      <c r="AC32" s="517">
        <f t="shared" si="24"/>
        <v>0</v>
      </c>
      <c r="AD32" s="517">
        <f t="shared" si="24"/>
        <v>0</v>
      </c>
      <c r="AF32" s="679"/>
      <c r="AG32" s="520" t="s">
        <v>134</v>
      </c>
      <c r="AH32" s="517">
        <f t="shared" ref="AH32:AS32" si="25">IF(AH30=0,0,AH30/AH31)</f>
        <v>12.866101803710123</v>
      </c>
      <c r="AI32" s="517">
        <f t="shared" si="25"/>
        <v>15.49250368094232</v>
      </c>
      <c r="AJ32" s="517">
        <f t="shared" si="25"/>
        <v>17.329474132424949</v>
      </c>
      <c r="AK32" s="517">
        <f t="shared" si="25"/>
        <v>43.424826296666168</v>
      </c>
      <c r="AL32" s="517">
        <f t="shared" si="25"/>
        <v>131.17240589545116</v>
      </c>
      <c r="AM32" s="517">
        <f t="shared" si="25"/>
        <v>210.30229841269841</v>
      </c>
      <c r="AN32" s="517">
        <f t="shared" si="25"/>
        <v>223.38745406158915</v>
      </c>
      <c r="AO32" s="517">
        <f t="shared" si="25"/>
        <v>228.80562323483539</v>
      </c>
      <c r="AP32" s="517">
        <f t="shared" si="25"/>
        <v>243.85041218034991</v>
      </c>
      <c r="AQ32" s="517">
        <f t="shared" si="25"/>
        <v>0</v>
      </c>
      <c r="AR32" s="517">
        <f t="shared" si="25"/>
        <v>0</v>
      </c>
      <c r="AS32" s="517">
        <f t="shared" si="25"/>
        <v>0</v>
      </c>
    </row>
    <row r="33" spans="1:51">
      <c r="A33" s="105"/>
      <c r="B33" s="679" t="s">
        <v>87</v>
      </c>
      <c r="C33" s="489" t="s">
        <v>132</v>
      </c>
      <c r="D33" s="513"/>
      <c r="E33" s="513"/>
      <c r="F33" s="513"/>
      <c r="G33" s="513"/>
      <c r="H33" s="513"/>
      <c r="I33" s="513"/>
      <c r="J33" s="513"/>
      <c r="K33" s="513"/>
      <c r="L33" s="513"/>
      <c r="M33" s="513"/>
      <c r="N33" s="513"/>
      <c r="O33" s="513"/>
      <c r="Q33" s="679" t="s">
        <v>87</v>
      </c>
      <c r="R33" s="489" t="s">
        <v>132</v>
      </c>
      <c r="S33" s="513">
        <f>15737.08*60</f>
        <v>944224.8</v>
      </c>
      <c r="T33" s="513">
        <f>2447.04*60</f>
        <v>146822.39999999999</v>
      </c>
      <c r="U33" s="513">
        <f>489.36*60</f>
        <v>29361.600000000002</v>
      </c>
      <c r="V33" s="513">
        <v>461679</v>
      </c>
      <c r="W33" s="513">
        <f>27295.32*60</f>
        <v>1637719.2</v>
      </c>
      <c r="X33" s="513">
        <f>25701.84*60</f>
        <v>1542110.4</v>
      </c>
      <c r="Y33" s="513">
        <v>905589.6</v>
      </c>
      <c r="Z33" s="513">
        <f>185.44*60</f>
        <v>11126.4</v>
      </c>
      <c r="AA33" s="513">
        <f>7818.4*60</f>
        <v>469104</v>
      </c>
      <c r="AB33" s="513"/>
      <c r="AC33" s="251"/>
      <c r="AD33" s="513"/>
      <c r="AF33" s="679" t="s">
        <v>87</v>
      </c>
      <c r="AG33" s="514" t="s">
        <v>132</v>
      </c>
      <c r="AH33" s="513">
        <f>IF(S33=0,0,S33)</f>
        <v>944224.8</v>
      </c>
      <c r="AI33" s="513">
        <f t="shared" ref="AI33:AS33" si="26">IF(T33=0,0,AH33+T33)</f>
        <v>1091047.2</v>
      </c>
      <c r="AJ33" s="513">
        <f t="shared" si="26"/>
        <v>1120408.8</v>
      </c>
      <c r="AK33" s="513">
        <f t="shared" si="26"/>
        <v>1582087.8</v>
      </c>
      <c r="AL33" s="513">
        <f t="shared" si="26"/>
        <v>3219807</v>
      </c>
      <c r="AM33" s="513">
        <f t="shared" si="26"/>
        <v>4761917.4000000004</v>
      </c>
      <c r="AN33" s="513">
        <f t="shared" si="26"/>
        <v>5667507</v>
      </c>
      <c r="AO33" s="513">
        <f t="shared" si="26"/>
        <v>5678633.4000000004</v>
      </c>
      <c r="AP33" s="513">
        <f t="shared" si="26"/>
        <v>6147737.4000000004</v>
      </c>
      <c r="AQ33" s="513">
        <f t="shared" si="26"/>
        <v>0</v>
      </c>
      <c r="AR33" s="513">
        <f t="shared" si="26"/>
        <v>0</v>
      </c>
      <c r="AS33" s="513">
        <f t="shared" si="26"/>
        <v>0</v>
      </c>
    </row>
    <row r="34" spans="1:51">
      <c r="A34" s="105"/>
      <c r="B34" s="679"/>
      <c r="C34" s="515" t="s">
        <v>133</v>
      </c>
      <c r="D34" s="513"/>
      <c r="E34" s="513"/>
      <c r="F34" s="513"/>
      <c r="G34" s="513"/>
      <c r="H34" s="513"/>
      <c r="I34" s="513"/>
      <c r="J34" s="513"/>
      <c r="K34" s="513"/>
      <c r="L34" s="513"/>
      <c r="M34" s="513"/>
      <c r="N34" s="513"/>
      <c r="O34" s="513"/>
      <c r="Q34" s="679"/>
      <c r="R34" s="515" t="s">
        <v>133</v>
      </c>
      <c r="S34" s="513">
        <v>35785</v>
      </c>
      <c r="T34" s="513">
        <v>35893</v>
      </c>
      <c r="U34" s="513">
        <v>35986</v>
      </c>
      <c r="V34" s="513">
        <v>36089</v>
      </c>
      <c r="W34" s="513">
        <v>36170</v>
      </c>
      <c r="X34" s="513">
        <v>36277</v>
      </c>
      <c r="Y34" s="513">
        <v>36362</v>
      </c>
      <c r="Z34" s="513">
        <v>36498</v>
      </c>
      <c r="AA34" s="513">
        <v>36621</v>
      </c>
      <c r="AB34" s="513"/>
      <c r="AC34" s="513"/>
      <c r="AD34" s="513"/>
      <c r="AF34" s="679"/>
      <c r="AG34" s="514" t="s">
        <v>133</v>
      </c>
      <c r="AH34" s="513">
        <f t="shared" ref="AH34:AS34" si="27">S34</f>
        <v>35785</v>
      </c>
      <c r="AI34" s="513">
        <f t="shared" si="27"/>
        <v>35893</v>
      </c>
      <c r="AJ34" s="513">
        <f t="shared" si="27"/>
        <v>35986</v>
      </c>
      <c r="AK34" s="513">
        <f t="shared" si="27"/>
        <v>36089</v>
      </c>
      <c r="AL34" s="513">
        <f t="shared" si="27"/>
        <v>36170</v>
      </c>
      <c r="AM34" s="513">
        <f t="shared" si="27"/>
        <v>36277</v>
      </c>
      <c r="AN34" s="513">
        <f t="shared" si="27"/>
        <v>36362</v>
      </c>
      <c r="AO34" s="513">
        <f t="shared" si="27"/>
        <v>36498</v>
      </c>
      <c r="AP34" s="513">
        <f t="shared" si="27"/>
        <v>36621</v>
      </c>
      <c r="AQ34" s="513">
        <f t="shared" si="27"/>
        <v>0</v>
      </c>
      <c r="AR34" s="513">
        <f t="shared" si="27"/>
        <v>0</v>
      </c>
      <c r="AS34" s="513">
        <f t="shared" si="27"/>
        <v>0</v>
      </c>
      <c r="AX34" s="156"/>
    </row>
    <row r="35" spans="1:51">
      <c r="A35" s="105"/>
      <c r="B35" s="679"/>
      <c r="C35" s="516" t="s">
        <v>134</v>
      </c>
      <c r="D35" s="517">
        <v>25.22</v>
      </c>
      <c r="E35" s="517">
        <v>50.45</v>
      </c>
      <c r="F35" s="517">
        <v>75.67</v>
      </c>
      <c r="G35" s="517">
        <v>100.89</v>
      </c>
      <c r="H35" s="517">
        <v>126.12</v>
      </c>
      <c r="I35" s="517">
        <v>151.34</v>
      </c>
      <c r="J35" s="517">
        <v>176.56</v>
      </c>
      <c r="K35" s="517">
        <v>201.78</v>
      </c>
      <c r="L35" s="517">
        <v>227.01</v>
      </c>
      <c r="M35" s="517">
        <v>252.23</v>
      </c>
      <c r="N35" s="517">
        <v>277.45</v>
      </c>
      <c r="O35" s="517">
        <v>302.68</v>
      </c>
      <c r="Q35" s="679"/>
      <c r="R35" s="516" t="s">
        <v>134</v>
      </c>
      <c r="S35" s="517">
        <f t="shared" ref="S35:AD35" si="28">IF(S33=0,0,S33/S34)</f>
        <v>26.386050020958503</v>
      </c>
      <c r="T35" s="517">
        <f t="shared" si="28"/>
        <v>4.0905580475301591</v>
      </c>
      <c r="U35" s="517">
        <f t="shared" si="28"/>
        <v>0.81591730117267836</v>
      </c>
      <c r="V35" s="517">
        <f t="shared" si="28"/>
        <v>12.792790046828674</v>
      </c>
      <c r="W35" s="517">
        <f t="shared" si="28"/>
        <v>45.27838540226707</v>
      </c>
      <c r="X35" s="517">
        <f t="shared" si="28"/>
        <v>42.509314441657246</v>
      </c>
      <c r="Y35" s="517">
        <f t="shared" si="28"/>
        <v>24.904834717562288</v>
      </c>
      <c r="Z35" s="517">
        <f t="shared" si="28"/>
        <v>0.30484958079894786</v>
      </c>
      <c r="AA35" s="518">
        <f t="shared" si="28"/>
        <v>12.809699352830343</v>
      </c>
      <c r="AB35" s="517">
        <f t="shared" si="28"/>
        <v>0</v>
      </c>
      <c r="AC35" s="517">
        <f t="shared" si="28"/>
        <v>0</v>
      </c>
      <c r="AD35" s="519">
        <f t="shared" si="28"/>
        <v>0</v>
      </c>
      <c r="AF35" s="679"/>
      <c r="AG35" s="520" t="s">
        <v>134</v>
      </c>
      <c r="AH35" s="517">
        <f t="shared" ref="AH35:AS35" si="29">IF(AH33=0,0,AH33/AH34)</f>
        <v>26.386050020958503</v>
      </c>
      <c r="AI35" s="517">
        <f t="shared" si="29"/>
        <v>30.397213941437048</v>
      </c>
      <c r="AJ35" s="517">
        <f t="shared" si="29"/>
        <v>31.13457455677208</v>
      </c>
      <c r="AK35" s="517">
        <f t="shared" si="29"/>
        <v>43.83850480755909</v>
      </c>
      <c r="AL35" s="517">
        <f t="shared" si="29"/>
        <v>89.018717168924525</v>
      </c>
      <c r="AM35" s="517">
        <f t="shared" si="29"/>
        <v>131.2654684786504</v>
      </c>
      <c r="AN35" s="517">
        <f t="shared" si="29"/>
        <v>155.86345635553599</v>
      </c>
      <c r="AO35" s="517">
        <f t="shared" si="29"/>
        <v>155.5875226039783</v>
      </c>
      <c r="AP35" s="517">
        <f t="shared" si="29"/>
        <v>167.87464569509299</v>
      </c>
      <c r="AQ35" s="517">
        <f t="shared" si="29"/>
        <v>0</v>
      </c>
      <c r="AR35" s="517">
        <f t="shared" si="29"/>
        <v>0</v>
      </c>
      <c r="AS35" s="517">
        <f t="shared" si="29"/>
        <v>0</v>
      </c>
    </row>
    <row r="36" spans="1:51">
      <c r="A36" s="105"/>
      <c r="B36" s="679" t="s">
        <v>88</v>
      </c>
      <c r="C36" s="489" t="s">
        <v>132</v>
      </c>
      <c r="D36" s="513"/>
      <c r="E36" s="513"/>
      <c r="F36" s="513"/>
      <c r="G36" s="513"/>
      <c r="H36" s="513"/>
      <c r="I36" s="513"/>
      <c r="J36" s="513"/>
      <c r="K36" s="513"/>
      <c r="L36" s="513"/>
      <c r="M36" s="513"/>
      <c r="N36" s="513"/>
      <c r="O36" s="513"/>
      <c r="Q36" s="679" t="s">
        <v>88</v>
      </c>
      <c r="R36" s="489" t="s">
        <v>132</v>
      </c>
      <c r="S36" s="513">
        <f>5491.21*60</f>
        <v>329472.59999999998</v>
      </c>
      <c r="T36" s="513">
        <f>48.6*60</f>
        <v>2916</v>
      </c>
      <c r="U36" s="513">
        <f>1280.78*60</f>
        <v>76846.8</v>
      </c>
      <c r="V36" s="513">
        <v>319051.2</v>
      </c>
      <c r="W36" s="513">
        <f>6384.62*60</f>
        <v>383077.2</v>
      </c>
      <c r="X36" s="513">
        <f>5700.53*60</f>
        <v>342031.8</v>
      </c>
      <c r="Y36" s="513">
        <v>455848.2</v>
      </c>
      <c r="Z36" s="513">
        <f>111.76*60</f>
        <v>6705.6</v>
      </c>
      <c r="AA36" s="513">
        <f>4353.37*60</f>
        <v>261202.19999999998</v>
      </c>
      <c r="AB36" s="513"/>
      <c r="AC36" s="513"/>
      <c r="AD36" s="513"/>
      <c r="AF36" s="679" t="s">
        <v>88</v>
      </c>
      <c r="AG36" s="514" t="s">
        <v>132</v>
      </c>
      <c r="AH36" s="513">
        <f>IF(S36=0,0,S36)</f>
        <v>329472.59999999998</v>
      </c>
      <c r="AI36" s="513">
        <f t="shared" ref="AI36:AS36" si="30">IF(T36=0,0,AH36+T36)</f>
        <v>332388.59999999998</v>
      </c>
      <c r="AJ36" s="513">
        <f t="shared" si="30"/>
        <v>409235.39999999997</v>
      </c>
      <c r="AK36" s="513">
        <f t="shared" si="30"/>
        <v>728286.6</v>
      </c>
      <c r="AL36" s="513">
        <f t="shared" si="30"/>
        <v>1111363.8</v>
      </c>
      <c r="AM36" s="513">
        <f t="shared" si="30"/>
        <v>1453395.6</v>
      </c>
      <c r="AN36" s="513">
        <f t="shared" si="30"/>
        <v>1909243.8</v>
      </c>
      <c r="AO36" s="513">
        <f t="shared" si="30"/>
        <v>1915949.4000000001</v>
      </c>
      <c r="AP36" s="513">
        <f t="shared" si="30"/>
        <v>2177151.6</v>
      </c>
      <c r="AQ36" s="513">
        <f t="shared" si="30"/>
        <v>0</v>
      </c>
      <c r="AR36" s="513">
        <f t="shared" si="30"/>
        <v>0</v>
      </c>
      <c r="AS36" s="513">
        <f t="shared" si="30"/>
        <v>0</v>
      </c>
    </row>
    <row r="37" spans="1:51">
      <c r="A37" s="105"/>
      <c r="B37" s="679"/>
      <c r="C37" s="515" t="s">
        <v>133</v>
      </c>
      <c r="D37" s="513"/>
      <c r="E37" s="513"/>
      <c r="F37" s="513"/>
      <c r="G37" s="513"/>
      <c r="H37" s="513"/>
      <c r="I37" s="513"/>
      <c r="J37" s="513"/>
      <c r="K37" s="513"/>
      <c r="L37" s="513"/>
      <c r="M37" s="513"/>
      <c r="N37" s="513"/>
      <c r="O37" s="513"/>
      <c r="Q37" s="679"/>
      <c r="R37" s="515" t="s">
        <v>133</v>
      </c>
      <c r="S37" s="513">
        <v>21705</v>
      </c>
      <c r="T37" s="513">
        <v>21751</v>
      </c>
      <c r="U37" s="513">
        <v>21798</v>
      </c>
      <c r="V37" s="513">
        <v>21849</v>
      </c>
      <c r="W37" s="513">
        <v>21902</v>
      </c>
      <c r="X37" s="513">
        <v>21961</v>
      </c>
      <c r="Y37" s="513">
        <v>21999</v>
      </c>
      <c r="Z37" s="513">
        <v>22037</v>
      </c>
      <c r="AA37" s="513">
        <v>22094</v>
      </c>
      <c r="AB37" s="513"/>
      <c r="AC37" s="513"/>
      <c r="AD37" s="513"/>
      <c r="AF37" s="679"/>
      <c r="AG37" s="514" t="s">
        <v>133</v>
      </c>
      <c r="AH37" s="513">
        <f t="shared" ref="AH37:AS37" si="31">S37</f>
        <v>21705</v>
      </c>
      <c r="AI37" s="513">
        <f t="shared" si="31"/>
        <v>21751</v>
      </c>
      <c r="AJ37" s="513">
        <f t="shared" si="31"/>
        <v>21798</v>
      </c>
      <c r="AK37" s="513">
        <f t="shared" si="31"/>
        <v>21849</v>
      </c>
      <c r="AL37" s="513">
        <f t="shared" si="31"/>
        <v>21902</v>
      </c>
      <c r="AM37" s="513">
        <f t="shared" si="31"/>
        <v>21961</v>
      </c>
      <c r="AN37" s="513">
        <f t="shared" si="31"/>
        <v>21999</v>
      </c>
      <c r="AO37" s="513">
        <f t="shared" si="31"/>
        <v>22037</v>
      </c>
      <c r="AP37" s="513">
        <f t="shared" si="31"/>
        <v>22094</v>
      </c>
      <c r="AQ37" s="513">
        <f t="shared" si="31"/>
        <v>0</v>
      </c>
      <c r="AR37" s="513">
        <f t="shared" si="31"/>
        <v>0</v>
      </c>
      <c r="AS37" s="513">
        <f t="shared" si="31"/>
        <v>0</v>
      </c>
      <c r="AX37" s="156"/>
    </row>
    <row r="38" spans="1:51">
      <c r="A38" s="105"/>
      <c r="B38" s="679"/>
      <c r="C38" s="516" t="s">
        <v>134</v>
      </c>
      <c r="D38" s="517">
        <v>14.65</v>
      </c>
      <c r="E38" s="517">
        <v>29.3</v>
      </c>
      <c r="F38" s="517">
        <v>43.94</v>
      </c>
      <c r="G38" s="517">
        <v>58.59</v>
      </c>
      <c r="H38" s="517">
        <v>73.239999999999995</v>
      </c>
      <c r="I38" s="517">
        <v>87.89</v>
      </c>
      <c r="J38" s="517">
        <v>102.54</v>
      </c>
      <c r="K38" s="517">
        <v>117.18</v>
      </c>
      <c r="L38" s="517">
        <v>131.83000000000001</v>
      </c>
      <c r="M38" s="517">
        <v>146.47999999999999</v>
      </c>
      <c r="N38" s="517">
        <v>161.13</v>
      </c>
      <c r="O38" s="517">
        <v>175.78</v>
      </c>
      <c r="Q38" s="679"/>
      <c r="R38" s="516" t="s">
        <v>134</v>
      </c>
      <c r="S38" s="517">
        <f t="shared" ref="S38:AD38" si="32">IF(S36=0,0,S36/S37)</f>
        <v>15.179571527297856</v>
      </c>
      <c r="T38" s="517">
        <f t="shared" si="32"/>
        <v>0.13406280171026619</v>
      </c>
      <c r="U38" s="517">
        <f t="shared" si="32"/>
        <v>3.5254060005505092</v>
      </c>
      <c r="V38" s="517">
        <f t="shared" si="32"/>
        <v>14.602553892626666</v>
      </c>
      <c r="W38" s="517">
        <f t="shared" si="32"/>
        <v>17.490512281983381</v>
      </c>
      <c r="X38" s="517">
        <f t="shared" si="32"/>
        <v>15.574509357497382</v>
      </c>
      <c r="Y38" s="517">
        <f t="shared" si="32"/>
        <v>20.721314605209329</v>
      </c>
      <c r="Z38" s="517">
        <f t="shared" si="32"/>
        <v>0.30428824250124792</v>
      </c>
      <c r="AA38" s="517">
        <f t="shared" si="32"/>
        <v>11.822313750339458</v>
      </c>
      <c r="AB38" s="519">
        <f t="shared" si="32"/>
        <v>0</v>
      </c>
      <c r="AC38" s="517">
        <f t="shared" si="32"/>
        <v>0</v>
      </c>
      <c r="AD38" s="517">
        <f t="shared" si="32"/>
        <v>0</v>
      </c>
      <c r="AF38" s="679"/>
      <c r="AG38" s="520" t="s">
        <v>134</v>
      </c>
      <c r="AH38" s="517">
        <f t="shared" ref="AH38:AS38" si="33">IF(AH36=0,0,AH36/AH37)</f>
        <v>15.179571527297856</v>
      </c>
      <c r="AI38" s="517">
        <f t="shared" si="33"/>
        <v>15.281531883591558</v>
      </c>
      <c r="AJ38" s="517">
        <f t="shared" si="33"/>
        <v>18.773988439306358</v>
      </c>
      <c r="AK38" s="517">
        <f t="shared" si="33"/>
        <v>33.332720032953453</v>
      </c>
      <c r="AL38" s="517">
        <f t="shared" si="33"/>
        <v>50.742571454661679</v>
      </c>
      <c r="AM38" s="517">
        <f t="shared" si="33"/>
        <v>66.18075679613861</v>
      </c>
      <c r="AN38" s="517">
        <f t="shared" si="33"/>
        <v>86.78775398881767</v>
      </c>
      <c r="AO38" s="517">
        <f t="shared" si="33"/>
        <v>86.942387802332448</v>
      </c>
      <c r="AP38" s="517">
        <f t="shared" si="33"/>
        <v>98.540400108626784</v>
      </c>
      <c r="AQ38" s="517">
        <f t="shared" si="33"/>
        <v>0</v>
      </c>
      <c r="AR38" s="517">
        <f t="shared" si="33"/>
        <v>0</v>
      </c>
      <c r="AS38" s="517">
        <f t="shared" si="33"/>
        <v>0</v>
      </c>
    </row>
    <row r="39" spans="1:51">
      <c r="A39" s="105"/>
      <c r="B39" s="679" t="s">
        <v>121</v>
      </c>
      <c r="C39" s="489" t="s">
        <v>132</v>
      </c>
      <c r="D39" s="513"/>
      <c r="E39" s="513"/>
      <c r="F39" s="513"/>
      <c r="G39" s="513"/>
      <c r="H39" s="513"/>
      <c r="I39" s="513"/>
      <c r="J39" s="513"/>
      <c r="K39" s="513"/>
      <c r="L39" s="513"/>
      <c r="M39" s="513"/>
      <c r="N39" s="513"/>
      <c r="O39" s="513"/>
      <c r="Q39" s="679" t="s">
        <v>121</v>
      </c>
      <c r="R39" s="489" t="s">
        <v>132</v>
      </c>
      <c r="S39" s="513">
        <f>350.31*60</f>
        <v>21018.6</v>
      </c>
      <c r="T39" s="513">
        <f>161.1*60</f>
        <v>9666</v>
      </c>
      <c r="U39" s="513">
        <f>405.5*60</f>
        <v>24330</v>
      </c>
      <c r="V39" s="513">
        <v>305365.80000000005</v>
      </c>
      <c r="W39" s="513">
        <f>15357.66*60</f>
        <v>921459.6</v>
      </c>
      <c r="X39" s="513">
        <f>6832.02*60</f>
        <v>409921.2</v>
      </c>
      <c r="Y39" s="270">
        <v>388913.4</v>
      </c>
      <c r="Z39" s="513">
        <f>80.23*60</f>
        <v>4813.8</v>
      </c>
      <c r="AA39" s="513">
        <f>1512.09*60</f>
        <v>90725.4</v>
      </c>
      <c r="AB39" s="513"/>
      <c r="AC39" s="513"/>
      <c r="AD39" s="513"/>
      <c r="AF39" s="679" t="s">
        <v>121</v>
      </c>
      <c r="AG39" s="514" t="s">
        <v>132</v>
      </c>
      <c r="AH39" s="513">
        <f>IF(S39=0,0,S39)</f>
        <v>21018.6</v>
      </c>
      <c r="AI39" s="513">
        <f t="shared" ref="AI39:AS39" si="34">IF(T39=0,0,AH39+T39)</f>
        <v>30684.6</v>
      </c>
      <c r="AJ39" s="513">
        <f t="shared" si="34"/>
        <v>55014.6</v>
      </c>
      <c r="AK39" s="513">
        <f t="shared" si="34"/>
        <v>360380.4</v>
      </c>
      <c r="AL39" s="513">
        <f t="shared" si="34"/>
        <v>1281840</v>
      </c>
      <c r="AM39" s="513">
        <f t="shared" si="34"/>
        <v>1691761.2</v>
      </c>
      <c r="AN39" s="513">
        <f t="shared" si="34"/>
        <v>2080674.6</v>
      </c>
      <c r="AO39" s="513">
        <f t="shared" si="34"/>
        <v>2085488.4000000001</v>
      </c>
      <c r="AP39" s="513">
        <f>IF(AA39=0,0,AO39+AA39)</f>
        <v>2176213.8000000003</v>
      </c>
      <c r="AQ39" s="513">
        <f t="shared" si="34"/>
        <v>0</v>
      </c>
      <c r="AR39" s="513">
        <f t="shared" si="34"/>
        <v>0</v>
      </c>
      <c r="AS39" s="513">
        <f t="shared" si="34"/>
        <v>0</v>
      </c>
      <c r="AX39" s="156"/>
    </row>
    <row r="40" spans="1:51">
      <c r="A40" s="105"/>
      <c r="B40" s="679"/>
      <c r="C40" s="515" t="s">
        <v>133</v>
      </c>
      <c r="D40" s="513"/>
      <c r="E40" s="513"/>
      <c r="F40" s="513"/>
      <c r="G40" s="513"/>
      <c r="H40" s="513"/>
      <c r="I40" s="513"/>
      <c r="J40" s="513"/>
      <c r="K40" s="513"/>
      <c r="L40" s="513"/>
      <c r="M40" s="513"/>
      <c r="N40" s="513"/>
      <c r="O40" s="513"/>
      <c r="Q40" s="679"/>
      <c r="R40" s="515" t="s">
        <v>133</v>
      </c>
      <c r="S40" s="513">
        <v>22738</v>
      </c>
      <c r="T40" s="513">
        <v>22826</v>
      </c>
      <c r="U40" s="513">
        <v>22869</v>
      </c>
      <c r="V40" s="513">
        <v>22908</v>
      </c>
      <c r="W40" s="513">
        <v>22948</v>
      </c>
      <c r="X40" s="513">
        <v>23000</v>
      </c>
      <c r="Y40" s="513">
        <v>23047</v>
      </c>
      <c r="Z40" s="513">
        <v>23067</v>
      </c>
      <c r="AA40" s="513">
        <v>23111</v>
      </c>
      <c r="AB40" s="513"/>
      <c r="AC40" s="513"/>
      <c r="AD40" s="513"/>
      <c r="AF40" s="679"/>
      <c r="AG40" s="514" t="s">
        <v>133</v>
      </c>
      <c r="AH40" s="513">
        <f t="shared" ref="AH40:AS40" si="35">S40</f>
        <v>22738</v>
      </c>
      <c r="AI40" s="513">
        <f t="shared" si="35"/>
        <v>22826</v>
      </c>
      <c r="AJ40" s="513">
        <f t="shared" si="35"/>
        <v>22869</v>
      </c>
      <c r="AK40" s="513">
        <f t="shared" si="35"/>
        <v>22908</v>
      </c>
      <c r="AL40" s="513">
        <f t="shared" si="35"/>
        <v>22948</v>
      </c>
      <c r="AM40" s="513">
        <f t="shared" si="35"/>
        <v>23000</v>
      </c>
      <c r="AN40" s="513">
        <f t="shared" si="35"/>
        <v>23047</v>
      </c>
      <c r="AO40" s="513">
        <f t="shared" si="35"/>
        <v>23067</v>
      </c>
      <c r="AP40" s="513">
        <f>AA40</f>
        <v>23111</v>
      </c>
      <c r="AQ40" s="513">
        <f t="shared" si="35"/>
        <v>0</v>
      </c>
      <c r="AR40" s="513">
        <f t="shared" si="35"/>
        <v>0</v>
      </c>
      <c r="AS40" s="513">
        <f t="shared" si="35"/>
        <v>0</v>
      </c>
    </row>
    <row r="41" spans="1:51">
      <c r="A41" s="105"/>
      <c r="B41" s="679"/>
      <c r="C41" s="516" t="s">
        <v>134</v>
      </c>
      <c r="D41" s="517">
        <v>17.309999999999999</v>
      </c>
      <c r="E41" s="517">
        <v>34.619999999999997</v>
      </c>
      <c r="F41" s="517">
        <v>51.92</v>
      </c>
      <c r="G41" s="517">
        <v>69.23</v>
      </c>
      <c r="H41" s="517">
        <v>86.54</v>
      </c>
      <c r="I41" s="517">
        <v>103.85</v>
      </c>
      <c r="J41" s="517">
        <v>121.16</v>
      </c>
      <c r="K41" s="517">
        <v>138.47</v>
      </c>
      <c r="L41" s="517">
        <v>155.77000000000001</v>
      </c>
      <c r="M41" s="517">
        <v>173.08</v>
      </c>
      <c r="N41" s="517">
        <v>190.39</v>
      </c>
      <c r="O41" s="517">
        <v>207.7</v>
      </c>
      <c r="Q41" s="679"/>
      <c r="R41" s="516" t="s">
        <v>134</v>
      </c>
      <c r="S41" s="518">
        <f t="shared" ref="S41:AD41" si="36">IF(S39=0,0,S39/S40)</f>
        <v>0.92438209165273988</v>
      </c>
      <c r="T41" s="521">
        <f t="shared" si="36"/>
        <v>0.42346447034083939</v>
      </c>
      <c r="U41" s="517">
        <f t="shared" si="36"/>
        <v>1.0638856093401547</v>
      </c>
      <c r="V41" s="517">
        <f t="shared" si="36"/>
        <v>13.330094290204297</v>
      </c>
      <c r="W41" s="517">
        <f t="shared" si="36"/>
        <v>40.154244378595081</v>
      </c>
      <c r="X41" s="517">
        <f t="shared" si="36"/>
        <v>17.822660869565219</v>
      </c>
      <c r="Y41" s="517">
        <f t="shared" si="36"/>
        <v>16.874794984162797</v>
      </c>
      <c r="Z41" s="517">
        <f t="shared" si="36"/>
        <v>0.20868773572636234</v>
      </c>
      <c r="AA41" s="517">
        <f>IF(AA39=0,0,AA39/AA40)</f>
        <v>3.9256371424862615</v>
      </c>
      <c r="AB41" s="517">
        <f t="shared" si="36"/>
        <v>0</v>
      </c>
      <c r="AC41" s="517">
        <f t="shared" si="36"/>
        <v>0</v>
      </c>
      <c r="AD41" s="519">
        <f t="shared" si="36"/>
        <v>0</v>
      </c>
      <c r="AF41" s="679"/>
      <c r="AG41" s="520" t="s">
        <v>134</v>
      </c>
      <c r="AH41" s="517">
        <f t="shared" ref="AH41:AS41" si="37">IF(AH39=0,0,AH39/AH40)</f>
        <v>0.92438209165273988</v>
      </c>
      <c r="AI41" s="517">
        <f t="shared" si="37"/>
        <v>1.3442828353631824</v>
      </c>
      <c r="AJ41" s="517">
        <f t="shared" si="37"/>
        <v>2.4056408238226421</v>
      </c>
      <c r="AK41" s="517">
        <f t="shared" si="37"/>
        <v>15.731639601885805</v>
      </c>
      <c r="AL41" s="517">
        <f t="shared" si="37"/>
        <v>55.858462611120792</v>
      </c>
      <c r="AM41" s="517">
        <f t="shared" si="37"/>
        <v>73.554834782608694</v>
      </c>
      <c r="AN41" s="517">
        <f t="shared" si="37"/>
        <v>90.279628585065311</v>
      </c>
      <c r="AO41" s="517">
        <f t="shared" si="37"/>
        <v>90.410040317336467</v>
      </c>
      <c r="AP41" s="517">
        <f t="shared" si="37"/>
        <v>94.163549824758789</v>
      </c>
      <c r="AQ41" s="517">
        <f t="shared" si="37"/>
        <v>0</v>
      </c>
      <c r="AR41" s="517">
        <f t="shared" si="37"/>
        <v>0</v>
      </c>
      <c r="AS41" s="517">
        <f t="shared" si="37"/>
        <v>0</v>
      </c>
    </row>
    <row r="42" spans="1:51">
      <c r="A42" s="105"/>
      <c r="B42" s="679" t="s">
        <v>89</v>
      </c>
      <c r="C42" s="489" t="s">
        <v>132</v>
      </c>
      <c r="D42" s="513"/>
      <c r="E42" s="513"/>
      <c r="F42" s="513"/>
      <c r="G42" s="513"/>
      <c r="H42" s="513"/>
      <c r="I42" s="513"/>
      <c r="J42" s="513"/>
      <c r="K42" s="513"/>
      <c r="L42" s="513"/>
      <c r="M42" s="513"/>
      <c r="N42" s="513"/>
      <c r="O42" s="513"/>
      <c r="Q42" s="679" t="s">
        <v>89</v>
      </c>
      <c r="R42" s="489" t="s">
        <v>132</v>
      </c>
      <c r="S42" s="513">
        <f>655.23*60</f>
        <v>39313.800000000003</v>
      </c>
      <c r="T42" s="513">
        <f>203.77*60</f>
        <v>12226.2</v>
      </c>
      <c r="U42" s="513">
        <f>886.08*60</f>
        <v>53164.800000000003</v>
      </c>
      <c r="V42" s="513">
        <v>53568.6</v>
      </c>
      <c r="W42" s="513">
        <f>18713.13*60</f>
        <v>1122787.8</v>
      </c>
      <c r="X42" s="513">
        <f>5220.36*60</f>
        <v>313221.59999999998</v>
      </c>
      <c r="Y42" s="513">
        <v>1299536.3999999999</v>
      </c>
      <c r="Z42" s="513">
        <f>7344.92*60</f>
        <v>440695.2</v>
      </c>
      <c r="AA42" s="513">
        <f>79.96*60</f>
        <v>4797.5999999999995</v>
      </c>
      <c r="AB42" s="513"/>
      <c r="AC42" s="513"/>
      <c r="AD42" s="513"/>
      <c r="AF42" s="679" t="s">
        <v>89</v>
      </c>
      <c r="AG42" s="514" t="s">
        <v>132</v>
      </c>
      <c r="AH42" s="513">
        <f>IF(S42=0,0,S42)</f>
        <v>39313.800000000003</v>
      </c>
      <c r="AI42" s="513">
        <f t="shared" ref="AI42:AS42" si="38">IF(T42=0,0,AH42+T42)</f>
        <v>51540</v>
      </c>
      <c r="AJ42" s="513">
        <f t="shared" si="38"/>
        <v>104704.8</v>
      </c>
      <c r="AK42" s="513">
        <f t="shared" si="38"/>
        <v>158273.4</v>
      </c>
      <c r="AL42" s="513">
        <f t="shared" si="38"/>
        <v>1281061.2</v>
      </c>
      <c r="AM42" s="513">
        <f t="shared" si="38"/>
        <v>1594282.7999999998</v>
      </c>
      <c r="AN42" s="513">
        <f t="shared" si="38"/>
        <v>2893819.1999999997</v>
      </c>
      <c r="AO42" s="513">
        <f t="shared" si="38"/>
        <v>3334514.4</v>
      </c>
      <c r="AP42" s="513">
        <f t="shared" si="38"/>
        <v>3339312</v>
      </c>
      <c r="AQ42" s="513">
        <f t="shared" si="38"/>
        <v>0</v>
      </c>
      <c r="AR42" s="513">
        <f t="shared" si="38"/>
        <v>0</v>
      </c>
      <c r="AS42" s="513">
        <f t="shared" si="38"/>
        <v>0</v>
      </c>
      <c r="AY42" s="156"/>
    </row>
    <row r="43" spans="1:51">
      <c r="A43" s="105"/>
      <c r="B43" s="679"/>
      <c r="C43" s="515" t="s">
        <v>133</v>
      </c>
      <c r="D43" s="513"/>
      <c r="E43" s="513"/>
      <c r="F43" s="513"/>
      <c r="G43" s="513"/>
      <c r="H43" s="513"/>
      <c r="I43" s="513"/>
      <c r="J43" s="513"/>
      <c r="K43" s="513"/>
      <c r="L43" s="513"/>
      <c r="M43" s="513"/>
      <c r="N43" s="513"/>
      <c r="O43" s="513"/>
      <c r="Q43" s="679"/>
      <c r="R43" s="515" t="s">
        <v>133</v>
      </c>
      <c r="S43" s="513">
        <v>29532</v>
      </c>
      <c r="T43" s="513">
        <v>29631</v>
      </c>
      <c r="U43" s="513">
        <v>29740</v>
      </c>
      <c r="V43" s="513">
        <v>29882</v>
      </c>
      <c r="W43" s="513">
        <v>29977</v>
      </c>
      <c r="X43" s="513">
        <v>30072</v>
      </c>
      <c r="Y43" s="513">
        <v>30175</v>
      </c>
      <c r="Z43" s="513">
        <v>30244</v>
      </c>
      <c r="AA43" s="513">
        <v>30382</v>
      </c>
      <c r="AB43" s="513"/>
      <c r="AC43" s="513"/>
      <c r="AD43" s="513"/>
      <c r="AF43" s="679"/>
      <c r="AG43" s="514" t="s">
        <v>133</v>
      </c>
      <c r="AH43" s="513">
        <f t="shared" ref="AH43:AS43" si="39">S43</f>
        <v>29532</v>
      </c>
      <c r="AI43" s="513">
        <f t="shared" si="39"/>
        <v>29631</v>
      </c>
      <c r="AJ43" s="513">
        <f t="shared" si="39"/>
        <v>29740</v>
      </c>
      <c r="AK43" s="513">
        <f t="shared" si="39"/>
        <v>29882</v>
      </c>
      <c r="AL43" s="513">
        <f t="shared" si="39"/>
        <v>29977</v>
      </c>
      <c r="AM43" s="513">
        <f t="shared" si="39"/>
        <v>30072</v>
      </c>
      <c r="AN43" s="513">
        <f t="shared" si="39"/>
        <v>30175</v>
      </c>
      <c r="AO43" s="513">
        <f t="shared" si="39"/>
        <v>30244</v>
      </c>
      <c r="AP43" s="513">
        <f t="shared" si="39"/>
        <v>30382</v>
      </c>
      <c r="AQ43" s="513">
        <f t="shared" si="39"/>
        <v>0</v>
      </c>
      <c r="AR43" s="513">
        <f t="shared" si="39"/>
        <v>0</v>
      </c>
      <c r="AS43" s="513">
        <f t="shared" si="39"/>
        <v>0</v>
      </c>
    </row>
    <row r="44" spans="1:51">
      <c r="A44" s="105"/>
      <c r="B44" s="679"/>
      <c r="C44" s="516" t="s">
        <v>134</v>
      </c>
      <c r="D44" s="517">
        <v>17.89</v>
      </c>
      <c r="E44" s="517">
        <v>35.78</v>
      </c>
      <c r="F44" s="517">
        <v>53.68</v>
      </c>
      <c r="G44" s="517">
        <v>71.569999999999993</v>
      </c>
      <c r="H44" s="517">
        <v>89.46</v>
      </c>
      <c r="I44" s="517">
        <v>107.35</v>
      </c>
      <c r="J44" s="517">
        <v>125.25</v>
      </c>
      <c r="K44" s="517">
        <v>143.13999999999999</v>
      </c>
      <c r="L44" s="517">
        <v>161.03</v>
      </c>
      <c r="M44" s="517">
        <v>178.92</v>
      </c>
      <c r="N44" s="517">
        <v>196.81</v>
      </c>
      <c r="O44" s="517">
        <v>214.71</v>
      </c>
      <c r="Q44" s="679"/>
      <c r="R44" s="516" t="s">
        <v>134</v>
      </c>
      <c r="S44" s="517">
        <f t="shared" ref="S44:AC44" si="40">IF(S42=0,0,S42/S43)</f>
        <v>1.331227143437627</v>
      </c>
      <c r="T44" s="517">
        <f t="shared" si="40"/>
        <v>0.41261516654854713</v>
      </c>
      <c r="U44" s="517">
        <f t="shared" si="40"/>
        <v>1.7876529926025555</v>
      </c>
      <c r="V44" s="517">
        <f t="shared" si="40"/>
        <v>1.7926711732815741</v>
      </c>
      <c r="W44" s="517">
        <f t="shared" si="40"/>
        <v>37.454975481202254</v>
      </c>
      <c r="X44" s="517">
        <f t="shared" si="40"/>
        <v>10.415722266560255</v>
      </c>
      <c r="Y44" s="517">
        <f t="shared" si="40"/>
        <v>43.066657829328911</v>
      </c>
      <c r="Z44" s="517">
        <f t="shared" si="40"/>
        <v>14.571326544107922</v>
      </c>
      <c r="AA44" s="519">
        <f t="shared" si="40"/>
        <v>0.15790928839444407</v>
      </c>
      <c r="AB44" s="517">
        <f t="shared" si="40"/>
        <v>0</v>
      </c>
      <c r="AC44" s="518">
        <f t="shared" si="40"/>
        <v>0</v>
      </c>
      <c r="AD44" s="517">
        <f>IF(AD42=0,0,AD42/AD43)</f>
        <v>0</v>
      </c>
      <c r="AF44" s="679"/>
      <c r="AG44" s="520" t="s">
        <v>134</v>
      </c>
      <c r="AH44" s="517">
        <f t="shared" ref="AH44:AS44" si="41">IF(AH42=0,0,AH42/AH43)</f>
        <v>1.331227143437627</v>
      </c>
      <c r="AI44" s="517">
        <f t="shared" si="41"/>
        <v>1.7393945530019237</v>
      </c>
      <c r="AJ44" s="517">
        <f t="shared" si="41"/>
        <v>3.5206724949562878</v>
      </c>
      <c r="AK44" s="517">
        <f t="shared" si="41"/>
        <v>5.2966133458269189</v>
      </c>
      <c r="AL44" s="517">
        <f t="shared" si="41"/>
        <v>42.734803349234411</v>
      </c>
      <c r="AM44" s="517">
        <f t="shared" si="41"/>
        <v>53.015522745411005</v>
      </c>
      <c r="AN44" s="517">
        <f t="shared" si="41"/>
        <v>95.901216238608114</v>
      </c>
      <c r="AO44" s="517">
        <f t="shared" si="41"/>
        <v>110.25374950403385</v>
      </c>
      <c r="AP44" s="517">
        <f t="shared" si="41"/>
        <v>109.91086827726943</v>
      </c>
      <c r="AQ44" s="517">
        <f t="shared" si="41"/>
        <v>0</v>
      </c>
      <c r="AR44" s="517">
        <f t="shared" si="41"/>
        <v>0</v>
      </c>
      <c r="AS44" s="517">
        <f t="shared" si="41"/>
        <v>0</v>
      </c>
    </row>
    <row r="45" spans="1:51">
      <c r="A45" s="105"/>
      <c r="B45" s="679" t="s">
        <v>90</v>
      </c>
      <c r="C45" s="489" t="s">
        <v>132</v>
      </c>
      <c r="D45" s="513"/>
      <c r="E45" s="513"/>
      <c r="F45" s="513"/>
      <c r="G45" s="513"/>
      <c r="H45" s="513"/>
      <c r="I45" s="513"/>
      <c r="J45" s="513"/>
      <c r="K45" s="513"/>
      <c r="L45" s="513"/>
      <c r="M45" s="513"/>
      <c r="N45" s="513"/>
      <c r="O45" s="513"/>
      <c r="Q45" s="679" t="s">
        <v>90</v>
      </c>
      <c r="R45" s="489" t="s">
        <v>132</v>
      </c>
      <c r="S45" s="513">
        <f t="shared" ref="S45:AD45" si="42">S30+S33+S36+S39+S42</f>
        <v>1935352.8</v>
      </c>
      <c r="T45" s="513">
        <f t="shared" si="42"/>
        <v>296332.79999999999</v>
      </c>
      <c r="U45" s="513">
        <f t="shared" si="42"/>
        <v>271643.40000000002</v>
      </c>
      <c r="V45" s="513">
        <f>V30+V33+V36+V39+V42</f>
        <v>2369401.8000000003</v>
      </c>
      <c r="W45" s="513">
        <f t="shared" si="42"/>
        <v>8206775.9999999991</v>
      </c>
      <c r="X45" s="513">
        <f t="shared" si="42"/>
        <v>6358633.7999999998</v>
      </c>
      <c r="Y45" s="513">
        <f t="shared" si="42"/>
        <v>3689606.4</v>
      </c>
      <c r="Z45" s="513">
        <f t="shared" si="42"/>
        <v>742750.2</v>
      </c>
      <c r="AA45" s="513">
        <f>AA30+AA33+AA36+AA39+AA42</f>
        <v>1565492.4</v>
      </c>
      <c r="AB45" s="513">
        <f t="shared" si="42"/>
        <v>0</v>
      </c>
      <c r="AC45" s="513">
        <f t="shared" si="42"/>
        <v>0</v>
      </c>
      <c r="AD45" s="513">
        <f t="shared" si="42"/>
        <v>0</v>
      </c>
      <c r="AF45" s="679" t="s">
        <v>90</v>
      </c>
      <c r="AG45" s="514" t="s">
        <v>132</v>
      </c>
      <c r="AH45" s="513">
        <f t="shared" ref="AH45:AS45" si="43">AH30+AH33+AH36+AH39+AH42</f>
        <v>1935352.8</v>
      </c>
      <c r="AI45" s="513">
        <f t="shared" si="43"/>
        <v>2231685.6</v>
      </c>
      <c r="AJ45" s="513">
        <f t="shared" si="43"/>
        <v>2503329</v>
      </c>
      <c r="AK45" s="513">
        <f t="shared" si="43"/>
        <v>4872730.8000000007</v>
      </c>
      <c r="AL45" s="513">
        <f t="shared" si="43"/>
        <v>13079506.800000001</v>
      </c>
      <c r="AM45" s="513">
        <f t="shared" si="43"/>
        <v>19438140.600000001</v>
      </c>
      <c r="AN45" s="513">
        <f t="shared" si="43"/>
        <v>23127747</v>
      </c>
      <c r="AO45" s="513">
        <f t="shared" si="43"/>
        <v>23870497.199999996</v>
      </c>
      <c r="AP45" s="513">
        <f t="shared" si="43"/>
        <v>25435989.600000001</v>
      </c>
      <c r="AQ45" s="513">
        <f t="shared" si="43"/>
        <v>0</v>
      </c>
      <c r="AR45" s="513">
        <f t="shared" si="43"/>
        <v>0</v>
      </c>
      <c r="AS45" s="513">
        <f t="shared" si="43"/>
        <v>0</v>
      </c>
    </row>
    <row r="46" spans="1:51">
      <c r="A46" s="105"/>
      <c r="B46" s="679"/>
      <c r="C46" s="515" t="s">
        <v>133</v>
      </c>
      <c r="D46" s="513"/>
      <c r="E46" s="513"/>
      <c r="F46" s="513"/>
      <c r="G46" s="513"/>
      <c r="H46" s="513"/>
      <c r="I46" s="513"/>
      <c r="J46" s="513"/>
      <c r="K46" s="513"/>
      <c r="L46" s="513"/>
      <c r="M46" s="513"/>
      <c r="N46" s="513"/>
      <c r="O46" s="513"/>
      <c r="Q46" s="679"/>
      <c r="R46" s="515" t="s">
        <v>133</v>
      </c>
      <c r="S46" s="513">
        <f t="shared" ref="S46:AD46" si="44">S31+S34+S37+S40+S43</f>
        <v>156497</v>
      </c>
      <c r="T46" s="513">
        <f>T31+T34+T37+T40+T43</f>
        <v>156964</v>
      </c>
      <c r="U46" s="513">
        <f t="shared" si="44"/>
        <v>157363</v>
      </c>
      <c r="V46" s="513">
        <f t="shared" si="44"/>
        <v>157791</v>
      </c>
      <c r="W46" s="513">
        <f t="shared" si="44"/>
        <v>158152</v>
      </c>
      <c r="X46" s="513">
        <f t="shared" si="44"/>
        <v>158560</v>
      </c>
      <c r="Y46" s="513">
        <f t="shared" si="44"/>
        <v>158929</v>
      </c>
      <c r="Z46" s="513">
        <f t="shared" si="44"/>
        <v>159292</v>
      </c>
      <c r="AA46" s="513">
        <f>AA31+AA34+AA37+AA40+AA43</f>
        <v>159760</v>
      </c>
      <c r="AB46" s="513">
        <f t="shared" si="44"/>
        <v>0</v>
      </c>
      <c r="AC46" s="513">
        <f t="shared" si="44"/>
        <v>0</v>
      </c>
      <c r="AD46" s="513">
        <f t="shared" si="44"/>
        <v>0</v>
      </c>
      <c r="AF46" s="679"/>
      <c r="AG46" s="514" t="s">
        <v>133</v>
      </c>
      <c r="AH46" s="513">
        <f t="shared" ref="AH46:AS46" si="45">AH31+AH34+AH37+AH40+AH43</f>
        <v>156497</v>
      </c>
      <c r="AI46" s="513">
        <f t="shared" si="45"/>
        <v>156964</v>
      </c>
      <c r="AJ46" s="513">
        <f t="shared" si="45"/>
        <v>157363</v>
      </c>
      <c r="AK46" s="513">
        <f t="shared" si="45"/>
        <v>157791</v>
      </c>
      <c r="AL46" s="513">
        <f t="shared" si="45"/>
        <v>158152</v>
      </c>
      <c r="AM46" s="513">
        <f t="shared" si="45"/>
        <v>158560</v>
      </c>
      <c r="AN46" s="513">
        <f t="shared" si="45"/>
        <v>158929</v>
      </c>
      <c r="AO46" s="513">
        <f t="shared" si="45"/>
        <v>159292</v>
      </c>
      <c r="AP46" s="513">
        <f t="shared" si="45"/>
        <v>159760</v>
      </c>
      <c r="AQ46" s="513">
        <f t="shared" si="45"/>
        <v>0</v>
      </c>
      <c r="AR46" s="513">
        <f t="shared" si="45"/>
        <v>0</v>
      </c>
      <c r="AS46" s="513">
        <f t="shared" si="45"/>
        <v>0</v>
      </c>
    </row>
    <row r="47" spans="1:51">
      <c r="A47" s="105"/>
      <c r="B47" s="679"/>
      <c r="C47" s="516" t="s">
        <v>134</v>
      </c>
      <c r="D47" s="517">
        <v>23.39</v>
      </c>
      <c r="E47" s="517">
        <v>46.78</v>
      </c>
      <c r="F47" s="517">
        <v>70.17</v>
      </c>
      <c r="G47" s="517">
        <v>93.56</v>
      </c>
      <c r="H47" s="517">
        <v>116.95</v>
      </c>
      <c r="I47" s="517">
        <v>140.34</v>
      </c>
      <c r="J47" s="517">
        <v>163.72</v>
      </c>
      <c r="K47" s="517">
        <v>187.11</v>
      </c>
      <c r="L47" s="517">
        <v>210.5</v>
      </c>
      <c r="M47" s="517">
        <v>233.89</v>
      </c>
      <c r="N47" s="517">
        <v>257.27999999999997</v>
      </c>
      <c r="O47" s="517">
        <v>280.67</v>
      </c>
      <c r="Q47" s="679"/>
      <c r="R47" s="516" t="s">
        <v>134</v>
      </c>
      <c r="S47" s="522">
        <f t="shared" ref="S47:AD47" si="46">IF(S45=0,0,S45/S46)</f>
        <v>12.366708627002435</v>
      </c>
      <c r="T47" s="522">
        <f t="shared" si="46"/>
        <v>1.8879029586401976</v>
      </c>
      <c r="U47" s="522">
        <f t="shared" si="46"/>
        <v>1.7262215387352811</v>
      </c>
      <c r="V47" s="522">
        <f t="shared" si="46"/>
        <v>15.016076962564407</v>
      </c>
      <c r="W47" s="522">
        <f t="shared" si="46"/>
        <v>51.891699124892504</v>
      </c>
      <c r="X47" s="522">
        <f t="shared" si="46"/>
        <v>40.102382694248234</v>
      </c>
      <c r="Y47" s="522">
        <f t="shared" si="46"/>
        <v>23.215438340390993</v>
      </c>
      <c r="Z47" s="522">
        <f t="shared" si="46"/>
        <v>4.6628217361826074</v>
      </c>
      <c r="AA47" s="522">
        <f t="shared" si="46"/>
        <v>9.799026039058587</v>
      </c>
      <c r="AB47" s="522">
        <f t="shared" si="46"/>
        <v>0</v>
      </c>
      <c r="AC47" s="522">
        <f t="shared" si="46"/>
        <v>0</v>
      </c>
      <c r="AD47" s="522">
        <f t="shared" si="46"/>
        <v>0</v>
      </c>
      <c r="AF47" s="679"/>
      <c r="AG47" s="520" t="s">
        <v>134</v>
      </c>
      <c r="AH47" s="518">
        <f t="shared" ref="AH47:AS47" si="47">IF(AH45=0,0,AH45/AH46)</f>
        <v>12.366708627002435</v>
      </c>
      <c r="AI47" s="518">
        <f t="shared" si="47"/>
        <v>14.217818098417473</v>
      </c>
      <c r="AJ47" s="518">
        <f t="shared" si="47"/>
        <v>15.90798980700673</v>
      </c>
      <c r="AK47" s="518">
        <f t="shared" si="47"/>
        <v>30.880917162575816</v>
      </c>
      <c r="AL47" s="518">
        <f t="shared" si="47"/>
        <v>82.702127067631139</v>
      </c>
      <c r="AM47" s="518">
        <f t="shared" si="47"/>
        <v>122.59170408678104</v>
      </c>
      <c r="AN47" s="518">
        <f t="shared" si="47"/>
        <v>145.52251005165829</v>
      </c>
      <c r="AO47" s="518">
        <f t="shared" si="47"/>
        <v>149.85371016749113</v>
      </c>
      <c r="AP47" s="518">
        <f t="shared" si="47"/>
        <v>159.21375563345018</v>
      </c>
      <c r="AQ47" s="518">
        <f t="shared" si="47"/>
        <v>0</v>
      </c>
      <c r="AR47" s="518">
        <f t="shared" si="47"/>
        <v>0</v>
      </c>
      <c r="AS47" s="518">
        <f t="shared" si="47"/>
        <v>0</v>
      </c>
    </row>
    <row r="48" spans="1:51">
      <c r="A48" s="105"/>
    </row>
    <row r="49" spans="1:45">
      <c r="A49" s="105"/>
      <c r="B49" t="s">
        <v>135</v>
      </c>
      <c r="Q49" t="str">
        <f>B49</f>
        <v>SAIFI</v>
      </c>
      <c r="AF49" t="str">
        <f>B49</f>
        <v>SAIFI</v>
      </c>
    </row>
    <row r="50" spans="1:45">
      <c r="A50" s="105"/>
      <c r="B50" t="s">
        <v>100</v>
      </c>
      <c r="Q50" t="s">
        <v>126</v>
      </c>
      <c r="AF50" t="s">
        <v>127</v>
      </c>
    </row>
    <row r="51" spans="1:45">
      <c r="A51" s="105"/>
      <c r="B51" s="681" t="s">
        <v>72</v>
      </c>
      <c r="C51" s="682"/>
      <c r="D51" s="638" t="s">
        <v>74</v>
      </c>
      <c r="E51" s="638" t="s">
        <v>75</v>
      </c>
      <c r="F51" s="638" t="s">
        <v>76</v>
      </c>
      <c r="G51" s="638" t="s">
        <v>77</v>
      </c>
      <c r="H51" s="638" t="s">
        <v>78</v>
      </c>
      <c r="I51" s="638" t="s">
        <v>79</v>
      </c>
      <c r="J51" s="638" t="s">
        <v>80</v>
      </c>
      <c r="K51" s="638" t="s">
        <v>81</v>
      </c>
      <c r="L51" s="638" t="s">
        <v>82</v>
      </c>
      <c r="M51" s="638" t="s">
        <v>83</v>
      </c>
      <c r="N51" s="638" t="s">
        <v>84</v>
      </c>
      <c r="O51" s="638" t="s">
        <v>85</v>
      </c>
      <c r="Q51" s="681" t="s">
        <v>72</v>
      </c>
      <c r="R51" s="682"/>
      <c r="S51" s="638" t="s">
        <v>74</v>
      </c>
      <c r="T51" s="638" t="s">
        <v>75</v>
      </c>
      <c r="U51" s="638" t="s">
        <v>76</v>
      </c>
      <c r="V51" s="638" t="s">
        <v>77</v>
      </c>
      <c r="W51" s="638" t="s">
        <v>78</v>
      </c>
      <c r="X51" s="638" t="s">
        <v>79</v>
      </c>
      <c r="Y51" s="638" t="s">
        <v>80</v>
      </c>
      <c r="Z51" s="638" t="s">
        <v>81</v>
      </c>
      <c r="AA51" s="638" t="s">
        <v>82</v>
      </c>
      <c r="AB51" s="638" t="s">
        <v>83</v>
      </c>
      <c r="AC51" s="638" t="s">
        <v>84</v>
      </c>
      <c r="AD51" s="638" t="s">
        <v>85</v>
      </c>
      <c r="AF51" s="681" t="s">
        <v>72</v>
      </c>
      <c r="AG51" s="682"/>
      <c r="AH51" s="638" t="s">
        <v>74</v>
      </c>
      <c r="AI51" s="638" t="s">
        <v>75</v>
      </c>
      <c r="AJ51" s="638" t="s">
        <v>76</v>
      </c>
      <c r="AK51" s="638" t="s">
        <v>77</v>
      </c>
      <c r="AL51" s="638" t="s">
        <v>78</v>
      </c>
      <c r="AM51" s="638" t="s">
        <v>79</v>
      </c>
      <c r="AN51" s="638" t="s">
        <v>80</v>
      </c>
      <c r="AO51" s="638" t="s">
        <v>81</v>
      </c>
      <c r="AP51" s="638" t="s">
        <v>82</v>
      </c>
      <c r="AQ51" s="638" t="s">
        <v>83</v>
      </c>
      <c r="AR51" s="638" t="s">
        <v>84</v>
      </c>
      <c r="AS51" s="638" t="s">
        <v>85</v>
      </c>
    </row>
    <row r="52" spans="1:45">
      <c r="A52" s="105"/>
      <c r="B52" s="679" t="s">
        <v>128</v>
      </c>
      <c r="C52" s="489" t="s">
        <v>136</v>
      </c>
      <c r="D52" s="513"/>
      <c r="E52" s="513"/>
      <c r="F52" s="513"/>
      <c r="G52" s="513"/>
      <c r="H52" s="513"/>
      <c r="I52" s="513"/>
      <c r="J52" s="513"/>
      <c r="K52" s="513"/>
      <c r="L52" s="513"/>
      <c r="M52" s="513"/>
      <c r="N52" s="513"/>
      <c r="O52" s="513"/>
      <c r="Q52" s="679" t="s">
        <v>128</v>
      </c>
      <c r="R52" s="489" t="s">
        <v>136</v>
      </c>
      <c r="S52" s="513">
        <v>5656</v>
      </c>
      <c r="T52" s="513">
        <v>588</v>
      </c>
      <c r="U52" s="513">
        <v>4394</v>
      </c>
      <c r="V52" s="513">
        <v>16438</v>
      </c>
      <c r="W52" s="251">
        <v>30518</v>
      </c>
      <c r="X52" s="513">
        <v>22601</v>
      </c>
      <c r="Y52" s="513">
        <v>12961</v>
      </c>
      <c r="Z52" s="513">
        <v>1463</v>
      </c>
      <c r="AA52" s="513">
        <v>15802</v>
      </c>
      <c r="AB52" s="513"/>
      <c r="AC52" s="513"/>
      <c r="AD52" s="513"/>
      <c r="AF52" s="679" t="s">
        <v>128</v>
      </c>
      <c r="AG52" s="489" t="s">
        <v>136</v>
      </c>
      <c r="AH52" s="513">
        <f>IF(S52=0,0,S52)</f>
        <v>5656</v>
      </c>
      <c r="AI52" s="513">
        <f t="shared" ref="AI52:AS52" si="48">IF(T52=0,0,AH52+T52)</f>
        <v>6244</v>
      </c>
      <c r="AJ52" s="513">
        <f t="shared" si="48"/>
        <v>10638</v>
      </c>
      <c r="AK52" s="513">
        <f t="shared" si="48"/>
        <v>27076</v>
      </c>
      <c r="AL52" s="513">
        <f t="shared" si="48"/>
        <v>57594</v>
      </c>
      <c r="AM52" s="513">
        <f t="shared" si="48"/>
        <v>80195</v>
      </c>
      <c r="AN52" s="513">
        <f t="shared" si="48"/>
        <v>93156</v>
      </c>
      <c r="AO52" s="513">
        <f t="shared" si="48"/>
        <v>94619</v>
      </c>
      <c r="AP52" s="513">
        <f t="shared" si="48"/>
        <v>110421</v>
      </c>
      <c r="AQ52" s="513">
        <f t="shared" si="48"/>
        <v>0</v>
      </c>
      <c r="AR52" s="513">
        <f t="shared" si="48"/>
        <v>0</v>
      </c>
      <c r="AS52" s="513">
        <f t="shared" si="48"/>
        <v>0</v>
      </c>
    </row>
    <row r="53" spans="1:45">
      <c r="A53" s="105"/>
      <c r="B53" s="679"/>
      <c r="C53" s="515" t="s">
        <v>133</v>
      </c>
      <c r="D53" s="513"/>
      <c r="E53" s="513"/>
      <c r="F53" s="513"/>
      <c r="G53" s="513"/>
      <c r="H53" s="513"/>
      <c r="I53" s="513"/>
      <c r="J53" s="513"/>
      <c r="K53" s="513"/>
      <c r="L53" s="513"/>
      <c r="M53" s="513"/>
      <c r="N53" s="513"/>
      <c r="O53" s="513"/>
      <c r="Q53" s="679"/>
      <c r="R53" s="515" t="s">
        <v>133</v>
      </c>
      <c r="S53" s="513">
        <f t="shared" ref="S53:AB53" si="49">S31</f>
        <v>46737</v>
      </c>
      <c r="T53" s="513">
        <f>T31</f>
        <v>46863</v>
      </c>
      <c r="U53" s="513">
        <f t="shared" si="49"/>
        <v>46970</v>
      </c>
      <c r="V53" s="513">
        <f t="shared" si="49"/>
        <v>47063</v>
      </c>
      <c r="W53" s="513">
        <f t="shared" si="49"/>
        <v>47155</v>
      </c>
      <c r="X53" s="513">
        <f t="shared" si="49"/>
        <v>47250</v>
      </c>
      <c r="Y53" s="513">
        <f t="shared" si="49"/>
        <v>47346</v>
      </c>
      <c r="Z53" s="513">
        <f t="shared" si="49"/>
        <v>47446</v>
      </c>
      <c r="AA53" s="513">
        <f t="shared" si="49"/>
        <v>47552</v>
      </c>
      <c r="AB53" s="513">
        <f t="shared" si="49"/>
        <v>0</v>
      </c>
      <c r="AC53" s="513">
        <f>AC31</f>
        <v>0</v>
      </c>
      <c r="AD53" s="513">
        <f>AD31</f>
        <v>0</v>
      </c>
      <c r="AF53" s="679"/>
      <c r="AG53" s="515" t="s">
        <v>133</v>
      </c>
      <c r="AH53" s="513">
        <f t="shared" ref="AH53:AS53" si="50">S53</f>
        <v>46737</v>
      </c>
      <c r="AI53" s="513">
        <f t="shared" si="50"/>
        <v>46863</v>
      </c>
      <c r="AJ53" s="513">
        <f t="shared" si="50"/>
        <v>46970</v>
      </c>
      <c r="AK53" s="513">
        <f t="shared" si="50"/>
        <v>47063</v>
      </c>
      <c r="AL53" s="513">
        <f t="shared" si="50"/>
        <v>47155</v>
      </c>
      <c r="AM53" s="513">
        <f t="shared" si="50"/>
        <v>47250</v>
      </c>
      <c r="AN53" s="513">
        <f t="shared" si="50"/>
        <v>47346</v>
      </c>
      <c r="AO53" s="513">
        <f t="shared" si="50"/>
        <v>47446</v>
      </c>
      <c r="AP53" s="513">
        <f t="shared" si="50"/>
        <v>47552</v>
      </c>
      <c r="AQ53" s="513">
        <f t="shared" si="50"/>
        <v>0</v>
      </c>
      <c r="AR53" s="513">
        <f t="shared" si="50"/>
        <v>0</v>
      </c>
      <c r="AS53" s="513">
        <f t="shared" si="50"/>
        <v>0</v>
      </c>
    </row>
    <row r="54" spans="1:45">
      <c r="A54" s="105"/>
      <c r="B54" s="679"/>
      <c r="C54" s="516" t="s">
        <v>137</v>
      </c>
      <c r="D54" s="519">
        <v>0.28999999999999998</v>
      </c>
      <c r="E54" s="519">
        <v>0.59</v>
      </c>
      <c r="F54" s="519">
        <v>0.88</v>
      </c>
      <c r="G54" s="519">
        <v>1.18</v>
      </c>
      <c r="H54" s="519">
        <v>1.47</v>
      </c>
      <c r="I54" s="519">
        <v>1.76</v>
      </c>
      <c r="J54" s="519">
        <v>2.06</v>
      </c>
      <c r="K54" s="519">
        <v>2.35</v>
      </c>
      <c r="L54" s="519">
        <v>2.65</v>
      </c>
      <c r="M54" s="519">
        <v>2.94</v>
      </c>
      <c r="N54" s="519">
        <v>3.23</v>
      </c>
      <c r="O54" s="519">
        <v>3.53</v>
      </c>
      <c r="Q54" s="679"/>
      <c r="R54" s="516" t="s">
        <v>137</v>
      </c>
      <c r="S54" s="518">
        <f t="shared" ref="S54:AD54" si="51">IF(S52=0,0,S52/S53)</f>
        <v>0.12101760917474377</v>
      </c>
      <c r="T54" s="517">
        <f t="shared" si="51"/>
        <v>1.2547212086294092E-2</v>
      </c>
      <c r="U54" s="518">
        <f t="shared" si="51"/>
        <v>9.3549073876942723E-2</v>
      </c>
      <c r="V54" s="519">
        <f t="shared" si="51"/>
        <v>0.3492765017104732</v>
      </c>
      <c r="W54" s="518">
        <f t="shared" si="51"/>
        <v>0.6471848160322341</v>
      </c>
      <c r="X54" s="518">
        <f t="shared" si="51"/>
        <v>0.47832804232804232</v>
      </c>
      <c r="Y54" s="517">
        <f t="shared" si="51"/>
        <v>0.27375068643602418</v>
      </c>
      <c r="Z54" s="517">
        <f t="shared" si="51"/>
        <v>3.0835054588374152E-2</v>
      </c>
      <c r="AA54" s="517">
        <f t="shared" si="51"/>
        <v>0.33230989232839836</v>
      </c>
      <c r="AB54" s="519">
        <f t="shared" si="51"/>
        <v>0</v>
      </c>
      <c r="AC54" s="519">
        <f t="shared" si="51"/>
        <v>0</v>
      </c>
      <c r="AD54" s="517">
        <f t="shared" si="51"/>
        <v>0</v>
      </c>
      <c r="AF54" s="679"/>
      <c r="AG54" s="516" t="s">
        <v>138</v>
      </c>
      <c r="AH54" s="517">
        <f t="shared" ref="AH54:AS54" si="52">IF(AH52=0,0,AH52/AH53)</f>
        <v>0.12101760917474377</v>
      </c>
      <c r="AI54" s="517">
        <f t="shared" si="52"/>
        <v>0.13323944263064677</v>
      </c>
      <c r="AJ54" s="517">
        <f t="shared" si="52"/>
        <v>0.22648499041941664</v>
      </c>
      <c r="AK54" s="517">
        <f t="shared" si="52"/>
        <v>0.57531394088774623</v>
      </c>
      <c r="AL54" s="517">
        <f t="shared" si="52"/>
        <v>1.2213763121620189</v>
      </c>
      <c r="AM54" s="517">
        <f t="shared" si="52"/>
        <v>1.6972486772486772</v>
      </c>
      <c r="AN54" s="517">
        <f t="shared" si="52"/>
        <v>1.9675579774426561</v>
      </c>
      <c r="AO54" s="517">
        <f t="shared" si="52"/>
        <v>1.9942460902921215</v>
      </c>
      <c r="AP54" s="517">
        <f t="shared" si="52"/>
        <v>2.3221105316285331</v>
      </c>
      <c r="AQ54" s="517">
        <f t="shared" si="52"/>
        <v>0</v>
      </c>
      <c r="AR54" s="517">
        <f t="shared" si="52"/>
        <v>0</v>
      </c>
      <c r="AS54" s="517">
        <f t="shared" si="52"/>
        <v>0</v>
      </c>
    </row>
    <row r="55" spans="1:45">
      <c r="A55" s="105"/>
      <c r="B55" s="679" t="s">
        <v>87</v>
      </c>
      <c r="C55" s="489" t="s">
        <v>136</v>
      </c>
      <c r="D55" s="523"/>
      <c r="E55" s="523"/>
      <c r="F55" s="523"/>
      <c r="G55" s="523"/>
      <c r="H55" s="523"/>
      <c r="I55" s="523"/>
      <c r="J55" s="523"/>
      <c r="K55" s="523"/>
      <c r="L55" s="523"/>
      <c r="M55" s="523"/>
      <c r="N55" s="523"/>
      <c r="O55" s="523"/>
      <c r="Q55" s="679" t="s">
        <v>87</v>
      </c>
      <c r="R55" s="489" t="s">
        <v>136</v>
      </c>
      <c r="S55" s="513">
        <v>11743</v>
      </c>
      <c r="T55" s="513">
        <v>1524</v>
      </c>
      <c r="U55" s="513">
        <v>3191</v>
      </c>
      <c r="V55" s="513">
        <v>5084</v>
      </c>
      <c r="W55" s="513">
        <v>15127</v>
      </c>
      <c r="X55" s="513">
        <v>12709</v>
      </c>
      <c r="Y55" s="513">
        <v>10326</v>
      </c>
      <c r="Z55" s="513">
        <v>416</v>
      </c>
      <c r="AA55" s="513">
        <v>4445</v>
      </c>
      <c r="AB55" s="513"/>
      <c r="AC55" s="513"/>
      <c r="AD55" s="513"/>
      <c r="AF55" s="679" t="s">
        <v>87</v>
      </c>
      <c r="AG55" s="489" t="s">
        <v>136</v>
      </c>
      <c r="AH55" s="513">
        <f>IF(S55=0,0,S55)</f>
        <v>11743</v>
      </c>
      <c r="AI55" s="513">
        <f t="shared" ref="AI55:AS55" si="53">IF(T55=0,0,AH55+T55)</f>
        <v>13267</v>
      </c>
      <c r="AJ55" s="513">
        <f t="shared" si="53"/>
        <v>16458</v>
      </c>
      <c r="AK55" s="513">
        <f t="shared" si="53"/>
        <v>21542</v>
      </c>
      <c r="AL55" s="513">
        <f t="shared" si="53"/>
        <v>36669</v>
      </c>
      <c r="AM55" s="513">
        <f t="shared" si="53"/>
        <v>49378</v>
      </c>
      <c r="AN55" s="513">
        <f t="shared" si="53"/>
        <v>59704</v>
      </c>
      <c r="AO55" s="513">
        <f t="shared" si="53"/>
        <v>60120</v>
      </c>
      <c r="AP55" s="513">
        <f t="shared" si="53"/>
        <v>64565</v>
      </c>
      <c r="AQ55" s="513">
        <f t="shared" si="53"/>
        <v>0</v>
      </c>
      <c r="AR55" s="513">
        <f t="shared" si="53"/>
        <v>0</v>
      </c>
      <c r="AS55" s="513">
        <f t="shared" si="53"/>
        <v>0</v>
      </c>
    </row>
    <row r="56" spans="1:45">
      <c r="A56" s="105"/>
      <c r="B56" s="679"/>
      <c r="C56" s="515" t="s">
        <v>133</v>
      </c>
      <c r="D56" s="523"/>
      <c r="E56" s="523"/>
      <c r="F56" s="523"/>
      <c r="G56" s="523"/>
      <c r="H56" s="523"/>
      <c r="I56" s="523"/>
      <c r="J56" s="523"/>
      <c r="K56" s="523"/>
      <c r="L56" s="523"/>
      <c r="M56" s="523"/>
      <c r="N56" s="523"/>
      <c r="O56" s="523"/>
      <c r="Q56" s="679"/>
      <c r="R56" s="515" t="s">
        <v>133</v>
      </c>
      <c r="S56" s="513">
        <f t="shared" ref="S56:AB56" si="54">S34</f>
        <v>35785</v>
      </c>
      <c r="T56" s="513">
        <f t="shared" si="54"/>
        <v>35893</v>
      </c>
      <c r="U56" s="513">
        <f t="shared" si="54"/>
        <v>35986</v>
      </c>
      <c r="V56" s="513">
        <f t="shared" si="54"/>
        <v>36089</v>
      </c>
      <c r="W56" s="513">
        <f t="shared" si="54"/>
        <v>36170</v>
      </c>
      <c r="X56" s="513">
        <f t="shared" si="54"/>
        <v>36277</v>
      </c>
      <c r="Y56" s="513">
        <f t="shared" si="54"/>
        <v>36362</v>
      </c>
      <c r="Z56" s="513">
        <f t="shared" si="54"/>
        <v>36498</v>
      </c>
      <c r="AA56" s="513">
        <f t="shared" si="54"/>
        <v>36621</v>
      </c>
      <c r="AB56" s="513">
        <f t="shared" si="54"/>
        <v>0</v>
      </c>
      <c r="AC56" s="513">
        <f>AC34</f>
        <v>0</v>
      </c>
      <c r="AD56" s="513">
        <f>AD34</f>
        <v>0</v>
      </c>
      <c r="AF56" s="679"/>
      <c r="AG56" s="515" t="s">
        <v>133</v>
      </c>
      <c r="AH56" s="513">
        <f t="shared" ref="AH56:AS56" si="55">S56</f>
        <v>35785</v>
      </c>
      <c r="AI56" s="513">
        <f t="shared" si="55"/>
        <v>35893</v>
      </c>
      <c r="AJ56" s="513">
        <f t="shared" si="55"/>
        <v>35986</v>
      </c>
      <c r="AK56" s="513">
        <f t="shared" si="55"/>
        <v>36089</v>
      </c>
      <c r="AL56" s="513">
        <f t="shared" si="55"/>
        <v>36170</v>
      </c>
      <c r="AM56" s="513">
        <f t="shared" si="55"/>
        <v>36277</v>
      </c>
      <c r="AN56" s="513">
        <f t="shared" si="55"/>
        <v>36362</v>
      </c>
      <c r="AO56" s="513">
        <f t="shared" si="55"/>
        <v>36498</v>
      </c>
      <c r="AP56" s="513">
        <f t="shared" si="55"/>
        <v>36621</v>
      </c>
      <c r="AQ56" s="513">
        <f t="shared" si="55"/>
        <v>0</v>
      </c>
      <c r="AR56" s="513">
        <f t="shared" si="55"/>
        <v>0</v>
      </c>
      <c r="AS56" s="513">
        <f t="shared" si="55"/>
        <v>0</v>
      </c>
    </row>
    <row r="57" spans="1:45">
      <c r="A57" s="105"/>
      <c r="B57" s="679"/>
      <c r="C57" s="516" t="s">
        <v>137</v>
      </c>
      <c r="D57" s="519">
        <v>0.27</v>
      </c>
      <c r="E57" s="519">
        <v>0.53</v>
      </c>
      <c r="F57" s="519">
        <v>0.8</v>
      </c>
      <c r="G57" s="519">
        <v>1.07</v>
      </c>
      <c r="H57" s="519">
        <v>1.33</v>
      </c>
      <c r="I57" s="519">
        <v>1.6</v>
      </c>
      <c r="J57" s="519">
        <v>1.86</v>
      </c>
      <c r="K57" s="519">
        <v>2.13</v>
      </c>
      <c r="L57" s="519">
        <v>2.4</v>
      </c>
      <c r="M57" s="519">
        <v>2.66</v>
      </c>
      <c r="N57" s="519">
        <v>2.93</v>
      </c>
      <c r="O57" s="519">
        <v>3.2</v>
      </c>
      <c r="Q57" s="679"/>
      <c r="R57" s="516" t="s">
        <v>137</v>
      </c>
      <c r="S57" s="517">
        <f t="shared" ref="S57:AD57" si="56">IF(S55=0,0,S55/S56)</f>
        <v>0.32815425457593966</v>
      </c>
      <c r="T57" s="518">
        <f t="shared" si="56"/>
        <v>4.2459532499373134E-2</v>
      </c>
      <c r="U57" s="519">
        <f t="shared" si="56"/>
        <v>8.8673372978380488E-2</v>
      </c>
      <c r="V57" s="517">
        <f t="shared" si="56"/>
        <v>0.14087395051123611</v>
      </c>
      <c r="W57" s="517">
        <f t="shared" si="56"/>
        <v>0.41821951893834669</v>
      </c>
      <c r="X57" s="517">
        <f t="shared" si="56"/>
        <v>0.35033216638641562</v>
      </c>
      <c r="Y57" s="517">
        <f t="shared" si="56"/>
        <v>0.283977779000055</v>
      </c>
      <c r="Z57" s="517">
        <f t="shared" si="56"/>
        <v>1.1397884815606335E-2</v>
      </c>
      <c r="AA57" s="524">
        <f t="shared" si="56"/>
        <v>0.12137844406215013</v>
      </c>
      <c r="AB57" s="519">
        <f t="shared" si="56"/>
        <v>0</v>
      </c>
      <c r="AC57" s="518">
        <f t="shared" si="56"/>
        <v>0</v>
      </c>
      <c r="AD57" s="518">
        <f t="shared" si="56"/>
        <v>0</v>
      </c>
      <c r="AF57" s="679"/>
      <c r="AG57" s="516" t="s">
        <v>138</v>
      </c>
      <c r="AH57" s="517">
        <f t="shared" ref="AH57:AS57" si="57">IF(AH55=0,0,AH55/AH56)</f>
        <v>0.32815425457593966</v>
      </c>
      <c r="AI57" s="517">
        <f t="shared" si="57"/>
        <v>0.36962638954670829</v>
      </c>
      <c r="AJ57" s="517">
        <f t="shared" si="57"/>
        <v>0.45734452287000499</v>
      </c>
      <c r="AK57" s="517">
        <f t="shared" si="57"/>
        <v>0.59691318684363659</v>
      </c>
      <c r="AL57" s="517">
        <f t="shared" si="57"/>
        <v>1.0137959635056677</v>
      </c>
      <c r="AM57" s="517">
        <f t="shared" si="57"/>
        <v>1.3611379110731316</v>
      </c>
      <c r="AN57" s="517">
        <f t="shared" si="57"/>
        <v>1.6419338870249161</v>
      </c>
      <c r="AO57" s="517">
        <f t="shared" si="57"/>
        <v>1.6472135459477231</v>
      </c>
      <c r="AP57" s="517">
        <f t="shared" si="57"/>
        <v>1.763059446765517</v>
      </c>
      <c r="AQ57" s="517">
        <f t="shared" si="57"/>
        <v>0</v>
      </c>
      <c r="AR57" s="517">
        <f t="shared" si="57"/>
        <v>0</v>
      </c>
      <c r="AS57" s="517">
        <f t="shared" si="57"/>
        <v>0</v>
      </c>
    </row>
    <row r="58" spans="1:45">
      <c r="A58" s="105"/>
      <c r="B58" s="679" t="s">
        <v>88</v>
      </c>
      <c r="C58" s="489" t="s">
        <v>136</v>
      </c>
      <c r="D58" s="523"/>
      <c r="E58" s="523"/>
      <c r="F58" s="523"/>
      <c r="G58" s="523"/>
      <c r="H58" s="523"/>
      <c r="I58" s="523"/>
      <c r="J58" s="523"/>
      <c r="K58" s="523"/>
      <c r="L58" s="523"/>
      <c r="M58" s="523"/>
      <c r="N58" s="523"/>
      <c r="O58" s="523"/>
      <c r="Q58" s="679" t="s">
        <v>88</v>
      </c>
      <c r="R58" s="489" t="s">
        <v>136</v>
      </c>
      <c r="S58" s="513">
        <v>3224</v>
      </c>
      <c r="T58" s="513">
        <v>242</v>
      </c>
      <c r="U58" s="513">
        <v>3124</v>
      </c>
      <c r="V58" s="513">
        <v>2117</v>
      </c>
      <c r="W58" s="513">
        <v>9271</v>
      </c>
      <c r="X58" s="513">
        <v>7125</v>
      </c>
      <c r="Y58" s="513">
        <v>5974</v>
      </c>
      <c r="Z58" s="513">
        <v>252</v>
      </c>
      <c r="AA58" s="513">
        <v>4077</v>
      </c>
      <c r="AB58" s="513"/>
      <c r="AC58" s="513"/>
      <c r="AD58" s="513"/>
      <c r="AF58" s="679" t="s">
        <v>88</v>
      </c>
      <c r="AG58" s="489" t="s">
        <v>136</v>
      </c>
      <c r="AH58" s="513">
        <f>IF(S58=0,0,S58)</f>
        <v>3224</v>
      </c>
      <c r="AI58" s="513">
        <f t="shared" ref="AI58:AS58" si="58">IF(T58=0,0,AH58+T58)</f>
        <v>3466</v>
      </c>
      <c r="AJ58" s="513">
        <f t="shared" si="58"/>
        <v>6590</v>
      </c>
      <c r="AK58" s="513">
        <f t="shared" si="58"/>
        <v>8707</v>
      </c>
      <c r="AL58" s="513">
        <f t="shared" si="58"/>
        <v>17978</v>
      </c>
      <c r="AM58" s="513">
        <f t="shared" si="58"/>
        <v>25103</v>
      </c>
      <c r="AN58" s="513">
        <f t="shared" si="58"/>
        <v>31077</v>
      </c>
      <c r="AO58" s="513">
        <f t="shared" si="58"/>
        <v>31329</v>
      </c>
      <c r="AP58" s="513">
        <f t="shared" si="58"/>
        <v>35406</v>
      </c>
      <c r="AQ58" s="513">
        <f t="shared" si="58"/>
        <v>0</v>
      </c>
      <c r="AR58" s="513">
        <f t="shared" si="58"/>
        <v>0</v>
      </c>
      <c r="AS58" s="513">
        <f t="shared" si="58"/>
        <v>0</v>
      </c>
    </row>
    <row r="59" spans="1:45">
      <c r="A59" s="105"/>
      <c r="B59" s="679"/>
      <c r="C59" s="515" t="s">
        <v>133</v>
      </c>
      <c r="D59" s="523"/>
      <c r="E59" s="523"/>
      <c r="F59" s="523"/>
      <c r="G59" s="523"/>
      <c r="H59" s="523"/>
      <c r="I59" s="523"/>
      <c r="J59" s="523"/>
      <c r="K59" s="523"/>
      <c r="L59" s="523"/>
      <c r="M59" s="523"/>
      <c r="N59" s="523"/>
      <c r="O59" s="523"/>
      <c r="Q59" s="679"/>
      <c r="R59" s="515" t="s">
        <v>133</v>
      </c>
      <c r="S59" s="513">
        <f t="shared" ref="S59:AB59" si="59">S37</f>
        <v>21705</v>
      </c>
      <c r="T59" s="513">
        <f t="shared" si="59"/>
        <v>21751</v>
      </c>
      <c r="U59" s="513">
        <f t="shared" si="59"/>
        <v>21798</v>
      </c>
      <c r="V59" s="513">
        <f t="shared" si="59"/>
        <v>21849</v>
      </c>
      <c r="W59" s="513">
        <f t="shared" si="59"/>
        <v>21902</v>
      </c>
      <c r="X59" s="513">
        <f t="shared" si="59"/>
        <v>21961</v>
      </c>
      <c r="Y59" s="513">
        <f t="shared" si="59"/>
        <v>21999</v>
      </c>
      <c r="Z59" s="513">
        <f t="shared" si="59"/>
        <v>22037</v>
      </c>
      <c r="AA59" s="513">
        <f t="shared" si="59"/>
        <v>22094</v>
      </c>
      <c r="AB59" s="513">
        <f t="shared" si="59"/>
        <v>0</v>
      </c>
      <c r="AC59" s="513">
        <f>AC37</f>
        <v>0</v>
      </c>
      <c r="AD59" s="513">
        <f>AD37</f>
        <v>0</v>
      </c>
      <c r="AF59" s="679"/>
      <c r="AG59" s="515" t="s">
        <v>133</v>
      </c>
      <c r="AH59" s="513">
        <f t="shared" ref="AH59:AS59" si="60">S59</f>
        <v>21705</v>
      </c>
      <c r="AI59" s="513">
        <f t="shared" si="60"/>
        <v>21751</v>
      </c>
      <c r="AJ59" s="513">
        <f t="shared" si="60"/>
        <v>21798</v>
      </c>
      <c r="AK59" s="513">
        <f t="shared" si="60"/>
        <v>21849</v>
      </c>
      <c r="AL59" s="513">
        <f t="shared" si="60"/>
        <v>21902</v>
      </c>
      <c r="AM59" s="513">
        <f t="shared" si="60"/>
        <v>21961</v>
      </c>
      <c r="AN59" s="513">
        <f t="shared" si="60"/>
        <v>21999</v>
      </c>
      <c r="AO59" s="513">
        <f t="shared" si="60"/>
        <v>22037</v>
      </c>
      <c r="AP59" s="513">
        <f t="shared" si="60"/>
        <v>22094</v>
      </c>
      <c r="AQ59" s="513">
        <f t="shared" si="60"/>
        <v>0</v>
      </c>
      <c r="AR59" s="513">
        <f t="shared" si="60"/>
        <v>0</v>
      </c>
      <c r="AS59" s="513">
        <f t="shared" si="60"/>
        <v>0</v>
      </c>
    </row>
    <row r="60" spans="1:45">
      <c r="A60" s="105"/>
      <c r="B60" s="679"/>
      <c r="C60" s="516" t="s">
        <v>137</v>
      </c>
      <c r="D60" s="519">
        <v>0.23</v>
      </c>
      <c r="E60" s="519">
        <v>0.47</v>
      </c>
      <c r="F60" s="519">
        <v>0.7</v>
      </c>
      <c r="G60" s="519">
        <v>0.94</v>
      </c>
      <c r="H60" s="519">
        <v>1.17</v>
      </c>
      <c r="I60" s="519">
        <v>1.4</v>
      </c>
      <c r="J60" s="519">
        <v>1.64</v>
      </c>
      <c r="K60" s="519">
        <v>1.87</v>
      </c>
      <c r="L60" s="519">
        <v>2.1</v>
      </c>
      <c r="M60" s="519">
        <v>2.34</v>
      </c>
      <c r="N60" s="519">
        <v>2.57</v>
      </c>
      <c r="O60" s="519">
        <v>2.81</v>
      </c>
      <c r="Q60" s="679"/>
      <c r="R60" s="516" t="s">
        <v>137</v>
      </c>
      <c r="S60" s="517">
        <f t="shared" ref="S60:AD60" si="61">IF(S58=0,0,S58/S59)</f>
        <v>0.1485372034093527</v>
      </c>
      <c r="T60" s="517">
        <f t="shared" si="61"/>
        <v>1.112592524481633E-2</v>
      </c>
      <c r="U60" s="517">
        <f t="shared" si="61"/>
        <v>0.14331590054133406</v>
      </c>
      <c r="V60" s="517">
        <f t="shared" si="61"/>
        <v>9.6892306284040455E-2</v>
      </c>
      <c r="W60" s="517">
        <f t="shared" si="61"/>
        <v>0.42329467628527073</v>
      </c>
      <c r="X60" s="517">
        <f t="shared" si="61"/>
        <v>0.324438777833432</v>
      </c>
      <c r="Y60" s="517">
        <f t="shared" si="61"/>
        <v>0.27155779808173097</v>
      </c>
      <c r="Z60" s="517">
        <f t="shared" si="61"/>
        <v>1.143531333666107E-2</v>
      </c>
      <c r="AA60" s="517">
        <f t="shared" si="61"/>
        <v>0.18452973658006699</v>
      </c>
      <c r="AB60" s="519">
        <f t="shared" si="61"/>
        <v>0</v>
      </c>
      <c r="AC60" s="519">
        <f t="shared" si="61"/>
        <v>0</v>
      </c>
      <c r="AD60" s="517">
        <f t="shared" si="61"/>
        <v>0</v>
      </c>
      <c r="AF60" s="679"/>
      <c r="AG60" s="516" t="s">
        <v>138</v>
      </c>
      <c r="AH60" s="517">
        <f t="shared" ref="AH60:AS60" si="62">IF(AH58=0,0,AH58/AH59)</f>
        <v>0.1485372034093527</v>
      </c>
      <c r="AI60" s="517">
        <f t="shared" si="62"/>
        <v>0.15934899544848513</v>
      </c>
      <c r="AJ60" s="517">
        <f t="shared" si="62"/>
        <v>0.3023213138820075</v>
      </c>
      <c r="AK60" s="517">
        <f t="shared" si="62"/>
        <v>0.39850794086685887</v>
      </c>
      <c r="AL60" s="517">
        <f t="shared" si="62"/>
        <v>0.82083827960916811</v>
      </c>
      <c r="AM60" s="518">
        <f t="shared" si="62"/>
        <v>1.1430718091161605</v>
      </c>
      <c r="AN60" s="517">
        <f t="shared" si="62"/>
        <v>1.4126551206873039</v>
      </c>
      <c r="AO60" s="517">
        <f t="shared" si="62"/>
        <v>1.4216544901756138</v>
      </c>
      <c r="AP60" s="517">
        <f t="shared" si="62"/>
        <v>1.6025165203222593</v>
      </c>
      <c r="AQ60" s="517">
        <f t="shared" si="62"/>
        <v>0</v>
      </c>
      <c r="AR60" s="517">
        <f t="shared" si="62"/>
        <v>0</v>
      </c>
      <c r="AS60" s="517">
        <f t="shared" si="62"/>
        <v>0</v>
      </c>
    </row>
    <row r="61" spans="1:45">
      <c r="A61" s="105"/>
      <c r="B61" s="679" t="s">
        <v>121</v>
      </c>
      <c r="C61" s="489" t="s">
        <v>136</v>
      </c>
      <c r="D61" s="523"/>
      <c r="E61" s="523"/>
      <c r="F61" s="523"/>
      <c r="G61" s="523"/>
      <c r="H61" s="523"/>
      <c r="I61" s="523"/>
      <c r="J61" s="523"/>
      <c r="K61" s="523"/>
      <c r="L61" s="523"/>
      <c r="M61" s="523"/>
      <c r="N61" s="523"/>
      <c r="O61" s="523"/>
      <c r="Q61" s="679" t="s">
        <v>121</v>
      </c>
      <c r="R61" s="489" t="s">
        <v>136</v>
      </c>
      <c r="S61" s="513">
        <v>424</v>
      </c>
      <c r="T61" s="513">
        <v>939</v>
      </c>
      <c r="U61" s="513">
        <v>2405</v>
      </c>
      <c r="V61" s="513">
        <v>3369</v>
      </c>
      <c r="W61" s="513">
        <v>6494</v>
      </c>
      <c r="X61" s="513">
        <v>4710</v>
      </c>
      <c r="Y61" s="513">
        <v>4748</v>
      </c>
      <c r="Z61" s="513">
        <v>171</v>
      </c>
      <c r="AA61" s="513">
        <v>1578</v>
      </c>
      <c r="AB61" s="513"/>
      <c r="AC61" s="513"/>
      <c r="AD61" s="513"/>
      <c r="AF61" s="679" t="s">
        <v>121</v>
      </c>
      <c r="AG61" s="489" t="s">
        <v>136</v>
      </c>
      <c r="AH61" s="513">
        <f>IF(S61=0,0,S61)</f>
        <v>424</v>
      </c>
      <c r="AI61" s="513">
        <f t="shared" ref="AI61:AS61" si="63">IF(T61=0,0,AH61+T61)</f>
        <v>1363</v>
      </c>
      <c r="AJ61" s="513">
        <f t="shared" si="63"/>
        <v>3768</v>
      </c>
      <c r="AK61" s="513">
        <f t="shared" si="63"/>
        <v>7137</v>
      </c>
      <c r="AL61" s="513">
        <f t="shared" si="63"/>
        <v>13631</v>
      </c>
      <c r="AM61" s="513">
        <f t="shared" si="63"/>
        <v>18341</v>
      </c>
      <c r="AN61" s="513">
        <f t="shared" si="63"/>
        <v>23089</v>
      </c>
      <c r="AO61" s="513">
        <f t="shared" si="63"/>
        <v>23260</v>
      </c>
      <c r="AP61" s="513">
        <f t="shared" si="63"/>
        <v>24838</v>
      </c>
      <c r="AQ61" s="513">
        <f t="shared" si="63"/>
        <v>0</v>
      </c>
      <c r="AR61" s="513">
        <f t="shared" si="63"/>
        <v>0</v>
      </c>
      <c r="AS61" s="513">
        <f t="shared" si="63"/>
        <v>0</v>
      </c>
    </row>
    <row r="62" spans="1:45">
      <c r="A62" s="105"/>
      <c r="B62" s="679"/>
      <c r="C62" s="515" t="s">
        <v>133</v>
      </c>
      <c r="D62" s="523"/>
      <c r="E62" s="523"/>
      <c r="F62" s="523"/>
      <c r="G62" s="523"/>
      <c r="H62" s="523"/>
      <c r="I62" s="523"/>
      <c r="J62" s="523"/>
      <c r="K62" s="523"/>
      <c r="L62" s="523"/>
      <c r="M62" s="523"/>
      <c r="N62" s="523"/>
      <c r="O62" s="523"/>
      <c r="Q62" s="679"/>
      <c r="R62" s="515" t="s">
        <v>133</v>
      </c>
      <c r="S62" s="513">
        <f t="shared" ref="S62:Z62" si="64">S40</f>
        <v>22738</v>
      </c>
      <c r="T62" s="513">
        <f t="shared" si="64"/>
        <v>22826</v>
      </c>
      <c r="U62" s="513">
        <f t="shared" si="64"/>
        <v>22869</v>
      </c>
      <c r="V62" s="513">
        <f t="shared" si="64"/>
        <v>22908</v>
      </c>
      <c r="W62" s="513">
        <f t="shared" si="64"/>
        <v>22948</v>
      </c>
      <c r="X62" s="513">
        <f t="shared" si="64"/>
        <v>23000</v>
      </c>
      <c r="Y62" s="513">
        <f t="shared" si="64"/>
        <v>23047</v>
      </c>
      <c r="Z62" s="513">
        <f t="shared" si="64"/>
        <v>23067</v>
      </c>
      <c r="AA62" s="513">
        <f>AA40</f>
        <v>23111</v>
      </c>
      <c r="AB62" s="513">
        <f>AB40</f>
        <v>0</v>
      </c>
      <c r="AC62" s="513">
        <f>AC40</f>
        <v>0</v>
      </c>
      <c r="AD62" s="513">
        <f>AD40</f>
        <v>0</v>
      </c>
      <c r="AF62" s="679"/>
      <c r="AG62" s="515" t="s">
        <v>133</v>
      </c>
      <c r="AH62" s="513">
        <f t="shared" ref="AH62:AS62" si="65">S62</f>
        <v>22738</v>
      </c>
      <c r="AI62" s="513">
        <f t="shared" si="65"/>
        <v>22826</v>
      </c>
      <c r="AJ62" s="513">
        <f t="shared" si="65"/>
        <v>22869</v>
      </c>
      <c r="AK62" s="513">
        <f t="shared" si="65"/>
        <v>22908</v>
      </c>
      <c r="AL62" s="513">
        <f t="shared" si="65"/>
        <v>22948</v>
      </c>
      <c r="AM62" s="513">
        <f t="shared" si="65"/>
        <v>23000</v>
      </c>
      <c r="AN62" s="513">
        <f t="shared" si="65"/>
        <v>23047</v>
      </c>
      <c r="AO62" s="513">
        <f t="shared" si="65"/>
        <v>23067</v>
      </c>
      <c r="AP62" s="513">
        <f t="shared" si="65"/>
        <v>23111</v>
      </c>
      <c r="AQ62" s="513">
        <f t="shared" si="65"/>
        <v>0</v>
      </c>
      <c r="AR62" s="513">
        <f t="shared" si="65"/>
        <v>0</v>
      </c>
      <c r="AS62" s="513">
        <f t="shared" si="65"/>
        <v>0</v>
      </c>
    </row>
    <row r="63" spans="1:45">
      <c r="A63" s="105"/>
      <c r="B63" s="679"/>
      <c r="C63" s="516" t="s">
        <v>137</v>
      </c>
      <c r="D63" s="519">
        <v>0.17</v>
      </c>
      <c r="E63" s="519">
        <v>0.34</v>
      </c>
      <c r="F63" s="519">
        <v>0.51</v>
      </c>
      <c r="G63" s="519">
        <v>0.68</v>
      </c>
      <c r="H63" s="519">
        <v>0.85</v>
      </c>
      <c r="I63" s="519">
        <v>1.02</v>
      </c>
      <c r="J63" s="519">
        <v>1.19</v>
      </c>
      <c r="K63" s="519">
        <v>1.37</v>
      </c>
      <c r="L63" s="519">
        <v>1.54</v>
      </c>
      <c r="M63" s="519">
        <v>1.71</v>
      </c>
      <c r="N63" s="519">
        <v>1.88</v>
      </c>
      <c r="O63" s="519">
        <v>2.0499999999999998</v>
      </c>
      <c r="Q63" s="679"/>
      <c r="R63" s="516" t="s">
        <v>137</v>
      </c>
      <c r="S63" s="519">
        <f t="shared" ref="S63:AD63" si="66">IF(S61=0,0,S61/S62)</f>
        <v>1.8647198522297476E-2</v>
      </c>
      <c r="T63" s="517">
        <f t="shared" si="66"/>
        <v>4.1137299570665031E-2</v>
      </c>
      <c r="U63" s="517">
        <f t="shared" si="66"/>
        <v>0.10516419607328699</v>
      </c>
      <c r="V63" s="517">
        <f t="shared" si="66"/>
        <v>0.14706652697747513</v>
      </c>
      <c r="W63" s="517">
        <f t="shared" si="66"/>
        <v>0.2829876241938295</v>
      </c>
      <c r="X63" s="517">
        <f t="shared" si="66"/>
        <v>0.20478260869565218</v>
      </c>
      <c r="Y63" s="517">
        <f t="shared" si="66"/>
        <v>0.20601379789126567</v>
      </c>
      <c r="Z63" s="517">
        <f t="shared" si="66"/>
        <v>7.4131876706984004E-3</v>
      </c>
      <c r="AA63" s="517">
        <f t="shared" si="66"/>
        <v>6.8279174419107788E-2</v>
      </c>
      <c r="AB63" s="519">
        <f t="shared" si="66"/>
        <v>0</v>
      </c>
      <c r="AC63" s="518">
        <f t="shared" si="66"/>
        <v>0</v>
      </c>
      <c r="AD63" s="517">
        <f t="shared" si="66"/>
        <v>0</v>
      </c>
      <c r="AF63" s="679"/>
      <c r="AG63" s="516" t="s">
        <v>138</v>
      </c>
      <c r="AH63" s="517">
        <f t="shared" ref="AH63:AS63" si="67">IF(AH61=0,0,AH61/AH62)</f>
        <v>1.8647198522297476E-2</v>
      </c>
      <c r="AI63" s="517">
        <f t="shared" si="67"/>
        <v>5.9712608428984494E-2</v>
      </c>
      <c r="AJ63" s="517">
        <f t="shared" si="67"/>
        <v>0.16476452840089204</v>
      </c>
      <c r="AK63" s="517">
        <f t="shared" si="67"/>
        <v>0.3115505500261917</v>
      </c>
      <c r="AL63" s="517">
        <f t="shared" si="67"/>
        <v>0.59399511940038352</v>
      </c>
      <c r="AM63" s="517">
        <f t="shared" si="67"/>
        <v>0.7974347826086956</v>
      </c>
      <c r="AN63" s="517">
        <f t="shared" si="67"/>
        <v>1.0018223629973533</v>
      </c>
      <c r="AO63" s="517">
        <f t="shared" si="67"/>
        <v>1.0083669311137122</v>
      </c>
      <c r="AP63" s="517">
        <f t="shared" si="67"/>
        <v>1.0747263207996192</v>
      </c>
      <c r="AQ63" s="517">
        <f t="shared" si="67"/>
        <v>0</v>
      </c>
      <c r="AR63" s="517">
        <f t="shared" si="67"/>
        <v>0</v>
      </c>
      <c r="AS63" s="517">
        <f t="shared" si="67"/>
        <v>0</v>
      </c>
    </row>
    <row r="64" spans="1:45">
      <c r="A64" s="105"/>
      <c r="B64" s="679" t="s">
        <v>89</v>
      </c>
      <c r="C64" s="489" t="s">
        <v>136</v>
      </c>
      <c r="D64" s="523"/>
      <c r="E64" s="523"/>
      <c r="F64" s="523"/>
      <c r="G64" s="523"/>
      <c r="H64" s="523"/>
      <c r="I64" s="523"/>
      <c r="J64" s="523"/>
      <c r="K64" s="523"/>
      <c r="L64" s="523"/>
      <c r="M64" s="523"/>
      <c r="N64" s="523"/>
      <c r="O64" s="523"/>
      <c r="Q64" s="679" t="s">
        <v>89</v>
      </c>
      <c r="R64" s="489" t="s">
        <v>136</v>
      </c>
      <c r="S64" s="513">
        <v>1884</v>
      </c>
      <c r="T64" s="513">
        <v>548</v>
      </c>
      <c r="U64" s="513">
        <v>4685</v>
      </c>
      <c r="V64" s="513">
        <v>4588</v>
      </c>
      <c r="W64" s="513">
        <v>13583</v>
      </c>
      <c r="X64" s="513">
        <v>7160</v>
      </c>
      <c r="Y64" s="513">
        <v>8587</v>
      </c>
      <c r="Z64" s="513">
        <v>2924</v>
      </c>
      <c r="AA64" s="513">
        <v>169</v>
      </c>
      <c r="AB64" s="513"/>
      <c r="AC64" s="513"/>
      <c r="AD64" s="513"/>
      <c r="AF64" s="679" t="s">
        <v>89</v>
      </c>
      <c r="AG64" s="489" t="s">
        <v>136</v>
      </c>
      <c r="AH64" s="513">
        <f>IF(S64=0,0,S64)</f>
        <v>1884</v>
      </c>
      <c r="AI64" s="513">
        <f t="shared" ref="AI64:AS64" si="68">IF(T64=0,0,AH64+T64)</f>
        <v>2432</v>
      </c>
      <c r="AJ64" s="513">
        <f t="shared" si="68"/>
        <v>7117</v>
      </c>
      <c r="AK64" s="513">
        <f t="shared" si="68"/>
        <v>11705</v>
      </c>
      <c r="AL64" s="513">
        <f t="shared" si="68"/>
        <v>25288</v>
      </c>
      <c r="AM64" s="513">
        <f t="shared" si="68"/>
        <v>32448</v>
      </c>
      <c r="AN64" s="513">
        <f t="shared" si="68"/>
        <v>41035</v>
      </c>
      <c r="AO64" s="513">
        <f t="shared" si="68"/>
        <v>43959</v>
      </c>
      <c r="AP64" s="513">
        <f t="shared" si="68"/>
        <v>44128</v>
      </c>
      <c r="AQ64" s="513">
        <f t="shared" si="68"/>
        <v>0</v>
      </c>
      <c r="AR64" s="513">
        <f t="shared" si="68"/>
        <v>0</v>
      </c>
      <c r="AS64" s="513">
        <f t="shared" si="68"/>
        <v>0</v>
      </c>
    </row>
    <row r="65" spans="1:45">
      <c r="A65" s="105"/>
      <c r="B65" s="679"/>
      <c r="C65" s="515" t="s">
        <v>133</v>
      </c>
      <c r="D65" s="523"/>
      <c r="E65" s="523"/>
      <c r="F65" s="523"/>
      <c r="G65" s="523"/>
      <c r="H65" s="523"/>
      <c r="I65" s="523"/>
      <c r="J65" s="523"/>
      <c r="K65" s="523"/>
      <c r="L65" s="523"/>
      <c r="M65" s="523"/>
      <c r="N65" s="523"/>
      <c r="O65" s="523"/>
      <c r="Q65" s="679"/>
      <c r="R65" s="515" t="s">
        <v>133</v>
      </c>
      <c r="S65" s="513">
        <f t="shared" ref="S65:AB65" si="69">S43</f>
        <v>29532</v>
      </c>
      <c r="T65" s="513">
        <f t="shared" si="69"/>
        <v>29631</v>
      </c>
      <c r="U65" s="513">
        <f t="shared" si="69"/>
        <v>29740</v>
      </c>
      <c r="V65" s="513">
        <f t="shared" si="69"/>
        <v>29882</v>
      </c>
      <c r="W65" s="513">
        <f t="shared" si="69"/>
        <v>29977</v>
      </c>
      <c r="X65" s="513">
        <f t="shared" si="69"/>
        <v>30072</v>
      </c>
      <c r="Y65" s="513">
        <f t="shared" si="69"/>
        <v>30175</v>
      </c>
      <c r="Z65" s="513">
        <f t="shared" si="69"/>
        <v>30244</v>
      </c>
      <c r="AA65" s="513">
        <f t="shared" si="69"/>
        <v>30382</v>
      </c>
      <c r="AB65" s="513">
        <f t="shared" si="69"/>
        <v>0</v>
      </c>
      <c r="AC65" s="513">
        <f>AC43</f>
        <v>0</v>
      </c>
      <c r="AD65" s="513">
        <f>AD43</f>
        <v>0</v>
      </c>
      <c r="AF65" s="679"/>
      <c r="AG65" s="515" t="s">
        <v>133</v>
      </c>
      <c r="AH65" s="513">
        <f t="shared" ref="AH65:AS65" si="70">S65</f>
        <v>29532</v>
      </c>
      <c r="AI65" s="513">
        <f t="shared" si="70"/>
        <v>29631</v>
      </c>
      <c r="AJ65" s="513">
        <f t="shared" si="70"/>
        <v>29740</v>
      </c>
      <c r="AK65" s="513">
        <f t="shared" si="70"/>
        <v>29882</v>
      </c>
      <c r="AL65" s="513">
        <f t="shared" si="70"/>
        <v>29977</v>
      </c>
      <c r="AM65" s="513">
        <f t="shared" si="70"/>
        <v>30072</v>
      </c>
      <c r="AN65" s="513">
        <f t="shared" si="70"/>
        <v>30175</v>
      </c>
      <c r="AO65" s="513">
        <f t="shared" si="70"/>
        <v>30244</v>
      </c>
      <c r="AP65" s="513">
        <f t="shared" si="70"/>
        <v>30382</v>
      </c>
      <c r="AQ65" s="513">
        <f t="shared" si="70"/>
        <v>0</v>
      </c>
      <c r="AR65" s="513">
        <f t="shared" si="70"/>
        <v>0</v>
      </c>
      <c r="AS65" s="513">
        <f t="shared" si="70"/>
        <v>0</v>
      </c>
    </row>
    <row r="66" spans="1:45">
      <c r="A66" s="105"/>
      <c r="B66" s="679"/>
      <c r="C66" s="516" t="s">
        <v>137</v>
      </c>
      <c r="D66" s="519">
        <v>0.22</v>
      </c>
      <c r="E66" s="519">
        <v>0.44</v>
      </c>
      <c r="F66" s="519">
        <v>0.65</v>
      </c>
      <c r="G66" s="519">
        <v>0.87</v>
      </c>
      <c r="H66" s="519">
        <v>1.0900000000000001</v>
      </c>
      <c r="I66" s="519">
        <v>1.31</v>
      </c>
      <c r="J66" s="519">
        <v>1.53</v>
      </c>
      <c r="K66" s="519">
        <v>1.75</v>
      </c>
      <c r="L66" s="519">
        <v>1.96</v>
      </c>
      <c r="M66" s="519">
        <v>2.1800000000000002</v>
      </c>
      <c r="N66" s="519">
        <v>2.4</v>
      </c>
      <c r="O66" s="519">
        <v>2.62</v>
      </c>
      <c r="Q66" s="679"/>
      <c r="R66" s="516" t="s">
        <v>137</v>
      </c>
      <c r="S66" s="517">
        <f t="shared" ref="S66:AD66" si="71">IF(S64=0,0,S64/S65)</f>
        <v>6.3795205201137753E-2</v>
      </c>
      <c r="T66" s="517">
        <f t="shared" si="71"/>
        <v>1.8494144645810132E-2</v>
      </c>
      <c r="U66" s="517">
        <f t="shared" si="71"/>
        <v>0.15753194351042368</v>
      </c>
      <c r="V66" s="519">
        <f t="shared" si="71"/>
        <v>0.15353724650291145</v>
      </c>
      <c r="W66" s="517">
        <f t="shared" si="71"/>
        <v>0.45311405410814959</v>
      </c>
      <c r="X66" s="517">
        <f t="shared" si="71"/>
        <v>0.23809523809523808</v>
      </c>
      <c r="Y66" s="517">
        <f t="shared" si="71"/>
        <v>0.28457332228666116</v>
      </c>
      <c r="Z66" s="517">
        <f t="shared" si="71"/>
        <v>9.6680333289247453E-2</v>
      </c>
      <c r="AA66" s="517">
        <f t="shared" si="71"/>
        <v>5.5625041142781913E-3</v>
      </c>
      <c r="AB66" s="518">
        <f t="shared" si="71"/>
        <v>0</v>
      </c>
      <c r="AC66" s="519">
        <f t="shared" si="71"/>
        <v>0</v>
      </c>
      <c r="AD66" s="517">
        <f t="shared" si="71"/>
        <v>0</v>
      </c>
      <c r="AF66" s="679"/>
      <c r="AG66" s="516" t="s">
        <v>138</v>
      </c>
      <c r="AH66" s="517">
        <f t="shared" ref="AH66:AS66" si="72">IF(AH64=0,0,AH64/AH65)</f>
        <v>6.3795205201137753E-2</v>
      </c>
      <c r="AI66" s="517">
        <f t="shared" si="72"/>
        <v>8.2076203975566128E-2</v>
      </c>
      <c r="AJ66" s="517">
        <f t="shared" si="72"/>
        <v>0.23930733019502354</v>
      </c>
      <c r="AK66" s="517">
        <f t="shared" si="72"/>
        <v>0.39170738237065794</v>
      </c>
      <c r="AL66" s="517">
        <f t="shared" si="72"/>
        <v>0.84358007805984592</v>
      </c>
      <c r="AM66" s="517">
        <f t="shared" si="72"/>
        <v>1.0790103750997606</v>
      </c>
      <c r="AN66" s="517">
        <f t="shared" si="72"/>
        <v>1.3599005799502899</v>
      </c>
      <c r="AO66" s="517">
        <f t="shared" si="72"/>
        <v>1.4534783758762069</v>
      </c>
      <c r="AP66" s="517">
        <f t="shared" si="72"/>
        <v>1.452438944111645</v>
      </c>
      <c r="AQ66" s="517">
        <f t="shared" si="72"/>
        <v>0</v>
      </c>
      <c r="AR66" s="517">
        <f t="shared" si="72"/>
        <v>0</v>
      </c>
      <c r="AS66" s="517">
        <f t="shared" si="72"/>
        <v>0</v>
      </c>
    </row>
    <row r="67" spans="1:45">
      <c r="A67" s="105"/>
      <c r="B67" s="679" t="s">
        <v>90</v>
      </c>
      <c r="C67" s="489" t="s">
        <v>136</v>
      </c>
      <c r="D67" s="523"/>
      <c r="E67" s="523"/>
      <c r="F67" s="523"/>
      <c r="G67" s="523"/>
      <c r="H67" s="523"/>
      <c r="I67" s="523"/>
      <c r="J67" s="523"/>
      <c r="K67" s="523"/>
      <c r="L67" s="523"/>
      <c r="M67" s="523"/>
      <c r="N67" s="523"/>
      <c r="O67" s="523"/>
      <c r="Q67" s="679" t="s">
        <v>90</v>
      </c>
      <c r="R67" s="489" t="s">
        <v>136</v>
      </c>
      <c r="S67" s="513">
        <f t="shared" ref="S67:AD67" si="73">S52+S55+S58+S61+S64</f>
        <v>22931</v>
      </c>
      <c r="T67" s="513">
        <f t="shared" si="73"/>
        <v>3841</v>
      </c>
      <c r="U67" s="513">
        <f t="shared" si="73"/>
        <v>17799</v>
      </c>
      <c r="V67" s="513">
        <f t="shared" si="73"/>
        <v>31596</v>
      </c>
      <c r="W67" s="513">
        <f t="shared" si="73"/>
        <v>74993</v>
      </c>
      <c r="X67" s="513">
        <f t="shared" si="73"/>
        <v>54305</v>
      </c>
      <c r="Y67" s="513">
        <f t="shared" si="73"/>
        <v>42596</v>
      </c>
      <c r="Z67" s="513">
        <f t="shared" si="73"/>
        <v>5226</v>
      </c>
      <c r="AA67" s="513">
        <f t="shared" si="73"/>
        <v>26071</v>
      </c>
      <c r="AB67" s="513">
        <f t="shared" si="73"/>
        <v>0</v>
      </c>
      <c r="AC67" s="513">
        <f t="shared" si="73"/>
        <v>0</v>
      </c>
      <c r="AD67" s="513">
        <f t="shared" si="73"/>
        <v>0</v>
      </c>
      <c r="AF67" s="679" t="s">
        <v>90</v>
      </c>
      <c r="AG67" s="489" t="s">
        <v>136</v>
      </c>
      <c r="AH67" s="513">
        <f>IF(S67=0,0,S67)</f>
        <v>22931</v>
      </c>
      <c r="AI67" s="513">
        <f t="shared" ref="AI67:AS67" si="74">IF(T67=0,0,AH67+T67)</f>
        <v>26772</v>
      </c>
      <c r="AJ67" s="513">
        <f t="shared" si="74"/>
        <v>44571</v>
      </c>
      <c r="AK67" s="513">
        <f t="shared" si="74"/>
        <v>76167</v>
      </c>
      <c r="AL67" s="513">
        <f t="shared" si="74"/>
        <v>151160</v>
      </c>
      <c r="AM67" s="513">
        <f t="shared" si="74"/>
        <v>205465</v>
      </c>
      <c r="AN67" s="513">
        <f t="shared" si="74"/>
        <v>248061</v>
      </c>
      <c r="AO67" s="513">
        <f t="shared" si="74"/>
        <v>253287</v>
      </c>
      <c r="AP67" s="513">
        <f t="shared" si="74"/>
        <v>279358</v>
      </c>
      <c r="AQ67" s="513">
        <f t="shared" si="74"/>
        <v>0</v>
      </c>
      <c r="AR67" s="513">
        <f t="shared" si="74"/>
        <v>0</v>
      </c>
      <c r="AS67" s="513">
        <f t="shared" si="74"/>
        <v>0</v>
      </c>
    </row>
    <row r="68" spans="1:45">
      <c r="A68" s="105"/>
      <c r="B68" s="679"/>
      <c r="C68" s="515" t="s">
        <v>133</v>
      </c>
      <c r="D68" s="523"/>
      <c r="E68" s="523"/>
      <c r="F68" s="523"/>
      <c r="G68" s="523"/>
      <c r="H68" s="523"/>
      <c r="I68" s="523"/>
      <c r="J68" s="523"/>
      <c r="K68" s="523"/>
      <c r="L68" s="523"/>
      <c r="M68" s="523"/>
      <c r="N68" s="523"/>
      <c r="O68" s="523"/>
      <c r="Q68" s="679"/>
      <c r="R68" s="515" t="s">
        <v>133</v>
      </c>
      <c r="S68" s="513">
        <f t="shared" ref="S68:AD68" si="75">S53+S56+S59+S62+S65</f>
        <v>156497</v>
      </c>
      <c r="T68" s="513">
        <f t="shared" si="75"/>
        <v>156964</v>
      </c>
      <c r="U68" s="513">
        <f t="shared" si="75"/>
        <v>157363</v>
      </c>
      <c r="V68" s="513">
        <f t="shared" si="75"/>
        <v>157791</v>
      </c>
      <c r="W68" s="513">
        <f t="shared" si="75"/>
        <v>158152</v>
      </c>
      <c r="X68" s="513">
        <f t="shared" si="75"/>
        <v>158560</v>
      </c>
      <c r="Y68" s="513">
        <f t="shared" si="75"/>
        <v>158929</v>
      </c>
      <c r="Z68" s="513">
        <f t="shared" si="75"/>
        <v>159292</v>
      </c>
      <c r="AA68" s="513">
        <f t="shared" si="75"/>
        <v>159760</v>
      </c>
      <c r="AB68" s="513">
        <f t="shared" si="75"/>
        <v>0</v>
      </c>
      <c r="AC68" s="513">
        <f t="shared" si="75"/>
        <v>0</v>
      </c>
      <c r="AD68" s="513">
        <f t="shared" si="75"/>
        <v>0</v>
      </c>
      <c r="AF68" s="679"/>
      <c r="AG68" s="515" t="s">
        <v>133</v>
      </c>
      <c r="AH68" s="513">
        <f t="shared" ref="AH68:AS68" si="76">S68</f>
        <v>156497</v>
      </c>
      <c r="AI68" s="513">
        <f t="shared" si="76"/>
        <v>156964</v>
      </c>
      <c r="AJ68" s="513">
        <f t="shared" si="76"/>
        <v>157363</v>
      </c>
      <c r="AK68" s="513">
        <f t="shared" si="76"/>
        <v>157791</v>
      </c>
      <c r="AL68" s="513">
        <f t="shared" si="76"/>
        <v>158152</v>
      </c>
      <c r="AM68" s="513">
        <f t="shared" si="76"/>
        <v>158560</v>
      </c>
      <c r="AN68" s="513">
        <f t="shared" si="76"/>
        <v>158929</v>
      </c>
      <c r="AO68" s="513">
        <f t="shared" si="76"/>
        <v>159292</v>
      </c>
      <c r="AP68" s="513">
        <f t="shared" si="76"/>
        <v>159760</v>
      </c>
      <c r="AQ68" s="513">
        <f t="shared" si="76"/>
        <v>0</v>
      </c>
      <c r="AR68" s="513">
        <f t="shared" si="76"/>
        <v>0</v>
      </c>
      <c r="AS68" s="513">
        <f t="shared" si="76"/>
        <v>0</v>
      </c>
    </row>
    <row r="69" spans="1:45">
      <c r="A69" s="105"/>
      <c r="B69" s="679"/>
      <c r="C69" s="516" t="s">
        <v>137</v>
      </c>
      <c r="D69" s="519">
        <v>0.25</v>
      </c>
      <c r="E69" s="519">
        <v>0.49</v>
      </c>
      <c r="F69" s="519">
        <v>0.74</v>
      </c>
      <c r="G69" s="519">
        <v>0.99</v>
      </c>
      <c r="H69" s="519">
        <v>1.24</v>
      </c>
      <c r="I69" s="519">
        <v>1.48</v>
      </c>
      <c r="J69" s="519">
        <v>1.73</v>
      </c>
      <c r="K69" s="519">
        <v>1.98</v>
      </c>
      <c r="L69" s="519">
        <v>2.2200000000000002</v>
      </c>
      <c r="M69" s="519">
        <v>2.4700000000000002</v>
      </c>
      <c r="N69" s="519">
        <v>2.72</v>
      </c>
      <c r="O69" s="519">
        <v>2.97</v>
      </c>
      <c r="Q69" s="679"/>
      <c r="R69" s="516" t="s">
        <v>137</v>
      </c>
      <c r="S69" s="518">
        <f t="shared" ref="S69:AD69" si="77">IF(S67=0,0,S67/S68)</f>
        <v>0.14652677048122328</v>
      </c>
      <c r="T69" s="518">
        <f t="shared" si="77"/>
        <v>2.4470579241099868E-2</v>
      </c>
      <c r="U69" s="518">
        <f t="shared" si="77"/>
        <v>0.11310790973735885</v>
      </c>
      <c r="V69" s="518">
        <f t="shared" si="77"/>
        <v>0.20023955738920471</v>
      </c>
      <c r="W69" s="518">
        <f t="shared" si="77"/>
        <v>0.4741830643937478</v>
      </c>
      <c r="X69" s="519">
        <f t="shared" si="77"/>
        <v>0.34248864783047428</v>
      </c>
      <c r="Y69" s="519">
        <f t="shared" si="77"/>
        <v>0.26801905253289204</v>
      </c>
      <c r="Z69" s="517">
        <f t="shared" si="77"/>
        <v>3.2807673957260877E-2</v>
      </c>
      <c r="AA69" s="517">
        <f t="shared" si="77"/>
        <v>0.16318853279919879</v>
      </c>
      <c r="AB69" s="519">
        <f t="shared" si="77"/>
        <v>0</v>
      </c>
      <c r="AC69" s="517">
        <f t="shared" si="77"/>
        <v>0</v>
      </c>
      <c r="AD69" s="517">
        <f t="shared" si="77"/>
        <v>0</v>
      </c>
      <c r="AF69" s="679"/>
      <c r="AG69" s="516" t="s">
        <v>138</v>
      </c>
      <c r="AH69" s="518">
        <f t="shared" ref="AH69:AS69" si="78">IF(AH67=0,0,AH67/AH68)</f>
        <v>0.14652677048122328</v>
      </c>
      <c r="AI69" s="518">
        <f t="shared" si="78"/>
        <v>0.17056140261461228</v>
      </c>
      <c r="AJ69" s="518">
        <f t="shared" si="78"/>
        <v>0.28323684728938825</v>
      </c>
      <c r="AK69" s="518">
        <f t="shared" si="78"/>
        <v>0.48270813924748562</v>
      </c>
      <c r="AL69" s="518">
        <f t="shared" si="78"/>
        <v>0.95578936719105667</v>
      </c>
      <c r="AM69" s="518">
        <f t="shared" si="78"/>
        <v>1.2958186175580222</v>
      </c>
      <c r="AN69" s="518">
        <f t="shared" si="78"/>
        <v>1.5608290494497543</v>
      </c>
      <c r="AO69" s="518">
        <f t="shared" si="78"/>
        <v>1.5900798533510785</v>
      </c>
      <c r="AP69" s="518">
        <f t="shared" si="78"/>
        <v>1.7486104156234352</v>
      </c>
      <c r="AQ69" s="518">
        <f t="shared" si="78"/>
        <v>0</v>
      </c>
      <c r="AR69" s="518">
        <f t="shared" si="78"/>
        <v>0</v>
      </c>
      <c r="AS69" s="518">
        <f t="shared" si="78"/>
        <v>0</v>
      </c>
    </row>
    <row r="70" spans="1:45" customFormat="1">
      <c r="A70" s="105"/>
      <c r="B70" s="125"/>
      <c r="C70" s="294"/>
      <c r="D70" s="164"/>
      <c r="E70" s="164"/>
      <c r="F70" s="164"/>
      <c r="G70" s="164"/>
      <c r="H70" s="164"/>
      <c r="I70" s="164"/>
      <c r="J70" s="164"/>
      <c r="K70" s="164"/>
      <c r="L70" s="164"/>
      <c r="M70" s="164"/>
      <c r="N70" s="164"/>
      <c r="O70" s="164"/>
      <c r="Q70" s="125"/>
      <c r="R70" s="294"/>
      <c r="S70" s="164"/>
      <c r="T70" s="164"/>
      <c r="U70" s="164"/>
      <c r="V70" s="164"/>
      <c r="W70" s="164"/>
      <c r="X70" s="164"/>
      <c r="Y70" s="164"/>
      <c r="Z70" s="164"/>
      <c r="AA70" s="164"/>
      <c r="AB70" s="295"/>
      <c r="AC70" s="164"/>
      <c r="AD70" s="164"/>
      <c r="AF70" s="125"/>
      <c r="AG70" s="294"/>
      <c r="AH70" s="296"/>
      <c r="AI70" s="296"/>
      <c r="AJ70" s="296"/>
      <c r="AK70" s="296"/>
      <c r="AL70" s="296"/>
      <c r="AM70" s="296"/>
      <c r="AN70" s="296"/>
      <c r="AO70" s="296"/>
      <c r="AP70" s="296"/>
      <c r="AQ70" s="296"/>
      <c r="AR70" s="296"/>
      <c r="AS70" s="296"/>
    </row>
    <row r="71" spans="1:45">
      <c r="A71" s="105"/>
      <c r="B71" t="s">
        <v>139</v>
      </c>
      <c r="Q71" t="str">
        <f>B71</f>
        <v>ENS DISTRIBUSI</v>
      </c>
      <c r="AF71" t="str">
        <f>B71</f>
        <v>ENS DISTRIBUSI</v>
      </c>
    </row>
    <row r="72" spans="1:45">
      <c r="A72" s="105"/>
      <c r="B72" t="s">
        <v>100</v>
      </c>
      <c r="Q72" t="s">
        <v>126</v>
      </c>
      <c r="AF72" t="s">
        <v>127</v>
      </c>
    </row>
    <row r="73" spans="1:45">
      <c r="A73" s="105"/>
      <c r="B73" s="681" t="s">
        <v>72</v>
      </c>
      <c r="C73" s="682"/>
      <c r="D73" s="638" t="s">
        <v>74</v>
      </c>
      <c r="E73" s="638" t="s">
        <v>75</v>
      </c>
      <c r="F73" s="638" t="s">
        <v>76</v>
      </c>
      <c r="G73" s="638" t="s">
        <v>77</v>
      </c>
      <c r="H73" s="638" t="s">
        <v>78</v>
      </c>
      <c r="I73" s="638" t="s">
        <v>79</v>
      </c>
      <c r="J73" s="638" t="s">
        <v>80</v>
      </c>
      <c r="K73" s="638" t="s">
        <v>81</v>
      </c>
      <c r="L73" s="638" t="s">
        <v>82</v>
      </c>
      <c r="M73" s="638" t="s">
        <v>83</v>
      </c>
      <c r="N73" s="638" t="s">
        <v>84</v>
      </c>
      <c r="O73" s="638" t="s">
        <v>85</v>
      </c>
      <c r="Q73" s="681" t="s">
        <v>72</v>
      </c>
      <c r="R73" s="682"/>
      <c r="S73" s="638" t="s">
        <v>74</v>
      </c>
      <c r="T73" s="638" t="s">
        <v>75</v>
      </c>
      <c r="U73" s="638" t="s">
        <v>76</v>
      </c>
      <c r="V73" s="638" t="s">
        <v>77</v>
      </c>
      <c r="W73" s="638" t="s">
        <v>78</v>
      </c>
      <c r="X73" s="638" t="s">
        <v>79</v>
      </c>
      <c r="Y73" s="638" t="s">
        <v>80</v>
      </c>
      <c r="Z73" s="638" t="s">
        <v>81</v>
      </c>
      <c r="AA73" s="638" t="s">
        <v>82</v>
      </c>
      <c r="AB73" s="638" t="s">
        <v>83</v>
      </c>
      <c r="AC73" s="638" t="s">
        <v>84</v>
      </c>
      <c r="AD73" s="638" t="s">
        <v>85</v>
      </c>
      <c r="AF73" s="681" t="s">
        <v>72</v>
      </c>
      <c r="AG73" s="682"/>
      <c r="AH73" s="638" t="s">
        <v>74</v>
      </c>
      <c r="AI73" s="638" t="s">
        <v>75</v>
      </c>
      <c r="AJ73" s="638" t="s">
        <v>76</v>
      </c>
      <c r="AK73" s="638" t="s">
        <v>77</v>
      </c>
      <c r="AL73" s="638" t="s">
        <v>78</v>
      </c>
      <c r="AM73" s="638" t="s">
        <v>79</v>
      </c>
      <c r="AN73" s="638" t="s">
        <v>80</v>
      </c>
      <c r="AO73" s="638" t="s">
        <v>81</v>
      </c>
      <c r="AP73" s="638" t="s">
        <v>82</v>
      </c>
      <c r="AQ73" s="638" t="s">
        <v>83</v>
      </c>
      <c r="AR73" s="638" t="s">
        <v>84</v>
      </c>
      <c r="AS73" s="638" t="s">
        <v>85</v>
      </c>
    </row>
    <row r="74" spans="1:45">
      <c r="A74" s="105"/>
      <c r="B74" s="636" t="s">
        <v>128</v>
      </c>
      <c r="C74" s="489" t="s">
        <v>140</v>
      </c>
      <c r="D74" s="525">
        <v>4.04</v>
      </c>
      <c r="E74" s="525">
        <v>8.08</v>
      </c>
      <c r="F74" s="525">
        <v>12.12</v>
      </c>
      <c r="G74" s="525">
        <v>16.16</v>
      </c>
      <c r="H74" s="525">
        <v>20.190000000000001</v>
      </c>
      <c r="I74" s="525">
        <v>24.23</v>
      </c>
      <c r="J74" s="525">
        <v>28.27</v>
      </c>
      <c r="K74" s="525">
        <v>32.31</v>
      </c>
      <c r="L74" s="525">
        <v>36.35</v>
      </c>
      <c r="M74" s="525">
        <v>40.39</v>
      </c>
      <c r="N74" s="525">
        <v>44.43</v>
      </c>
      <c r="O74" s="525">
        <v>48.47</v>
      </c>
      <c r="Q74" s="636" t="s">
        <v>128</v>
      </c>
      <c r="R74" s="489" t="s">
        <v>140</v>
      </c>
      <c r="S74" s="526">
        <f>1709/1000</f>
        <v>1.7090000000000001</v>
      </c>
      <c r="T74" s="526">
        <f>482/1000</f>
        <v>0.48199999999999998</v>
      </c>
      <c r="U74" s="526">
        <f>228/1000</f>
        <v>0.22800000000000001</v>
      </c>
      <c r="V74" s="526">
        <v>2.8260000000000001</v>
      </c>
      <c r="W74" s="270">
        <v>6.7009999999999996</v>
      </c>
      <c r="X74" s="513">
        <v>5.7050000000000001</v>
      </c>
      <c r="Y74" s="513">
        <v>1.224</v>
      </c>
      <c r="Z74" s="513">
        <v>1.3779999999999999</v>
      </c>
      <c r="AA74" s="513">
        <v>2.29</v>
      </c>
      <c r="AB74" s="513"/>
      <c r="AC74" s="513"/>
      <c r="AD74" s="489"/>
      <c r="AF74" s="636" t="s">
        <v>128</v>
      </c>
      <c r="AG74" s="489" t="s">
        <v>140</v>
      </c>
      <c r="AH74" s="513">
        <f t="shared" ref="AH74:AH79" si="79">IF(S74=0,0,S74)</f>
        <v>1.7090000000000001</v>
      </c>
      <c r="AI74" s="513">
        <f t="shared" ref="AI74:AS79" si="80">IF(T74=0,0,AH74+T74)</f>
        <v>2.1909999999999998</v>
      </c>
      <c r="AJ74" s="513">
        <f t="shared" si="80"/>
        <v>2.419</v>
      </c>
      <c r="AK74" s="513">
        <f t="shared" si="80"/>
        <v>5.2450000000000001</v>
      </c>
      <c r="AL74" s="513">
        <f t="shared" si="80"/>
        <v>11.946</v>
      </c>
      <c r="AM74" s="526">
        <f t="shared" si="80"/>
        <v>17.651</v>
      </c>
      <c r="AN74" s="513">
        <f t="shared" si="80"/>
        <v>18.875</v>
      </c>
      <c r="AO74" s="513">
        <f t="shared" si="80"/>
        <v>20.253</v>
      </c>
      <c r="AP74" s="513">
        <f t="shared" si="80"/>
        <v>22.542999999999999</v>
      </c>
      <c r="AQ74" s="513">
        <f t="shared" si="80"/>
        <v>0</v>
      </c>
      <c r="AR74" s="513">
        <f t="shared" si="80"/>
        <v>0</v>
      </c>
      <c r="AS74" s="513">
        <f t="shared" si="80"/>
        <v>0</v>
      </c>
    </row>
    <row r="75" spans="1:45">
      <c r="A75" s="105"/>
      <c r="B75" s="632" t="s">
        <v>87</v>
      </c>
      <c r="C75" s="489" t="s">
        <v>140</v>
      </c>
      <c r="D75" s="525">
        <v>2.4500000000000002</v>
      </c>
      <c r="E75" s="525">
        <v>4.9000000000000004</v>
      </c>
      <c r="F75" s="525">
        <v>7.35</v>
      </c>
      <c r="G75" s="525">
        <v>9.8000000000000007</v>
      </c>
      <c r="H75" s="525">
        <v>12.25</v>
      </c>
      <c r="I75" s="525">
        <v>14.69</v>
      </c>
      <c r="J75" s="525">
        <v>17.14</v>
      </c>
      <c r="K75" s="525">
        <v>19.59</v>
      </c>
      <c r="L75" s="525">
        <v>22.04</v>
      </c>
      <c r="M75" s="525">
        <v>24.49</v>
      </c>
      <c r="N75" s="525">
        <v>26.94</v>
      </c>
      <c r="O75" s="525">
        <v>29.39</v>
      </c>
      <c r="Q75" s="632" t="s">
        <v>87</v>
      </c>
      <c r="R75" s="489" t="s">
        <v>140</v>
      </c>
      <c r="S75" s="526">
        <f>2703/1000</f>
        <v>2.7029999999999998</v>
      </c>
      <c r="T75" s="526">
        <f>652/1000</f>
        <v>0.65200000000000002</v>
      </c>
      <c r="U75" s="526">
        <f>70/1000</f>
        <v>7.0000000000000007E-2</v>
      </c>
      <c r="V75" s="526">
        <v>1.2769999999999999</v>
      </c>
      <c r="W75" s="527">
        <v>3.1419999999999999</v>
      </c>
      <c r="X75" s="513">
        <v>2.8359999999999999</v>
      </c>
      <c r="Y75" s="513">
        <v>1.8260000000000001</v>
      </c>
      <c r="Z75" s="513">
        <v>2.1999999999999999E-2</v>
      </c>
      <c r="AA75" s="513">
        <v>1.4830000000000001</v>
      </c>
      <c r="AB75" s="513"/>
      <c r="AC75" s="513"/>
      <c r="AD75" s="513"/>
      <c r="AF75" s="632" t="s">
        <v>87</v>
      </c>
      <c r="AG75" s="489" t="s">
        <v>140</v>
      </c>
      <c r="AH75" s="513">
        <f t="shared" si="79"/>
        <v>2.7029999999999998</v>
      </c>
      <c r="AI75" s="513">
        <f t="shared" si="80"/>
        <v>3.355</v>
      </c>
      <c r="AJ75" s="513">
        <f>IF(U74=0,0,AI75+U74)</f>
        <v>3.5830000000000002</v>
      </c>
      <c r="AK75" s="513">
        <f t="shared" si="80"/>
        <v>4.8600000000000003</v>
      </c>
      <c r="AL75" s="513">
        <f t="shared" si="80"/>
        <v>8.0020000000000007</v>
      </c>
      <c r="AM75" s="523">
        <f t="shared" si="80"/>
        <v>10.838000000000001</v>
      </c>
      <c r="AN75" s="513">
        <f t="shared" si="80"/>
        <v>12.664000000000001</v>
      </c>
      <c r="AO75" s="513">
        <f t="shared" si="80"/>
        <v>12.686000000000002</v>
      </c>
      <c r="AP75" s="513">
        <f t="shared" si="80"/>
        <v>14.169000000000002</v>
      </c>
      <c r="AQ75" s="513">
        <f t="shared" si="80"/>
        <v>0</v>
      </c>
      <c r="AR75" s="513">
        <f t="shared" si="80"/>
        <v>0</v>
      </c>
      <c r="AS75" s="513">
        <f t="shared" si="80"/>
        <v>0</v>
      </c>
    </row>
    <row r="76" spans="1:45">
      <c r="A76" s="105"/>
      <c r="B76" s="632" t="s">
        <v>88</v>
      </c>
      <c r="C76" s="489" t="s">
        <v>140</v>
      </c>
      <c r="D76" s="525">
        <v>0.59</v>
      </c>
      <c r="E76" s="525">
        <v>1.18</v>
      </c>
      <c r="F76" s="525">
        <v>1.77</v>
      </c>
      <c r="G76" s="525">
        <v>2.36</v>
      </c>
      <c r="H76" s="525">
        <v>2.95</v>
      </c>
      <c r="I76" s="525">
        <v>3.54</v>
      </c>
      <c r="J76" s="525">
        <v>4.13</v>
      </c>
      <c r="K76" s="525">
        <v>4.72</v>
      </c>
      <c r="L76" s="525">
        <v>5.31</v>
      </c>
      <c r="M76" s="525">
        <v>5.9</v>
      </c>
      <c r="N76" s="525">
        <v>6.49</v>
      </c>
      <c r="O76" s="525">
        <v>7.08</v>
      </c>
      <c r="Q76" s="632" t="s">
        <v>88</v>
      </c>
      <c r="R76" s="489" t="s">
        <v>140</v>
      </c>
      <c r="S76" s="526">
        <f>796/1000</f>
        <v>0.79600000000000004</v>
      </c>
      <c r="T76" s="526">
        <f>6/1000</f>
        <v>6.0000000000000001E-3</v>
      </c>
      <c r="U76" s="526">
        <f>253/1000</f>
        <v>0.253</v>
      </c>
      <c r="V76" s="526">
        <v>0.83899999999999997</v>
      </c>
      <c r="W76" s="527">
        <v>0.64800000000000002</v>
      </c>
      <c r="X76" s="513">
        <v>0.496</v>
      </c>
      <c r="Y76" s="513">
        <v>0.61499999999999999</v>
      </c>
      <c r="Z76" s="513">
        <v>1.2999999999999999E-2</v>
      </c>
      <c r="AA76" s="513">
        <v>0.495</v>
      </c>
      <c r="AB76" s="513"/>
      <c r="AC76" s="513"/>
      <c r="AD76" s="513"/>
      <c r="AF76" s="632" t="s">
        <v>88</v>
      </c>
      <c r="AG76" s="489" t="s">
        <v>140</v>
      </c>
      <c r="AH76" s="513">
        <f t="shared" si="79"/>
        <v>0.79600000000000004</v>
      </c>
      <c r="AI76" s="513">
        <f t="shared" si="80"/>
        <v>0.80200000000000005</v>
      </c>
      <c r="AJ76" s="513">
        <f t="shared" si="80"/>
        <v>1.0550000000000002</v>
      </c>
      <c r="AK76" s="513">
        <f t="shared" si="80"/>
        <v>1.8940000000000001</v>
      </c>
      <c r="AL76" s="513">
        <f t="shared" si="80"/>
        <v>2.5420000000000003</v>
      </c>
      <c r="AM76" s="526">
        <f t="shared" si="80"/>
        <v>3.0380000000000003</v>
      </c>
      <c r="AN76" s="513">
        <f t="shared" si="80"/>
        <v>3.6530000000000005</v>
      </c>
      <c r="AO76" s="513">
        <f t="shared" si="80"/>
        <v>3.6660000000000004</v>
      </c>
      <c r="AP76" s="513">
        <f t="shared" si="80"/>
        <v>4.1610000000000005</v>
      </c>
      <c r="AQ76" s="513">
        <f t="shared" si="80"/>
        <v>0</v>
      </c>
      <c r="AR76" s="513">
        <f t="shared" si="80"/>
        <v>0</v>
      </c>
      <c r="AS76" s="513">
        <f t="shared" si="80"/>
        <v>0</v>
      </c>
    </row>
    <row r="77" spans="1:45">
      <c r="A77" s="105"/>
      <c r="B77" s="632" t="s">
        <v>121</v>
      </c>
      <c r="C77" s="489" t="s">
        <v>140</v>
      </c>
      <c r="D77" s="525">
        <v>0.86</v>
      </c>
      <c r="E77" s="525">
        <v>1.72</v>
      </c>
      <c r="F77" s="525">
        <v>2.58</v>
      </c>
      <c r="G77" s="525">
        <v>3.45</v>
      </c>
      <c r="H77" s="525">
        <v>4.3099999999999996</v>
      </c>
      <c r="I77" s="525">
        <v>5.17</v>
      </c>
      <c r="J77" s="525">
        <v>6.03</v>
      </c>
      <c r="K77" s="525">
        <v>6.89</v>
      </c>
      <c r="L77" s="525">
        <v>7.75</v>
      </c>
      <c r="M77" s="525">
        <v>8.61</v>
      </c>
      <c r="N77" s="525">
        <v>9.4700000000000006</v>
      </c>
      <c r="O77" s="525">
        <v>10.34</v>
      </c>
      <c r="Q77" s="632" t="s">
        <v>121</v>
      </c>
      <c r="R77" s="489" t="s">
        <v>140</v>
      </c>
      <c r="S77" s="526">
        <f>154/1000</f>
        <v>0.154</v>
      </c>
      <c r="T77" s="526">
        <f>21/1000</f>
        <v>2.1000000000000001E-2</v>
      </c>
      <c r="U77" s="526">
        <f>67/1000</f>
        <v>6.7000000000000004E-2</v>
      </c>
      <c r="V77" s="526">
        <v>0.64500000000000002</v>
      </c>
      <c r="W77" s="527">
        <v>2.2109999999999999</v>
      </c>
      <c r="X77" s="513">
        <v>1.03</v>
      </c>
      <c r="Y77" s="513">
        <v>0.86499999999999999</v>
      </c>
      <c r="Z77" s="513">
        <v>8.9999999999999993E-3</v>
      </c>
      <c r="AA77" s="513">
        <v>0.26200000000000001</v>
      </c>
      <c r="AB77" s="513"/>
      <c r="AC77" s="513"/>
      <c r="AD77" s="513"/>
      <c r="AF77" s="632" t="s">
        <v>121</v>
      </c>
      <c r="AG77" s="489" t="s">
        <v>140</v>
      </c>
      <c r="AH77" s="513">
        <f t="shared" si="79"/>
        <v>0.154</v>
      </c>
      <c r="AI77" s="513">
        <f t="shared" si="80"/>
        <v>0.17499999999999999</v>
      </c>
      <c r="AJ77" s="513">
        <f t="shared" si="80"/>
        <v>0.24199999999999999</v>
      </c>
      <c r="AK77" s="513">
        <f t="shared" si="80"/>
        <v>0.88700000000000001</v>
      </c>
      <c r="AL77" s="513">
        <f t="shared" si="80"/>
        <v>3.0979999999999999</v>
      </c>
      <c r="AM77" s="526">
        <f t="shared" si="80"/>
        <v>4.1280000000000001</v>
      </c>
      <c r="AN77" s="513">
        <f t="shared" si="80"/>
        <v>4.9930000000000003</v>
      </c>
      <c r="AO77" s="513">
        <f t="shared" si="80"/>
        <v>5.0020000000000007</v>
      </c>
      <c r="AP77" s="513">
        <f t="shared" si="80"/>
        <v>5.2640000000000011</v>
      </c>
      <c r="AQ77" s="513">
        <f t="shared" si="80"/>
        <v>0</v>
      </c>
      <c r="AR77" s="513">
        <f t="shared" si="80"/>
        <v>0</v>
      </c>
      <c r="AS77" s="513">
        <f t="shared" si="80"/>
        <v>0</v>
      </c>
    </row>
    <row r="78" spans="1:45">
      <c r="A78" s="105"/>
      <c r="B78" s="632" t="s">
        <v>89</v>
      </c>
      <c r="C78" s="489" t="s">
        <v>140</v>
      </c>
      <c r="D78" s="525">
        <v>1.05</v>
      </c>
      <c r="E78" s="525">
        <v>2.1</v>
      </c>
      <c r="F78" s="525">
        <v>3.15</v>
      </c>
      <c r="G78" s="525">
        <v>4.2</v>
      </c>
      <c r="H78" s="525">
        <v>5.25</v>
      </c>
      <c r="I78" s="525">
        <v>6.3</v>
      </c>
      <c r="J78" s="525">
        <v>7.35</v>
      </c>
      <c r="K78" s="525">
        <v>8.4</v>
      </c>
      <c r="L78" s="525">
        <v>9.4499999999999993</v>
      </c>
      <c r="M78" s="525">
        <v>10.5</v>
      </c>
      <c r="N78" s="525">
        <v>11.55</v>
      </c>
      <c r="O78" s="525">
        <v>12.6</v>
      </c>
      <c r="Q78" s="632" t="s">
        <v>89</v>
      </c>
      <c r="R78" s="489" t="s">
        <v>140</v>
      </c>
      <c r="S78" s="526">
        <f>82/1000</f>
        <v>8.2000000000000003E-2</v>
      </c>
      <c r="T78" s="526">
        <f>24/1000</f>
        <v>2.4E-2</v>
      </c>
      <c r="U78" s="526">
        <f>113/1000</f>
        <v>0.113</v>
      </c>
      <c r="V78" s="526">
        <v>8.6999999999999994E-2</v>
      </c>
      <c r="W78" s="527">
        <v>1.6559999999999999</v>
      </c>
      <c r="X78" s="513">
        <v>0.46200000000000002</v>
      </c>
      <c r="Y78" s="513">
        <v>1.7889999999999999</v>
      </c>
      <c r="Z78" s="513">
        <v>0.58599999999999997</v>
      </c>
      <c r="AA78" s="513">
        <v>4.0000000000000001E-3</v>
      </c>
      <c r="AB78" s="513"/>
      <c r="AC78" s="513"/>
      <c r="AD78" s="513"/>
      <c r="AF78" s="632" t="s">
        <v>89</v>
      </c>
      <c r="AG78" s="489" t="s">
        <v>140</v>
      </c>
      <c r="AH78" s="513">
        <f t="shared" si="79"/>
        <v>8.2000000000000003E-2</v>
      </c>
      <c r="AI78" s="513">
        <f t="shared" si="80"/>
        <v>0.10600000000000001</v>
      </c>
      <c r="AJ78" s="513">
        <f t="shared" si="80"/>
        <v>0.21900000000000003</v>
      </c>
      <c r="AK78" s="513">
        <f t="shared" si="80"/>
        <v>0.30600000000000005</v>
      </c>
      <c r="AL78" s="513">
        <f t="shared" si="80"/>
        <v>1.962</v>
      </c>
      <c r="AM78" s="526">
        <f t="shared" si="80"/>
        <v>2.4239999999999999</v>
      </c>
      <c r="AN78" s="513">
        <f t="shared" si="80"/>
        <v>4.2130000000000001</v>
      </c>
      <c r="AO78" s="513">
        <f t="shared" si="80"/>
        <v>4.7990000000000004</v>
      </c>
      <c r="AP78" s="513">
        <f t="shared" si="80"/>
        <v>4.8029999999999999</v>
      </c>
      <c r="AQ78" s="513">
        <f t="shared" si="80"/>
        <v>0</v>
      </c>
      <c r="AR78" s="513">
        <f t="shared" si="80"/>
        <v>0</v>
      </c>
      <c r="AS78" s="513">
        <f t="shared" si="80"/>
        <v>0</v>
      </c>
    </row>
    <row r="79" spans="1:45">
      <c r="A79" s="105"/>
      <c r="B79" s="528" t="s">
        <v>90</v>
      </c>
      <c r="C79" s="489" t="s">
        <v>140</v>
      </c>
      <c r="D79" s="525">
        <v>8.99</v>
      </c>
      <c r="E79" s="525">
        <v>17.98</v>
      </c>
      <c r="F79" s="525">
        <v>26.97</v>
      </c>
      <c r="G79" s="525">
        <v>35.96</v>
      </c>
      <c r="H79" s="525">
        <v>44.94</v>
      </c>
      <c r="I79" s="525">
        <v>53.93</v>
      </c>
      <c r="J79" s="525">
        <v>62.92</v>
      </c>
      <c r="K79" s="525">
        <v>71.91</v>
      </c>
      <c r="L79" s="525">
        <v>80.900000000000006</v>
      </c>
      <c r="M79" s="525">
        <v>89.89</v>
      </c>
      <c r="N79" s="525">
        <v>98.88</v>
      </c>
      <c r="O79" s="525">
        <v>107.87</v>
      </c>
      <c r="Q79" s="632" t="s">
        <v>90</v>
      </c>
      <c r="R79" s="489" t="s">
        <v>140</v>
      </c>
      <c r="S79" s="513">
        <f t="shared" ref="S79:AD79" si="81">SUM(S74:S78)</f>
        <v>5.444</v>
      </c>
      <c r="T79" s="526">
        <f t="shared" si="81"/>
        <v>1.1849999999999998</v>
      </c>
      <c r="U79" s="526">
        <f>SUM(U74:U78)</f>
        <v>0.73100000000000009</v>
      </c>
      <c r="V79" s="526">
        <f t="shared" si="81"/>
        <v>5.6739999999999995</v>
      </c>
      <c r="W79" s="526">
        <f t="shared" si="81"/>
        <v>14.358000000000001</v>
      </c>
      <c r="X79" s="526">
        <f t="shared" si="81"/>
        <v>10.529</v>
      </c>
      <c r="Y79" s="526">
        <f t="shared" si="81"/>
        <v>6.319</v>
      </c>
      <c r="Z79" s="526">
        <f t="shared" si="81"/>
        <v>2.0079999999999996</v>
      </c>
      <c r="AA79" s="526">
        <f t="shared" si="81"/>
        <v>4.5339999999999989</v>
      </c>
      <c r="AB79" s="526">
        <f t="shared" si="81"/>
        <v>0</v>
      </c>
      <c r="AC79" s="526">
        <f t="shared" si="81"/>
        <v>0</v>
      </c>
      <c r="AD79" s="526">
        <f t="shared" si="81"/>
        <v>0</v>
      </c>
      <c r="AF79" s="632" t="s">
        <v>90</v>
      </c>
      <c r="AG79" s="489" t="s">
        <v>140</v>
      </c>
      <c r="AH79" s="513">
        <f t="shared" si="79"/>
        <v>5.444</v>
      </c>
      <c r="AI79" s="513">
        <f t="shared" si="80"/>
        <v>6.6289999999999996</v>
      </c>
      <c r="AJ79" s="513">
        <f t="shared" si="80"/>
        <v>7.3599999999999994</v>
      </c>
      <c r="AK79" s="513">
        <f t="shared" si="80"/>
        <v>13.033999999999999</v>
      </c>
      <c r="AL79" s="513">
        <f t="shared" si="80"/>
        <v>27.391999999999999</v>
      </c>
      <c r="AM79" s="513">
        <f t="shared" si="80"/>
        <v>37.920999999999999</v>
      </c>
      <c r="AN79" s="513">
        <f t="shared" si="80"/>
        <v>44.24</v>
      </c>
      <c r="AO79" s="526">
        <f t="shared" si="80"/>
        <v>46.248000000000005</v>
      </c>
      <c r="AP79" s="513">
        <f t="shared" si="80"/>
        <v>50.782000000000004</v>
      </c>
      <c r="AQ79" s="513">
        <f t="shared" si="80"/>
        <v>0</v>
      </c>
      <c r="AR79" s="513">
        <f t="shared" si="80"/>
        <v>0</v>
      </c>
      <c r="AS79" s="513">
        <f t="shared" si="80"/>
        <v>0</v>
      </c>
    </row>
    <row r="80" spans="1:45" customFormat="1">
      <c r="A80" s="105"/>
      <c r="B80" s="125"/>
      <c r="C80" s="294"/>
      <c r="D80" s="164"/>
      <c r="E80" s="164"/>
      <c r="F80" s="164"/>
      <c r="G80" s="164"/>
      <c r="H80" s="164"/>
      <c r="I80" s="164"/>
      <c r="J80" s="164"/>
      <c r="K80" s="164"/>
      <c r="L80" s="164"/>
      <c r="M80" s="164"/>
      <c r="N80" s="164"/>
      <c r="O80" s="164"/>
      <c r="Q80" s="125"/>
      <c r="R80" s="294"/>
      <c r="S80" s="164"/>
      <c r="T80" s="164"/>
      <c r="U80" s="164"/>
      <c r="V80" s="164"/>
      <c r="W80" s="164"/>
      <c r="X80" s="164"/>
      <c r="Y80" s="164"/>
      <c r="Z80" s="164"/>
      <c r="AA80" s="164"/>
      <c r="AB80" s="295"/>
      <c r="AC80" s="164"/>
      <c r="AD80" s="164"/>
      <c r="AF80" s="125"/>
      <c r="AG80" s="294"/>
      <c r="AH80" s="296"/>
      <c r="AI80" s="296"/>
      <c r="AJ80" s="296"/>
      <c r="AK80" s="296"/>
      <c r="AL80" s="296"/>
      <c r="AM80" s="296"/>
      <c r="AN80" s="296"/>
      <c r="AO80" s="296"/>
      <c r="AP80" s="296"/>
      <c r="AQ80" s="296"/>
      <c r="AR80" s="296"/>
      <c r="AS80" s="296"/>
    </row>
    <row r="81" spans="1:47">
      <c r="A81" s="105"/>
      <c r="B81" s="125"/>
      <c r="C81" s="294"/>
      <c r="D81" s="164"/>
      <c r="E81" s="164"/>
      <c r="F81" s="164"/>
      <c r="G81" s="164"/>
      <c r="H81" s="164"/>
      <c r="I81" s="164"/>
      <c r="J81" s="164"/>
      <c r="K81" s="164"/>
      <c r="L81" s="164"/>
      <c r="M81" s="164"/>
      <c r="N81" s="164"/>
      <c r="O81" s="164"/>
      <c r="Q81" s="125"/>
      <c r="R81" s="294"/>
      <c r="S81" s="164"/>
      <c r="T81" s="164"/>
      <c r="U81" s="164"/>
      <c r="V81" s="164"/>
      <c r="W81" s="164"/>
      <c r="X81" s="164"/>
      <c r="Y81" s="164"/>
      <c r="Z81" s="164"/>
      <c r="AA81" s="164"/>
      <c r="AB81" s="164"/>
      <c r="AC81" s="164"/>
      <c r="AD81" s="164"/>
      <c r="AF81" s="125"/>
      <c r="AG81" s="294"/>
      <c r="AH81" s="296"/>
      <c r="AI81" s="296"/>
      <c r="AJ81" s="296"/>
      <c r="AK81" s="296"/>
      <c r="AL81" s="296"/>
      <c r="AM81" s="296"/>
      <c r="AN81" s="296"/>
      <c r="AO81" s="296"/>
      <c r="AP81" s="296"/>
      <c r="AQ81" s="296"/>
      <c r="AR81" s="296"/>
      <c r="AS81" s="296"/>
      <c r="AU81"/>
    </row>
    <row r="82" spans="1:47">
      <c r="A82" s="105"/>
    </row>
    <row r="83" spans="1:47" ht="13.15" customHeight="1">
      <c r="A83" s="105">
        <v>3</v>
      </c>
      <c r="B83" s="21" t="s">
        <v>141</v>
      </c>
      <c r="Q83" t="str">
        <f>B83</f>
        <v>SUSUT JARINGAN TANPA E-MIN (%)</v>
      </c>
      <c r="W83" s="269"/>
      <c r="X83" s="269"/>
      <c r="AF83" t="str">
        <f>B83</f>
        <v>SUSUT JARINGAN TANPA E-MIN (%)</v>
      </c>
    </row>
    <row r="84" spans="1:47">
      <c r="B84" s="21" t="s">
        <v>100</v>
      </c>
      <c r="Q84" t="s">
        <v>126</v>
      </c>
      <c r="AF84" t="s">
        <v>127</v>
      </c>
    </row>
    <row r="85" spans="1:47">
      <c r="B85" s="681" t="s">
        <v>72</v>
      </c>
      <c r="C85" s="682"/>
      <c r="D85" s="638" t="s">
        <v>74</v>
      </c>
      <c r="E85" s="638" t="s">
        <v>75</v>
      </c>
      <c r="F85" s="638" t="s">
        <v>76</v>
      </c>
      <c r="G85" s="638" t="s">
        <v>77</v>
      </c>
      <c r="H85" s="638" t="s">
        <v>78</v>
      </c>
      <c r="I85" s="638" t="s">
        <v>79</v>
      </c>
      <c r="J85" s="638" t="s">
        <v>80</v>
      </c>
      <c r="K85" s="638" t="s">
        <v>81</v>
      </c>
      <c r="L85" s="638" t="s">
        <v>82</v>
      </c>
      <c r="M85" s="638" t="s">
        <v>83</v>
      </c>
      <c r="N85" s="638" t="s">
        <v>84</v>
      </c>
      <c r="O85" s="638" t="s">
        <v>85</v>
      </c>
      <c r="Q85" s="681" t="s">
        <v>72</v>
      </c>
      <c r="R85" s="682"/>
      <c r="S85" s="638" t="s">
        <v>74</v>
      </c>
      <c r="T85" s="638" t="s">
        <v>75</v>
      </c>
      <c r="U85" s="638" t="s">
        <v>76</v>
      </c>
      <c r="V85" s="638" t="s">
        <v>77</v>
      </c>
      <c r="W85" s="638" t="s">
        <v>78</v>
      </c>
      <c r="X85" s="638" t="s">
        <v>79</v>
      </c>
      <c r="Y85" s="638" t="s">
        <v>80</v>
      </c>
      <c r="Z85" s="638" t="s">
        <v>81</v>
      </c>
      <c r="AA85" s="638" t="s">
        <v>82</v>
      </c>
      <c r="AB85" s="638" t="s">
        <v>83</v>
      </c>
      <c r="AC85" s="638" t="s">
        <v>84</v>
      </c>
      <c r="AD85" s="638" t="s">
        <v>85</v>
      </c>
      <c r="AF85" s="681" t="s">
        <v>72</v>
      </c>
      <c r="AG85" s="682"/>
      <c r="AH85" s="638" t="s">
        <v>74</v>
      </c>
      <c r="AI85" s="638" t="s">
        <v>75</v>
      </c>
      <c r="AJ85" s="638" t="s">
        <v>76</v>
      </c>
      <c r="AK85" s="638" t="s">
        <v>77</v>
      </c>
      <c r="AL85" s="638" t="s">
        <v>78</v>
      </c>
      <c r="AM85" s="638" t="s">
        <v>79</v>
      </c>
      <c r="AN85" s="638" t="s">
        <v>80</v>
      </c>
      <c r="AO85" s="638" t="s">
        <v>81</v>
      </c>
      <c r="AP85" s="638" t="s">
        <v>82</v>
      </c>
      <c r="AQ85" s="638" t="s">
        <v>83</v>
      </c>
      <c r="AR85" s="638" t="s">
        <v>84</v>
      </c>
      <c r="AS85" s="638" t="s">
        <v>85</v>
      </c>
    </row>
    <row r="86" spans="1:47">
      <c r="B86" s="679" t="s">
        <v>128</v>
      </c>
      <c r="C86" s="515" t="s">
        <v>142</v>
      </c>
      <c r="D86" s="529"/>
      <c r="E86" s="529"/>
      <c r="F86" s="529"/>
      <c r="G86" s="529"/>
      <c r="H86" s="529"/>
      <c r="I86" s="529"/>
      <c r="J86" s="529"/>
      <c r="K86" s="529"/>
      <c r="L86" s="529"/>
      <c r="M86" s="529"/>
      <c r="N86" s="529"/>
      <c r="O86" s="529"/>
      <c r="Q86" s="679" t="s">
        <v>128</v>
      </c>
      <c r="R86" s="515" t="s">
        <v>142</v>
      </c>
      <c r="S86" s="513">
        <v>7016666.2749999966</v>
      </c>
      <c r="T86" s="513">
        <v>6257261.4750000015</v>
      </c>
      <c r="U86" s="513">
        <v>6881436.6699999999</v>
      </c>
      <c r="V86" s="513">
        <v>6762863.7800000003</v>
      </c>
      <c r="W86" s="513">
        <v>7317520.25</v>
      </c>
      <c r="X86" s="513">
        <v>6412591.0100000026</v>
      </c>
      <c r="Y86" s="513">
        <v>6791574.6882999958</v>
      </c>
      <c r="Z86" s="513">
        <v>6576037.2008999996</v>
      </c>
      <c r="AA86" s="513">
        <v>6699246.9903000016</v>
      </c>
      <c r="AB86" s="513"/>
      <c r="AC86" s="513"/>
      <c r="AD86" s="513"/>
      <c r="AF86" s="679" t="s">
        <v>128</v>
      </c>
      <c r="AG86" s="515" t="s">
        <v>142</v>
      </c>
      <c r="AH86" s="513">
        <f>IF(S86=0,0,S86)</f>
        <v>7016666.2749999966</v>
      </c>
      <c r="AI86" s="513">
        <f>IF(T86=0,0,AH86+T86)</f>
        <v>13273927.749999998</v>
      </c>
      <c r="AJ86" s="513">
        <f t="shared" ref="AI86:AS88" si="82">IF(U86=0,0,AI86+U86)</f>
        <v>20155364.419999998</v>
      </c>
      <c r="AK86" s="513">
        <f t="shared" si="82"/>
        <v>26918228.199999999</v>
      </c>
      <c r="AL86" s="513">
        <f t="shared" si="82"/>
        <v>34235748.450000003</v>
      </c>
      <c r="AM86" s="513">
        <f t="shared" si="82"/>
        <v>40648339.460000008</v>
      </c>
      <c r="AN86" s="513">
        <f t="shared" si="82"/>
        <v>47439914.148300007</v>
      </c>
      <c r="AO86" s="513">
        <f t="shared" si="82"/>
        <v>54015951.34920001</v>
      </c>
      <c r="AP86" s="513">
        <f t="shared" si="82"/>
        <v>60715198.33950001</v>
      </c>
      <c r="AQ86" s="513">
        <f t="shared" si="82"/>
        <v>0</v>
      </c>
      <c r="AR86" s="513">
        <f t="shared" si="82"/>
        <v>0</v>
      </c>
      <c r="AS86" s="513">
        <f t="shared" si="82"/>
        <v>0</v>
      </c>
    </row>
    <row r="87" spans="1:47">
      <c r="B87" s="679"/>
      <c r="C87" s="515" t="s">
        <v>143</v>
      </c>
      <c r="D87" s="529"/>
      <c r="E87" s="529"/>
      <c r="F87" s="529"/>
      <c r="G87" s="529"/>
      <c r="H87" s="529"/>
      <c r="I87" s="529"/>
      <c r="J87" s="529"/>
      <c r="K87" s="529"/>
      <c r="L87" s="529"/>
      <c r="M87" s="529"/>
      <c r="N87" s="529"/>
      <c r="O87" s="529"/>
      <c r="Q87" s="679"/>
      <c r="R87" s="515" t="s">
        <v>143</v>
      </c>
      <c r="S87" s="513">
        <v>60661.656000000003</v>
      </c>
      <c r="T87" s="513">
        <v>60760.872000000003</v>
      </c>
      <c r="U87" s="513">
        <v>60866.35</v>
      </c>
      <c r="V87" s="513">
        <v>60969.1</v>
      </c>
      <c r="W87" s="513">
        <v>61078.608</v>
      </c>
      <c r="X87" s="513">
        <v>61167.527999999998</v>
      </c>
      <c r="Y87" s="513">
        <v>61281.72</v>
      </c>
      <c r="Z87" s="513">
        <v>61392.743999999999</v>
      </c>
      <c r="AA87" s="513">
        <v>61476.447999999997</v>
      </c>
      <c r="AB87" s="513"/>
      <c r="AC87" s="513"/>
      <c r="AD87" s="513"/>
      <c r="AF87" s="679"/>
      <c r="AG87" s="515" t="s">
        <v>143</v>
      </c>
      <c r="AH87" s="513">
        <f>IF(S87=0,0,S87)</f>
        <v>60661.656000000003</v>
      </c>
      <c r="AI87" s="513">
        <f>IF(T87=0,0,AH87+T87)</f>
        <v>121422.52800000001</v>
      </c>
      <c r="AJ87" s="513">
        <f t="shared" si="82"/>
        <v>182288.878</v>
      </c>
      <c r="AK87" s="513">
        <f t="shared" si="82"/>
        <v>243257.978</v>
      </c>
      <c r="AL87" s="513">
        <f t="shared" si="82"/>
        <v>304336.58600000001</v>
      </c>
      <c r="AM87" s="513">
        <f t="shared" si="82"/>
        <v>365504.114</v>
      </c>
      <c r="AN87" s="513">
        <f t="shared" si="82"/>
        <v>426785.83400000003</v>
      </c>
      <c r="AO87" s="513">
        <f t="shared" si="82"/>
        <v>488178.57800000004</v>
      </c>
      <c r="AP87" s="513">
        <f t="shared" si="82"/>
        <v>549655.02600000007</v>
      </c>
      <c r="AQ87" s="513">
        <f t="shared" si="82"/>
        <v>0</v>
      </c>
      <c r="AR87" s="513">
        <f t="shared" si="82"/>
        <v>0</v>
      </c>
      <c r="AS87" s="513">
        <f t="shared" si="82"/>
        <v>0</v>
      </c>
    </row>
    <row r="88" spans="1:47">
      <c r="B88" s="679"/>
      <c r="C88" s="515" t="s">
        <v>144</v>
      </c>
      <c r="D88" s="529"/>
      <c r="E88" s="529"/>
      <c r="F88" s="529"/>
      <c r="G88" s="529"/>
      <c r="H88" s="529"/>
      <c r="I88" s="529"/>
      <c r="J88" s="529"/>
      <c r="K88" s="529"/>
      <c r="L88" s="529"/>
      <c r="M88" s="529"/>
      <c r="N88" s="529"/>
      <c r="O88" s="529"/>
      <c r="Q88" s="679"/>
      <c r="R88" s="515" t="s">
        <v>144</v>
      </c>
      <c r="S88" s="513">
        <v>7471810.9950000001</v>
      </c>
      <c r="T88" s="513">
        <v>6546925.5759999994</v>
      </c>
      <c r="U88" s="513">
        <v>6242950</v>
      </c>
      <c r="V88" s="513">
        <v>5286155.875</v>
      </c>
      <c r="W88" s="513">
        <v>6041871.1679999996</v>
      </c>
      <c r="X88" s="513">
        <v>5733166.2530000005</v>
      </c>
      <c r="Y88" s="513">
        <v>5976394.1320000002</v>
      </c>
      <c r="Z88" s="513">
        <v>5999696.5580000002</v>
      </c>
      <c r="AA88" s="513">
        <v>6021804.5520000001</v>
      </c>
      <c r="AB88" s="513"/>
      <c r="AC88" s="513"/>
      <c r="AD88" s="513"/>
      <c r="AF88" s="679"/>
      <c r="AG88" s="515" t="s">
        <v>144</v>
      </c>
      <c r="AH88" s="513">
        <f>IF(S88=0,0,S88)</f>
        <v>7471810.9950000001</v>
      </c>
      <c r="AI88" s="513">
        <f t="shared" si="82"/>
        <v>14018736.570999999</v>
      </c>
      <c r="AJ88" s="513">
        <f t="shared" si="82"/>
        <v>20261686.570999999</v>
      </c>
      <c r="AK88" s="513">
        <f t="shared" si="82"/>
        <v>25547842.445999999</v>
      </c>
      <c r="AL88" s="513">
        <f t="shared" si="82"/>
        <v>31589713.614</v>
      </c>
      <c r="AM88" s="513">
        <f t="shared" si="82"/>
        <v>37322879.866999999</v>
      </c>
      <c r="AN88" s="513">
        <f t="shared" si="82"/>
        <v>43299273.998999998</v>
      </c>
      <c r="AO88" s="513">
        <f t="shared" si="82"/>
        <v>49298970.556999996</v>
      </c>
      <c r="AP88" s="513">
        <f t="shared" si="82"/>
        <v>55320775.108999997</v>
      </c>
      <c r="AQ88" s="513">
        <f t="shared" si="82"/>
        <v>0</v>
      </c>
      <c r="AR88" s="513">
        <f t="shared" si="82"/>
        <v>0</v>
      </c>
      <c r="AS88" s="513">
        <f t="shared" si="82"/>
        <v>0</v>
      </c>
    </row>
    <row r="89" spans="1:47">
      <c r="B89" s="679"/>
      <c r="C89" s="516" t="s">
        <v>145</v>
      </c>
      <c r="D89" s="530">
        <v>10.36</v>
      </c>
      <c r="E89" s="530">
        <v>10.36</v>
      </c>
      <c r="F89" s="530">
        <v>10.36</v>
      </c>
      <c r="G89" s="530">
        <v>10.17</v>
      </c>
      <c r="H89" s="530">
        <v>9.98</v>
      </c>
      <c r="I89" s="530">
        <v>9.7899999999999991</v>
      </c>
      <c r="J89" s="530">
        <v>9.7200000000000006</v>
      </c>
      <c r="K89" s="530">
        <v>9.65</v>
      </c>
      <c r="L89" s="530">
        <v>9.58</v>
      </c>
      <c r="M89" s="530">
        <v>9.51</v>
      </c>
      <c r="N89" s="530">
        <v>9.44</v>
      </c>
      <c r="O89" s="530">
        <v>9.3699999999999992</v>
      </c>
      <c r="Q89" s="679"/>
      <c r="R89" s="516" t="s">
        <v>145</v>
      </c>
      <c r="S89" s="530">
        <f t="shared" ref="S89:AD89" si="83">IF(S86=0,0,(S86-S87-S88)/S86*100)</f>
        <v>-7.3511601633070995</v>
      </c>
      <c r="T89" s="530">
        <f>IF(T86=0,0,(T86-T87-T88)/T86*100)</f>
        <v>-5.6002929460447115</v>
      </c>
      <c r="U89" s="530">
        <f>IF(U86=0,0,(U86-U87-U88)/U86*100)</f>
        <v>8.3938913877994068</v>
      </c>
      <c r="V89" s="530">
        <f t="shared" si="83"/>
        <v>20.934013327117473</v>
      </c>
      <c r="W89" s="530">
        <f t="shared" si="83"/>
        <v>16.598115652635201</v>
      </c>
      <c r="X89" s="530">
        <f t="shared" si="83"/>
        <v>9.641301433942564</v>
      </c>
      <c r="Y89" s="530">
        <f t="shared" si="83"/>
        <v>11.100501296094926</v>
      </c>
      <c r="Z89" s="530">
        <f t="shared" si="83"/>
        <v>7.8306719254800354</v>
      </c>
      <c r="AA89" s="530">
        <f t="shared" si="83"/>
        <v>9.1945556148604961</v>
      </c>
      <c r="AB89" s="530">
        <f t="shared" si="83"/>
        <v>0</v>
      </c>
      <c r="AC89" s="530">
        <f t="shared" si="83"/>
        <v>0</v>
      </c>
      <c r="AD89" s="530">
        <f t="shared" si="83"/>
        <v>0</v>
      </c>
      <c r="AF89" s="679"/>
      <c r="AG89" s="516" t="s">
        <v>145</v>
      </c>
      <c r="AH89" s="530">
        <f t="shared" ref="AH89:AS89" si="84">IF(AH86=0,0,(AH86-AH87-AH88)/AH86*100)</f>
        <v>-7.3511601633070995</v>
      </c>
      <c r="AI89" s="530">
        <f t="shared" si="84"/>
        <v>-6.5258103352265229</v>
      </c>
      <c r="AJ89" s="530">
        <f t="shared" si="84"/>
        <v>-1.4319315839986146</v>
      </c>
      <c r="AK89" s="530">
        <f t="shared" si="84"/>
        <v>4.1872286973182007</v>
      </c>
      <c r="AL89" s="530">
        <f t="shared" si="84"/>
        <v>6.8399212986973561</v>
      </c>
      <c r="AM89" s="530">
        <f t="shared" si="84"/>
        <v>7.2818607557456394</v>
      </c>
      <c r="AN89" s="530">
        <f t="shared" si="84"/>
        <v>7.8285434996578616</v>
      </c>
      <c r="AO89" s="530">
        <f t="shared" si="84"/>
        <v>7.8288026195481271</v>
      </c>
      <c r="AP89" s="530">
        <f t="shared" si="84"/>
        <v>7.9794982755546888</v>
      </c>
      <c r="AQ89" s="530">
        <f t="shared" si="84"/>
        <v>0</v>
      </c>
      <c r="AR89" s="530">
        <f t="shared" si="84"/>
        <v>0</v>
      </c>
      <c r="AS89" s="530">
        <f t="shared" si="84"/>
        <v>0</v>
      </c>
    </row>
    <row r="90" spans="1:47" ht="13.9" customHeight="1">
      <c r="B90" s="679" t="s">
        <v>87</v>
      </c>
      <c r="C90" s="515" t="s">
        <v>142</v>
      </c>
      <c r="D90" s="529"/>
      <c r="E90" s="529"/>
      <c r="F90" s="529"/>
      <c r="G90" s="529"/>
      <c r="H90" s="529"/>
      <c r="I90" s="529"/>
      <c r="J90" s="529"/>
      <c r="K90" s="529"/>
      <c r="L90" s="529"/>
      <c r="M90" s="529"/>
      <c r="N90" s="529"/>
      <c r="O90" s="529"/>
      <c r="Q90" s="679" t="s">
        <v>87</v>
      </c>
      <c r="R90" s="515" t="s">
        <v>142</v>
      </c>
      <c r="S90" s="513">
        <v>4449874.2200000007</v>
      </c>
      <c r="T90" s="513">
        <v>4442618.1150000002</v>
      </c>
      <c r="U90" s="513">
        <v>5102551.21</v>
      </c>
      <c r="V90" s="513">
        <v>4774566.55</v>
      </c>
      <c r="W90" s="513">
        <v>5045961.4450000003</v>
      </c>
      <c r="X90" s="513">
        <v>4823509.51</v>
      </c>
      <c r="Y90" s="513">
        <v>5143693.6734000007</v>
      </c>
      <c r="Z90" s="513">
        <v>5066765.0011</v>
      </c>
      <c r="AA90" s="513">
        <v>5057535.9800000004</v>
      </c>
      <c r="AB90" s="513"/>
      <c r="AC90" s="513"/>
      <c r="AD90" s="513"/>
      <c r="AF90" s="679" t="s">
        <v>87</v>
      </c>
      <c r="AG90" s="515" t="s">
        <v>142</v>
      </c>
      <c r="AH90" s="513">
        <f>IF(S90=0,0,S90)</f>
        <v>4449874.2200000007</v>
      </c>
      <c r="AI90" s="513">
        <f t="shared" ref="AI90:AS92" si="85">IF(T90=0,0,AH90+T90)</f>
        <v>8892492.3350000009</v>
      </c>
      <c r="AJ90" s="513">
        <f t="shared" si="85"/>
        <v>13995043.545000002</v>
      </c>
      <c r="AK90" s="513">
        <f t="shared" si="85"/>
        <v>18769610.095000003</v>
      </c>
      <c r="AL90" s="513">
        <f t="shared" si="85"/>
        <v>23815571.540000003</v>
      </c>
      <c r="AM90" s="513">
        <f t="shared" si="85"/>
        <v>28639081.050000004</v>
      </c>
      <c r="AN90" s="513">
        <f t="shared" si="85"/>
        <v>33782774.723400004</v>
      </c>
      <c r="AO90" s="513">
        <f t="shared" si="85"/>
        <v>38849539.7245</v>
      </c>
      <c r="AP90" s="513">
        <f t="shared" si="85"/>
        <v>43907075.704500005</v>
      </c>
      <c r="AQ90" s="513">
        <f t="shared" si="85"/>
        <v>0</v>
      </c>
      <c r="AR90" s="513">
        <f t="shared" si="85"/>
        <v>0</v>
      </c>
      <c r="AS90" s="513">
        <f t="shared" si="85"/>
        <v>0</v>
      </c>
    </row>
    <row r="91" spans="1:47" ht="13.9" customHeight="1">
      <c r="B91" s="679"/>
      <c r="C91" s="515" t="s">
        <v>143</v>
      </c>
      <c r="D91" s="529"/>
      <c r="E91" s="529"/>
      <c r="F91" s="529"/>
      <c r="G91" s="529"/>
      <c r="H91" s="529"/>
      <c r="I91" s="529"/>
      <c r="J91" s="529"/>
      <c r="K91" s="529"/>
      <c r="L91" s="529"/>
      <c r="M91" s="529"/>
      <c r="N91" s="529"/>
      <c r="O91" s="529"/>
      <c r="Q91" s="679"/>
      <c r="R91" s="515" t="s">
        <v>143</v>
      </c>
      <c r="S91" s="513">
        <v>46063.44</v>
      </c>
      <c r="T91" s="513">
        <v>46566.792000000001</v>
      </c>
      <c r="U91" s="513">
        <v>46670.04</v>
      </c>
      <c r="V91" s="513">
        <v>46805.760000000002</v>
      </c>
      <c r="W91" s="513">
        <v>46901.951999999997</v>
      </c>
      <c r="X91" s="513">
        <v>46965.600000000006</v>
      </c>
      <c r="Y91" s="513">
        <v>47043.288000000008</v>
      </c>
      <c r="Z91" s="513">
        <v>47267.064000000006</v>
      </c>
      <c r="AA91" s="513">
        <v>47372.968000000001</v>
      </c>
      <c r="AB91" s="513"/>
      <c r="AC91" s="513"/>
      <c r="AD91" s="513"/>
      <c r="AF91" s="679"/>
      <c r="AG91" s="515" t="s">
        <v>143</v>
      </c>
      <c r="AH91" s="513">
        <f>IF(S91=0,0,S91)</f>
        <v>46063.44</v>
      </c>
      <c r="AI91" s="513">
        <f t="shared" si="85"/>
        <v>92630.232000000004</v>
      </c>
      <c r="AJ91" s="513">
        <f t="shared" si="85"/>
        <v>139300.272</v>
      </c>
      <c r="AK91" s="513">
        <f t="shared" si="85"/>
        <v>186106.03200000001</v>
      </c>
      <c r="AL91" s="513">
        <f t="shared" si="85"/>
        <v>233007.984</v>
      </c>
      <c r="AM91" s="513">
        <f t="shared" si="85"/>
        <v>279973.58400000003</v>
      </c>
      <c r="AN91" s="513">
        <f t="shared" si="85"/>
        <v>327016.87200000003</v>
      </c>
      <c r="AO91" s="513">
        <f t="shared" si="85"/>
        <v>374283.93600000005</v>
      </c>
      <c r="AP91" s="513">
        <f t="shared" si="85"/>
        <v>421656.90400000004</v>
      </c>
      <c r="AQ91" s="513">
        <f t="shared" si="85"/>
        <v>0</v>
      </c>
      <c r="AR91" s="513">
        <f t="shared" si="85"/>
        <v>0</v>
      </c>
      <c r="AS91" s="513">
        <f t="shared" si="85"/>
        <v>0</v>
      </c>
    </row>
    <row r="92" spans="1:47" ht="13.9" customHeight="1">
      <c r="B92" s="679"/>
      <c r="C92" s="515" t="s">
        <v>144</v>
      </c>
      <c r="D92" s="529"/>
      <c r="E92" s="529"/>
      <c r="F92" s="529"/>
      <c r="G92" s="529"/>
      <c r="H92" s="529"/>
      <c r="I92" s="529"/>
      <c r="J92" s="529"/>
      <c r="K92" s="529"/>
      <c r="L92" s="529"/>
      <c r="M92" s="529"/>
      <c r="N92" s="529"/>
      <c r="O92" s="529"/>
      <c r="Q92" s="679"/>
      <c r="R92" s="515" t="s">
        <v>144</v>
      </c>
      <c r="S92" s="513">
        <v>5024820.17</v>
      </c>
      <c r="T92" s="513">
        <v>4188626.6490000002</v>
      </c>
      <c r="U92" s="513">
        <v>4270932</v>
      </c>
      <c r="V92" s="513">
        <v>3722369.5439999998</v>
      </c>
      <c r="W92" s="513">
        <v>4101468.8659999999</v>
      </c>
      <c r="X92" s="513">
        <v>4242295.0410000002</v>
      </c>
      <c r="Y92" s="513">
        <v>4293714.3130000001</v>
      </c>
      <c r="Z92" s="513">
        <v>4437258.3090000004</v>
      </c>
      <c r="AA92" s="513">
        <v>4337942.4220000003</v>
      </c>
      <c r="AB92" s="513"/>
      <c r="AC92" s="513"/>
      <c r="AD92" s="513"/>
      <c r="AF92" s="679"/>
      <c r="AG92" s="515" t="s">
        <v>144</v>
      </c>
      <c r="AH92" s="513">
        <f>IF(S92=0,0,S92)</f>
        <v>5024820.17</v>
      </c>
      <c r="AI92" s="513">
        <f t="shared" si="85"/>
        <v>9213446.8190000001</v>
      </c>
      <c r="AJ92" s="513">
        <f t="shared" si="85"/>
        <v>13484378.819</v>
      </c>
      <c r="AK92" s="513">
        <f t="shared" si="85"/>
        <v>17206748.362999998</v>
      </c>
      <c r="AL92" s="513">
        <f t="shared" si="85"/>
        <v>21308217.228999998</v>
      </c>
      <c r="AM92" s="513">
        <f t="shared" si="85"/>
        <v>25550512.27</v>
      </c>
      <c r="AN92" s="513">
        <f t="shared" si="85"/>
        <v>29844226.583000001</v>
      </c>
      <c r="AO92" s="513">
        <f t="shared" si="85"/>
        <v>34281484.892000005</v>
      </c>
      <c r="AP92" s="513">
        <f t="shared" si="85"/>
        <v>38619427.314000003</v>
      </c>
      <c r="AQ92" s="513">
        <f t="shared" si="85"/>
        <v>0</v>
      </c>
      <c r="AR92" s="513">
        <f t="shared" si="85"/>
        <v>0</v>
      </c>
      <c r="AS92" s="513">
        <f t="shared" si="85"/>
        <v>0</v>
      </c>
    </row>
    <row r="93" spans="1:47" ht="13.9" customHeight="1">
      <c r="B93" s="679"/>
      <c r="C93" s="516" t="s">
        <v>145</v>
      </c>
      <c r="D93" s="530">
        <v>11.44</v>
      </c>
      <c r="E93" s="530">
        <v>11.44</v>
      </c>
      <c r="F93" s="530">
        <v>11.44</v>
      </c>
      <c r="G93" s="530">
        <v>11.23</v>
      </c>
      <c r="H93" s="530">
        <v>11.03</v>
      </c>
      <c r="I93" s="530">
        <v>10.82</v>
      </c>
      <c r="J93" s="530">
        <v>10.74</v>
      </c>
      <c r="K93" s="530">
        <v>10.66</v>
      </c>
      <c r="L93" s="530">
        <v>10.58</v>
      </c>
      <c r="M93" s="530">
        <v>10.51</v>
      </c>
      <c r="N93" s="530">
        <v>10.43</v>
      </c>
      <c r="O93" s="530">
        <v>10.35</v>
      </c>
      <c r="Q93" s="679"/>
      <c r="R93" s="516" t="s">
        <v>145</v>
      </c>
      <c r="S93" s="530">
        <f t="shared" ref="S93:AD93" si="86">IF(S90=0,0,(S90-S91-S92)/S90*100)</f>
        <v>-13.955661650139845</v>
      </c>
      <c r="T93" s="530">
        <f t="shared" si="86"/>
        <v>4.6689737589565388</v>
      </c>
      <c r="U93" s="530">
        <f t="shared" ref="U93" si="87">IF(U90=0,0,(U90-U91-U92)/U90*100)</f>
        <v>15.383464813869061</v>
      </c>
      <c r="V93" s="530">
        <f t="shared" si="86"/>
        <v>21.057225519246355</v>
      </c>
      <c r="W93" s="530">
        <f t="shared" si="86"/>
        <v>17.788297369759249</v>
      </c>
      <c r="X93" s="530">
        <f t="shared" si="86"/>
        <v>11.07593688563081</v>
      </c>
      <c r="Y93" s="530">
        <f t="shared" si="86"/>
        <v>15.610106732294133</v>
      </c>
      <c r="Z93" s="530">
        <f t="shared" si="86"/>
        <v>11.491348581858336</v>
      </c>
      <c r="AA93" s="530">
        <f t="shared" si="86"/>
        <v>13.291464315000281</v>
      </c>
      <c r="AB93" s="530">
        <f t="shared" si="86"/>
        <v>0</v>
      </c>
      <c r="AC93" s="530">
        <f t="shared" si="86"/>
        <v>0</v>
      </c>
      <c r="AD93" s="530">
        <f t="shared" si="86"/>
        <v>0</v>
      </c>
      <c r="AF93" s="679"/>
      <c r="AG93" s="516" t="s">
        <v>145</v>
      </c>
      <c r="AH93" s="530">
        <f t="shared" ref="AH93:AS93" si="88">IF(AH90=0,0,(AH90-AH91-AH92)/AH90*100)</f>
        <v>-13.955661650139845</v>
      </c>
      <c r="AI93" s="530">
        <f t="shared" si="88"/>
        <v>-4.650942620126532</v>
      </c>
      <c r="AJ93" s="530">
        <f t="shared" si="88"/>
        <v>2.653542683207148</v>
      </c>
      <c r="AK93" s="530">
        <f t="shared" si="88"/>
        <v>7.3350255707589476</v>
      </c>
      <c r="AL93" s="530">
        <f t="shared" si="88"/>
        <v>9.5498288721732809</v>
      </c>
      <c r="AM93" s="530">
        <f t="shared" si="88"/>
        <v>9.8068621374288316</v>
      </c>
      <c r="AN93" s="530">
        <f t="shared" si="88"/>
        <v>10.690451858883089</v>
      </c>
      <c r="AO93" s="530">
        <f t="shared" si="88"/>
        <v>10.794904975039504</v>
      </c>
      <c r="AP93" s="530">
        <f t="shared" si="88"/>
        <v>11.082476818198327</v>
      </c>
      <c r="AQ93" s="530">
        <f t="shared" si="88"/>
        <v>0</v>
      </c>
      <c r="AR93" s="530">
        <f t="shared" si="88"/>
        <v>0</v>
      </c>
      <c r="AS93" s="530">
        <f t="shared" si="88"/>
        <v>0</v>
      </c>
    </row>
    <row r="94" spans="1:47" ht="13.9" customHeight="1">
      <c r="B94" s="679" t="s">
        <v>88</v>
      </c>
      <c r="C94" s="515" t="s">
        <v>142</v>
      </c>
      <c r="D94" s="529"/>
      <c r="E94" s="529"/>
      <c r="F94" s="529"/>
      <c r="G94" s="529"/>
      <c r="H94" s="529"/>
      <c r="I94" s="529"/>
      <c r="J94" s="529"/>
      <c r="K94" s="529"/>
      <c r="L94" s="529"/>
      <c r="M94" s="529"/>
      <c r="N94" s="529"/>
      <c r="O94" s="529"/>
      <c r="Q94" s="679" t="s">
        <v>88</v>
      </c>
      <c r="R94" s="515" t="s">
        <v>142</v>
      </c>
      <c r="S94" s="513">
        <v>2368984.1800000039</v>
      </c>
      <c r="T94" s="513">
        <v>2194537.2049999977</v>
      </c>
      <c r="U94" s="513">
        <v>2397068.15</v>
      </c>
      <c r="V94" s="513">
        <v>2108800.31</v>
      </c>
      <c r="W94" s="513">
        <v>2218708.9750000001</v>
      </c>
      <c r="X94" s="513">
        <v>2233892.4299999969</v>
      </c>
      <c r="Y94" s="513">
        <v>2369124.042900004</v>
      </c>
      <c r="Z94" s="513">
        <v>2441233.31</v>
      </c>
      <c r="AA94" s="513">
        <v>2505917.859999998</v>
      </c>
      <c r="AB94" s="513"/>
      <c r="AC94" s="513"/>
      <c r="AD94" s="513"/>
      <c r="AF94" s="679" t="s">
        <v>88</v>
      </c>
      <c r="AG94" s="515" t="s">
        <v>142</v>
      </c>
      <c r="AH94" s="513">
        <f>IF(S94=0,0,S94)</f>
        <v>2368984.1800000039</v>
      </c>
      <c r="AI94" s="513">
        <f t="shared" ref="AI94:AS96" si="89">IF(T94=0,0,AH94+T94)</f>
        <v>4563521.3850000016</v>
      </c>
      <c r="AJ94" s="513">
        <f t="shared" si="89"/>
        <v>6960589.535000002</v>
      </c>
      <c r="AK94" s="513">
        <f t="shared" si="89"/>
        <v>9069389.8450000025</v>
      </c>
      <c r="AL94" s="513">
        <f t="shared" si="89"/>
        <v>11288098.820000002</v>
      </c>
      <c r="AM94" s="513">
        <f t="shared" si="89"/>
        <v>13521991.25</v>
      </c>
      <c r="AN94" s="513">
        <f t="shared" si="89"/>
        <v>15891115.292900003</v>
      </c>
      <c r="AO94" s="513">
        <f t="shared" si="89"/>
        <v>18332348.602900002</v>
      </c>
      <c r="AP94" s="513">
        <f t="shared" si="89"/>
        <v>20838266.462900002</v>
      </c>
      <c r="AQ94" s="513">
        <f t="shared" si="89"/>
        <v>0</v>
      </c>
      <c r="AR94" s="513">
        <f t="shared" si="89"/>
        <v>0</v>
      </c>
      <c r="AS94" s="513">
        <f t="shared" si="89"/>
        <v>0</v>
      </c>
    </row>
    <row r="95" spans="1:47" ht="13.9" customHeight="1">
      <c r="B95" s="679"/>
      <c r="C95" s="515" t="s">
        <v>143</v>
      </c>
      <c r="D95" s="529"/>
      <c r="E95" s="529"/>
      <c r="F95" s="529"/>
      <c r="G95" s="529"/>
      <c r="H95" s="529"/>
      <c r="I95" s="529"/>
      <c r="J95" s="529"/>
      <c r="K95" s="529"/>
      <c r="L95" s="529"/>
      <c r="M95" s="529"/>
      <c r="N95" s="529"/>
      <c r="O95" s="529"/>
      <c r="Q95" s="679"/>
      <c r="R95" s="515" t="s">
        <v>143</v>
      </c>
      <c r="S95" s="513">
        <v>25796.952000000005</v>
      </c>
      <c r="T95" s="513">
        <v>25897.104000000003</v>
      </c>
      <c r="U95" s="513">
        <v>26006.26</v>
      </c>
      <c r="V95" s="513">
        <v>26064.07</v>
      </c>
      <c r="W95" s="513">
        <v>26129.592000000001</v>
      </c>
      <c r="X95" s="513">
        <v>26187.624</v>
      </c>
      <c r="Y95" s="513">
        <v>26242.848000000005</v>
      </c>
      <c r="Z95" s="513">
        <v>26366.904000000002</v>
      </c>
      <c r="AA95" s="513">
        <v>26419.32</v>
      </c>
      <c r="AB95" s="513"/>
      <c r="AC95" s="513"/>
      <c r="AD95" s="513"/>
      <c r="AF95" s="679"/>
      <c r="AG95" s="515" t="s">
        <v>143</v>
      </c>
      <c r="AH95" s="513">
        <f>IF(S95=0,0,S95)</f>
        <v>25796.952000000005</v>
      </c>
      <c r="AI95" s="513">
        <f t="shared" si="89"/>
        <v>51694.056000000011</v>
      </c>
      <c r="AJ95" s="513">
        <f t="shared" si="89"/>
        <v>77700.316000000006</v>
      </c>
      <c r="AK95" s="513">
        <f t="shared" si="89"/>
        <v>103764.386</v>
      </c>
      <c r="AL95" s="513">
        <f t="shared" si="89"/>
        <v>129893.978</v>
      </c>
      <c r="AM95" s="513">
        <f t="shared" si="89"/>
        <v>156081.60200000001</v>
      </c>
      <c r="AN95" s="513">
        <f t="shared" si="89"/>
        <v>182324.45</v>
      </c>
      <c r="AO95" s="513">
        <f t="shared" si="89"/>
        <v>208691.35400000002</v>
      </c>
      <c r="AP95" s="513">
        <f t="shared" si="89"/>
        <v>235110.67400000003</v>
      </c>
      <c r="AQ95" s="513">
        <f t="shared" si="89"/>
        <v>0</v>
      </c>
      <c r="AR95" s="513">
        <f t="shared" si="89"/>
        <v>0</v>
      </c>
      <c r="AS95" s="513">
        <f t="shared" si="89"/>
        <v>0</v>
      </c>
    </row>
    <row r="96" spans="1:47" ht="13.9" customHeight="1">
      <c r="B96" s="679"/>
      <c r="C96" s="515" t="s">
        <v>144</v>
      </c>
      <c r="D96" s="529"/>
      <c r="E96" s="529"/>
      <c r="F96" s="529"/>
      <c r="G96" s="529"/>
      <c r="H96" s="529"/>
      <c r="I96" s="529"/>
      <c r="J96" s="529"/>
      <c r="K96" s="529"/>
      <c r="L96" s="529"/>
      <c r="M96" s="529"/>
      <c r="N96" s="529"/>
      <c r="O96" s="529"/>
      <c r="Q96" s="679"/>
      <c r="R96" s="515" t="s">
        <v>144</v>
      </c>
      <c r="S96" s="513">
        <v>3339865.645</v>
      </c>
      <c r="T96" s="513">
        <v>2785378.8939999999</v>
      </c>
      <c r="U96" s="513">
        <v>2418373</v>
      </c>
      <c r="V96" s="513">
        <v>1351580.5360000001</v>
      </c>
      <c r="W96" s="513">
        <v>1680582.0209999999</v>
      </c>
      <c r="X96" s="513">
        <v>1944171.57</v>
      </c>
      <c r="Y96" s="513">
        <v>2016687.58</v>
      </c>
      <c r="Z96" s="513">
        <v>2144934.6009999998</v>
      </c>
      <c r="AA96" s="513">
        <v>2217045.2050000001</v>
      </c>
      <c r="AB96" s="513"/>
      <c r="AC96" s="513"/>
      <c r="AD96" s="513"/>
      <c r="AF96" s="679"/>
      <c r="AG96" s="515" t="s">
        <v>144</v>
      </c>
      <c r="AH96" s="513">
        <f>IF(S96=0,0,S96)</f>
        <v>3339865.645</v>
      </c>
      <c r="AI96" s="513">
        <f t="shared" si="89"/>
        <v>6125244.5389999999</v>
      </c>
      <c r="AJ96" s="513">
        <f t="shared" si="89"/>
        <v>8543617.5390000008</v>
      </c>
      <c r="AK96" s="513">
        <f t="shared" si="89"/>
        <v>9895198.0750000011</v>
      </c>
      <c r="AL96" s="513">
        <f t="shared" si="89"/>
        <v>11575780.096000001</v>
      </c>
      <c r="AM96" s="513">
        <f t="shared" si="89"/>
        <v>13519951.666000001</v>
      </c>
      <c r="AN96" s="513">
        <f t="shared" si="89"/>
        <v>15536639.246000001</v>
      </c>
      <c r="AO96" s="513">
        <f t="shared" si="89"/>
        <v>17681573.847000003</v>
      </c>
      <c r="AP96" s="513">
        <f t="shared" si="89"/>
        <v>19898619.052000001</v>
      </c>
      <c r="AQ96" s="513">
        <f t="shared" si="89"/>
        <v>0</v>
      </c>
      <c r="AR96" s="513">
        <f t="shared" si="89"/>
        <v>0</v>
      </c>
      <c r="AS96" s="513">
        <f t="shared" si="89"/>
        <v>0</v>
      </c>
    </row>
    <row r="97" spans="1:47" ht="13.9" customHeight="1">
      <c r="B97" s="679"/>
      <c r="C97" s="516" t="s">
        <v>145</v>
      </c>
      <c r="D97" s="530">
        <v>8.6199999999999992</v>
      </c>
      <c r="E97" s="530">
        <v>8.6199999999999992</v>
      </c>
      <c r="F97" s="530">
        <v>8.6199999999999992</v>
      </c>
      <c r="G97" s="530">
        <v>8.4700000000000006</v>
      </c>
      <c r="H97" s="530">
        <v>8.31</v>
      </c>
      <c r="I97" s="530">
        <v>8.15</v>
      </c>
      <c r="J97" s="530">
        <v>8.1</v>
      </c>
      <c r="K97" s="530">
        <v>8.0399999999999991</v>
      </c>
      <c r="L97" s="530">
        <v>7.98</v>
      </c>
      <c r="M97" s="530">
        <v>7.92</v>
      </c>
      <c r="N97" s="530">
        <v>7.86</v>
      </c>
      <c r="O97" s="530">
        <v>7.8</v>
      </c>
      <c r="Q97" s="679"/>
      <c r="R97" s="516" t="s">
        <v>145</v>
      </c>
      <c r="S97" s="530">
        <f>IF(S94=0,0,(S94-S95-S96)/S94*100)</f>
        <v>-42.071974368355406</v>
      </c>
      <c r="T97" s="530">
        <f t="shared" ref="T97:AD97" si="90">IF(T94=0,0,(T94-T95-T96)/T94*100)</f>
        <v>-28.103364645394681</v>
      </c>
      <c r="U97" s="530">
        <f t="shared" ref="U97" si="91">IF(U94=0,0,(U94-U95-U96)/U94*100)</f>
        <v>-1.9737073391092312</v>
      </c>
      <c r="V97" s="530">
        <f t="shared" si="90"/>
        <v>34.67164247524223</v>
      </c>
      <c r="W97" s="530">
        <f t="shared" si="90"/>
        <v>23.076364127476428</v>
      </c>
      <c r="X97" s="530">
        <f t="shared" si="90"/>
        <v>11.797042349080227</v>
      </c>
      <c r="Y97" s="530">
        <f t="shared" si="90"/>
        <v>13.768532545924259</v>
      </c>
      <c r="Z97" s="530">
        <f t="shared" si="90"/>
        <v>11.05718998238641</v>
      </c>
      <c r="AA97" s="530">
        <f t="shared" si="90"/>
        <v>10.473341492525948</v>
      </c>
      <c r="AB97" s="530">
        <f t="shared" si="90"/>
        <v>0</v>
      </c>
      <c r="AC97" s="530">
        <f t="shared" si="90"/>
        <v>0</v>
      </c>
      <c r="AD97" s="530">
        <f t="shared" si="90"/>
        <v>0</v>
      </c>
      <c r="AF97" s="679"/>
      <c r="AG97" s="516" t="s">
        <v>145</v>
      </c>
      <c r="AH97" s="530">
        <f t="shared" ref="AH97:AS97" si="92">IF(AH94=0,0,(AH94-AH95-AH96)/AH94*100)</f>
        <v>-42.071974368355406</v>
      </c>
      <c r="AI97" s="530">
        <f t="shared" si="92"/>
        <v>-35.354654309349698</v>
      </c>
      <c r="AJ97" s="530">
        <f t="shared" si="92"/>
        <v>-23.859018142778591</v>
      </c>
      <c r="AK97" s="530">
        <f t="shared" si="92"/>
        <v>-10.249560685854476</v>
      </c>
      <c r="AL97" s="530">
        <f t="shared" si="92"/>
        <v>-3.699252289146763</v>
      </c>
      <c r="AM97" s="530">
        <f t="shared" si="92"/>
        <v>-1.1391962555810786</v>
      </c>
      <c r="AN97" s="530">
        <f t="shared" si="92"/>
        <v>1.0833197905053189</v>
      </c>
      <c r="AO97" s="530">
        <f t="shared" si="92"/>
        <v>2.4114935378769062</v>
      </c>
      <c r="AP97" s="530">
        <f t="shared" si="92"/>
        <v>3.3809757551298412</v>
      </c>
      <c r="AQ97" s="530">
        <f t="shared" si="92"/>
        <v>0</v>
      </c>
      <c r="AR97" s="530">
        <f t="shared" si="92"/>
        <v>0</v>
      </c>
      <c r="AS97" s="530">
        <f t="shared" si="92"/>
        <v>0</v>
      </c>
    </row>
    <row r="98" spans="1:47" ht="13.9" customHeight="1">
      <c r="B98" s="679" t="s">
        <v>121</v>
      </c>
      <c r="C98" s="515" t="s">
        <v>142</v>
      </c>
      <c r="D98" s="529"/>
      <c r="E98" s="529"/>
      <c r="F98" s="529"/>
      <c r="G98" s="529"/>
      <c r="H98" s="529"/>
      <c r="I98" s="529"/>
      <c r="J98" s="529"/>
      <c r="K98" s="529"/>
      <c r="L98" s="529"/>
      <c r="M98" s="529"/>
      <c r="N98" s="529"/>
      <c r="O98" s="529"/>
      <c r="Q98" s="679" t="s">
        <v>121</v>
      </c>
      <c r="R98" s="515" t="s">
        <v>142</v>
      </c>
      <c r="S98" s="531">
        <v>2895890.1249999991</v>
      </c>
      <c r="T98" s="531">
        <v>2632389.7850000011</v>
      </c>
      <c r="U98" s="531">
        <v>3190012.14</v>
      </c>
      <c r="V98" s="531">
        <v>3170447.94</v>
      </c>
      <c r="W98" s="531">
        <v>3353437.75</v>
      </c>
      <c r="X98" s="531">
        <v>3164248.8299999987</v>
      </c>
      <c r="Y98" s="531">
        <v>3028316.8675000006</v>
      </c>
      <c r="Z98" s="531">
        <v>2990318.2374999989</v>
      </c>
      <c r="AA98" s="531">
        <v>3079895.0999999996</v>
      </c>
      <c r="AB98" s="531"/>
      <c r="AC98" s="531"/>
      <c r="AD98" s="531"/>
      <c r="AF98" s="679" t="s">
        <v>121</v>
      </c>
      <c r="AG98" s="515" t="s">
        <v>142</v>
      </c>
      <c r="AH98" s="531">
        <f>IF(S98=0,0,S98)</f>
        <v>2895890.1249999991</v>
      </c>
      <c r="AI98" s="531">
        <f t="shared" ref="AI98:AS100" si="93">IF(T98=0,0,AH98+T98)</f>
        <v>5528279.9100000001</v>
      </c>
      <c r="AJ98" s="531">
        <f t="shared" si="93"/>
        <v>8718292.0500000007</v>
      </c>
      <c r="AK98" s="531">
        <f t="shared" si="93"/>
        <v>11888739.99</v>
      </c>
      <c r="AL98" s="531">
        <f t="shared" si="93"/>
        <v>15242177.74</v>
      </c>
      <c r="AM98" s="531">
        <f t="shared" si="93"/>
        <v>18406426.57</v>
      </c>
      <c r="AN98" s="531">
        <f t="shared" si="93"/>
        <v>21434743.4375</v>
      </c>
      <c r="AO98" s="531">
        <f t="shared" si="93"/>
        <v>24425061.674999997</v>
      </c>
      <c r="AP98" s="531">
        <f t="shared" si="93"/>
        <v>27504956.774999999</v>
      </c>
      <c r="AQ98" s="531">
        <f t="shared" si="93"/>
        <v>0</v>
      </c>
      <c r="AR98" s="531">
        <f t="shared" si="93"/>
        <v>0</v>
      </c>
      <c r="AS98" s="531">
        <f t="shared" si="93"/>
        <v>0</v>
      </c>
      <c r="AU98"/>
    </row>
    <row r="99" spans="1:47" ht="13.9" customHeight="1">
      <c r="B99" s="679"/>
      <c r="C99" s="515" t="s">
        <v>143</v>
      </c>
      <c r="D99" s="529"/>
      <c r="E99" s="529"/>
      <c r="F99" s="529"/>
      <c r="G99" s="529"/>
      <c r="H99" s="529"/>
      <c r="I99" s="529"/>
      <c r="J99" s="529"/>
      <c r="K99" s="529"/>
      <c r="L99" s="529"/>
      <c r="M99" s="529"/>
      <c r="N99" s="529"/>
      <c r="O99" s="529"/>
      <c r="Q99" s="679"/>
      <c r="R99" s="515" t="s">
        <v>143</v>
      </c>
      <c r="S99" s="531">
        <v>27447.191999999999</v>
      </c>
      <c r="T99" s="531">
        <v>27547.344000000001</v>
      </c>
      <c r="U99" s="531">
        <v>27650.3</v>
      </c>
      <c r="V99" s="531">
        <v>27754.2</v>
      </c>
      <c r="W99" s="531">
        <v>27774.792000000001</v>
      </c>
      <c r="X99" s="531">
        <v>27801.936000000002</v>
      </c>
      <c r="Y99" s="531">
        <v>27824.400000000001</v>
      </c>
      <c r="Z99" s="531">
        <v>27986.04</v>
      </c>
      <c r="AA99" s="531">
        <v>28027.952000000001</v>
      </c>
      <c r="AB99" s="531"/>
      <c r="AC99" s="531"/>
      <c r="AD99" s="531"/>
      <c r="AF99" s="679"/>
      <c r="AG99" s="515" t="s">
        <v>143</v>
      </c>
      <c r="AH99" s="531">
        <f>IF(S99=0,0,S99)</f>
        <v>27447.191999999999</v>
      </c>
      <c r="AI99" s="531">
        <f t="shared" si="93"/>
        <v>54994.536</v>
      </c>
      <c r="AJ99" s="531">
        <f t="shared" si="93"/>
        <v>82644.835999999996</v>
      </c>
      <c r="AK99" s="531">
        <f t="shared" si="93"/>
        <v>110399.03599999999</v>
      </c>
      <c r="AL99" s="531">
        <f t="shared" si="93"/>
        <v>138173.82799999998</v>
      </c>
      <c r="AM99" s="531">
        <f t="shared" si="93"/>
        <v>165975.76399999997</v>
      </c>
      <c r="AN99" s="531">
        <f t="shared" si="93"/>
        <v>193800.16399999996</v>
      </c>
      <c r="AO99" s="531">
        <f t="shared" si="93"/>
        <v>221786.20399999997</v>
      </c>
      <c r="AP99" s="531">
        <f t="shared" si="93"/>
        <v>249814.15599999996</v>
      </c>
      <c r="AQ99" s="531">
        <f t="shared" si="93"/>
        <v>0</v>
      </c>
      <c r="AR99" s="531">
        <f t="shared" si="93"/>
        <v>0</v>
      </c>
      <c r="AS99" s="531">
        <f t="shared" si="93"/>
        <v>0</v>
      </c>
      <c r="AU99"/>
    </row>
    <row r="100" spans="1:47" ht="13.9" customHeight="1">
      <c r="B100" s="679"/>
      <c r="C100" s="515" t="s">
        <v>144</v>
      </c>
      <c r="D100" s="529"/>
      <c r="E100" s="529"/>
      <c r="F100" s="529"/>
      <c r="G100" s="529"/>
      <c r="H100" s="529"/>
      <c r="I100" s="529"/>
      <c r="J100" s="529"/>
      <c r="K100" s="529"/>
      <c r="L100" s="529"/>
      <c r="M100" s="529"/>
      <c r="N100" s="529"/>
      <c r="O100" s="529"/>
      <c r="Q100" s="679"/>
      <c r="R100" s="515" t="s">
        <v>144</v>
      </c>
      <c r="S100" s="531">
        <v>3234246.1830000002</v>
      </c>
      <c r="T100" s="531">
        <v>2506182.5229999996</v>
      </c>
      <c r="U100" s="531">
        <v>2680131</v>
      </c>
      <c r="V100" s="531">
        <v>2480217.3789999997</v>
      </c>
      <c r="W100" s="531">
        <v>2790014.9539999999</v>
      </c>
      <c r="X100" s="531">
        <v>2806945.628</v>
      </c>
      <c r="Y100" s="531">
        <v>2707512.273</v>
      </c>
      <c r="Z100" s="531">
        <v>2609979.2340000002</v>
      </c>
      <c r="AA100" s="531">
        <v>2715996.6740000001</v>
      </c>
      <c r="AB100" s="531"/>
      <c r="AC100" s="531"/>
      <c r="AD100" s="531"/>
      <c r="AF100" s="679"/>
      <c r="AG100" s="515" t="s">
        <v>144</v>
      </c>
      <c r="AH100" s="531">
        <f>IF(S100=0,0,S100)</f>
        <v>3234246.1830000002</v>
      </c>
      <c r="AI100" s="531">
        <f t="shared" si="93"/>
        <v>5740428.7060000002</v>
      </c>
      <c r="AJ100" s="531">
        <f t="shared" si="93"/>
        <v>8420559.7060000002</v>
      </c>
      <c r="AK100" s="531">
        <f t="shared" si="93"/>
        <v>10900777.085000001</v>
      </c>
      <c r="AL100" s="531">
        <f t="shared" si="93"/>
        <v>13690792.039000001</v>
      </c>
      <c r="AM100" s="531">
        <f t="shared" si="93"/>
        <v>16497737.667000001</v>
      </c>
      <c r="AN100" s="531">
        <f t="shared" si="93"/>
        <v>19205249.940000001</v>
      </c>
      <c r="AO100" s="531">
        <f t="shared" si="93"/>
        <v>21815229.174000002</v>
      </c>
      <c r="AP100" s="531">
        <f t="shared" si="93"/>
        <v>24531225.848000001</v>
      </c>
      <c r="AQ100" s="531">
        <f t="shared" si="93"/>
        <v>0</v>
      </c>
      <c r="AR100" s="531">
        <f t="shared" si="93"/>
        <v>0</v>
      </c>
      <c r="AS100" s="531">
        <f t="shared" si="93"/>
        <v>0</v>
      </c>
      <c r="AU100"/>
    </row>
    <row r="101" spans="1:47" ht="13.9" customHeight="1">
      <c r="B101" s="679"/>
      <c r="C101" s="516" t="s">
        <v>145</v>
      </c>
      <c r="D101" s="530">
        <v>10.62</v>
      </c>
      <c r="E101" s="530">
        <v>10.62</v>
      </c>
      <c r="F101" s="530">
        <v>10.62</v>
      </c>
      <c r="G101" s="530">
        <v>10.42</v>
      </c>
      <c r="H101" s="530">
        <v>10.23</v>
      </c>
      <c r="I101" s="530">
        <v>10.039999999999999</v>
      </c>
      <c r="J101" s="530">
        <v>9.9600000000000009</v>
      </c>
      <c r="K101" s="530">
        <v>9.89</v>
      </c>
      <c r="L101" s="530">
        <v>9.82</v>
      </c>
      <c r="M101" s="530">
        <v>9.75</v>
      </c>
      <c r="N101" s="530">
        <v>9.67</v>
      </c>
      <c r="O101" s="530">
        <v>9.6</v>
      </c>
      <c r="Q101" s="679"/>
      <c r="R101" s="515" t="s">
        <v>145</v>
      </c>
      <c r="S101" s="530">
        <f>IF(S98=0,0,(S98-S99-S100)/S98*100)</f>
        <v>-12.631806947440765</v>
      </c>
      <c r="T101" s="530">
        <f t="shared" ref="T101:AD101" si="94">IF(T98=0,0,(T98-T99-T100)/T98*100)</f>
        <v>3.7479220806200404</v>
      </c>
      <c r="U101" s="530">
        <f t="shared" ref="U101" si="95">IF(U98=0,0,(U98-U99-U100)/U98*100)</f>
        <v>15.116896702468358</v>
      </c>
      <c r="V101" s="530">
        <f t="shared" si="94"/>
        <v>20.895355279039844</v>
      </c>
      <c r="W101" s="530">
        <f t="shared" si="94"/>
        <v>15.97310115567227</v>
      </c>
      <c r="X101" s="530">
        <f t="shared" si="94"/>
        <v>10.4132539412205</v>
      </c>
      <c r="Y101" s="530">
        <f t="shared" si="94"/>
        <v>9.6746875349892907</v>
      </c>
      <c r="Z101" s="530">
        <f t="shared" si="94"/>
        <v>11.783125925572957</v>
      </c>
      <c r="AA101" s="530">
        <f t="shared" si="94"/>
        <v>10.905256935536523</v>
      </c>
      <c r="AB101" s="530">
        <f t="shared" si="94"/>
        <v>0</v>
      </c>
      <c r="AC101" s="530">
        <f t="shared" si="94"/>
        <v>0</v>
      </c>
      <c r="AD101" s="530">
        <f t="shared" si="94"/>
        <v>0</v>
      </c>
      <c r="AF101" s="679"/>
      <c r="AG101" s="516" t="s">
        <v>145</v>
      </c>
      <c r="AH101" s="530">
        <f t="shared" ref="AH101:AS101" si="96">IF(AH98=0,0,(AH98-AH99-AH100)/AH98*100)</f>
        <v>-12.631806947440765</v>
      </c>
      <c r="AI101" s="530">
        <f t="shared" si="96"/>
        <v>-4.8323047376231782</v>
      </c>
      <c r="AJ101" s="530">
        <f t="shared" si="96"/>
        <v>2.4670830796497727</v>
      </c>
      <c r="AK101" s="530">
        <f t="shared" si="96"/>
        <v>7.3814707844409595</v>
      </c>
      <c r="AL101" s="530">
        <f t="shared" si="96"/>
        <v>9.2717188915289448</v>
      </c>
      <c r="AM101" s="530">
        <f t="shared" si="96"/>
        <v>9.4679601842999137</v>
      </c>
      <c r="AN101" s="530">
        <f t="shared" si="96"/>
        <v>9.4971667817519112</v>
      </c>
      <c r="AO101" s="530">
        <f t="shared" si="96"/>
        <v>9.7770328229887475</v>
      </c>
      <c r="AP101" s="530">
        <f t="shared" si="96"/>
        <v>9.9033668486832145</v>
      </c>
      <c r="AQ101" s="530">
        <f t="shared" si="96"/>
        <v>0</v>
      </c>
      <c r="AR101" s="530">
        <f t="shared" si="96"/>
        <v>0</v>
      </c>
      <c r="AS101" s="530">
        <f t="shared" si="96"/>
        <v>0</v>
      </c>
      <c r="AU101"/>
    </row>
    <row r="102" spans="1:47" ht="13.9" customHeight="1">
      <c r="B102" s="679" t="s">
        <v>89</v>
      </c>
      <c r="C102" s="515" t="s">
        <v>142</v>
      </c>
      <c r="D102" s="529"/>
      <c r="E102" s="529"/>
      <c r="F102" s="529"/>
      <c r="G102" s="529"/>
      <c r="H102" s="529"/>
      <c r="I102" s="529"/>
      <c r="J102" s="529"/>
      <c r="K102" s="529"/>
      <c r="L102" s="529"/>
      <c r="M102" s="529"/>
      <c r="N102" s="529"/>
      <c r="O102" s="529"/>
      <c r="Q102" s="679" t="s">
        <v>89</v>
      </c>
      <c r="R102" s="515" t="s">
        <v>142</v>
      </c>
      <c r="S102" s="531">
        <v>3227200.850000001</v>
      </c>
      <c r="T102" s="531">
        <v>2950915.399999999</v>
      </c>
      <c r="U102" s="531">
        <v>3446256.03</v>
      </c>
      <c r="V102" s="531">
        <v>3253528.28</v>
      </c>
      <c r="W102" s="531">
        <v>3311683.75</v>
      </c>
      <c r="X102" s="531">
        <v>3162196.8600000008</v>
      </c>
      <c r="Y102" s="531">
        <v>3279861.1947999997</v>
      </c>
      <c r="Z102" s="531">
        <v>3231677.1109000011</v>
      </c>
      <c r="AA102" s="531">
        <v>3173585.3100000005</v>
      </c>
      <c r="AB102" s="531"/>
      <c r="AC102" s="531"/>
      <c r="AD102" s="531"/>
      <c r="AF102" s="679" t="s">
        <v>89</v>
      </c>
      <c r="AG102" s="515" t="s">
        <v>142</v>
      </c>
      <c r="AH102" s="531">
        <f>IF(S102=0,0,S102)</f>
        <v>3227200.850000001</v>
      </c>
      <c r="AI102" s="531">
        <f t="shared" ref="AI102:AS104" si="97">IF(T102=0,0,AH102+T102)</f>
        <v>6178116.25</v>
      </c>
      <c r="AJ102" s="531">
        <f t="shared" si="97"/>
        <v>9624372.2799999993</v>
      </c>
      <c r="AK102" s="531">
        <f t="shared" si="97"/>
        <v>12877900.559999999</v>
      </c>
      <c r="AL102" s="531">
        <f t="shared" si="97"/>
        <v>16189584.309999999</v>
      </c>
      <c r="AM102" s="531">
        <f t="shared" si="97"/>
        <v>19351781.169999998</v>
      </c>
      <c r="AN102" s="531">
        <f t="shared" si="97"/>
        <v>22631642.364799999</v>
      </c>
      <c r="AO102" s="531">
        <f t="shared" si="97"/>
        <v>25863319.475699998</v>
      </c>
      <c r="AP102" s="531">
        <f t="shared" si="97"/>
        <v>29036904.785700001</v>
      </c>
      <c r="AQ102" s="531">
        <f t="shared" si="97"/>
        <v>0</v>
      </c>
      <c r="AR102" s="531">
        <f t="shared" si="97"/>
        <v>0</v>
      </c>
      <c r="AS102" s="531">
        <f t="shared" si="97"/>
        <v>0</v>
      </c>
      <c r="AU102"/>
    </row>
    <row r="103" spans="1:47" ht="13.9" customHeight="1">
      <c r="B103" s="679"/>
      <c r="C103" s="515" t="s">
        <v>143</v>
      </c>
      <c r="D103" s="529"/>
      <c r="E103" s="529"/>
      <c r="F103" s="529"/>
      <c r="G103" s="529"/>
      <c r="H103" s="529"/>
      <c r="I103" s="529"/>
      <c r="J103" s="529"/>
      <c r="K103" s="529"/>
      <c r="L103" s="529"/>
      <c r="M103" s="529"/>
      <c r="N103" s="529"/>
      <c r="O103" s="529"/>
      <c r="Q103" s="679"/>
      <c r="R103" s="515" t="s">
        <v>143</v>
      </c>
      <c r="S103" s="531">
        <v>35385.911999999997</v>
      </c>
      <c r="T103" s="531">
        <v>35478.576000000001</v>
      </c>
      <c r="U103" s="531">
        <v>35584.06</v>
      </c>
      <c r="V103" s="531">
        <v>35657.78</v>
      </c>
      <c r="W103" s="531">
        <v>35817.623999999996</v>
      </c>
      <c r="X103" s="531">
        <v>36030.311999999998</v>
      </c>
      <c r="Y103" s="531">
        <v>36149.184000000001</v>
      </c>
      <c r="Z103" s="531">
        <v>36339.551999999996</v>
      </c>
      <c r="AA103" s="531">
        <v>36408.487999999998</v>
      </c>
      <c r="AB103" s="531"/>
      <c r="AC103" s="531"/>
      <c r="AD103" s="531"/>
      <c r="AF103" s="679"/>
      <c r="AG103" s="515" t="s">
        <v>143</v>
      </c>
      <c r="AH103" s="531">
        <f>IF(S103=0,0,S103)</f>
        <v>35385.911999999997</v>
      </c>
      <c r="AI103" s="531">
        <f t="shared" si="97"/>
        <v>70864.487999999998</v>
      </c>
      <c r="AJ103" s="531">
        <f t="shared" si="97"/>
        <v>106448.548</v>
      </c>
      <c r="AK103" s="531">
        <f t="shared" si="97"/>
        <v>142106.32799999998</v>
      </c>
      <c r="AL103" s="531">
        <f t="shared" si="97"/>
        <v>177923.95199999999</v>
      </c>
      <c r="AM103" s="531">
        <f>IF(X103=0,0,AL103+Z98)</f>
        <v>3168242.1894999989</v>
      </c>
      <c r="AN103" s="531">
        <f t="shared" si="97"/>
        <v>3204391.3734999988</v>
      </c>
      <c r="AO103" s="531">
        <f t="shared" si="97"/>
        <v>3240730.925499999</v>
      </c>
      <c r="AP103" s="531">
        <f t="shared" si="97"/>
        <v>3277139.4134999989</v>
      </c>
      <c r="AQ103" s="531">
        <f t="shared" si="97"/>
        <v>0</v>
      </c>
      <c r="AR103" s="531">
        <f t="shared" si="97"/>
        <v>0</v>
      </c>
      <c r="AS103" s="531">
        <f t="shared" si="97"/>
        <v>0</v>
      </c>
      <c r="AU103"/>
    </row>
    <row r="104" spans="1:47" ht="13.9" customHeight="1">
      <c r="B104" s="679"/>
      <c r="C104" s="515" t="s">
        <v>144</v>
      </c>
      <c r="D104" s="529"/>
      <c r="E104" s="529"/>
      <c r="F104" s="529"/>
      <c r="G104" s="529"/>
      <c r="H104" s="529"/>
      <c r="I104" s="529"/>
      <c r="J104" s="529"/>
      <c r="K104" s="529"/>
      <c r="L104" s="529"/>
      <c r="M104" s="529"/>
      <c r="N104" s="529"/>
      <c r="O104" s="529"/>
      <c r="Q104" s="679"/>
      <c r="R104" s="515" t="s">
        <v>144</v>
      </c>
      <c r="S104" s="531">
        <v>3822574.7429999998</v>
      </c>
      <c r="T104" s="531">
        <v>3055884.6129999999</v>
      </c>
      <c r="U104" s="531">
        <v>2991582</v>
      </c>
      <c r="V104" s="531">
        <v>2529214.0219999999</v>
      </c>
      <c r="W104" s="531">
        <v>2774782.591</v>
      </c>
      <c r="X104" s="531">
        <v>2881688.6610000003</v>
      </c>
      <c r="Y104" s="531">
        <v>3046430.0930000003</v>
      </c>
      <c r="Z104" s="531">
        <v>2923099.5060000001</v>
      </c>
      <c r="AA104" s="531">
        <v>2888353.7889999999</v>
      </c>
      <c r="AB104" s="531"/>
      <c r="AC104" s="531"/>
      <c r="AD104" s="531"/>
      <c r="AF104" s="679"/>
      <c r="AG104" s="515" t="s">
        <v>144</v>
      </c>
      <c r="AH104" s="531">
        <f>IF(S104=0,0,S104)</f>
        <v>3822574.7429999998</v>
      </c>
      <c r="AI104" s="531">
        <f t="shared" si="97"/>
        <v>6878459.3559999997</v>
      </c>
      <c r="AJ104" s="531">
        <f t="shared" si="97"/>
        <v>9870041.3559999987</v>
      </c>
      <c r="AK104" s="531">
        <f t="shared" si="97"/>
        <v>12399255.377999999</v>
      </c>
      <c r="AL104" s="531">
        <f t="shared" si="97"/>
        <v>15174037.968999999</v>
      </c>
      <c r="AM104" s="531">
        <f t="shared" si="97"/>
        <v>18055726.629999999</v>
      </c>
      <c r="AN104" s="531">
        <f t="shared" si="97"/>
        <v>21102156.722999997</v>
      </c>
      <c r="AO104" s="531">
        <f t="shared" si="97"/>
        <v>24025256.228999998</v>
      </c>
      <c r="AP104" s="531">
        <f t="shared" si="97"/>
        <v>26913610.017999999</v>
      </c>
      <c r="AQ104" s="531">
        <f t="shared" si="97"/>
        <v>0</v>
      </c>
      <c r="AR104" s="531">
        <f t="shared" si="97"/>
        <v>0</v>
      </c>
      <c r="AS104" s="531">
        <f t="shared" si="97"/>
        <v>0</v>
      </c>
      <c r="AU104"/>
    </row>
    <row r="105" spans="1:47" ht="13.9" customHeight="1">
      <c r="B105" s="679"/>
      <c r="C105" s="516" t="s">
        <v>145</v>
      </c>
      <c r="D105" s="530">
        <v>6.91</v>
      </c>
      <c r="E105" s="530">
        <v>6.91</v>
      </c>
      <c r="F105" s="530">
        <v>6.91</v>
      </c>
      <c r="G105" s="530">
        <v>6.78</v>
      </c>
      <c r="H105" s="530">
        <v>6.66</v>
      </c>
      <c r="I105" s="530">
        <v>6.53</v>
      </c>
      <c r="J105" s="530">
        <v>6.49</v>
      </c>
      <c r="K105" s="530">
        <v>6.44</v>
      </c>
      <c r="L105" s="530">
        <v>6.39</v>
      </c>
      <c r="M105" s="530">
        <v>6.34</v>
      </c>
      <c r="N105" s="530">
        <v>6.3</v>
      </c>
      <c r="O105" s="530">
        <v>6.25</v>
      </c>
      <c r="Q105" s="679"/>
      <c r="R105" s="515" t="s">
        <v>145</v>
      </c>
      <c r="S105" s="530">
        <f t="shared" ref="S105:AD105" si="98">IF(S102=0,0,(S102-S103-S104)/S102*100)</f>
        <v>-19.545105319366737</v>
      </c>
      <c r="T105" s="530">
        <f t="shared" si="98"/>
        <v>-4.7594651137745547</v>
      </c>
      <c r="U105" s="530">
        <f t="shared" ref="U105" si="99">IF(U102=0,0,(U102-U103-U104)/U102*100)</f>
        <v>12.160732294750595</v>
      </c>
      <c r="V105" s="530">
        <f t="shared" si="98"/>
        <v>21.166451271786705</v>
      </c>
      <c r="W105" s="530">
        <f t="shared" si="98"/>
        <v>15.130778565435184</v>
      </c>
      <c r="X105" s="530">
        <f t="shared" si="98"/>
        <v>7.7312671482445445</v>
      </c>
      <c r="Y105" s="530">
        <f t="shared" si="98"/>
        <v>6.0149471603486377</v>
      </c>
      <c r="Z105" s="530">
        <f t="shared" si="98"/>
        <v>8.4240486768241656</v>
      </c>
      <c r="AA105" s="530">
        <f t="shared" si="98"/>
        <v>7.8404393988072973</v>
      </c>
      <c r="AB105" s="530">
        <f t="shared" si="98"/>
        <v>0</v>
      </c>
      <c r="AC105" s="530">
        <f t="shared" si="98"/>
        <v>0</v>
      </c>
      <c r="AD105" s="530">
        <f t="shared" si="98"/>
        <v>0</v>
      </c>
      <c r="AF105" s="679"/>
      <c r="AG105" s="516" t="s">
        <v>145</v>
      </c>
      <c r="AH105" s="530">
        <f t="shared" ref="AH105:AS105" si="100">IF(AH102=0,0,(AH102-AH103-AH104)/AH102*100)</f>
        <v>-19.545105319366737</v>
      </c>
      <c r="AI105" s="530">
        <f t="shared" si="100"/>
        <v>-12.482892240818543</v>
      </c>
      <c r="AJ105" s="530">
        <f t="shared" si="100"/>
        <v>-3.658603530244986</v>
      </c>
      <c r="AK105" s="530">
        <f t="shared" si="100"/>
        <v>2.6133052700012485</v>
      </c>
      <c r="AL105" s="530">
        <f t="shared" si="100"/>
        <v>5.1738350593882574</v>
      </c>
      <c r="AM105" s="530">
        <f t="shared" si="100"/>
        <v>-9.6744978307337881</v>
      </c>
      <c r="AN105" s="530">
        <f t="shared" si="100"/>
        <v>-7.4007255182904936</v>
      </c>
      <c r="AO105" s="530">
        <f t="shared" si="100"/>
        <v>-5.423386120709992</v>
      </c>
      <c r="AP105" s="530">
        <f t="shared" si="100"/>
        <v>-3.9737177716277801</v>
      </c>
      <c r="AQ105" s="530">
        <f t="shared" si="100"/>
        <v>0</v>
      </c>
      <c r="AR105" s="530">
        <f t="shared" si="100"/>
        <v>0</v>
      </c>
      <c r="AS105" s="530">
        <f t="shared" si="100"/>
        <v>0</v>
      </c>
      <c r="AU105"/>
    </row>
    <row r="106" spans="1:47" ht="13.9" customHeight="1">
      <c r="B106" s="680" t="s">
        <v>90</v>
      </c>
      <c r="C106" s="515" t="s">
        <v>142</v>
      </c>
      <c r="D106" s="529"/>
      <c r="E106" s="529"/>
      <c r="F106" s="529"/>
      <c r="G106" s="529"/>
      <c r="H106" s="529"/>
      <c r="I106" s="529"/>
      <c r="J106" s="529"/>
      <c r="K106" s="529"/>
      <c r="L106" s="529"/>
      <c r="M106" s="529"/>
      <c r="N106" s="529"/>
      <c r="O106" s="529"/>
      <c r="Q106" s="680" t="s">
        <v>90</v>
      </c>
      <c r="R106" s="515" t="s">
        <v>142</v>
      </c>
      <c r="S106" s="513">
        <f t="shared" ref="S106:U107" si="101">S86+S90+S94+S98+S102</f>
        <v>19958615.650000002</v>
      </c>
      <c r="T106" s="513">
        <f t="shared" si="101"/>
        <v>18477721.98</v>
      </c>
      <c r="U106" s="513">
        <f t="shared" si="101"/>
        <v>21017324.199999999</v>
      </c>
      <c r="V106" s="513">
        <f t="shared" ref="V106:AD106" si="102">V86+V90+V94+V98+V102</f>
        <v>20070206.860000003</v>
      </c>
      <c r="W106" s="513">
        <f t="shared" si="102"/>
        <v>21247312.170000002</v>
      </c>
      <c r="X106" s="513">
        <f t="shared" si="102"/>
        <v>19796438.639999997</v>
      </c>
      <c r="Y106" s="513">
        <f t="shared" si="102"/>
        <v>20612570.466900002</v>
      </c>
      <c r="Z106" s="513">
        <f t="shared" si="102"/>
        <v>20306030.860399999</v>
      </c>
      <c r="AA106" s="513">
        <f t="shared" si="102"/>
        <v>20516181.2403</v>
      </c>
      <c r="AB106" s="513">
        <f t="shared" si="102"/>
        <v>0</v>
      </c>
      <c r="AC106" s="513">
        <f t="shared" si="102"/>
        <v>0</v>
      </c>
      <c r="AD106" s="513">
        <f t="shared" si="102"/>
        <v>0</v>
      </c>
      <c r="AF106" s="680" t="s">
        <v>90</v>
      </c>
      <c r="AG106" s="515" t="s">
        <v>142</v>
      </c>
      <c r="AH106" s="513">
        <f t="shared" ref="AH106:AI108" si="103">AH86+AH90+AH94+AH98+AH102</f>
        <v>19958615.650000002</v>
      </c>
      <c r="AI106" s="513">
        <f t="shared" si="103"/>
        <v>38436337.630000003</v>
      </c>
      <c r="AJ106" s="513">
        <f t="shared" ref="AJ106:AS108" si="104">IF(U106=0,0,AI106+U106)</f>
        <v>59453661.829999998</v>
      </c>
      <c r="AK106" s="513">
        <f t="shared" si="104"/>
        <v>79523868.689999998</v>
      </c>
      <c r="AL106" s="513">
        <f t="shared" si="104"/>
        <v>100771180.86</v>
      </c>
      <c r="AM106" s="513">
        <f t="shared" si="104"/>
        <v>120567619.5</v>
      </c>
      <c r="AN106" s="513">
        <f t="shared" si="104"/>
        <v>141180189.96689999</v>
      </c>
      <c r="AO106" s="513">
        <f t="shared" si="104"/>
        <v>161486220.82729998</v>
      </c>
      <c r="AP106" s="513">
        <f t="shared" si="104"/>
        <v>182002402.06759998</v>
      </c>
      <c r="AQ106" s="513">
        <f t="shared" si="104"/>
        <v>0</v>
      </c>
      <c r="AR106" s="513">
        <f t="shared" si="104"/>
        <v>0</v>
      </c>
      <c r="AS106" s="513">
        <f t="shared" si="104"/>
        <v>0</v>
      </c>
    </row>
    <row r="107" spans="1:47" ht="13.9" customHeight="1">
      <c r="B107" s="680"/>
      <c r="C107" s="515" t="s">
        <v>143</v>
      </c>
      <c r="D107" s="529"/>
      <c r="E107" s="529"/>
      <c r="F107" s="529"/>
      <c r="G107" s="529"/>
      <c r="H107" s="529"/>
      <c r="I107" s="529"/>
      <c r="J107" s="529"/>
      <c r="K107" s="529"/>
      <c r="L107" s="529"/>
      <c r="M107" s="529"/>
      <c r="N107" s="529"/>
      <c r="O107" s="529"/>
      <c r="Q107" s="680"/>
      <c r="R107" s="515" t="s">
        <v>143</v>
      </c>
      <c r="S107" s="513">
        <f t="shared" si="101"/>
        <v>195355.152</v>
      </c>
      <c r="T107" s="513">
        <f t="shared" si="101"/>
        <v>196250.68800000002</v>
      </c>
      <c r="U107" s="513">
        <f t="shared" si="101"/>
        <v>196777.00999999998</v>
      </c>
      <c r="V107" s="513">
        <f t="shared" ref="V107:AD107" si="105">V87+V91+V95+V99+V103</f>
        <v>197250.91</v>
      </c>
      <c r="W107" s="513">
        <f t="shared" si="105"/>
        <v>197702.56800000003</v>
      </c>
      <c r="X107" s="513">
        <f>X87+X91+X95+X99+X103</f>
        <v>198153.00000000003</v>
      </c>
      <c r="Y107" s="513">
        <f t="shared" si="105"/>
        <v>198541.44</v>
      </c>
      <c r="Z107" s="513">
        <f t="shared" si="105"/>
        <v>199352.304</v>
      </c>
      <c r="AA107" s="513">
        <f t="shared" si="105"/>
        <v>199705.17599999998</v>
      </c>
      <c r="AB107" s="513">
        <f t="shared" si="105"/>
        <v>0</v>
      </c>
      <c r="AC107" s="513">
        <f t="shared" si="105"/>
        <v>0</v>
      </c>
      <c r="AD107" s="513">
        <f t="shared" si="105"/>
        <v>0</v>
      </c>
      <c r="AF107" s="680"/>
      <c r="AG107" s="515" t="s">
        <v>143</v>
      </c>
      <c r="AH107" s="513">
        <f t="shared" si="103"/>
        <v>195355.152</v>
      </c>
      <c r="AI107" s="513">
        <f t="shared" si="103"/>
        <v>391605.84</v>
      </c>
      <c r="AJ107" s="513">
        <f t="shared" si="104"/>
        <v>588382.85</v>
      </c>
      <c r="AK107" s="513">
        <f t="shared" si="104"/>
        <v>785633.76</v>
      </c>
      <c r="AL107" s="513">
        <f t="shared" si="104"/>
        <v>983336.32799999998</v>
      </c>
      <c r="AM107" s="513">
        <f t="shared" si="104"/>
        <v>1181489.328</v>
      </c>
      <c r="AN107" s="513">
        <f t="shared" si="104"/>
        <v>1380030.7679999999</v>
      </c>
      <c r="AO107" s="513">
        <f t="shared" si="104"/>
        <v>1579383.0719999999</v>
      </c>
      <c r="AP107" s="513">
        <f t="shared" si="104"/>
        <v>1779088.2479999999</v>
      </c>
      <c r="AQ107" s="513">
        <f t="shared" si="104"/>
        <v>0</v>
      </c>
      <c r="AR107" s="513">
        <f t="shared" si="104"/>
        <v>0</v>
      </c>
      <c r="AS107" s="513">
        <f t="shared" si="104"/>
        <v>0</v>
      </c>
    </row>
    <row r="108" spans="1:47" ht="13.9" customHeight="1">
      <c r="B108" s="680"/>
      <c r="C108" s="515" t="s">
        <v>144</v>
      </c>
      <c r="D108" s="529"/>
      <c r="E108" s="529"/>
      <c r="F108" s="529"/>
      <c r="G108" s="529"/>
      <c r="H108" s="529"/>
      <c r="I108" s="529"/>
      <c r="J108" s="529"/>
      <c r="K108" s="529"/>
      <c r="L108" s="529"/>
      <c r="M108" s="529"/>
      <c r="N108" s="529"/>
      <c r="O108" s="529"/>
      <c r="Q108" s="680"/>
      <c r="R108" s="515" t="s">
        <v>144</v>
      </c>
      <c r="S108" s="513">
        <f>S88+S92+S96+S100+S104</f>
        <v>22893317.736000001</v>
      </c>
      <c r="T108" s="513">
        <f t="shared" ref="T108:AD108" si="106">T88+T92+T96+T100+T104</f>
        <v>19082998.254999999</v>
      </c>
      <c r="U108" s="513">
        <f t="shared" ref="U108" si="107">U88+U92+U96+U100+U104</f>
        <v>18603968</v>
      </c>
      <c r="V108" s="513">
        <f t="shared" si="106"/>
        <v>15369537.355999999</v>
      </c>
      <c r="W108" s="513">
        <f t="shared" si="106"/>
        <v>17388719.600000001</v>
      </c>
      <c r="X108" s="513">
        <f t="shared" si="106"/>
        <v>17608267.153000001</v>
      </c>
      <c r="Y108" s="513">
        <f t="shared" si="106"/>
        <v>18040738.391000003</v>
      </c>
      <c r="Z108" s="513">
        <f t="shared" si="106"/>
        <v>18114968.208000001</v>
      </c>
      <c r="AA108" s="513">
        <f t="shared" si="106"/>
        <v>18181142.642000001</v>
      </c>
      <c r="AB108" s="513">
        <f t="shared" si="106"/>
        <v>0</v>
      </c>
      <c r="AC108" s="513">
        <f t="shared" si="106"/>
        <v>0</v>
      </c>
      <c r="AD108" s="513">
        <f t="shared" si="106"/>
        <v>0</v>
      </c>
      <c r="AF108" s="680"/>
      <c r="AG108" s="515" t="s">
        <v>144</v>
      </c>
      <c r="AH108" s="513">
        <f t="shared" si="103"/>
        <v>22893317.736000001</v>
      </c>
      <c r="AI108" s="513">
        <f t="shared" si="103"/>
        <v>41976315.991000004</v>
      </c>
      <c r="AJ108" s="513">
        <f t="shared" si="104"/>
        <v>60580283.991000004</v>
      </c>
      <c r="AK108" s="513">
        <f t="shared" si="104"/>
        <v>75949821.347000003</v>
      </c>
      <c r="AL108" s="513">
        <f t="shared" si="104"/>
        <v>93338540.946999997</v>
      </c>
      <c r="AM108" s="513">
        <f t="shared" si="104"/>
        <v>110946808.09999999</v>
      </c>
      <c r="AN108" s="513">
        <f t="shared" si="104"/>
        <v>128987546.491</v>
      </c>
      <c r="AO108" s="513">
        <f t="shared" si="104"/>
        <v>147102514.699</v>
      </c>
      <c r="AP108" s="513">
        <f t="shared" si="104"/>
        <v>165283657.34099999</v>
      </c>
      <c r="AQ108" s="513">
        <f t="shared" si="104"/>
        <v>0</v>
      </c>
      <c r="AR108" s="513">
        <f t="shared" si="104"/>
        <v>0</v>
      </c>
      <c r="AS108" s="513">
        <f t="shared" si="104"/>
        <v>0</v>
      </c>
    </row>
    <row r="109" spans="1:47" ht="13.9" customHeight="1">
      <c r="B109" s="680"/>
      <c r="C109" s="516" t="s">
        <v>145</v>
      </c>
      <c r="D109" s="530">
        <v>9.9499999999999993</v>
      </c>
      <c r="E109" s="530">
        <v>9.9499999999999993</v>
      </c>
      <c r="F109" s="530">
        <v>9.9499999999999993</v>
      </c>
      <c r="G109" s="530">
        <v>9.77</v>
      </c>
      <c r="H109" s="530">
        <v>9.59</v>
      </c>
      <c r="I109" s="530">
        <v>9.41</v>
      </c>
      <c r="J109" s="530">
        <v>9.34</v>
      </c>
      <c r="K109" s="530">
        <v>9.27</v>
      </c>
      <c r="L109" s="530">
        <v>9.1999999999999993</v>
      </c>
      <c r="M109" s="530">
        <v>9.14</v>
      </c>
      <c r="N109" s="530">
        <v>9.07</v>
      </c>
      <c r="O109" s="530">
        <v>9</v>
      </c>
      <c r="Q109" s="680"/>
      <c r="R109" s="516" t="s">
        <v>145</v>
      </c>
      <c r="S109" s="530">
        <f t="shared" ref="S109:AD109" si="108">IF(S106=0,0,(S106-S107-S108)/S106*100)</f>
        <v>-15.682737184229497</v>
      </c>
      <c r="T109" s="530">
        <f t="shared" si="108"/>
        <v>-4.3378018343795839</v>
      </c>
      <c r="U109" s="530">
        <f t="shared" ref="U109" si="109">IF(U106=0,0,(U106-U107-U108)/U106*100)</f>
        <v>10.546438589932384</v>
      </c>
      <c r="V109" s="530">
        <f t="shared" si="108"/>
        <v>22.43832674677277</v>
      </c>
      <c r="W109" s="530">
        <f t="shared" si="108"/>
        <v>17.229896999249483</v>
      </c>
      <c r="X109" s="530">
        <f t="shared" si="108"/>
        <v>10.0524065120432</v>
      </c>
      <c r="Y109" s="530">
        <f t="shared" si="108"/>
        <v>11.513802413488733</v>
      </c>
      <c r="Z109" s="530">
        <f t="shared" si="108"/>
        <v>9.808467061301231</v>
      </c>
      <c r="AA109" s="530">
        <f t="shared" si="108"/>
        <v>10.40804522678693</v>
      </c>
      <c r="AB109" s="530">
        <f t="shared" si="108"/>
        <v>0</v>
      </c>
      <c r="AC109" s="530">
        <f t="shared" si="108"/>
        <v>0</v>
      </c>
      <c r="AD109" s="530">
        <f t="shared" si="108"/>
        <v>0</v>
      </c>
      <c r="AF109" s="680"/>
      <c r="AG109" s="516" t="s">
        <v>145</v>
      </c>
      <c r="AH109" s="530">
        <f t="shared" ref="AH109:AS109" si="110">IF(AH106=0,0,(AH106-AH107-AH108)/AH106*100)</f>
        <v>-15.682737184229497</v>
      </c>
      <c r="AI109" s="530">
        <f t="shared" si="110"/>
        <v>-10.228821067310426</v>
      </c>
      <c r="AJ109" s="530">
        <f t="shared" si="110"/>
        <v>-2.8846078747913642</v>
      </c>
      <c r="AK109" s="530">
        <f t="shared" si="110"/>
        <v>3.5063857291321998</v>
      </c>
      <c r="AL109" s="530">
        <f t="shared" si="110"/>
        <v>6.3999484078289566</v>
      </c>
      <c r="AM109" s="530">
        <f t="shared" si="110"/>
        <v>6.9996588694363426</v>
      </c>
      <c r="AN109" s="530">
        <f t="shared" si="110"/>
        <v>7.6587322275420009</v>
      </c>
      <c r="AO109" s="530">
        <f t="shared" si="110"/>
        <v>7.929049915654077</v>
      </c>
      <c r="AP109" s="530">
        <f t="shared" si="110"/>
        <v>8.2084941236385731</v>
      </c>
      <c r="AQ109" s="530">
        <f t="shared" si="110"/>
        <v>0</v>
      </c>
      <c r="AR109" s="530">
        <f t="shared" si="110"/>
        <v>0</v>
      </c>
      <c r="AS109" s="530">
        <f t="shared" si="110"/>
        <v>0</v>
      </c>
    </row>
    <row r="110" spans="1:47">
      <c r="A110" s="105"/>
      <c r="D110"/>
      <c r="E110"/>
      <c r="F110"/>
      <c r="G110"/>
      <c r="H110"/>
      <c r="I110"/>
      <c r="J110"/>
      <c r="K110"/>
      <c r="L110"/>
      <c r="M110"/>
      <c r="N110"/>
      <c r="O110"/>
      <c r="S110"/>
      <c r="T110"/>
      <c r="U110"/>
      <c r="V110"/>
      <c r="W110"/>
      <c r="X110"/>
      <c r="Y110"/>
      <c r="Z110"/>
      <c r="AA110"/>
      <c r="AB110"/>
      <c r="AC110"/>
      <c r="AD110"/>
      <c r="AH110"/>
      <c r="AI110"/>
      <c r="AJ110"/>
      <c r="AK110"/>
      <c r="AL110"/>
      <c r="AM110"/>
      <c r="AN110"/>
      <c r="AO110"/>
      <c r="AP110"/>
      <c r="AQ110"/>
      <c r="AR110"/>
      <c r="AS110"/>
    </row>
    <row r="111" spans="1:47">
      <c r="A111" s="105"/>
      <c r="B111" s="21" t="s">
        <v>146</v>
      </c>
      <c r="Q111" t="str">
        <f>B111</f>
        <v>PENYELESAIAN TEMUAN P2TL</v>
      </c>
      <c r="AF111" t="str">
        <f>B111</f>
        <v>PENYELESAIAN TEMUAN P2TL</v>
      </c>
    </row>
    <row r="112" spans="1:47">
      <c r="A112" s="105"/>
      <c r="B112" s="21" t="s">
        <v>147</v>
      </c>
      <c r="E112" s="265"/>
      <c r="F112" s="265"/>
      <c r="G112" s="265"/>
      <c r="H112" s="265"/>
      <c r="I112" s="265"/>
      <c r="J112" s="265"/>
      <c r="K112" s="265"/>
      <c r="L112" s="265"/>
      <c r="M112" s="265"/>
      <c r="N112" s="265"/>
      <c r="O112" s="265"/>
      <c r="P112" s="251"/>
      <c r="Q112" t="s">
        <v>126</v>
      </c>
      <c r="AF112" t="s">
        <v>127</v>
      </c>
    </row>
    <row r="113" spans="1:45">
      <c r="A113" s="105"/>
      <c r="B113" s="681" t="s">
        <v>72</v>
      </c>
      <c r="C113" s="682"/>
      <c r="D113" s="638" t="s">
        <v>74</v>
      </c>
      <c r="E113" s="638" t="s">
        <v>75</v>
      </c>
      <c r="F113" s="638" t="s">
        <v>76</v>
      </c>
      <c r="G113" s="638" t="s">
        <v>77</v>
      </c>
      <c r="H113" s="638" t="s">
        <v>78</v>
      </c>
      <c r="I113" s="638" t="s">
        <v>79</v>
      </c>
      <c r="J113" s="638" t="s">
        <v>80</v>
      </c>
      <c r="K113" s="638" t="s">
        <v>81</v>
      </c>
      <c r="L113" s="638" t="s">
        <v>82</v>
      </c>
      <c r="M113" s="638" t="s">
        <v>83</v>
      </c>
      <c r="N113" s="638" t="s">
        <v>84</v>
      </c>
      <c r="O113" s="638" t="s">
        <v>85</v>
      </c>
      <c r="Q113" s="634" t="s">
        <v>72</v>
      </c>
      <c r="R113" s="635"/>
      <c r="S113" s="638" t="s">
        <v>74</v>
      </c>
      <c r="T113" s="638" t="s">
        <v>75</v>
      </c>
      <c r="U113" s="638" t="s">
        <v>76</v>
      </c>
      <c r="V113" s="638" t="s">
        <v>77</v>
      </c>
      <c r="W113" s="638" t="s">
        <v>78</v>
      </c>
      <c r="X113" s="638" t="s">
        <v>79</v>
      </c>
      <c r="Y113" s="638" t="s">
        <v>80</v>
      </c>
      <c r="Z113" s="638" t="s">
        <v>81</v>
      </c>
      <c r="AA113" s="638" t="s">
        <v>82</v>
      </c>
      <c r="AB113" s="638" t="s">
        <v>83</v>
      </c>
      <c r="AC113" s="638" t="s">
        <v>84</v>
      </c>
      <c r="AD113" s="638" t="s">
        <v>85</v>
      </c>
      <c r="AF113" s="634" t="s">
        <v>72</v>
      </c>
      <c r="AG113" s="635"/>
      <c r="AH113" s="638" t="s">
        <v>74</v>
      </c>
      <c r="AI113" s="638" t="s">
        <v>75</v>
      </c>
      <c r="AJ113" s="638" t="s">
        <v>76</v>
      </c>
      <c r="AK113" s="638" t="s">
        <v>77</v>
      </c>
      <c r="AL113" s="638" t="s">
        <v>78</v>
      </c>
      <c r="AM113" s="638" t="s">
        <v>79</v>
      </c>
      <c r="AN113" s="638" t="s">
        <v>80</v>
      </c>
      <c r="AO113" s="638" t="s">
        <v>81</v>
      </c>
      <c r="AP113" s="638" t="s">
        <v>82</v>
      </c>
      <c r="AQ113" s="638" t="s">
        <v>83</v>
      </c>
      <c r="AR113" s="638" t="s">
        <v>84</v>
      </c>
      <c r="AS113" s="638" t="s">
        <v>85</v>
      </c>
    </row>
    <row r="114" spans="1:45">
      <c r="A114" s="105"/>
      <c r="B114" s="689" t="s">
        <v>128</v>
      </c>
      <c r="C114" s="690"/>
      <c r="D114" s="532">
        <v>50867</v>
      </c>
      <c r="E114" s="532">
        <v>101733</v>
      </c>
      <c r="F114" s="532">
        <v>152600</v>
      </c>
      <c r="G114" s="532">
        <v>203467</v>
      </c>
      <c r="H114" s="532">
        <v>254333</v>
      </c>
      <c r="I114" s="532">
        <v>305200</v>
      </c>
      <c r="J114" s="532">
        <v>381500</v>
      </c>
      <c r="K114" s="532">
        <v>457800</v>
      </c>
      <c r="L114" s="532">
        <v>534100</v>
      </c>
      <c r="M114" s="532">
        <v>610400</v>
      </c>
      <c r="N114" s="532">
        <v>686700</v>
      </c>
      <c r="O114" s="532">
        <v>763000</v>
      </c>
      <c r="P114" s="273"/>
      <c r="Q114" s="639" t="s">
        <v>128</v>
      </c>
      <c r="R114" s="640"/>
      <c r="S114" s="532">
        <v>29468</v>
      </c>
      <c r="T114" s="532">
        <v>19278</v>
      </c>
      <c r="U114" s="532">
        <v>102359</v>
      </c>
      <c r="V114" s="532">
        <v>44832</v>
      </c>
      <c r="W114" s="513">
        <v>53992</v>
      </c>
      <c r="X114" s="513">
        <v>208930</v>
      </c>
      <c r="Y114" s="532">
        <v>145598</v>
      </c>
      <c r="Z114" s="509">
        <v>74011</v>
      </c>
      <c r="AA114" s="509">
        <v>98520</v>
      </c>
      <c r="AB114" s="509"/>
      <c r="AC114" s="509"/>
      <c r="AD114" s="508"/>
      <c r="AF114" s="639" t="s">
        <v>128</v>
      </c>
      <c r="AG114" s="642" t="s">
        <v>148</v>
      </c>
      <c r="AH114" s="533">
        <f>(S114/D114*100)</f>
        <v>57.931468339001711</v>
      </c>
      <c r="AI114" s="533">
        <f>SUM($S$114:T114)/E114*100</f>
        <v>47.915622266127997</v>
      </c>
      <c r="AJ114" s="533">
        <f>SUM($S$114:U114)/F114*100</f>
        <v>99.020314547837486</v>
      </c>
      <c r="AK114" s="533">
        <f>SUM($S$114:V114)/G114*100</f>
        <v>96.299154162591478</v>
      </c>
      <c r="AL114" s="533">
        <f>SUM($S$114:W114)/H114*100</f>
        <v>98.268411885205623</v>
      </c>
      <c r="AM114" s="533">
        <f>SUM($S$114:X114)/I114*100</f>
        <v>150.34698558322413</v>
      </c>
      <c r="AN114" s="533">
        <f>SUM($S$114:Y114)/J114*100</f>
        <v>158.4422018348624</v>
      </c>
      <c r="AO114" s="533">
        <f>SUM($S$114:Z114)/K114*100</f>
        <v>148.20183486238531</v>
      </c>
      <c r="AP114" s="533">
        <f>SUM($S$114:AA114)/L114*100</f>
        <v>145.47612806590527</v>
      </c>
      <c r="AQ114" s="533">
        <f>SUM($S$114:AB114)/M114*100</f>
        <v>127.29161205766711</v>
      </c>
      <c r="AR114" s="533">
        <f>SUM($S$114:AC114)/N114*100</f>
        <v>113.14809960681519</v>
      </c>
      <c r="AS114" s="533">
        <f>SUM($S$114:AD114)/O114*100</f>
        <v>101.83328964613368</v>
      </c>
    </row>
    <row r="115" spans="1:45">
      <c r="A115" s="105"/>
      <c r="B115" s="639" t="s">
        <v>149</v>
      </c>
      <c r="C115" s="640"/>
      <c r="D115" s="532">
        <v>7.9266895761741116</v>
      </c>
      <c r="E115" s="532">
        <v>15.853379152348223</v>
      </c>
      <c r="F115" s="532">
        <v>23.780068728522334</v>
      </c>
      <c r="G115" s="532">
        <v>31.706758304696447</v>
      </c>
      <c r="H115" s="532">
        <v>39.633447880870563</v>
      </c>
      <c r="I115" s="532">
        <v>47.560137457044668</v>
      </c>
      <c r="J115" s="532">
        <v>56.300114547537227</v>
      </c>
      <c r="K115" s="532">
        <v>65.040091638029779</v>
      </c>
      <c r="L115" s="532">
        <v>73.780068728522338</v>
      </c>
      <c r="M115" s="532">
        <v>82.520045819014882</v>
      </c>
      <c r="N115" s="532">
        <v>91.260022909507441</v>
      </c>
      <c r="O115" s="532">
        <v>100</v>
      </c>
      <c r="P115" s="273"/>
      <c r="Q115" s="639"/>
      <c r="R115" s="640"/>
      <c r="S115" s="532"/>
      <c r="T115" s="532"/>
      <c r="U115" s="532"/>
      <c r="V115" s="532"/>
      <c r="W115" s="513"/>
      <c r="X115" s="513"/>
      <c r="Y115" s="532"/>
      <c r="Z115" s="509"/>
      <c r="AA115" s="509"/>
      <c r="AB115" s="509"/>
      <c r="AC115" s="509"/>
      <c r="AD115" s="508"/>
      <c r="AF115" s="639"/>
      <c r="AG115" s="642" t="s">
        <v>150</v>
      </c>
      <c r="AH115" s="533">
        <f>S114/O114*100</f>
        <v>3.8621231979030148</v>
      </c>
      <c r="AI115" s="533">
        <f>SUM($S114:T$114)*100/$O114</f>
        <v>6.3887287024901704</v>
      </c>
      <c r="AJ115" s="533">
        <f>SUM($S114:U$114)*100/$O114</f>
        <v>19.804062909567495</v>
      </c>
      <c r="AK115" s="533">
        <f>SUM($S114:V$114)*100/$O114</f>
        <v>25.67981651376147</v>
      </c>
      <c r="AL115" s="533">
        <f>SUM($S114:W$114)*100/$O114</f>
        <v>32.756094364351242</v>
      </c>
      <c r="AM115" s="533">
        <f>SUM($S114:X$114)*100/$O114</f>
        <v>60.138794233289644</v>
      </c>
      <c r="AN115" s="533">
        <f>SUM($S114:Y$114)*100/$O114</f>
        <v>79.221100917431187</v>
      </c>
      <c r="AO115" s="533">
        <f>SUM($S114:Z$114)*100/$O114</f>
        <v>88.92110091743119</v>
      </c>
      <c r="AP115" s="533">
        <f>SUM($S114:AA$114)*100/$O114</f>
        <v>101.83328964613368</v>
      </c>
      <c r="AQ115" s="533">
        <f>SUM($S114:AB$114)*100/$O114</f>
        <v>101.83328964613368</v>
      </c>
      <c r="AR115" s="533">
        <f>SUM($S114:AC$114)*100/$O114</f>
        <v>101.83328964613368</v>
      </c>
      <c r="AS115" s="533">
        <f>SUM($S114:AD$114)*100/$O114</f>
        <v>101.83328964613368</v>
      </c>
    </row>
    <row r="116" spans="1:45">
      <c r="A116" s="105"/>
      <c r="B116" s="689" t="s">
        <v>87</v>
      </c>
      <c r="C116" s="690"/>
      <c r="D116" s="532">
        <v>100000</v>
      </c>
      <c r="E116" s="532">
        <v>200000</v>
      </c>
      <c r="F116" s="532">
        <v>300000</v>
      </c>
      <c r="G116" s="532">
        <v>400000</v>
      </c>
      <c r="H116" s="532">
        <v>500000</v>
      </c>
      <c r="I116" s="532">
        <v>600000</v>
      </c>
      <c r="J116" s="532">
        <v>750000</v>
      </c>
      <c r="K116" s="532">
        <v>900000</v>
      </c>
      <c r="L116" s="532">
        <v>1050000</v>
      </c>
      <c r="M116" s="532">
        <v>1200000</v>
      </c>
      <c r="N116" s="532">
        <v>1350000</v>
      </c>
      <c r="O116" s="532">
        <v>1500000</v>
      </c>
      <c r="P116" s="273"/>
      <c r="Q116" s="639" t="s">
        <v>87</v>
      </c>
      <c r="R116" s="640"/>
      <c r="S116" s="532">
        <v>140562</v>
      </c>
      <c r="T116" s="532">
        <v>4958</v>
      </c>
      <c r="U116" s="532">
        <v>106778</v>
      </c>
      <c r="V116" s="532">
        <v>109257</v>
      </c>
      <c r="W116" s="513">
        <v>111459</v>
      </c>
      <c r="X116" s="513">
        <v>213556</v>
      </c>
      <c r="Y116" s="532">
        <v>116417</v>
      </c>
      <c r="Z116" s="509">
        <v>200675</v>
      </c>
      <c r="AA116" s="509">
        <v>192703</v>
      </c>
      <c r="AB116" s="509"/>
      <c r="AC116" s="509"/>
      <c r="AD116" s="508"/>
      <c r="AF116" s="639" t="s">
        <v>87</v>
      </c>
      <c r="AG116" s="642" t="s">
        <v>148</v>
      </c>
      <c r="AH116" s="532">
        <f>(S116/D116*100)</f>
        <v>140.56200000000001</v>
      </c>
      <c r="AI116" s="532">
        <f>SUM($S$116:T116)/E116*100</f>
        <v>72.760000000000005</v>
      </c>
      <c r="AJ116" s="532">
        <f>SUM($S$116:U116)/F116*100</f>
        <v>84.099333333333334</v>
      </c>
      <c r="AK116" s="532">
        <f>SUM($S$116:V116)/G116*100</f>
        <v>90.388750000000002</v>
      </c>
      <c r="AL116" s="532">
        <f>SUM($S$116:W116)/H116*100</f>
        <v>94.602800000000002</v>
      </c>
      <c r="AM116" s="532">
        <f>SUM($S$116:X116)/I116*100</f>
        <v>114.42833333333333</v>
      </c>
      <c r="AN116" s="532">
        <f>SUM($S$116:Y116)/J116*100</f>
        <v>107.06493333333333</v>
      </c>
      <c r="AO116" s="532">
        <f>SUM($S$116:Z116)/K116*100</f>
        <v>111.518</v>
      </c>
      <c r="AP116" s="532">
        <f>SUM($S$116:AA116)/L116*100</f>
        <v>113.93952380952382</v>
      </c>
      <c r="AQ116" s="532">
        <f>SUM($S$116:AB116)/M116*100</f>
        <v>99.697083333333339</v>
      </c>
      <c r="AR116" s="532">
        <f>SUM($S$116:AC116)/N116*100</f>
        <v>88.619629629629628</v>
      </c>
      <c r="AS116" s="532">
        <f>SUM($S$116:AD116)/O116*100</f>
        <v>79.757666666666665</v>
      </c>
    </row>
    <row r="117" spans="1:45">
      <c r="A117" s="105"/>
      <c r="B117" s="639" t="s">
        <v>149</v>
      </c>
      <c r="C117" s="640"/>
      <c r="D117" s="532">
        <v>6.67</v>
      </c>
      <c r="E117" s="532">
        <v>13.33</v>
      </c>
      <c r="F117" s="532">
        <v>20</v>
      </c>
      <c r="G117" s="532">
        <v>26.67</v>
      </c>
      <c r="H117" s="532">
        <v>33.33</v>
      </c>
      <c r="I117" s="532">
        <v>40</v>
      </c>
      <c r="J117" s="532">
        <v>50</v>
      </c>
      <c r="K117" s="532">
        <v>60</v>
      </c>
      <c r="L117" s="532">
        <v>70</v>
      </c>
      <c r="M117" s="532">
        <v>80</v>
      </c>
      <c r="N117" s="532">
        <v>90</v>
      </c>
      <c r="O117" s="532">
        <v>100</v>
      </c>
      <c r="P117" s="273"/>
      <c r="Q117" s="639"/>
      <c r="R117" s="640"/>
      <c r="S117" s="532"/>
      <c r="T117" s="532"/>
      <c r="U117" s="532"/>
      <c r="V117" s="532"/>
      <c r="W117" s="513"/>
      <c r="X117" s="513"/>
      <c r="Y117" s="532"/>
      <c r="Z117" s="509"/>
      <c r="AA117" s="509"/>
      <c r="AB117" s="509"/>
      <c r="AC117" s="509"/>
      <c r="AD117" s="508"/>
      <c r="AF117" s="639"/>
      <c r="AG117" s="642" t="s">
        <v>150</v>
      </c>
      <c r="AH117" s="532">
        <f>S116/O116*100</f>
        <v>9.3707999999999991</v>
      </c>
      <c r="AI117" s="532">
        <f>SUM($S116:T$116)*100/$O116</f>
        <v>9.7013333333333325</v>
      </c>
      <c r="AJ117" s="532">
        <f>SUM($S116:U$116)*100/$O116</f>
        <v>16.819866666666666</v>
      </c>
      <c r="AK117" s="532">
        <f>SUM($S116:V$116)*100/$O116</f>
        <v>24.103666666666665</v>
      </c>
      <c r="AL117" s="532">
        <f>SUM($S116:W$116)*100/$O116</f>
        <v>31.534266666666667</v>
      </c>
      <c r="AM117" s="532">
        <f>SUM($S116:X$116)*100/$O116</f>
        <v>45.771333333333331</v>
      </c>
      <c r="AN117" s="532">
        <f>SUM($S116:Y$116)*100/$O116</f>
        <v>53.532466666666664</v>
      </c>
      <c r="AO117" s="532">
        <f>SUM($S116:Z$116)*100/$O116</f>
        <v>66.910799999999995</v>
      </c>
      <c r="AP117" s="532">
        <f>SUM($S116:AA$116)*100/$O116</f>
        <v>79.757666666666665</v>
      </c>
      <c r="AQ117" s="532">
        <f>SUM($S116:AB$116)*100/$O116</f>
        <v>79.757666666666665</v>
      </c>
      <c r="AR117" s="532">
        <f>SUM($S116:AC$116)*100/$O116</f>
        <v>79.757666666666665</v>
      </c>
      <c r="AS117" s="532">
        <f>SUM($S116:AD$116)*100/$O116</f>
        <v>79.757666666666665</v>
      </c>
    </row>
    <row r="118" spans="1:45">
      <c r="A118" s="105"/>
      <c r="B118" s="689" t="s">
        <v>88</v>
      </c>
      <c r="C118" s="690"/>
      <c r="D118" s="532">
        <v>13333</v>
      </c>
      <c r="E118" s="532">
        <v>26667</v>
      </c>
      <c r="F118" s="532">
        <v>40000</v>
      </c>
      <c r="G118" s="532">
        <v>53333</v>
      </c>
      <c r="H118" s="532">
        <v>66667</v>
      </c>
      <c r="I118" s="532">
        <v>80000</v>
      </c>
      <c r="J118" s="532">
        <v>100000</v>
      </c>
      <c r="K118" s="532">
        <v>120000</v>
      </c>
      <c r="L118" s="532">
        <v>140000</v>
      </c>
      <c r="M118" s="532">
        <v>160000</v>
      </c>
      <c r="N118" s="532">
        <v>180000</v>
      </c>
      <c r="O118" s="532">
        <v>200000</v>
      </c>
      <c r="P118" s="273"/>
      <c r="Q118" s="639" t="s">
        <v>88</v>
      </c>
      <c r="R118" s="640"/>
      <c r="S118" s="532">
        <v>1999</v>
      </c>
      <c r="T118" s="532">
        <v>1261</v>
      </c>
      <c r="U118" s="532">
        <v>37472</v>
      </c>
      <c r="V118" s="532">
        <v>37273</v>
      </c>
      <c r="W118" s="513">
        <v>34421</v>
      </c>
      <c r="X118" s="513">
        <v>115704</v>
      </c>
      <c r="Y118" s="532">
        <v>42655</v>
      </c>
      <c r="Z118" s="509">
        <v>39828</v>
      </c>
      <c r="AA118" s="509">
        <v>37675</v>
      </c>
      <c r="AB118" s="509"/>
      <c r="AC118" s="509"/>
      <c r="AD118" s="508"/>
      <c r="AF118" s="639" t="s">
        <v>88</v>
      </c>
      <c r="AG118" s="642" t="s">
        <v>148</v>
      </c>
      <c r="AH118" s="532">
        <f>(S118/D118*100)</f>
        <v>14.992874821870547</v>
      </c>
      <c r="AI118" s="532">
        <f>SUM($S$118:T118)/E118*100</f>
        <v>12.224847189410132</v>
      </c>
      <c r="AJ118" s="532">
        <f>SUM($S$118:U118)/F118*100</f>
        <v>101.83</v>
      </c>
      <c r="AK118" s="532">
        <f>SUM($S$118:V118)/G118*100</f>
        <v>146.26028912680704</v>
      </c>
      <c r="AL118" s="532">
        <f>SUM($S$118:W118)/H118*100</f>
        <v>168.63815680921596</v>
      </c>
      <c r="AM118" s="532">
        <f>SUM($S$118:X118)/I118*100</f>
        <v>285.16249999999997</v>
      </c>
      <c r="AN118" s="532">
        <f>SUM($S$118:Y118)/J118*100</f>
        <v>270.78500000000003</v>
      </c>
      <c r="AO118" s="532">
        <f>SUM($S$118:Z118)/K118*100</f>
        <v>258.84416666666669</v>
      </c>
      <c r="AP118" s="532">
        <f>SUM($S$118:AA118)/L118*100</f>
        <v>248.77714285714285</v>
      </c>
      <c r="AQ118" s="532">
        <f>SUM($S$118:AB118)/M118*100</f>
        <v>217.68</v>
      </c>
      <c r="AR118" s="532">
        <f>SUM($S$118:AC118)/N118*100</f>
        <v>193.49333333333334</v>
      </c>
      <c r="AS118" s="532">
        <f>SUM($S$118:AD118)/O118*100</f>
        <v>174.14400000000001</v>
      </c>
    </row>
    <row r="119" spans="1:45">
      <c r="A119" s="105"/>
      <c r="B119" s="639" t="s">
        <v>149</v>
      </c>
      <c r="C119" s="640"/>
      <c r="D119" s="532">
        <v>6.666666666666667</v>
      </c>
      <c r="E119" s="532">
        <v>13.333333333333334</v>
      </c>
      <c r="F119" s="532">
        <v>20</v>
      </c>
      <c r="G119" s="532">
        <v>26.666666666666668</v>
      </c>
      <c r="H119" s="532">
        <v>33.333333333333336</v>
      </c>
      <c r="I119" s="532">
        <v>40</v>
      </c>
      <c r="J119" s="532">
        <v>50</v>
      </c>
      <c r="K119" s="532">
        <v>60</v>
      </c>
      <c r="L119" s="532">
        <v>70</v>
      </c>
      <c r="M119" s="532">
        <v>80</v>
      </c>
      <c r="N119" s="532">
        <v>90</v>
      </c>
      <c r="O119" s="532">
        <v>100</v>
      </c>
      <c r="P119" s="272"/>
      <c r="Q119" s="639"/>
      <c r="R119" s="640"/>
      <c r="S119" s="532"/>
      <c r="T119" s="532"/>
      <c r="U119" s="532"/>
      <c r="V119" s="532"/>
      <c r="W119" s="513"/>
      <c r="X119" s="513"/>
      <c r="Y119" s="532"/>
      <c r="Z119" s="509"/>
      <c r="AA119" s="509"/>
      <c r="AB119" s="509"/>
      <c r="AC119" s="509"/>
      <c r="AD119" s="508"/>
      <c r="AF119" s="639"/>
      <c r="AG119" s="642" t="s">
        <v>150</v>
      </c>
      <c r="AH119" s="532">
        <f>S118/O118*100</f>
        <v>0.99950000000000006</v>
      </c>
      <c r="AI119" s="532">
        <f>SUM($S118:T$118)*100/$O118</f>
        <v>1.63</v>
      </c>
      <c r="AJ119" s="532">
        <f>SUM($S118:U$118)*100/$O118</f>
        <v>20.366</v>
      </c>
      <c r="AK119" s="532">
        <f>SUM($S118:V$118)*100/$O118</f>
        <v>39.002499999999998</v>
      </c>
      <c r="AL119" s="532">
        <f>SUM($S118:W$118)*100/$O118</f>
        <v>56.213000000000001</v>
      </c>
      <c r="AM119" s="532">
        <f>SUM($S118:X$118)*100/$O118</f>
        <v>114.065</v>
      </c>
      <c r="AN119" s="532">
        <f>SUM($S118:Y$118)*100/$O118</f>
        <v>135.39250000000001</v>
      </c>
      <c r="AO119" s="532">
        <f>SUM($S118:Z$118)*100/$O118</f>
        <v>155.3065</v>
      </c>
      <c r="AP119" s="532">
        <f>SUM($S118:AA$118)*100/$O118</f>
        <v>174.14400000000001</v>
      </c>
      <c r="AQ119" s="532">
        <f>SUM($S118:AB$118)*100/$O118</f>
        <v>174.14400000000001</v>
      </c>
      <c r="AR119" s="532">
        <f>SUM($S118:AC$118)*100/$O118</f>
        <v>174.14400000000001</v>
      </c>
      <c r="AS119" s="532">
        <f>SUM($S118:AD$118)*100/$O118</f>
        <v>174.14400000000001</v>
      </c>
    </row>
    <row r="120" spans="1:45">
      <c r="A120" s="105"/>
      <c r="B120" s="689" t="s">
        <v>121</v>
      </c>
      <c r="C120" s="690"/>
      <c r="D120" s="532">
        <v>8333.33</v>
      </c>
      <c r="E120" s="532">
        <v>16666.66</v>
      </c>
      <c r="F120" s="532">
        <v>24999.989999999998</v>
      </c>
      <c r="G120" s="532">
        <v>33333.32</v>
      </c>
      <c r="H120" s="532">
        <v>41666.65</v>
      </c>
      <c r="I120" s="532">
        <v>49999.98</v>
      </c>
      <c r="J120" s="532">
        <v>75000</v>
      </c>
      <c r="K120" s="532">
        <v>100000</v>
      </c>
      <c r="L120" s="532">
        <v>125000</v>
      </c>
      <c r="M120" s="532">
        <v>150000</v>
      </c>
      <c r="N120" s="532">
        <v>150000</v>
      </c>
      <c r="O120" s="532">
        <v>200000</v>
      </c>
      <c r="P120" s="272"/>
      <c r="Q120" s="639" t="s">
        <v>121</v>
      </c>
      <c r="R120" s="640"/>
      <c r="S120" s="532">
        <v>0</v>
      </c>
      <c r="T120" s="532">
        <v>0</v>
      </c>
      <c r="U120" s="532">
        <v>2479</v>
      </c>
      <c r="V120" s="532">
        <v>0</v>
      </c>
      <c r="W120" s="513">
        <v>17350</v>
      </c>
      <c r="X120" s="513">
        <v>31946</v>
      </c>
      <c r="Y120" s="532">
        <v>123828</v>
      </c>
      <c r="Z120" s="509">
        <v>0</v>
      </c>
      <c r="AA120" s="509">
        <v>2479</v>
      </c>
      <c r="AB120" s="509"/>
      <c r="AC120" s="509"/>
      <c r="AD120" s="508"/>
      <c r="AF120" s="639" t="s">
        <v>121</v>
      </c>
      <c r="AG120" s="642" t="s">
        <v>148</v>
      </c>
      <c r="AH120" s="532">
        <f>(S120/D120*100)</f>
        <v>0</v>
      </c>
      <c r="AI120" s="532">
        <f>SUM($S$120:T120)/E120*100</f>
        <v>0</v>
      </c>
      <c r="AJ120" s="532">
        <f>SUM($S$120:U120)/F120*100</f>
        <v>9.916003966401588</v>
      </c>
      <c r="AK120" s="532">
        <f>SUM($S$120:V120)/G120*100</f>
        <v>7.4370029748011905</v>
      </c>
      <c r="AL120" s="532">
        <f>SUM($S$120:W120)/H120*100</f>
        <v>47.589619035847612</v>
      </c>
      <c r="AM120" s="532">
        <f>SUM($S$120:X120)/I120*100</f>
        <v>103.55004142001656</v>
      </c>
      <c r="AN120" s="532">
        <f>SUM($S$120:Y120)/J120*100</f>
        <v>234.13733333333334</v>
      </c>
      <c r="AO120" s="532">
        <f>SUM($S$120:Z120)/K120*100</f>
        <v>175.60300000000001</v>
      </c>
      <c r="AP120" s="532">
        <f>SUM($S$120:AA120)/L120*100</f>
        <v>142.46559999999999</v>
      </c>
      <c r="AQ120" s="532">
        <f>SUM($S$120:AB120)/M120*100</f>
        <v>118.72133333333332</v>
      </c>
      <c r="AR120" s="532">
        <f>SUM($S$120:AC120)/N120*100</f>
        <v>118.72133333333332</v>
      </c>
      <c r="AS120" s="532">
        <f>SUM($S$120:AD120)/O120*100</f>
        <v>89.040999999999997</v>
      </c>
    </row>
    <row r="121" spans="1:45">
      <c r="A121" s="105"/>
      <c r="B121" s="639" t="s">
        <v>149</v>
      </c>
      <c r="C121" s="640"/>
      <c r="D121" s="532">
        <v>4.166666666666667</v>
      </c>
      <c r="E121" s="532">
        <v>8.3333333333333339</v>
      </c>
      <c r="F121" s="532">
        <v>12.5</v>
      </c>
      <c r="G121" s="532">
        <v>16.666666666666668</v>
      </c>
      <c r="H121" s="532">
        <v>20.833333333333336</v>
      </c>
      <c r="I121" s="532">
        <v>25.000000000000007</v>
      </c>
      <c r="J121" s="532">
        <v>37.5</v>
      </c>
      <c r="K121" s="532">
        <v>50</v>
      </c>
      <c r="L121" s="532">
        <v>62.5</v>
      </c>
      <c r="M121" s="532">
        <v>75</v>
      </c>
      <c r="N121" s="532">
        <v>87.5</v>
      </c>
      <c r="O121" s="532">
        <v>100</v>
      </c>
      <c r="P121" s="272"/>
      <c r="Q121" s="639"/>
      <c r="R121" s="640"/>
      <c r="S121" s="532"/>
      <c r="T121" s="532"/>
      <c r="U121" s="532"/>
      <c r="V121" s="532"/>
      <c r="W121" s="513"/>
      <c r="X121" s="513"/>
      <c r="Y121" s="532"/>
      <c r="Z121" s="509"/>
      <c r="AA121" s="509"/>
      <c r="AB121" s="509"/>
      <c r="AC121" s="509"/>
      <c r="AD121" s="508"/>
      <c r="AF121" s="639"/>
      <c r="AG121" s="642" t="s">
        <v>150</v>
      </c>
      <c r="AH121" s="532">
        <f>S120/O120*100</f>
        <v>0</v>
      </c>
      <c r="AI121" s="534">
        <f>SUM($S120:T$120)*100/$O120</f>
        <v>0</v>
      </c>
      <c r="AJ121" s="534">
        <f>SUM($S120:U$120)*100/$O120</f>
        <v>1.2395</v>
      </c>
      <c r="AK121" s="534">
        <f>SUM($S120:V$120)*100/$O120</f>
        <v>1.2395</v>
      </c>
      <c r="AL121" s="534">
        <f>SUM($S120:W$120)*100/$O120</f>
        <v>9.9145000000000003</v>
      </c>
      <c r="AM121" s="534">
        <f>SUM($S120:X$120)*100/$O120</f>
        <v>25.887499999999999</v>
      </c>
      <c r="AN121" s="534">
        <f>SUM($S120:Y$120)*100/$O120</f>
        <v>87.801500000000004</v>
      </c>
      <c r="AO121" s="534">
        <f>SUM($S120:Z$120)*100/$O120</f>
        <v>87.801500000000004</v>
      </c>
      <c r="AP121" s="534">
        <f>SUM($S120:AA$120)*100/$O120</f>
        <v>89.040999999999997</v>
      </c>
      <c r="AQ121" s="534">
        <f>SUM($S120:AB$120)*100/$O120</f>
        <v>89.040999999999997</v>
      </c>
      <c r="AR121" s="534">
        <f>SUM($S120:AC$120)*100/$O120</f>
        <v>89.040999999999997</v>
      </c>
      <c r="AS121" s="534">
        <f>SUM($S120:AD$120)*100/$O120</f>
        <v>89.040999999999997</v>
      </c>
    </row>
    <row r="122" spans="1:45">
      <c r="A122" s="105"/>
      <c r="B122" s="689" t="s">
        <v>89</v>
      </c>
      <c r="C122" s="690"/>
      <c r="D122" s="532">
        <v>6666.67</v>
      </c>
      <c r="E122" s="532">
        <v>13333.34</v>
      </c>
      <c r="F122" s="532">
        <v>20000.010000000002</v>
      </c>
      <c r="G122" s="532">
        <v>26666.68</v>
      </c>
      <c r="H122" s="532">
        <v>33333.35</v>
      </c>
      <c r="I122" s="532">
        <v>40000.019999999997</v>
      </c>
      <c r="J122" s="532">
        <v>65000</v>
      </c>
      <c r="K122" s="532">
        <v>90000</v>
      </c>
      <c r="L122" s="532">
        <v>115000</v>
      </c>
      <c r="M122" s="532">
        <v>140000</v>
      </c>
      <c r="N122" s="532">
        <v>165000</v>
      </c>
      <c r="O122" s="532">
        <v>180000</v>
      </c>
      <c r="P122" s="272"/>
      <c r="Q122" s="639" t="s">
        <v>89</v>
      </c>
      <c r="R122" s="640"/>
      <c r="S122" s="532">
        <v>0</v>
      </c>
      <c r="T122" s="532">
        <v>2479</v>
      </c>
      <c r="U122" s="532">
        <v>505</v>
      </c>
      <c r="V122" s="532">
        <v>3802</v>
      </c>
      <c r="W122" s="513">
        <v>0</v>
      </c>
      <c r="X122" s="513">
        <v>46945</v>
      </c>
      <c r="Y122" s="532">
        <v>147078</v>
      </c>
      <c r="Z122" s="509">
        <v>10375</v>
      </c>
      <c r="AA122" s="509">
        <v>2479</v>
      </c>
      <c r="AB122" s="509"/>
      <c r="AC122" s="509"/>
      <c r="AD122" s="508"/>
      <c r="AF122" s="639" t="s">
        <v>89</v>
      </c>
      <c r="AG122" s="642" t="s">
        <v>148</v>
      </c>
      <c r="AH122" s="532">
        <f>(S122/D122*100)</f>
        <v>0</v>
      </c>
      <c r="AI122" s="532">
        <f>SUM($S$122:T122)/E122*100</f>
        <v>18.592490703754645</v>
      </c>
      <c r="AJ122" s="532">
        <f>SUM($S$122:U122)/F122*100</f>
        <v>14.919992540003729</v>
      </c>
      <c r="AK122" s="532">
        <f>SUM($S$122:V122)/G122*100</f>
        <v>25.447487276256364</v>
      </c>
      <c r="AL122" s="532">
        <f>SUM($S$122:W122)/H122*100</f>
        <v>20.357989821005091</v>
      </c>
      <c r="AM122" s="532">
        <f>SUM($S$122:X122)/I122*100</f>
        <v>134.32743283628358</v>
      </c>
      <c r="AN122" s="532">
        <f>SUM($S$122:Y122)/J122*100</f>
        <v>308.93692307692311</v>
      </c>
      <c r="AO122" s="532">
        <f>SUM($S$122:Z122)/K122*100</f>
        <v>234.64888888888891</v>
      </c>
      <c r="AP122" s="532">
        <f>SUM($S$122:AA122)/L122*100</f>
        <v>185.79391304347826</v>
      </c>
      <c r="AQ122" s="532">
        <f>SUM($S$122:AB122)/M122*100</f>
        <v>152.61642857142857</v>
      </c>
      <c r="AR122" s="532">
        <f>SUM($S$122:AC122)/N122*100</f>
        <v>129.49272727272728</v>
      </c>
      <c r="AS122" s="532">
        <f>SUM($S$122:AD122)/O122*100</f>
        <v>118.70166666666665</v>
      </c>
    </row>
    <row r="123" spans="1:45">
      <c r="A123" s="105"/>
      <c r="B123" s="639" t="s">
        <v>149</v>
      </c>
      <c r="C123" s="640"/>
      <c r="D123" s="532">
        <v>3.5087719298245621</v>
      </c>
      <c r="E123" s="532">
        <v>7.0175438596491242</v>
      </c>
      <c r="F123" s="532">
        <v>10.526315789473683</v>
      </c>
      <c r="G123" s="532">
        <v>14.035087719298248</v>
      </c>
      <c r="H123" s="532">
        <v>17.543859649122808</v>
      </c>
      <c r="I123" s="532">
        <v>21.052631578947366</v>
      </c>
      <c r="J123" s="532">
        <v>34.210526315789473</v>
      </c>
      <c r="K123" s="532">
        <v>47.368421052631575</v>
      </c>
      <c r="L123" s="532">
        <v>60.526315789473685</v>
      </c>
      <c r="M123" s="532">
        <v>73.68421052631578</v>
      </c>
      <c r="N123" s="532">
        <v>86.842105263157904</v>
      </c>
      <c r="O123" s="532">
        <v>100</v>
      </c>
      <c r="P123" s="272"/>
      <c r="Q123" s="639"/>
      <c r="R123" s="640"/>
      <c r="S123" s="532"/>
      <c r="T123" s="532"/>
      <c r="U123" s="532"/>
      <c r="V123" s="532"/>
      <c r="W123" s="513"/>
      <c r="X123" s="513"/>
      <c r="Y123" s="532"/>
      <c r="Z123" s="509"/>
      <c r="AA123" s="509"/>
      <c r="AB123" s="509"/>
      <c r="AC123" s="509"/>
      <c r="AD123" s="508"/>
      <c r="AF123" s="639"/>
      <c r="AG123" s="642" t="s">
        <v>150</v>
      </c>
      <c r="AH123" s="534">
        <f>S122/O122*100</f>
        <v>0</v>
      </c>
      <c r="AI123" s="534">
        <f>SUM($S122:T$122)*100/$O122</f>
        <v>1.3772222222222221</v>
      </c>
      <c r="AJ123" s="534">
        <f>SUM($S122:U$122)*100/$O122</f>
        <v>1.6577777777777778</v>
      </c>
      <c r="AK123" s="534">
        <f>SUM($S122:V$122)*100/$O122</f>
        <v>3.77</v>
      </c>
      <c r="AL123" s="534">
        <f>SUM($S122:W$122)*100/$O122</f>
        <v>3.77</v>
      </c>
      <c r="AM123" s="532">
        <f>SUM($S122:X$122)*100/$O122</f>
        <v>29.850555555555555</v>
      </c>
      <c r="AN123" s="532">
        <f>SUM($S122:Y$122)*100/$O122</f>
        <v>111.56055555555555</v>
      </c>
      <c r="AO123" s="532">
        <f>SUM($S122:Z$122)*100/$O122</f>
        <v>117.32444444444444</v>
      </c>
      <c r="AP123" s="532">
        <f>SUM($S122:AA$122)*100/$O122</f>
        <v>118.70166666666667</v>
      </c>
      <c r="AQ123" s="532">
        <f>SUM($S122:AB$122)*100/$O122</f>
        <v>118.70166666666667</v>
      </c>
      <c r="AR123" s="532">
        <f>SUM($S122:AC$122)*100/$O122</f>
        <v>118.70166666666667</v>
      </c>
      <c r="AS123" s="532">
        <f>SUM($S122:AD$122)*100/$O122</f>
        <v>118.70166666666667</v>
      </c>
    </row>
    <row r="124" spans="1:45">
      <c r="A124" s="105"/>
      <c r="B124" s="693" t="s">
        <v>90</v>
      </c>
      <c r="C124" s="694"/>
      <c r="D124" s="535">
        <v>197534</v>
      </c>
      <c r="E124" s="535">
        <v>395066</v>
      </c>
      <c r="F124" s="535">
        <v>592600</v>
      </c>
      <c r="G124" s="535">
        <v>790134</v>
      </c>
      <c r="H124" s="535">
        <v>987666</v>
      </c>
      <c r="I124" s="535">
        <v>1185200</v>
      </c>
      <c r="J124" s="535">
        <v>1481500</v>
      </c>
      <c r="K124" s="535">
        <v>1777800</v>
      </c>
      <c r="L124" s="535">
        <v>2074100</v>
      </c>
      <c r="M124" s="535">
        <v>2370400</v>
      </c>
      <c r="N124" s="535">
        <v>2666700</v>
      </c>
      <c r="O124" s="535">
        <v>2963000</v>
      </c>
      <c r="Q124" s="641" t="s">
        <v>90</v>
      </c>
      <c r="R124" s="642"/>
      <c r="S124" s="535">
        <f t="shared" ref="S124:AD124" si="111">SUM(S114:S122)</f>
        <v>172029</v>
      </c>
      <c r="T124" s="535">
        <f t="shared" si="111"/>
        <v>27976</v>
      </c>
      <c r="U124" s="535">
        <f t="shared" si="111"/>
        <v>249593</v>
      </c>
      <c r="V124" s="535">
        <f t="shared" si="111"/>
        <v>195164</v>
      </c>
      <c r="W124" s="535">
        <f t="shared" si="111"/>
        <v>217222</v>
      </c>
      <c r="X124" s="535">
        <f t="shared" si="111"/>
        <v>617081</v>
      </c>
      <c r="Y124" s="535">
        <f t="shared" si="111"/>
        <v>575576</v>
      </c>
      <c r="Z124" s="535">
        <f t="shared" si="111"/>
        <v>324889</v>
      </c>
      <c r="AA124" s="535">
        <f t="shared" si="111"/>
        <v>333856</v>
      </c>
      <c r="AB124" s="535">
        <f t="shared" si="111"/>
        <v>0</v>
      </c>
      <c r="AC124" s="535">
        <f t="shared" si="111"/>
        <v>0</v>
      </c>
      <c r="AD124" s="535">
        <f t="shared" si="111"/>
        <v>0</v>
      </c>
      <c r="AF124" s="641" t="s">
        <v>90</v>
      </c>
      <c r="AG124" s="642" t="s">
        <v>148</v>
      </c>
      <c r="AH124" s="535">
        <f>(S124/D124*100)</f>
        <v>87.088298723257779</v>
      </c>
      <c r="AI124" s="535">
        <f>SUM($S$124:T124)/E124*100</f>
        <v>50.625718234421591</v>
      </c>
      <c r="AJ124" s="535">
        <f>SUM($S$124:U124)/F124*100</f>
        <v>75.868714141073241</v>
      </c>
      <c r="AK124" s="535">
        <f>SUM($S$124:V124)/G124*100</f>
        <v>81.601601753626596</v>
      </c>
      <c r="AL124" s="535">
        <f>SUM($S$124:W124)/H124*100</f>
        <v>87.274847974922693</v>
      </c>
      <c r="AM124" s="535">
        <f>SUM($S$124:X124)/I124*100</f>
        <v>124.79454944313196</v>
      </c>
      <c r="AN124" s="535">
        <f>SUM($S$124:Y124)/J124*100</f>
        <v>138.68653391832601</v>
      </c>
      <c r="AO124" s="535">
        <f>SUM($S$124:Z124)/K124*100</f>
        <v>133.84688941388231</v>
      </c>
      <c r="AP124" s="535">
        <f>SUM($S$124:AA124)/L124*100</f>
        <v>130.82233257798563</v>
      </c>
      <c r="AQ124" s="535">
        <f>SUM($S$124:AB124)/M124*100</f>
        <v>114.46954100573743</v>
      </c>
      <c r="AR124" s="535">
        <f>SUM($S$124:AC124)/N124*100</f>
        <v>101.75070311621104</v>
      </c>
      <c r="AS124" s="535">
        <f>SUM($S$124:AD124)/O124*100</f>
        <v>91.575632804589944</v>
      </c>
    </row>
    <row r="125" spans="1:45">
      <c r="A125" s="105"/>
      <c r="B125" s="693" t="s">
        <v>149</v>
      </c>
      <c r="C125" s="694"/>
      <c r="D125" s="535">
        <v>6.67</v>
      </c>
      <c r="E125" s="535">
        <v>13.33</v>
      </c>
      <c r="F125" s="535">
        <v>20</v>
      </c>
      <c r="G125" s="535">
        <v>26.67</v>
      </c>
      <c r="H125" s="535">
        <v>33.33</v>
      </c>
      <c r="I125" s="535">
        <v>40</v>
      </c>
      <c r="J125" s="535">
        <v>50</v>
      </c>
      <c r="K125" s="535">
        <v>60</v>
      </c>
      <c r="L125" s="535">
        <v>70</v>
      </c>
      <c r="M125" s="535">
        <v>80</v>
      </c>
      <c r="N125" s="535">
        <v>90</v>
      </c>
      <c r="O125" s="535">
        <v>100</v>
      </c>
      <c r="Q125" s="641" t="str">
        <f>B125</f>
        <v>%</v>
      </c>
      <c r="R125" s="642"/>
      <c r="S125" s="535"/>
      <c r="T125" s="535"/>
      <c r="U125" s="535"/>
      <c r="V125" s="535"/>
      <c r="W125" s="535"/>
      <c r="X125" s="535"/>
      <c r="Y125" s="535"/>
      <c r="Z125" s="535"/>
      <c r="AA125" s="535"/>
      <c r="AB125" s="535"/>
      <c r="AC125" s="535"/>
      <c r="AD125" s="535"/>
      <c r="AF125" s="641"/>
      <c r="AG125" s="642" t="s">
        <v>150</v>
      </c>
      <c r="AH125" s="536">
        <f>S124/O124*100</f>
        <v>5.8059061761727984</v>
      </c>
      <c r="AI125" s="537">
        <f>SUM($S$124:T124)*100/$O124</f>
        <v>6.7500843739453256</v>
      </c>
      <c r="AJ125" s="537">
        <f>SUM($S$124:U124)*100/$O124</f>
        <v>15.173742828214648</v>
      </c>
      <c r="AK125" s="537">
        <f>SUM($S$124:V124)*100/$O124</f>
        <v>21.76044549443132</v>
      </c>
      <c r="AL125" s="537">
        <f>SUM($S$124:W124)*100/$O124</f>
        <v>29.091596355045564</v>
      </c>
      <c r="AM125" s="537">
        <f>SUM($S$124:X124)*100/$O124</f>
        <v>49.917819777252781</v>
      </c>
      <c r="AN125" s="537">
        <f>SUM($S$124:Y124)*100/$O124</f>
        <v>69.343266959163017</v>
      </c>
      <c r="AO125" s="537">
        <f>SUM($S$124:Z124)*100/$O124</f>
        <v>80.308133648329402</v>
      </c>
      <c r="AP125" s="537">
        <f>SUM($S$124:AA124)*100/$O124</f>
        <v>91.575632804589944</v>
      </c>
      <c r="AQ125" s="537">
        <f>SUM($S$124:AB124)*100/$O124</f>
        <v>91.575632804589944</v>
      </c>
      <c r="AR125" s="537">
        <f>SUM($S$124:AC124)*100/$O124</f>
        <v>91.575632804589944</v>
      </c>
      <c r="AS125" s="537">
        <f>SUM($S$124:AD124)*100/$O124</f>
        <v>91.575632804589944</v>
      </c>
    </row>
    <row r="127" spans="1:45">
      <c r="A127" s="105"/>
      <c r="B127" s="21" t="s">
        <v>151</v>
      </c>
      <c r="Q127" t="str">
        <f>B127</f>
        <v xml:space="preserve">PENYELESAIAN GANTI METER </v>
      </c>
      <c r="S127" s="166"/>
      <c r="T127" s="166"/>
      <c r="U127" s="166"/>
      <c r="V127" s="166"/>
      <c r="W127" s="166"/>
      <c r="X127" s="166"/>
      <c r="Y127" s="166"/>
      <c r="Z127" s="166"/>
      <c r="AA127" s="166"/>
      <c r="AB127" s="166"/>
      <c r="AC127" s="166"/>
      <c r="AD127" s="166"/>
      <c r="AF127" t="str">
        <f>B127</f>
        <v xml:space="preserve">PENYELESAIAN GANTI METER </v>
      </c>
      <c r="AH127" s="166"/>
      <c r="AI127" s="166"/>
      <c r="AJ127" s="166"/>
      <c r="AK127" s="166"/>
      <c r="AL127" s="166"/>
      <c r="AM127" s="166"/>
      <c r="AN127" s="166"/>
      <c r="AP127" s="166"/>
      <c r="AQ127" s="166"/>
      <c r="AR127" s="166"/>
      <c r="AS127" s="166"/>
    </row>
    <row r="128" spans="1:45">
      <c r="A128" s="105"/>
      <c r="B128" s="21" t="s">
        <v>100</v>
      </c>
      <c r="Q128" t="s">
        <v>126</v>
      </c>
      <c r="S128" s="166"/>
      <c r="T128" s="166"/>
      <c r="U128" s="166"/>
      <c r="V128" s="166"/>
      <c r="W128" s="166"/>
      <c r="X128" s="166"/>
      <c r="Y128" s="166"/>
      <c r="Z128" s="166"/>
      <c r="AA128" s="166"/>
      <c r="AB128" s="166"/>
      <c r="AC128" s="166"/>
      <c r="AD128" s="166"/>
      <c r="AF128" t="s">
        <v>127</v>
      </c>
      <c r="AH128" s="166"/>
      <c r="AI128" s="166"/>
      <c r="AJ128" s="166"/>
      <c r="AK128" s="166"/>
      <c r="AL128" s="166"/>
      <c r="AM128" s="166"/>
      <c r="AN128" s="166"/>
      <c r="AO128" s="166"/>
      <c r="AP128" s="166"/>
      <c r="AQ128" s="166"/>
      <c r="AR128" s="166"/>
      <c r="AS128" s="166"/>
    </row>
    <row r="129" spans="1:45">
      <c r="A129" s="105"/>
      <c r="B129" s="686" t="s">
        <v>72</v>
      </c>
      <c r="C129" s="686"/>
      <c r="D129" s="638" t="s">
        <v>74</v>
      </c>
      <c r="E129" s="638" t="s">
        <v>75</v>
      </c>
      <c r="F129" s="638" t="s">
        <v>76</v>
      </c>
      <c r="G129" s="638" t="s">
        <v>77</v>
      </c>
      <c r="H129" s="638" t="s">
        <v>78</v>
      </c>
      <c r="I129" s="638" t="s">
        <v>79</v>
      </c>
      <c r="J129" s="638" t="s">
        <v>80</v>
      </c>
      <c r="K129" s="638" t="s">
        <v>81</v>
      </c>
      <c r="L129" s="638" t="s">
        <v>82</v>
      </c>
      <c r="M129" s="638" t="s">
        <v>83</v>
      </c>
      <c r="N129" s="638" t="s">
        <v>84</v>
      </c>
      <c r="O129" s="638" t="s">
        <v>85</v>
      </c>
      <c r="Q129" s="686" t="s">
        <v>72</v>
      </c>
      <c r="R129" s="686"/>
      <c r="S129" s="638" t="s">
        <v>74</v>
      </c>
      <c r="T129" s="638" t="s">
        <v>75</v>
      </c>
      <c r="U129" s="638" t="s">
        <v>76</v>
      </c>
      <c r="V129" s="638" t="s">
        <v>77</v>
      </c>
      <c r="W129" s="638" t="s">
        <v>78</v>
      </c>
      <c r="X129" s="638" t="s">
        <v>79</v>
      </c>
      <c r="Y129" s="638" t="s">
        <v>80</v>
      </c>
      <c r="Z129" s="638" t="s">
        <v>81</v>
      </c>
      <c r="AA129" s="638" t="s">
        <v>82</v>
      </c>
      <c r="AB129" s="638" t="s">
        <v>83</v>
      </c>
      <c r="AC129" s="638" t="s">
        <v>84</v>
      </c>
      <c r="AD129" s="638" t="s">
        <v>85</v>
      </c>
      <c r="AF129" s="686" t="s">
        <v>72</v>
      </c>
      <c r="AG129" s="686"/>
      <c r="AH129" s="638" t="s">
        <v>74</v>
      </c>
      <c r="AI129" s="638" t="s">
        <v>75</v>
      </c>
      <c r="AJ129" s="638" t="s">
        <v>76</v>
      </c>
      <c r="AK129" s="638" t="s">
        <v>77</v>
      </c>
      <c r="AL129" s="638" t="s">
        <v>78</v>
      </c>
      <c r="AM129" s="638" t="s">
        <v>79</v>
      </c>
      <c r="AN129" s="638" t="s">
        <v>80</v>
      </c>
      <c r="AO129" s="638" t="s">
        <v>81</v>
      </c>
      <c r="AP129" s="638" t="s">
        <v>82</v>
      </c>
      <c r="AQ129" s="638" t="s">
        <v>83</v>
      </c>
      <c r="AR129" s="638" t="s">
        <v>84</v>
      </c>
      <c r="AS129" s="638" t="s">
        <v>85</v>
      </c>
    </row>
    <row r="130" spans="1:45">
      <c r="A130" s="105"/>
      <c r="B130" s="687" t="s">
        <v>128</v>
      </c>
      <c r="C130" s="688"/>
      <c r="D130" s="538">
        <v>153</v>
      </c>
      <c r="E130" s="538">
        <v>305</v>
      </c>
      <c r="F130" s="538">
        <v>457</v>
      </c>
      <c r="G130" s="538">
        <v>609</v>
      </c>
      <c r="H130" s="538">
        <v>670</v>
      </c>
      <c r="I130" s="538">
        <v>729</v>
      </c>
      <c r="J130" s="538">
        <v>911</v>
      </c>
      <c r="K130" s="538">
        <v>1093</v>
      </c>
      <c r="L130" s="538">
        <v>1275</v>
      </c>
      <c r="M130" s="538">
        <v>1457</v>
      </c>
      <c r="N130" s="538">
        <v>1457</v>
      </c>
      <c r="O130" s="538">
        <v>1457</v>
      </c>
      <c r="Q130" s="633" t="s">
        <v>128</v>
      </c>
      <c r="R130" s="489"/>
      <c r="S130" s="539">
        <v>11</v>
      </c>
      <c r="T130" s="539">
        <v>89</v>
      </c>
      <c r="U130" s="539">
        <v>323</v>
      </c>
      <c r="V130" s="539">
        <v>234</v>
      </c>
      <c r="W130" s="539">
        <v>226</v>
      </c>
      <c r="X130" s="539">
        <v>166</v>
      </c>
      <c r="Y130" s="539">
        <v>91</v>
      </c>
      <c r="Z130" s="539">
        <v>46</v>
      </c>
      <c r="AA130" s="539">
        <v>46</v>
      </c>
      <c r="AB130" s="539"/>
      <c r="AC130" s="539"/>
      <c r="AD130" s="539"/>
      <c r="AF130" s="633" t="s">
        <v>128</v>
      </c>
      <c r="AG130" s="489" t="s">
        <v>152</v>
      </c>
      <c r="AH130" s="539">
        <f t="shared" ref="AH130" si="112">S130</f>
        <v>11</v>
      </c>
      <c r="AI130" s="539">
        <f>SUM($S130:T130)</f>
        <v>100</v>
      </c>
      <c r="AJ130" s="539">
        <f>SUM($S130:U130)</f>
        <v>423</v>
      </c>
      <c r="AK130" s="539">
        <f>SUM($S130:V130)</f>
        <v>657</v>
      </c>
      <c r="AL130" s="539">
        <f>SUM($S130:W130)</f>
        <v>883</v>
      </c>
      <c r="AM130" s="539">
        <f>SUM($S130:X130)</f>
        <v>1049</v>
      </c>
      <c r="AN130" s="539">
        <f>SUM($S130:Y130)</f>
        <v>1140</v>
      </c>
      <c r="AO130" s="539">
        <f>SUM($S130:Z130)</f>
        <v>1186</v>
      </c>
      <c r="AP130" s="539">
        <f>SUM($S130:AA130)</f>
        <v>1232</v>
      </c>
      <c r="AQ130" s="539">
        <f>SUM($S130:AB130)</f>
        <v>1232</v>
      </c>
      <c r="AR130" s="539">
        <f>SUM($S130:AC130)</f>
        <v>1232</v>
      </c>
      <c r="AS130" s="539">
        <f>SUM($S130:AD130)</f>
        <v>1232</v>
      </c>
    </row>
    <row r="131" spans="1:45">
      <c r="A131" s="105"/>
      <c r="B131" s="687" t="s">
        <v>87</v>
      </c>
      <c r="C131" s="688"/>
      <c r="D131" s="538">
        <v>147</v>
      </c>
      <c r="E131" s="538">
        <v>292</v>
      </c>
      <c r="F131" s="538">
        <v>437</v>
      </c>
      <c r="G131" s="538">
        <v>583</v>
      </c>
      <c r="H131" s="538">
        <v>619</v>
      </c>
      <c r="I131" s="538">
        <v>657</v>
      </c>
      <c r="J131" s="538">
        <v>766</v>
      </c>
      <c r="K131" s="538">
        <v>875</v>
      </c>
      <c r="L131" s="538">
        <v>984</v>
      </c>
      <c r="M131" s="538">
        <v>1091</v>
      </c>
      <c r="N131" s="538">
        <v>1091</v>
      </c>
      <c r="O131" s="538">
        <v>1091</v>
      </c>
      <c r="Q131" s="633" t="s">
        <v>87</v>
      </c>
      <c r="R131" s="489"/>
      <c r="S131" s="538">
        <v>0</v>
      </c>
      <c r="T131" s="539">
        <v>93</v>
      </c>
      <c r="U131" s="539">
        <v>210</v>
      </c>
      <c r="V131" s="539">
        <v>89</v>
      </c>
      <c r="W131" s="539">
        <v>142</v>
      </c>
      <c r="X131" s="539">
        <v>65</v>
      </c>
      <c r="Y131" s="539">
        <v>129</v>
      </c>
      <c r="Z131" s="539">
        <v>0</v>
      </c>
      <c r="AA131" s="539">
        <v>100</v>
      </c>
      <c r="AB131" s="539"/>
      <c r="AC131" s="539"/>
      <c r="AD131" s="539"/>
      <c r="AF131" s="633" t="s">
        <v>87</v>
      </c>
      <c r="AG131" s="489" t="s">
        <v>152</v>
      </c>
      <c r="AH131" s="539">
        <f t="shared" ref="AH131:AH134" si="113">S131</f>
        <v>0</v>
      </c>
      <c r="AI131" s="539">
        <f>SUM($S131:T131)</f>
        <v>93</v>
      </c>
      <c r="AJ131" s="539">
        <f>SUM($S131:U131)</f>
        <v>303</v>
      </c>
      <c r="AK131" s="539">
        <f>SUM($S131:V131)</f>
        <v>392</v>
      </c>
      <c r="AL131" s="539">
        <f>SUM($S131:W131)</f>
        <v>534</v>
      </c>
      <c r="AM131" s="539">
        <f>SUM($S131:X131)</f>
        <v>599</v>
      </c>
      <c r="AN131" s="539">
        <f>SUM($S131:Y131)</f>
        <v>728</v>
      </c>
      <c r="AO131" s="539">
        <f>SUM($S131:Z131)</f>
        <v>728</v>
      </c>
      <c r="AP131" s="539">
        <f>SUM($S131:AA131)</f>
        <v>828</v>
      </c>
      <c r="AQ131" s="539">
        <f>SUM($S131:AB131)</f>
        <v>828</v>
      </c>
      <c r="AR131" s="539">
        <f>SUM($S131:AC131)</f>
        <v>828</v>
      </c>
      <c r="AS131" s="539">
        <f>SUM($S131:AD131)</f>
        <v>828</v>
      </c>
    </row>
    <row r="132" spans="1:45">
      <c r="A132" s="105"/>
      <c r="B132" s="687" t="s">
        <v>88</v>
      </c>
      <c r="C132" s="688"/>
      <c r="D132" s="538">
        <v>45</v>
      </c>
      <c r="E132" s="538">
        <v>90</v>
      </c>
      <c r="F132" s="538">
        <v>134</v>
      </c>
      <c r="G132" s="538">
        <v>178</v>
      </c>
      <c r="H132" s="538">
        <v>222</v>
      </c>
      <c r="I132" s="538">
        <v>266</v>
      </c>
      <c r="J132" s="538">
        <v>398</v>
      </c>
      <c r="K132" s="538">
        <v>530</v>
      </c>
      <c r="L132" s="538">
        <v>662</v>
      </c>
      <c r="M132" s="538">
        <v>793</v>
      </c>
      <c r="N132" s="538">
        <v>793</v>
      </c>
      <c r="O132" s="538">
        <v>793</v>
      </c>
      <c r="Q132" s="633" t="s">
        <v>88</v>
      </c>
      <c r="R132" s="489"/>
      <c r="S132" s="540">
        <v>7</v>
      </c>
      <c r="T132" s="538">
        <v>9</v>
      </c>
      <c r="U132" s="538">
        <v>285</v>
      </c>
      <c r="V132" s="538">
        <v>207</v>
      </c>
      <c r="W132" s="538">
        <v>101</v>
      </c>
      <c r="X132" s="538">
        <v>30</v>
      </c>
      <c r="Y132" s="538">
        <v>54</v>
      </c>
      <c r="Z132" s="538">
        <v>18</v>
      </c>
      <c r="AA132" s="538">
        <v>18</v>
      </c>
      <c r="AB132" s="538"/>
      <c r="AC132" s="538"/>
      <c r="AD132" s="538"/>
      <c r="AF132" s="633" t="s">
        <v>88</v>
      </c>
      <c r="AG132" s="489" t="s">
        <v>152</v>
      </c>
      <c r="AH132" s="539">
        <f t="shared" si="113"/>
        <v>7</v>
      </c>
      <c r="AI132" s="539">
        <f>SUM($S132:T132)</f>
        <v>16</v>
      </c>
      <c r="AJ132" s="539">
        <f>SUM($S132:U132)</f>
        <v>301</v>
      </c>
      <c r="AK132" s="539">
        <f>SUM($S132:V132)</f>
        <v>508</v>
      </c>
      <c r="AL132" s="539">
        <f>SUM($S132:W132)</f>
        <v>609</v>
      </c>
      <c r="AM132" s="539">
        <f>SUM($S132:X132)</f>
        <v>639</v>
      </c>
      <c r="AN132" s="539">
        <f>SUM($S132:Y132)</f>
        <v>693</v>
      </c>
      <c r="AO132" s="539">
        <f>SUM($S132:Z132)</f>
        <v>711</v>
      </c>
      <c r="AP132" s="539">
        <f>SUM($S132:AA132)</f>
        <v>729</v>
      </c>
      <c r="AQ132" s="539">
        <f>SUM($S132:AB132)</f>
        <v>729</v>
      </c>
      <c r="AR132" s="539">
        <f>SUM($S132:AC132)</f>
        <v>729</v>
      </c>
      <c r="AS132" s="539">
        <f>SUM($S132:AD132)</f>
        <v>729</v>
      </c>
    </row>
    <row r="133" spans="1:45">
      <c r="A133" s="105"/>
      <c r="B133" s="687" t="s">
        <v>121</v>
      </c>
      <c r="C133" s="688"/>
      <c r="D133" s="538">
        <v>43</v>
      </c>
      <c r="E133" s="538">
        <v>85</v>
      </c>
      <c r="F133" s="538">
        <v>127</v>
      </c>
      <c r="G133" s="538">
        <v>170</v>
      </c>
      <c r="H133" s="538">
        <v>208</v>
      </c>
      <c r="I133" s="538">
        <v>244</v>
      </c>
      <c r="J133" s="538">
        <v>357</v>
      </c>
      <c r="K133" s="538">
        <v>470</v>
      </c>
      <c r="L133" s="538">
        <v>583</v>
      </c>
      <c r="M133" s="538">
        <v>698</v>
      </c>
      <c r="N133" s="538">
        <v>698</v>
      </c>
      <c r="O133" s="538">
        <v>698</v>
      </c>
      <c r="Q133" s="633" t="s">
        <v>121</v>
      </c>
      <c r="R133" s="489"/>
      <c r="S133" s="538">
        <v>0</v>
      </c>
      <c r="T133" s="538">
        <v>73</v>
      </c>
      <c r="U133" s="538">
        <v>170</v>
      </c>
      <c r="V133" s="538">
        <v>49</v>
      </c>
      <c r="W133" s="538">
        <v>53</v>
      </c>
      <c r="X133" s="538">
        <v>24</v>
      </c>
      <c r="Y133" s="538">
        <v>51</v>
      </c>
      <c r="Z133" s="538">
        <v>90</v>
      </c>
      <c r="AA133" s="538">
        <v>90</v>
      </c>
      <c r="AB133" s="538"/>
      <c r="AC133" s="538"/>
      <c r="AD133" s="538"/>
      <c r="AF133" s="633" t="s">
        <v>121</v>
      </c>
      <c r="AG133" s="489" t="s">
        <v>152</v>
      </c>
      <c r="AH133" s="539">
        <f t="shared" si="113"/>
        <v>0</v>
      </c>
      <c r="AI133" s="539">
        <f>SUM($S133:T133)</f>
        <v>73</v>
      </c>
      <c r="AJ133" s="539">
        <f>SUM($S133:U133)</f>
        <v>243</v>
      </c>
      <c r="AK133" s="539">
        <f>SUM($S133:V133)</f>
        <v>292</v>
      </c>
      <c r="AL133" s="539">
        <f>SUM($S133:W133)</f>
        <v>345</v>
      </c>
      <c r="AM133" s="539">
        <f>SUM($S133:X133)</f>
        <v>369</v>
      </c>
      <c r="AN133" s="539">
        <f>SUM($S133:Y133)</f>
        <v>420</v>
      </c>
      <c r="AO133" s="539">
        <f>SUM($S133:Z133)</f>
        <v>510</v>
      </c>
      <c r="AP133" s="539">
        <f>SUM($S133:AA133)</f>
        <v>600</v>
      </c>
      <c r="AQ133" s="539">
        <f>SUM($S133:AB133)</f>
        <v>600</v>
      </c>
      <c r="AR133" s="539">
        <f>SUM($S133:AC133)</f>
        <v>600</v>
      </c>
      <c r="AS133" s="539">
        <f>SUM($S133:AD133)</f>
        <v>600</v>
      </c>
    </row>
    <row r="134" spans="1:45">
      <c r="A134" s="105"/>
      <c r="B134" s="687" t="s">
        <v>89</v>
      </c>
      <c r="C134" s="688"/>
      <c r="D134" s="538">
        <v>49</v>
      </c>
      <c r="E134" s="538">
        <v>97</v>
      </c>
      <c r="F134" s="538">
        <v>145</v>
      </c>
      <c r="G134" s="538">
        <v>192</v>
      </c>
      <c r="H134" s="538">
        <v>228</v>
      </c>
      <c r="I134" s="538">
        <v>262</v>
      </c>
      <c r="J134" s="538">
        <v>369</v>
      </c>
      <c r="K134" s="538">
        <v>476</v>
      </c>
      <c r="L134" s="538">
        <v>583</v>
      </c>
      <c r="M134" s="538">
        <v>688</v>
      </c>
      <c r="N134" s="538">
        <v>688</v>
      </c>
      <c r="O134" s="538">
        <v>688</v>
      </c>
      <c r="Q134" s="633" t="s">
        <v>89</v>
      </c>
      <c r="R134" s="489"/>
      <c r="S134" s="538">
        <v>3</v>
      </c>
      <c r="T134" s="538">
        <v>2</v>
      </c>
      <c r="U134" s="538">
        <v>138</v>
      </c>
      <c r="V134" s="538">
        <v>180</v>
      </c>
      <c r="W134" s="538">
        <v>61</v>
      </c>
      <c r="X134" s="538">
        <v>82</v>
      </c>
      <c r="Y134" s="538">
        <v>86</v>
      </c>
      <c r="Z134" s="538">
        <v>8</v>
      </c>
      <c r="AA134" s="538">
        <v>8</v>
      </c>
      <c r="AB134" s="538"/>
      <c r="AC134" s="538"/>
      <c r="AD134" s="538"/>
      <c r="AF134" s="633" t="s">
        <v>89</v>
      </c>
      <c r="AG134" s="489" t="s">
        <v>152</v>
      </c>
      <c r="AH134" s="539">
        <f t="shared" si="113"/>
        <v>3</v>
      </c>
      <c r="AI134" s="539">
        <f>SUM($S134:T134)</f>
        <v>5</v>
      </c>
      <c r="AJ134" s="539">
        <f>SUM($S134:U134)</f>
        <v>143</v>
      </c>
      <c r="AK134" s="539">
        <f>SUM($S134:V134)</f>
        <v>323</v>
      </c>
      <c r="AL134" s="539">
        <f>SUM($S134:W134)</f>
        <v>384</v>
      </c>
      <c r="AM134" s="539">
        <f>SUM($S134:X134)</f>
        <v>466</v>
      </c>
      <c r="AN134" s="539">
        <f>SUM($S134:Y134)</f>
        <v>552</v>
      </c>
      <c r="AO134" s="539">
        <f>SUM($S134:Z134)</f>
        <v>560</v>
      </c>
      <c r="AP134" s="539">
        <f>SUM($S134:AA134)</f>
        <v>568</v>
      </c>
      <c r="AQ134" s="539">
        <f>SUM($S134:AB134)</f>
        <v>568</v>
      </c>
      <c r="AR134" s="539">
        <f>SUM($S134:AC134)</f>
        <v>568</v>
      </c>
      <c r="AS134" s="539">
        <f>SUM($S134:AD134)</f>
        <v>568</v>
      </c>
    </row>
    <row r="135" spans="1:45" s="387" customFormat="1">
      <c r="A135" s="386"/>
      <c r="B135" s="691" t="s">
        <v>90</v>
      </c>
      <c r="C135" s="692"/>
      <c r="D135" s="541">
        <v>437</v>
      </c>
      <c r="E135" s="541">
        <v>869</v>
      </c>
      <c r="F135" s="541">
        <v>1300</v>
      </c>
      <c r="G135" s="541">
        <v>1732</v>
      </c>
      <c r="H135" s="541">
        <v>1947</v>
      </c>
      <c r="I135" s="541">
        <v>2158</v>
      </c>
      <c r="J135" s="541">
        <v>2801</v>
      </c>
      <c r="K135" s="541">
        <v>3444</v>
      </c>
      <c r="L135" s="541">
        <v>4087</v>
      </c>
      <c r="M135" s="541">
        <v>4727</v>
      </c>
      <c r="N135" s="541">
        <v>4727</v>
      </c>
      <c r="O135" s="541">
        <v>4727</v>
      </c>
      <c r="Q135" s="542" t="s">
        <v>90</v>
      </c>
      <c r="R135" s="543"/>
      <c r="S135" s="544">
        <f t="shared" ref="S135:AD135" si="114">SUM(S130:S134)</f>
        <v>21</v>
      </c>
      <c r="T135" s="544">
        <f t="shared" si="114"/>
        <v>266</v>
      </c>
      <c r="U135" s="544">
        <f t="shared" si="114"/>
        <v>1126</v>
      </c>
      <c r="V135" s="544">
        <f t="shared" si="114"/>
        <v>759</v>
      </c>
      <c r="W135" s="544">
        <f t="shared" si="114"/>
        <v>583</v>
      </c>
      <c r="X135" s="544">
        <f t="shared" si="114"/>
        <v>367</v>
      </c>
      <c r="Y135" s="544">
        <f t="shared" si="114"/>
        <v>411</v>
      </c>
      <c r="Z135" s="544">
        <f t="shared" si="114"/>
        <v>162</v>
      </c>
      <c r="AA135" s="544">
        <f t="shared" si="114"/>
        <v>262</v>
      </c>
      <c r="AB135" s="544">
        <f t="shared" si="114"/>
        <v>0</v>
      </c>
      <c r="AC135" s="544">
        <f t="shared" si="114"/>
        <v>0</v>
      </c>
      <c r="AD135" s="544">
        <f t="shared" si="114"/>
        <v>0</v>
      </c>
      <c r="AF135" s="542" t="s">
        <v>90</v>
      </c>
      <c r="AG135" s="543" t="s">
        <v>152</v>
      </c>
      <c r="AH135" s="545">
        <f>SUM(AH130:AH134)</f>
        <v>21</v>
      </c>
      <c r="AI135" s="545">
        <f t="shared" ref="AI135:AS135" si="115">SUM(AI130:AI134)</f>
        <v>287</v>
      </c>
      <c r="AJ135" s="545">
        <f t="shared" si="115"/>
        <v>1413</v>
      </c>
      <c r="AK135" s="545">
        <f t="shared" si="115"/>
        <v>2172</v>
      </c>
      <c r="AL135" s="545">
        <f t="shared" si="115"/>
        <v>2755</v>
      </c>
      <c r="AM135" s="545">
        <f t="shared" si="115"/>
        <v>3122</v>
      </c>
      <c r="AN135" s="545">
        <f t="shared" si="115"/>
        <v>3533</v>
      </c>
      <c r="AO135" s="545">
        <f t="shared" si="115"/>
        <v>3695</v>
      </c>
      <c r="AP135" s="545">
        <f t="shared" si="115"/>
        <v>3957</v>
      </c>
      <c r="AQ135" s="545">
        <f t="shared" si="115"/>
        <v>3957</v>
      </c>
      <c r="AR135" s="545">
        <f t="shared" si="115"/>
        <v>3957</v>
      </c>
      <c r="AS135" s="545">
        <f t="shared" si="115"/>
        <v>3957</v>
      </c>
    </row>
    <row r="138" spans="1:45">
      <c r="S138" s="105">
        <v>0</v>
      </c>
      <c r="T138" s="105">
        <v>0</v>
      </c>
    </row>
    <row r="139" spans="1:45">
      <c r="S139" s="105">
        <v>0</v>
      </c>
      <c r="T139" s="105">
        <v>-1</v>
      </c>
    </row>
    <row r="140" spans="1:45">
      <c r="S140" s="105">
        <v>0</v>
      </c>
      <c r="T140" s="105">
        <v>0</v>
      </c>
    </row>
    <row r="141" spans="1:45">
      <c r="S141" s="105">
        <v>0</v>
      </c>
      <c r="T141" s="105">
        <v>0</v>
      </c>
      <c r="AH141" s="105">
        <v>0</v>
      </c>
      <c r="AI141" s="105">
        <v>0</v>
      </c>
      <c r="AJ141" s="105">
        <v>-2</v>
      </c>
      <c r="AK141" s="105">
        <v>-3</v>
      </c>
      <c r="AL141" s="105">
        <v>-5</v>
      </c>
      <c r="AM141" s="144">
        <v>-17</v>
      </c>
      <c r="AN141" s="144">
        <v>-15</v>
      </c>
      <c r="AO141" s="144">
        <v>-19</v>
      </c>
    </row>
    <row r="142" spans="1:45">
      <c r="S142" s="105">
        <v>0</v>
      </c>
      <c r="T142" s="105">
        <v>1</v>
      </c>
      <c r="AH142" s="105">
        <v>0</v>
      </c>
      <c r="AI142" s="105">
        <v>-1</v>
      </c>
      <c r="AJ142" s="105">
        <v>-4</v>
      </c>
      <c r="AK142" s="105">
        <v>-5</v>
      </c>
      <c r="AL142" s="105">
        <v>-3</v>
      </c>
      <c r="AM142" s="105">
        <v>-3</v>
      </c>
      <c r="AN142" s="105">
        <v>3</v>
      </c>
      <c r="AO142" s="105">
        <v>3</v>
      </c>
    </row>
    <row r="143" spans="1:45">
      <c r="AH143" s="105">
        <v>0</v>
      </c>
      <c r="AI143" s="105">
        <v>0</v>
      </c>
      <c r="AJ143" s="105">
        <v>4</v>
      </c>
      <c r="AK143" s="105">
        <v>6</v>
      </c>
      <c r="AL143" s="105">
        <v>6</v>
      </c>
      <c r="AM143" s="105">
        <v>2</v>
      </c>
      <c r="AN143" s="105">
        <v>7</v>
      </c>
      <c r="AO143" s="105">
        <v>5</v>
      </c>
    </row>
    <row r="144" spans="1:45">
      <c r="AH144" s="105">
        <v>0</v>
      </c>
      <c r="AI144" s="105">
        <v>0</v>
      </c>
      <c r="AJ144" s="105">
        <v>-4</v>
      </c>
      <c r="AK144" s="105">
        <v>-4</v>
      </c>
      <c r="AL144" s="105">
        <v>-5</v>
      </c>
      <c r="AM144" s="105">
        <v>-9</v>
      </c>
      <c r="AN144" s="105">
        <v>-10</v>
      </c>
      <c r="AO144" s="105">
        <v>-6</v>
      </c>
    </row>
    <row r="145" spans="24:41">
      <c r="AH145" s="105">
        <v>0</v>
      </c>
      <c r="AI145" s="105">
        <v>1</v>
      </c>
      <c r="AJ145" s="105">
        <v>-2</v>
      </c>
      <c r="AK145" s="105">
        <v>-3</v>
      </c>
      <c r="AL145" s="105">
        <v>-3</v>
      </c>
      <c r="AM145" s="105">
        <v>-3</v>
      </c>
      <c r="AN145" s="105">
        <v>5</v>
      </c>
      <c r="AO145" s="105">
        <v>3</v>
      </c>
    </row>
    <row r="152" spans="24:41">
      <c r="X152" s="105">
        <f>49-61</f>
        <v>-12</v>
      </c>
    </row>
  </sheetData>
  <mergeCells count="104">
    <mergeCell ref="B135:C135"/>
    <mergeCell ref="B116:C116"/>
    <mergeCell ref="B118:C118"/>
    <mergeCell ref="B120:C120"/>
    <mergeCell ref="B122:C122"/>
    <mergeCell ref="B124:C124"/>
    <mergeCell ref="B129:C129"/>
    <mergeCell ref="B125:C125"/>
    <mergeCell ref="Q129:R129"/>
    <mergeCell ref="AF129:AG129"/>
    <mergeCell ref="B130:C130"/>
    <mergeCell ref="B113:C113"/>
    <mergeCell ref="B114:C114"/>
    <mergeCell ref="B131:C131"/>
    <mergeCell ref="B132:C132"/>
    <mergeCell ref="B133:C133"/>
    <mergeCell ref="B134:C134"/>
    <mergeCell ref="B7:C7"/>
    <mergeCell ref="AF7:AG7"/>
    <mergeCell ref="Q7:R7"/>
    <mergeCell ref="B8:B10"/>
    <mergeCell ref="B11:B13"/>
    <mergeCell ref="B14:B16"/>
    <mergeCell ref="B17:B19"/>
    <mergeCell ref="B20:B22"/>
    <mergeCell ref="B23:B25"/>
    <mergeCell ref="Q8:Q10"/>
    <mergeCell ref="Q11:Q13"/>
    <mergeCell ref="Q14:Q16"/>
    <mergeCell ref="Q17:Q19"/>
    <mergeCell ref="Q20:Q22"/>
    <mergeCell ref="Q23:Q25"/>
    <mergeCell ref="AF8:AF10"/>
    <mergeCell ref="AF11:AF13"/>
    <mergeCell ref="AF14:AF16"/>
    <mergeCell ref="AF17:AF19"/>
    <mergeCell ref="AF20:AF22"/>
    <mergeCell ref="AF23:AF25"/>
    <mergeCell ref="B33:B35"/>
    <mergeCell ref="Q33:Q35"/>
    <mergeCell ref="AF33:AF35"/>
    <mergeCell ref="B36:B38"/>
    <mergeCell ref="Q36:Q38"/>
    <mergeCell ref="AF36:AF38"/>
    <mergeCell ref="B29:C29"/>
    <mergeCell ref="Q29:R29"/>
    <mergeCell ref="AF29:AG29"/>
    <mergeCell ref="B30:B32"/>
    <mergeCell ref="Q30:Q32"/>
    <mergeCell ref="AF30:AF32"/>
    <mergeCell ref="B45:B47"/>
    <mergeCell ref="Q45:Q47"/>
    <mergeCell ref="AF45:AF47"/>
    <mergeCell ref="B51:C51"/>
    <mergeCell ref="Q51:R51"/>
    <mergeCell ref="AF51:AG51"/>
    <mergeCell ref="B39:B41"/>
    <mergeCell ref="Q39:Q41"/>
    <mergeCell ref="AF39:AF41"/>
    <mergeCell ref="B42:B44"/>
    <mergeCell ref="Q42:Q44"/>
    <mergeCell ref="AF42:AF44"/>
    <mergeCell ref="B58:B60"/>
    <mergeCell ref="Q58:Q60"/>
    <mergeCell ref="AF58:AF60"/>
    <mergeCell ref="B61:B63"/>
    <mergeCell ref="Q61:Q63"/>
    <mergeCell ref="AF61:AF63"/>
    <mergeCell ref="B52:B54"/>
    <mergeCell ref="Q52:Q54"/>
    <mergeCell ref="AF52:AF54"/>
    <mergeCell ref="B55:B57"/>
    <mergeCell ref="Q55:Q57"/>
    <mergeCell ref="AF55:AF57"/>
    <mergeCell ref="B64:B66"/>
    <mergeCell ref="Q64:Q66"/>
    <mergeCell ref="AF64:AF66"/>
    <mergeCell ref="B67:B69"/>
    <mergeCell ref="Q67:Q69"/>
    <mergeCell ref="AF67:AF69"/>
    <mergeCell ref="B73:C73"/>
    <mergeCell ref="Q73:R73"/>
    <mergeCell ref="AF73:AG73"/>
    <mergeCell ref="AF86:AF89"/>
    <mergeCell ref="B90:B93"/>
    <mergeCell ref="Q90:Q93"/>
    <mergeCell ref="AF90:AF93"/>
    <mergeCell ref="B85:C85"/>
    <mergeCell ref="Q85:R85"/>
    <mergeCell ref="AF85:AG85"/>
    <mergeCell ref="B86:B89"/>
    <mergeCell ref="Q86:Q89"/>
    <mergeCell ref="AF102:AF105"/>
    <mergeCell ref="B106:B109"/>
    <mergeCell ref="Q106:Q109"/>
    <mergeCell ref="AF106:AF109"/>
    <mergeCell ref="B94:B97"/>
    <mergeCell ref="Q94:Q97"/>
    <mergeCell ref="AF94:AF97"/>
    <mergeCell ref="B98:B101"/>
    <mergeCell ref="Q98:Q101"/>
    <mergeCell ref="AF98:AF101"/>
    <mergeCell ref="B102:B105"/>
    <mergeCell ref="Q102:Q105"/>
  </mergeCells>
  <pageMargins left="0.7" right="0.7" top="0.75" bottom="0.75" header="0.3" footer="0.3"/>
  <pageSetup paperSize="9" orientation="portrait" horizontalDpi="360" verticalDpi="360" r:id="rId1"/>
  <ignoredErrors>
    <ignoredError sqref="AI114" formulaRange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N46"/>
  <sheetViews>
    <sheetView workbookViewId="0"/>
  </sheetViews>
  <sheetFormatPr defaultRowHeight="15"/>
  <cols>
    <col min="1" max="1" width="5.7109375" customWidth="1"/>
    <col min="2" max="2" width="49.28515625" customWidth="1"/>
    <col min="3" max="3" width="2.85546875" customWidth="1"/>
    <col min="4" max="4" width="9.5703125" customWidth="1"/>
    <col min="5" max="5" width="9.140625" customWidth="1"/>
    <col min="6" max="6" width="13.7109375" customWidth="1"/>
    <col min="7" max="8" width="12.7109375" customWidth="1"/>
    <col min="9" max="9" width="12.7109375" style="105" customWidth="1"/>
    <col min="10" max="10" width="12.7109375" customWidth="1"/>
    <col min="11" max="11" width="4.28515625" style="194" customWidth="1"/>
    <col min="12" max="12" width="4.85546875" style="194" bestFit="1" customWidth="1"/>
    <col min="13" max="13" width="11.7109375" customWidth="1"/>
  </cols>
  <sheetData>
    <row r="1" spans="1:14" ht="16.5" thickBot="1">
      <c r="A1" s="38"/>
      <c r="B1" s="39" t="s">
        <v>91</v>
      </c>
      <c r="C1" s="38"/>
      <c r="D1" s="38"/>
      <c r="E1" s="38"/>
      <c r="F1" s="40"/>
    </row>
    <row r="2" spans="1:14" ht="16.5" thickBot="1">
      <c r="A2" s="38"/>
      <c r="B2" s="39" t="s">
        <v>92</v>
      </c>
      <c r="C2" s="38"/>
      <c r="D2" s="38"/>
      <c r="E2" s="38"/>
      <c r="F2" s="40"/>
      <c r="M2" s="41" t="s">
        <v>153</v>
      </c>
      <c r="N2" s="137" t="s">
        <v>154</v>
      </c>
    </row>
    <row r="3" spans="1:14" ht="15.75">
      <c r="A3" s="42"/>
      <c r="B3" s="138" t="s">
        <v>7</v>
      </c>
      <c r="C3" s="40"/>
      <c r="D3" s="38"/>
      <c r="E3" s="38"/>
      <c r="F3" s="40"/>
    </row>
    <row r="4" spans="1:14" ht="16.5" customHeight="1">
      <c r="A4" s="670" t="s">
        <v>8</v>
      </c>
      <c r="B4" s="672" t="s">
        <v>9</v>
      </c>
      <c r="C4" s="673"/>
      <c r="D4" s="670" t="s">
        <v>93</v>
      </c>
      <c r="E4" s="670" t="s">
        <v>99</v>
      </c>
      <c r="F4" s="670" t="s">
        <v>155</v>
      </c>
      <c r="G4" s="661" t="str">
        <f>VLOOKUP(M2,M7:N18,2,FALSE)</f>
        <v>S.D. JUNI</v>
      </c>
      <c r="H4" s="662"/>
      <c r="I4" s="662"/>
      <c r="J4" s="663"/>
    </row>
    <row r="5" spans="1:14" ht="19.149999999999999" customHeight="1">
      <c r="A5" s="671"/>
      <c r="B5" s="674"/>
      <c r="C5" s="675"/>
      <c r="D5" s="671"/>
      <c r="E5" s="671"/>
      <c r="F5" s="671"/>
      <c r="G5" s="506" t="s">
        <v>100</v>
      </c>
      <c r="H5" s="504" t="s">
        <v>101</v>
      </c>
      <c r="I5" s="504" t="s">
        <v>102</v>
      </c>
      <c r="J5" s="504" t="s">
        <v>103</v>
      </c>
    </row>
    <row r="6" spans="1:14" ht="15.75">
      <c r="A6" s="507">
        <v>1</v>
      </c>
      <c r="B6" s="477">
        <v>2</v>
      </c>
      <c r="C6" s="252"/>
      <c r="D6" s="507">
        <v>3</v>
      </c>
      <c r="E6" s="507">
        <v>4</v>
      </c>
      <c r="F6" s="507">
        <v>5</v>
      </c>
      <c r="G6" s="478">
        <v>6</v>
      </c>
      <c r="H6" s="630">
        <v>7</v>
      </c>
      <c r="I6" s="630">
        <v>8</v>
      </c>
      <c r="J6" s="504">
        <v>9</v>
      </c>
    </row>
    <row r="7" spans="1:14" ht="20.100000000000001" customHeight="1">
      <c r="A7" s="72" t="str">
        <f>T.UP3!A7</f>
        <v>I</v>
      </c>
      <c r="B7" s="66" t="str">
        <f>T.UP3!B7</f>
        <v>Key Performance Indikator</v>
      </c>
      <c r="C7" s="67"/>
      <c r="D7" s="50"/>
      <c r="E7" s="68">
        <f>SUM(E8:E10)</f>
        <v>28</v>
      </c>
      <c r="F7" s="68"/>
      <c r="G7" s="68"/>
      <c r="H7" s="68"/>
      <c r="I7" s="68"/>
      <c r="J7" s="102">
        <f>SUM(J8:J10)</f>
        <v>29.4</v>
      </c>
      <c r="M7" s="546" t="s">
        <v>94</v>
      </c>
      <c r="N7" s="43" t="s">
        <v>156</v>
      </c>
    </row>
    <row r="8" spans="1:14" ht="20.100000000000001" customHeight="1">
      <c r="A8" s="69">
        <f>T.UP3!A8</f>
        <v>1</v>
      </c>
      <c r="B8" s="74" t="str">
        <f>T.UP3!B8</f>
        <v>Penjualan Tenaga Listrik</v>
      </c>
      <c r="C8" s="75" t="str">
        <f>T.UP3!C8</f>
        <v>ñ</v>
      </c>
      <c r="D8" s="97" t="str">
        <f>T.UP3!D8</f>
        <v>GWh</v>
      </c>
      <c r="E8" s="202">
        <f>IF(OR(H8="N/A",G8="N/A"),0,T.UP3!F8)</f>
        <v>14</v>
      </c>
      <c r="F8" s="98">
        <f>T.UP3!H8</f>
        <v>231.47</v>
      </c>
      <c r="G8" s="90">
        <f>VLOOKUP(B8,T.UP3!$B$4:$T$70,MATCH(SIMULASI!$M$2,T.UP3!$B$5:$T$5,0),FALSE)</f>
        <v>113.73</v>
      </c>
      <c r="H8" s="98">
        <f>VLOOKUP(B8,'R.UP3'!$B$4:$S$54,MATCH(SIMULASI!$M$2,'R.UP3'!$B$5:$S$5,0),FALSE)</f>
        <v>111.651567363</v>
      </c>
      <c r="I8" s="165">
        <v>100</v>
      </c>
      <c r="J8" s="103">
        <f>IF(I8="N/A",0,IF(I8&gt;110,E8*110/100,E8*I8/100))</f>
        <v>14</v>
      </c>
      <c r="K8" s="194" t="s">
        <v>157</v>
      </c>
      <c r="L8" s="195"/>
      <c r="M8" s="547" t="s">
        <v>95</v>
      </c>
      <c r="N8" s="44" t="s">
        <v>158</v>
      </c>
    </row>
    <row r="9" spans="1:14" ht="20.100000000000001" customHeight="1">
      <c r="A9" s="69">
        <f>T.UP3!A9</f>
        <v>2</v>
      </c>
      <c r="B9" s="74" t="str">
        <f>T.UP3!B9</f>
        <v>Keandalan Sistem</v>
      </c>
      <c r="C9" s="75">
        <f>T.UP3!C9</f>
        <v>0</v>
      </c>
      <c r="D9" s="97">
        <f>T.UP3!D9</f>
        <v>0</v>
      </c>
      <c r="E9" s="202">
        <f>IF(OR(H9="N/A",G9="N/A"),0,T.UP3!F9)</f>
        <v>14</v>
      </c>
      <c r="F9" s="98">
        <f>T.UP3!H9</f>
        <v>0</v>
      </c>
      <c r="G9" s="90">
        <f>VLOOKUP(B9,T.UP3!$B$4:$T$70,MATCH(SIMULASI!$M$2,T.UP3!$B$5:$T$5,0),FALSE)</f>
        <v>0</v>
      </c>
      <c r="H9" s="98">
        <f>VLOOKUP(B9,'R.UP3'!$B$4:$S$54,MATCH(SIMULASI!$M$2,'R.UP3'!$B$5:$S$5,0),FALSE)</f>
        <v>0</v>
      </c>
      <c r="I9" s="165">
        <v>110</v>
      </c>
      <c r="J9" s="103">
        <f>IF(I9="N/A",0,IF(I9&gt;110,E9*110/100,E9*I9/100))</f>
        <v>15.4</v>
      </c>
      <c r="K9" s="195" t="s">
        <v>157</v>
      </c>
      <c r="L9" s="195"/>
      <c r="M9" s="547" t="s">
        <v>96</v>
      </c>
      <c r="N9" s="45" t="s">
        <v>159</v>
      </c>
    </row>
    <row r="10" spans="1:14" ht="16.5">
      <c r="A10" s="69">
        <f>T.UP3!A10</f>
        <v>0</v>
      </c>
      <c r="B10" s="160" t="str">
        <f>T.UP3!B10</f>
        <v>a. SAIDI Sesuai Kewenangannya</v>
      </c>
      <c r="C10" s="75" t="str">
        <f>T.UP3!C10</f>
        <v>ò</v>
      </c>
      <c r="D10" s="97" t="str">
        <f>T.UP3!D10</f>
        <v>Menit/Plg</v>
      </c>
      <c r="E10" s="202">
        <f>IF(OR(H10="N/A",G10="N/A"),0,T.UP3!F10)</f>
        <v>0</v>
      </c>
      <c r="F10" s="98">
        <f>T.UP3!H10</f>
        <v>280.67</v>
      </c>
      <c r="G10" s="90">
        <f>VLOOKUP(B10,T.UP3!$B$4:$T$70,MATCH(SIMULASI!$M$2,T.UP3!$B$5:$T$5,0),FALSE)</f>
        <v>140.34</v>
      </c>
      <c r="H10" s="98">
        <f>VLOOKUP(B10,'R.UP3'!$B$4:$S$54,MATCH(SIMULASI!$M$2,'R.UP3'!$B$5:$S$5,0),FALSE)</f>
        <v>122.59170408678104</v>
      </c>
      <c r="I10" s="165">
        <v>105</v>
      </c>
      <c r="J10" s="103">
        <f>IF(I10="N/A",0,IF(I10&gt;110,E10*110/100,E10*I10/100))</f>
        <v>0</v>
      </c>
      <c r="K10" s="194" t="s">
        <v>157</v>
      </c>
      <c r="L10" s="195"/>
      <c r="M10" s="547" t="s">
        <v>97</v>
      </c>
      <c r="N10" s="45" t="s">
        <v>160</v>
      </c>
    </row>
    <row r="11" spans="1:14" ht="20.100000000000001" customHeight="1">
      <c r="A11" s="72" t="str">
        <f>T.UP3!A17</f>
        <v>II</v>
      </c>
      <c r="B11" s="71" t="str">
        <f>T.UP3!B17</f>
        <v>Perfomance Indicators</v>
      </c>
      <c r="C11" s="67"/>
      <c r="D11" s="50"/>
      <c r="E11" s="72" t="e">
        <f>SUM(E12:E42)</f>
        <v>#REF!</v>
      </c>
      <c r="F11" s="72"/>
      <c r="G11" s="72"/>
      <c r="H11" s="72"/>
      <c r="I11" s="72"/>
      <c r="J11" s="247" t="e">
        <f>SUM(J12:J42)</f>
        <v>#REF!</v>
      </c>
      <c r="K11" s="195"/>
      <c r="L11" s="195"/>
      <c r="M11" s="547" t="s">
        <v>98</v>
      </c>
      <c r="N11" s="45" t="s">
        <v>161</v>
      </c>
    </row>
    <row r="12" spans="1:14" ht="20.100000000000001" customHeight="1">
      <c r="A12" s="69">
        <f>T.UP3!A18</f>
        <v>4</v>
      </c>
      <c r="B12" s="160" t="str">
        <f>T.UP3!B18</f>
        <v>Keandalan Jaringan Distribusi</v>
      </c>
      <c r="C12" s="75">
        <f>T.UP3!C18</f>
        <v>0</v>
      </c>
      <c r="D12" s="97">
        <f>T.UP3!D18</f>
        <v>0</v>
      </c>
      <c r="E12" s="202">
        <f>IF(OR(H12="N/A",G12="N/A"),0,T.UP3!F18)</f>
        <v>6</v>
      </c>
      <c r="F12" s="146">
        <f>T.UP3!H18</f>
        <v>0</v>
      </c>
      <c r="G12" s="186">
        <f>VLOOKUP(B12,T.UP3!$B$4:$T$70,MATCH(SIMULASI!$M$2,T.UP3!$B$5:$T$5,0),FALSE)</f>
        <v>0</v>
      </c>
      <c r="H12" s="186">
        <f>VLOOKUP(B12,'R.UP3'!$B$4:$S$54,MATCH(SIMULASI!$M$2,'R.UP3'!$B$5:$S$5,0),FALSE)</f>
        <v>0</v>
      </c>
      <c r="I12" s="165">
        <f>IF(OR(G12="N/A",H12="N/A"),"N/A",IF(AND(G12=0,H12=0),0,(2-H12/G12)*100))</f>
        <v>0</v>
      </c>
      <c r="J12" s="103">
        <f>IF(I12="N/A",0,IF(I12&gt;110,E12*110/100,E12*I12/100))</f>
        <v>0</v>
      </c>
      <c r="K12" s="195" t="s">
        <v>157</v>
      </c>
      <c r="L12" s="195"/>
      <c r="M12" s="480" t="s">
        <v>153</v>
      </c>
      <c r="N12" s="45" t="s">
        <v>162</v>
      </c>
    </row>
    <row r="13" spans="1:14" ht="19.149999999999999" customHeight="1">
      <c r="A13" s="69">
        <f>T.UP3!A19</f>
        <v>0</v>
      </c>
      <c r="B13" s="160" t="str">
        <f>T.UP3!B19</f>
        <v>a. Gangguan TM &gt; 5 Menit</v>
      </c>
      <c r="C13" s="75" t="str">
        <f>T.UP3!C19</f>
        <v>ò</v>
      </c>
      <c r="D13" s="97" t="str">
        <f>T.UP3!D19</f>
        <v>Kali</v>
      </c>
      <c r="E13" s="202">
        <f>IF(OR(H13="N/A",G13="N/A"),0,T.UP3!F19)</f>
        <v>0</v>
      </c>
      <c r="F13" s="146">
        <f>T.UP3!H19</f>
        <v>166</v>
      </c>
      <c r="G13" s="186">
        <f>VLOOKUP(B13,T.UP3!$B$4:$T$70,MATCH(SIMULASI!$M$2,T.UP3!$B$5:$T$5,0),FALSE)</f>
        <v>88</v>
      </c>
      <c r="H13" s="146">
        <f>VLOOKUP(B13,'R.UP3'!$B$4:$S$54,MATCH(SIMULASI!$M$2,'R.UP3'!$B$5:$S$5,0),FALSE)</f>
        <v>73</v>
      </c>
      <c r="I13" s="165">
        <f>IF(OR(G13="N/A",H13="N/A"),"N/A",IF(AND(G13=0,H13=0),0,(2-H13/G13)*100))</f>
        <v>117.04545454545455</v>
      </c>
      <c r="J13" s="103">
        <f>IF(I13="N/A",0,IF(I13&gt;110,E13*110/100,E13*I13/100))</f>
        <v>0</v>
      </c>
      <c r="K13" s="195" t="s">
        <v>157</v>
      </c>
      <c r="L13" s="195"/>
      <c r="M13" s="547" t="s">
        <v>163</v>
      </c>
      <c r="N13" s="46" t="s">
        <v>164</v>
      </c>
    </row>
    <row r="14" spans="1:14" ht="20.100000000000001" customHeight="1">
      <c r="A14" s="69">
        <f>T.UP3!A20</f>
        <v>0</v>
      </c>
      <c r="B14" s="160" t="str">
        <f>T.UP3!B20</f>
        <v>b. Gangguan TM ≤ 5 Menit</v>
      </c>
      <c r="C14" s="75" t="str">
        <f>T.UP3!C20</f>
        <v>ò</v>
      </c>
      <c r="D14" s="97" t="str">
        <f>T.UP3!D20</f>
        <v>Kali</v>
      </c>
      <c r="E14" s="202">
        <f>IF(OR(H14="N/A",G14="N/A"),0,T.UP3!F20)</f>
        <v>0</v>
      </c>
      <c r="F14" s="169">
        <f>T.UP3!H20</f>
        <v>191</v>
      </c>
      <c r="G14" s="170">
        <f>VLOOKUP(B14,T.UP3!$B$4:$T$70,MATCH(SIMULASI!$M$2,T.UP3!$B$5:$T$5,0),FALSE)</f>
        <v>96</v>
      </c>
      <c r="H14" s="90">
        <f>VLOOKUP(B14,'R.UP3'!$B$4:$S$54,MATCH(SIMULASI!$M$2,'R.UP3'!$B$5:$S$5,0),FALSE)</f>
        <v>76</v>
      </c>
      <c r="I14" s="165">
        <v>98</v>
      </c>
      <c r="J14" s="103">
        <f>IF(I14="N/A",0,IF(I14&gt;110,E14*110/100,E14*I14/100))</f>
        <v>0</v>
      </c>
      <c r="K14" s="195" t="s">
        <v>157</v>
      </c>
      <c r="L14" s="195"/>
      <c r="M14" s="547" t="s">
        <v>165</v>
      </c>
      <c r="N14" s="45" t="s">
        <v>166</v>
      </c>
    </row>
    <row r="15" spans="1:14" ht="20.100000000000001" customHeight="1">
      <c r="A15" s="69">
        <f>T.UP3!A21</f>
        <v>0</v>
      </c>
      <c r="B15" s="160" t="str">
        <f>T.UP3!B21</f>
        <v>c. Kerusakan Peralatan Distribusi (PHB TM dan Trafo) Sesuai Kewenangan</v>
      </c>
      <c r="C15" s="75"/>
      <c r="D15" s="97"/>
      <c r="E15" s="202"/>
      <c r="F15" s="203"/>
      <c r="G15" s="203"/>
      <c r="H15" s="203"/>
      <c r="I15" s="203"/>
      <c r="J15" s="204"/>
      <c r="M15" s="546" t="s">
        <v>167</v>
      </c>
      <c r="N15" s="43" t="s">
        <v>168</v>
      </c>
    </row>
    <row r="16" spans="1:14" ht="19.149999999999999" customHeight="1">
      <c r="A16" s="69"/>
      <c r="B16" s="160" t="str">
        <f>T.UP3!B22</f>
        <v>Peningkatan Layanan</v>
      </c>
      <c r="C16" s="75">
        <f>T.UP3!C22</f>
        <v>0</v>
      </c>
      <c r="D16" s="97">
        <f>T.UP3!D22</f>
        <v>0</v>
      </c>
      <c r="E16" s="202">
        <f>IF(OR(H16="N/A",G16="N/A"),0,T.UP3!F22)</f>
        <v>6</v>
      </c>
      <c r="F16" s="169">
        <f>T.UP3!H22</f>
        <v>0</v>
      </c>
      <c r="G16" s="170">
        <f>VLOOKUP(B16,T.UP3!$B$4:$T$70,MATCH(SIMULASI!$M$2,T.UP3!$B$5:$T$5,0),FALSE)</f>
        <v>0</v>
      </c>
      <c r="H16" s="90">
        <f>VLOOKUP(B16,'R.UP3'!$B$4:$S$54,MATCH(SIMULASI!$M$2,'R.UP3'!$B$5:$S$5,0),FALSE)</f>
        <v>0</v>
      </c>
      <c r="I16" s="165">
        <v>110</v>
      </c>
      <c r="J16" s="103">
        <f>IF(I16="N/A",0,IF(I16&gt;110,E16*110/100,E16*I16/100))</f>
        <v>6.6</v>
      </c>
      <c r="K16" s="195" t="s">
        <v>157</v>
      </c>
      <c r="L16" s="195"/>
      <c r="M16" s="547" t="s">
        <v>169</v>
      </c>
      <c r="N16" s="45" t="s">
        <v>170</v>
      </c>
    </row>
    <row r="17" spans="1:14" ht="20.100000000000001" customHeight="1">
      <c r="A17" s="69"/>
      <c r="B17" s="160" t="str">
        <f>T.UP3!B24</f>
        <v>b. Pengaduan Gangguan Berulang pada PLN Mobile</v>
      </c>
      <c r="C17" s="75" t="str">
        <f>T.UP3!C24</f>
        <v>ò</v>
      </c>
      <c r="D17" s="97" t="str">
        <f>T.UP3!D24</f>
        <v>%</v>
      </c>
      <c r="E17" s="202">
        <f>IF(OR(H17="N/A",G17="N/A"),0,T.UP3!F24)</f>
        <v>0</v>
      </c>
      <c r="F17" s="98">
        <f>T.UP3!H24</f>
        <v>0.04</v>
      </c>
      <c r="G17" s="98">
        <f>VLOOKUP(B17,T.UP3!$B$4:$T$70,MATCH(SIMULASI!$M$2,T.UP3!$B$5:$T$5,0),FALSE)</f>
        <v>0.04</v>
      </c>
      <c r="H17" s="90">
        <f>VLOOKUP(B17,'R.UP3'!$B$4:$S$54,MATCH(SIMULASI!$M$2,'R.UP3'!$B$5:$S$5,0),FALSE)</f>
        <v>0</v>
      </c>
      <c r="I17" s="165">
        <v>110</v>
      </c>
      <c r="J17" s="103">
        <f>IF(I17="N/A",0,IF(I17&gt;110,E17*110/100,E17*I17/100))</f>
        <v>0</v>
      </c>
      <c r="K17" s="195" t="s">
        <v>157</v>
      </c>
      <c r="L17" s="195"/>
      <c r="M17" s="547" t="s">
        <v>171</v>
      </c>
      <c r="N17" s="45" t="s">
        <v>172</v>
      </c>
    </row>
    <row r="18" spans="1:14" ht="16.5">
      <c r="A18" s="69">
        <f>T.UP3!A25</f>
        <v>0</v>
      </c>
      <c r="B18" s="160" t="str">
        <f>T.UP3!B25</f>
        <v>c. Rating PLN Mobile</v>
      </c>
      <c r="C18" s="75" t="str">
        <f>T.UP3!C25</f>
        <v>ñ</v>
      </c>
      <c r="D18" s="97" t="str">
        <f>T.UP3!D25</f>
        <v>Rating</v>
      </c>
      <c r="E18" s="202">
        <f>IF(OR(H18="N/A",G18="N/A"),0,T.UP3!F25)</f>
        <v>0</v>
      </c>
      <c r="F18" s="98">
        <f>T.UP3!H25</f>
        <v>4.9000000000000004</v>
      </c>
      <c r="G18" s="98">
        <f>VLOOKUP(B18,T.UP3!$B$4:$T$70,MATCH(SIMULASI!$M$2,T.UP3!$B$5:$T$5,0),FALSE)</f>
        <v>4.9000000000000004</v>
      </c>
      <c r="H18" s="90" t="s">
        <v>173</v>
      </c>
      <c r="I18" s="165" t="str">
        <f>IF(OR(G18="N/A",H18="N/A"),"N/A",IF(AND(G18=0,H18=0),0,H18/G18*100))</f>
        <v>N/A</v>
      </c>
      <c r="J18" s="103">
        <f>IF(I18="N/A",0,IF(I18&gt;110,E18*110/100,E18*I18/100))</f>
        <v>0</v>
      </c>
      <c r="K18" s="195" t="s">
        <v>157</v>
      </c>
      <c r="L18" s="195"/>
      <c r="M18" s="548" t="s">
        <v>174</v>
      </c>
      <c r="N18" s="45" t="s">
        <v>175</v>
      </c>
    </row>
    <row r="19" spans="1:14" ht="16.5">
      <c r="A19" s="69" t="e">
        <f>T.UP3!#REF!</f>
        <v>#REF!</v>
      </c>
      <c r="B19" s="160" t="e">
        <f>T.UP3!#REF!</f>
        <v>#REF!</v>
      </c>
      <c r="C19" s="75"/>
      <c r="D19" s="97"/>
      <c r="E19" s="202"/>
      <c r="F19" s="98"/>
      <c r="G19" s="98"/>
      <c r="H19" s="98"/>
      <c r="I19" s="99"/>
      <c r="J19" s="103"/>
      <c r="K19" s="195"/>
      <c r="L19" s="195"/>
    </row>
    <row r="20" spans="1:14" ht="16.5">
      <c r="A20" s="69"/>
      <c r="B20" s="160" t="str">
        <f>T.UP3!B26</f>
        <v>d. Jumlah Kali Transaksi Keuangan melalui PLN Mobile</v>
      </c>
      <c r="C20" s="75" t="str">
        <f>T.UP3!C26</f>
        <v>ñ</v>
      </c>
      <c r="D20" s="97" t="str">
        <f>T.UP3!D26</f>
        <v>Kali Transaksi</v>
      </c>
      <c r="E20" s="202">
        <f>IF(OR(H20="N/A",G20="N/A"),0,T.UP3!F26)</f>
        <v>0</v>
      </c>
      <c r="F20" s="98">
        <f>T.UP3!H26</f>
        <v>62908</v>
      </c>
      <c r="G20" s="98">
        <f>VLOOKUP(B20,T.UP3!$B$4:$T$70,MATCH(SIMULASI!$M$2,T.UP3!$B$5:$T$5,0),FALSE)</f>
        <v>31455</v>
      </c>
      <c r="H20" s="98">
        <f>VLOOKUP(B20,'R.UP3'!$B$4:$S$54,MATCH(SIMULASI!$M$2,'R.UP3'!$B$5:$S$5,0),FALSE)</f>
        <v>45061</v>
      </c>
      <c r="I20" s="165">
        <v>110</v>
      </c>
      <c r="J20" s="103">
        <f>IF(OR(I20="N/A",I20&lt;0),0,IF(I20&gt;110,E20*110/100,E20*I20/100))</f>
        <v>0</v>
      </c>
      <c r="K20" s="195" t="s">
        <v>157</v>
      </c>
      <c r="L20" s="195"/>
    </row>
    <row r="21" spans="1:14" ht="20.100000000000001" customHeight="1">
      <c r="A21" s="69"/>
      <c r="B21" s="160" t="e">
        <f>T.UP3!#REF!</f>
        <v>#REF!</v>
      </c>
      <c r="C21" s="75" t="e">
        <f>T.UP3!#REF!</f>
        <v>#REF!</v>
      </c>
      <c r="D21" s="97" t="e">
        <f>T.UP3!#REF!</f>
        <v>#REF!</v>
      </c>
      <c r="E21" s="202" t="e">
        <f>IF(OR(H21="N/A",G21="N/A"),0,T.UP3!#REF!)</f>
        <v>#REF!</v>
      </c>
      <c r="F21" s="98" t="e">
        <f>T.UP3!#REF!</f>
        <v>#REF!</v>
      </c>
      <c r="G21" s="98" t="e">
        <f>VLOOKUP(B21,T.UP3!$B$4:$T$70,MATCH(SIMULASI!$M$2,T.UP3!$B$5:$T$5,0),FALSE)</f>
        <v>#REF!</v>
      </c>
      <c r="H21" s="98" t="e">
        <f>VLOOKUP(B21,'R.UP3'!$B$4:$S$54,MATCH(SIMULASI!$M$2,'R.UP3'!$B$5:$S$5,0),FALSE)</f>
        <v>#REF!</v>
      </c>
      <c r="I21" s="165">
        <v>110</v>
      </c>
      <c r="J21" s="103" t="e">
        <f>IF(I21="N/A",0,IF(I21&gt;110,E21*110/100,E21*I21/100))</f>
        <v>#REF!</v>
      </c>
      <c r="K21" s="195" t="s">
        <v>157</v>
      </c>
    </row>
    <row r="22" spans="1:14" ht="20.100000000000001" customHeight="1">
      <c r="A22" s="69">
        <f>T.UP3!A38</f>
        <v>0</v>
      </c>
      <c r="B22" s="160" t="str">
        <f>T.UP3!B38</f>
        <v>b. Penambahan Jumlah Pelanggan</v>
      </c>
      <c r="C22" s="75" t="str">
        <f>T.UP3!C38</f>
        <v>ñ</v>
      </c>
      <c r="D22" s="97" t="str">
        <f>T.UP3!D38</f>
        <v>Pelanggan</v>
      </c>
      <c r="E22" s="202">
        <f>IF(OR(H22="N/A",G22="N/A"),0,T.UP3!F38)</f>
        <v>2</v>
      </c>
      <c r="F22" s="98">
        <f>T.UP3!H38</f>
        <v>10632</v>
      </c>
      <c r="G22" s="98">
        <f>VLOOKUP(B22,T.UP3!$B$4:$T$70,MATCH(SIMULASI!$M$2,T.UP3!$B$5:$T$5,0),FALSE)</f>
        <v>4619</v>
      </c>
      <c r="H22" s="98">
        <v>3.17</v>
      </c>
      <c r="I22" s="165">
        <f>IF(OR(G22="N/A",H22="N/A"),"N/A",IF(AND(G22=0,H22=0),0,H22/G22*100))</f>
        <v>6.862957350075774E-2</v>
      </c>
      <c r="J22" s="103">
        <f>IF(I22="N/A",0,IF(I22&gt;110,E22*110/100,E22*I22/100))</f>
        <v>1.3725914700151549E-3</v>
      </c>
      <c r="K22" s="195" t="s">
        <v>157</v>
      </c>
      <c r="L22" s="195"/>
    </row>
    <row r="23" spans="1:14" ht="31.5">
      <c r="A23" s="69">
        <f>T.UP3!A41</f>
        <v>0</v>
      </c>
      <c r="B23" s="160" t="str">
        <f>T.UP3!B41</f>
        <v>e. Penambahan Jumlah Pelanggan Rumah Tangga Lisdes</v>
      </c>
      <c r="C23" s="75" t="str">
        <f>T.UP3!C41</f>
        <v>ñ</v>
      </c>
      <c r="D23" s="97" t="str">
        <f>T.UP3!D41</f>
        <v>Pelanggan</v>
      </c>
      <c r="E23" s="202">
        <f>IF(OR(H23="N/A",G23="N/A"),0,T.UP3!F41)</f>
        <v>1.5</v>
      </c>
      <c r="F23" s="98">
        <f>T.UP3!H41</f>
        <v>441</v>
      </c>
      <c r="G23" s="98">
        <f>VLOOKUP(B23,T.UP3!$B$4:$T$70,MATCH(SIMULASI!$M$2,T.UP3!$B$5:$T$5,0),FALSE)</f>
        <v>14</v>
      </c>
      <c r="H23" s="98">
        <v>100</v>
      </c>
      <c r="I23" s="165">
        <f>IF(OR(G23="N/A",H23="N/A"),"N/A",IF(AND(G23=0,H23=0),0,H23/G23*100))</f>
        <v>714.28571428571433</v>
      </c>
      <c r="J23" s="103">
        <f>IF(I23="N/A",0,IF(I23&gt;110,E23*110/100,E23*I23/100))</f>
        <v>1.65</v>
      </c>
      <c r="K23" s="195" t="s">
        <v>157</v>
      </c>
      <c r="L23" s="195"/>
    </row>
    <row r="24" spans="1:14" ht="31.5">
      <c r="A24" s="69">
        <f>T.UP3!A42</f>
        <v>0</v>
      </c>
      <c r="B24" s="160" t="str">
        <f>T.UP3!B42</f>
        <v>f. Peningkatan kWh Penjualan dari Pelanggan Rumah Tangga Lisdes</v>
      </c>
      <c r="C24" s="75" t="str">
        <f>T.UP3!C42</f>
        <v>ñ</v>
      </c>
      <c r="D24" s="97" t="str">
        <f>T.UP3!D42</f>
        <v>KWh</v>
      </c>
      <c r="E24" s="202">
        <f>IF(OR(H24="N/A",G24="N/A"),0,T.UP3!F42)</f>
        <v>1.5</v>
      </c>
      <c r="F24" s="98">
        <f>T.UP3!H42</f>
        <v>58950.990000000005</v>
      </c>
      <c r="G24" s="98">
        <v>100</v>
      </c>
      <c r="H24" s="98">
        <v>100</v>
      </c>
      <c r="I24" s="165">
        <f>IF(OR(G24="N/A",H24="N/A"),"N/A",IF(AND(G24=0,H24=0),0,H24/G24*100))</f>
        <v>100</v>
      </c>
      <c r="J24" s="103">
        <f>IF(I24="N/A",0,IF(I24&gt;110,E24*110/100,E24*I24/100))</f>
        <v>1.5</v>
      </c>
      <c r="K24" s="195" t="s">
        <v>157</v>
      </c>
      <c r="L24" s="195"/>
    </row>
    <row r="25" spans="1:14" ht="20.100000000000001" customHeight="1">
      <c r="A25" s="69">
        <f>T.UP3!A43</f>
        <v>10</v>
      </c>
      <c r="B25" s="160" t="str">
        <f>T.UP3!B43</f>
        <v>Pengelolaan Pembacaan Meter</v>
      </c>
      <c r="C25" s="75">
        <f>T.UP3!C43</f>
        <v>0</v>
      </c>
      <c r="D25" s="97">
        <f>T.UP3!D43</f>
        <v>0</v>
      </c>
      <c r="E25" s="202">
        <f>IF(OR(H25="N/A",G25="N/A"),0,T.UP3!F43)</f>
        <v>4</v>
      </c>
      <c r="F25" s="98">
        <f>T.UP3!H43</f>
        <v>0</v>
      </c>
      <c r="G25" s="98">
        <f>VLOOKUP(B25,T.UP3!$B$4:$T$70,MATCH(SIMULASI!$M$2,T.UP3!$B$5:$T$5,0),FALSE)</f>
        <v>0</v>
      </c>
      <c r="H25" s="98">
        <v>80</v>
      </c>
      <c r="I25" s="165" t="e">
        <f>IF(OR(G25="N/A",H25="N/A"),"N/A",IF(AND(G25=0,H25=0),0,H25/G25*100))</f>
        <v>#DIV/0!</v>
      </c>
      <c r="J25" s="103" t="e">
        <f>IF(I25="N/A",0,IF(I25&gt;110,E25*110/100,E25*I25/100))</f>
        <v>#DIV/0!</v>
      </c>
      <c r="K25" s="195" t="s">
        <v>157</v>
      </c>
      <c r="L25" s="195"/>
      <c r="N25" s="127"/>
    </row>
    <row r="26" spans="1:14" ht="16.5">
      <c r="A26" s="69">
        <f>T.UP3!A44</f>
        <v>0</v>
      </c>
      <c r="B26" s="160" t="str">
        <f>T.UP3!B44</f>
        <v>a. Jumlah Pengguna Swa Cam</v>
      </c>
      <c r="C26" s="75"/>
      <c r="D26" s="97"/>
      <c r="E26" s="202"/>
      <c r="F26" s="98"/>
      <c r="G26" s="98"/>
      <c r="H26" s="98"/>
      <c r="I26" s="99"/>
      <c r="J26" s="103"/>
      <c r="K26" s="195"/>
      <c r="L26" s="195"/>
    </row>
    <row r="27" spans="1:14" ht="20.100000000000001" customHeight="1">
      <c r="A27" s="69"/>
      <c r="B27" s="160" t="e">
        <f>T.UP3!#REF!</f>
        <v>#REF!</v>
      </c>
      <c r="C27" s="75" t="e">
        <f>T.UP3!#REF!</f>
        <v>#REF!</v>
      </c>
      <c r="D27" s="97" t="e">
        <f>T.UP3!#REF!</f>
        <v>#REF!</v>
      </c>
      <c r="E27" s="202" t="e">
        <f>IF(OR(H27="N/A",G27="N/A"),0,T.UP3!#REF!)</f>
        <v>#REF!</v>
      </c>
      <c r="F27" s="101" t="e">
        <f>T.UP3!#REF!</f>
        <v>#REF!</v>
      </c>
      <c r="G27" s="101" t="e">
        <f>VLOOKUP(B27,T.UP3!$B$4:$T$70,MATCH(SIMULASI!$M$2,T.UP3!$B$5:$T$5,0),FALSE)</f>
        <v>#REF!</v>
      </c>
      <c r="H27" s="101" t="e">
        <f>VLOOKUP(B27,'R.UP3'!$B$4:$S$54,MATCH(SIMULASI!$M$2,'R.UP3'!$B$5:$S$5,0),FALSE)</f>
        <v>#REF!</v>
      </c>
      <c r="I27" s="165" t="e">
        <f>IF(OR(G27="N/A",H27="N/A"),"N/A",IF(AND(G27=0,H27=0),0,H27/G27*100))</f>
        <v>#REF!</v>
      </c>
      <c r="J27" s="103" t="e">
        <f>IF(I27="N/A",0,IF(I27&gt;110,E27*110/100,E27*I27/100))</f>
        <v>#REF!</v>
      </c>
      <c r="K27" s="195" t="s">
        <v>157</v>
      </c>
      <c r="L27" s="195"/>
    </row>
    <row r="28" spans="1:14" ht="20.100000000000001" customHeight="1">
      <c r="A28" s="69"/>
      <c r="B28" s="160" t="str">
        <f>T.UP3!B47</f>
        <v>a. Pencapaian Rata-Rata Saldo Tanggal 20 diluar Konsumen Instansi (Kementerian &amp; Lembaga)</v>
      </c>
      <c r="C28" s="75"/>
      <c r="D28" s="97"/>
      <c r="E28" s="202"/>
      <c r="F28" s="98"/>
      <c r="G28" s="90"/>
      <c r="H28" s="90"/>
      <c r="I28" s="99"/>
      <c r="J28" s="94"/>
    </row>
    <row r="29" spans="1:14" ht="20.100000000000001" customHeight="1">
      <c r="A29" s="69"/>
      <c r="B29" s="160" t="str">
        <f>T.UP3!B51</f>
        <v>a. Pengendalian Penggunaan Anggaran Investasi sesuai RKAP</v>
      </c>
      <c r="C29" s="75" t="str">
        <f>T.UP3!C51</f>
        <v>ó</v>
      </c>
      <c r="D29" s="97" t="str">
        <f>T.UP3!D51</f>
        <v>%</v>
      </c>
      <c r="E29" s="202">
        <f>IF(OR(H29="N/A",G29="N/A"),0,T.UP3!F51)</f>
        <v>0</v>
      </c>
      <c r="F29" s="98" t="str">
        <f>T.UP3!H51</f>
        <v>95-100</v>
      </c>
      <c r="G29" s="98" t="str">
        <f>VLOOKUP(B29,T.UP3!$B$4:$T$70,MATCH(SIMULASI!$M$2,T.UP3!$B$5:$T$5,0),FALSE)</f>
        <v>95-100</v>
      </c>
      <c r="H29" s="98">
        <f>VLOOKUP(B29,'R.UP3'!$B$4:$S$54,MATCH(SIMULASI!$M$2,'R.UP3'!$B$5:$S$5,0),FALSE)</f>
        <v>99.43</v>
      </c>
      <c r="I29" s="165">
        <v>110</v>
      </c>
      <c r="J29" s="103">
        <f t="shared" ref="J29:J34" si="0">IF(I29="N/A",0,IF(I29&gt;110,E29*110/100,E29*I29/100))</f>
        <v>0</v>
      </c>
      <c r="K29" s="195" t="s">
        <v>157</v>
      </c>
      <c r="L29" s="195"/>
    </row>
    <row r="30" spans="1:14" ht="20.100000000000001" customHeight="1">
      <c r="A30" s="69"/>
      <c r="B30" s="160" t="e">
        <f>T.UP3!#REF!</f>
        <v>#REF!</v>
      </c>
      <c r="C30" s="75" t="e">
        <f>T.UP3!#REF!</f>
        <v>#REF!</v>
      </c>
      <c r="D30" s="97" t="e">
        <f>T.UP3!#REF!</f>
        <v>#REF!</v>
      </c>
      <c r="E30" s="202" t="e">
        <f>IF(OR(H30="N/A",G30="N/A"),0,T.UP3!#REF!)</f>
        <v>#REF!</v>
      </c>
      <c r="F30" s="98" t="e">
        <f>T.UP3!#REF!</f>
        <v>#REF!</v>
      </c>
      <c r="G30" s="98" t="e">
        <f>VLOOKUP(B30,T.UP3!$B$4:$T$70,MATCH(SIMULASI!$M$2,T.UP3!$B$5:$T$5,0),FALSE)</f>
        <v>#REF!</v>
      </c>
      <c r="H30" s="98" t="e">
        <f>VLOOKUP(B30,'R.UP3'!$B$4:$S$54,MATCH(SIMULASI!$M$2,'R.UP3'!$B$5:$S$5,0),FALSE)</f>
        <v>#REF!</v>
      </c>
      <c r="I30" s="165">
        <v>110</v>
      </c>
      <c r="J30" s="103" t="e">
        <f t="shared" si="0"/>
        <v>#REF!</v>
      </c>
      <c r="K30" s="195" t="s">
        <v>157</v>
      </c>
      <c r="L30" s="195"/>
    </row>
    <row r="31" spans="1:14" ht="20.100000000000001" customHeight="1">
      <c r="A31" s="69"/>
      <c r="B31" s="160" t="e">
        <f>T.UP3!#REF!</f>
        <v>#REF!</v>
      </c>
      <c r="C31" s="75" t="e">
        <f>T.UP3!#REF!</f>
        <v>#REF!</v>
      </c>
      <c r="D31" s="97" t="e">
        <f>T.UP3!#REF!</f>
        <v>#REF!</v>
      </c>
      <c r="E31" s="202" t="e">
        <f>IF(OR(H31="N/A",G31="N/A"),0,T.UP3!#REF!)</f>
        <v>#REF!</v>
      </c>
      <c r="F31" s="98" t="e">
        <f>T.UP3!#REF!</f>
        <v>#REF!</v>
      </c>
      <c r="G31" s="98" t="e">
        <f>VLOOKUP(B31,T.UP3!$B$4:$T$70,MATCH(SIMULASI!$M$2,T.UP3!$B$5:$T$5,0),FALSE)</f>
        <v>#REF!</v>
      </c>
      <c r="H31" s="90" t="e">
        <f>VLOOKUP(B31,'R.UP3'!$B$4:$S$54,MATCH(SIMULASI!$M$2,'R.UP3'!$B$5:$S$5,0),FALSE)</f>
        <v>#REF!</v>
      </c>
      <c r="I31" s="165">
        <v>110</v>
      </c>
      <c r="J31" s="103" t="e">
        <f t="shared" si="0"/>
        <v>#REF!</v>
      </c>
      <c r="K31" s="195" t="s">
        <v>157</v>
      </c>
      <c r="L31" s="195"/>
    </row>
    <row r="32" spans="1:14" ht="20.100000000000001" customHeight="1">
      <c r="A32" s="69"/>
      <c r="B32" s="160" t="e">
        <f>T.UP3!#REF!</f>
        <v>#REF!</v>
      </c>
      <c r="C32" s="75" t="e">
        <f>T.UP3!#REF!</f>
        <v>#REF!</v>
      </c>
      <c r="D32" s="97" t="e">
        <f>T.UP3!#REF!</f>
        <v>#REF!</v>
      </c>
      <c r="E32" s="202" t="e">
        <f>IF(OR(H32="N/A",G32="N/A"),0,T.UP3!#REF!)</f>
        <v>#REF!</v>
      </c>
      <c r="F32" s="101" t="e">
        <f>T.UP3!#REF!</f>
        <v>#REF!</v>
      </c>
      <c r="G32" s="101" t="e">
        <f>VLOOKUP(B32,T.UP3!$B$4:$T$70,MATCH(SIMULASI!$M$2,T.UP3!$B$5:$T$5,0),FALSE)</f>
        <v>#REF!</v>
      </c>
      <c r="H32" s="91" t="e">
        <f>VLOOKUP(B32,'R.UP3'!$B$4:$S$54,MATCH(SIMULASI!$M$2,'R.UP3'!$B$5:$S$5,0),FALSE)</f>
        <v>#REF!</v>
      </c>
      <c r="I32" s="165" t="e">
        <f>IF(OR(G32="N/A",H32="N/A"),"N/A",IF(AND(G32=0,H32=0),0,H32/G32*100))</f>
        <v>#REF!</v>
      </c>
      <c r="J32" s="103" t="e">
        <f t="shared" si="0"/>
        <v>#REF!</v>
      </c>
      <c r="K32" s="194" t="s">
        <v>157</v>
      </c>
      <c r="L32" s="195"/>
    </row>
    <row r="33" spans="1:12" ht="20.100000000000001" customHeight="1">
      <c r="A33" s="69"/>
      <c r="B33" s="160" t="str">
        <f>T.UP3!B52</f>
        <v>b. Usulan Penghapusan ATTB</v>
      </c>
      <c r="C33" s="75" t="str">
        <f>T.UP3!C52</f>
        <v>ñ</v>
      </c>
      <c r="D33" s="97" t="str">
        <f>T.UP3!D52</f>
        <v>Rp. Milyar</v>
      </c>
      <c r="E33" s="202">
        <f>IF(OR(H33="N/A",G33="N/A"),0,T.UP3!F52)</f>
        <v>0</v>
      </c>
      <c r="F33" s="101">
        <f>T.UP3!H52</f>
        <v>3.16</v>
      </c>
      <c r="G33" s="101">
        <f>VLOOKUP(B33,T.UP3!$B$4:$T$70,MATCH(SIMULASI!$M$2,T.UP3!$B$5:$T$5,0),FALSE)</f>
        <v>0</v>
      </c>
      <c r="H33" s="101">
        <f>VLOOKUP(B33,'R.UP3'!$B$4:$S$54,MATCH(SIMULASI!$M$2,'R.UP3'!$B$5:$S$5,0),FALSE)</f>
        <v>0</v>
      </c>
      <c r="I33" s="165">
        <v>70</v>
      </c>
      <c r="J33" s="103">
        <f t="shared" si="0"/>
        <v>0</v>
      </c>
      <c r="K33" s="195" t="s">
        <v>157</v>
      </c>
      <c r="L33" s="195"/>
    </row>
    <row r="34" spans="1:12" ht="20.100000000000001" customHeight="1">
      <c r="A34" s="69"/>
      <c r="B34" s="160" t="e">
        <f>T.UP3!#REF!</f>
        <v>#REF!</v>
      </c>
      <c r="C34" s="75" t="e">
        <f>T.UP3!#REF!</f>
        <v>#REF!</v>
      </c>
      <c r="D34" s="97" t="e">
        <f>T.UP3!#REF!</f>
        <v>#REF!</v>
      </c>
      <c r="E34" s="202" t="e">
        <f>IF(OR(H34="N/A",G34="N/A"),0,T.UP3!#REF!)</f>
        <v>#REF!</v>
      </c>
      <c r="F34" s="101" t="e">
        <f>T.UP3!#REF!</f>
        <v>#REF!</v>
      </c>
      <c r="G34" s="101" t="e">
        <f>VLOOKUP(B34,T.UP3!$B$4:$T$70,MATCH(SIMULASI!$M$2,T.UP3!$B$5:$T$5,0),FALSE)</f>
        <v>#REF!</v>
      </c>
      <c r="H34" s="101">
        <v>5</v>
      </c>
      <c r="I34" s="165" t="e">
        <f>IF(OR(G34="N/A",H34="N/A"),"N/A",IF(AND(G34=0,H34=0),0,H34/G34*100))</f>
        <v>#REF!</v>
      </c>
      <c r="J34" s="103" t="e">
        <f t="shared" si="0"/>
        <v>#REF!</v>
      </c>
      <c r="K34" s="195" t="s">
        <v>157</v>
      </c>
      <c r="L34" s="195"/>
    </row>
    <row r="35" spans="1:12" ht="16.5">
      <c r="A35" s="69">
        <f>T.UP3!A53</f>
        <v>0</v>
      </c>
      <c r="B35" s="160" t="str">
        <f>T.UP3!B53</f>
        <v>c. Usulan Penghapusan PRR</v>
      </c>
      <c r="C35" s="75"/>
      <c r="D35" s="97"/>
      <c r="E35" s="202"/>
      <c r="F35" s="98"/>
      <c r="G35" s="98"/>
      <c r="H35" s="98"/>
      <c r="I35" s="99"/>
      <c r="J35" s="103"/>
      <c r="K35" s="195"/>
      <c r="L35" s="195"/>
    </row>
    <row r="36" spans="1:12" ht="16.5">
      <c r="A36" s="69"/>
      <c r="B36" s="160" t="str">
        <f>T.UP3!B55</f>
        <v>a. HCR, OCR, dan Produktivitas Pegawai</v>
      </c>
      <c r="C36" s="75" t="str">
        <f>T.UP3!C55</f>
        <v>ñ</v>
      </c>
      <c r="D36" s="97" t="str">
        <f>T.UP3!D55</f>
        <v>%</v>
      </c>
      <c r="E36" s="202">
        <f>IF(OR(H36="N/A",G36="N/A"),0,T.UP3!F55)</f>
        <v>0</v>
      </c>
      <c r="F36" s="98">
        <f>T.UP3!H55</f>
        <v>100</v>
      </c>
      <c r="G36" s="98">
        <f>VLOOKUP(B36,T.UP3!$B$4:$T$70,MATCH(SIMULASI!$M$2,T.UP3!$B$5:$T$5,0),FALSE)</f>
        <v>100</v>
      </c>
      <c r="H36" s="90">
        <v>80</v>
      </c>
      <c r="I36" s="165">
        <f>IF(OR(G36="N/A",H36="N/A"),"N/A",IF(AND(G36=0,H36=0),0,H36/G36*100))</f>
        <v>80</v>
      </c>
      <c r="J36" s="103">
        <f>IF(I36="N/A",0,IF(I36&gt;110,E36*110/100,E36*I36/100))</f>
        <v>0</v>
      </c>
      <c r="K36" s="195" t="s">
        <v>157</v>
      </c>
      <c r="L36" s="195"/>
    </row>
    <row r="37" spans="1:12" ht="20.100000000000001" customHeight="1">
      <c r="A37" s="69"/>
      <c r="B37" s="160" t="str">
        <f>T.UP3!B56</f>
        <v>b. Produktivitas Unit</v>
      </c>
      <c r="C37" s="75" t="str">
        <f>T.UP3!C56</f>
        <v>ñ</v>
      </c>
      <c r="D37" s="97" t="str">
        <f>T.UP3!D56</f>
        <v>%</v>
      </c>
      <c r="E37" s="202">
        <f>IF(OR(H37="N/A",G37="N/A"),0,T.UP3!F56)</f>
        <v>0</v>
      </c>
      <c r="F37" s="98">
        <f>T.UP3!H56</f>
        <v>100</v>
      </c>
      <c r="G37" s="98">
        <f>VLOOKUP(B37,T.UP3!$B$4:$T$70,MATCH(SIMULASI!$M$2,T.UP3!$B$5:$T$5,0),FALSE)</f>
        <v>100</v>
      </c>
      <c r="H37" s="98">
        <v>80</v>
      </c>
      <c r="I37" s="165">
        <f>IF(OR(G37="N/A",H37="N/A"),"N/A",IF(AND(G37=0,H37=0),0,H37/G37*100))</f>
        <v>80</v>
      </c>
      <c r="J37" s="103">
        <f>IF(I37="N/A",0,IF(I37&gt;110,E37*110/100,E37*I37/100))</f>
        <v>0</v>
      </c>
      <c r="K37" s="195" t="s">
        <v>157</v>
      </c>
      <c r="L37" s="195"/>
    </row>
    <row r="38" spans="1:12" ht="20.100000000000001" customHeight="1">
      <c r="A38" s="69">
        <f>T.UP3!A61</f>
        <v>0</v>
      </c>
      <c r="B38" s="160" t="str">
        <f>T.UP3!B61</f>
        <v>b. Maturity Level Gudang</v>
      </c>
      <c r="C38" s="75"/>
      <c r="D38" s="97"/>
      <c r="E38" s="202"/>
      <c r="F38" s="98"/>
      <c r="G38" s="98"/>
      <c r="H38" s="98"/>
      <c r="I38" s="99"/>
      <c r="J38" s="103"/>
      <c r="K38" s="195"/>
      <c r="L38" s="195"/>
    </row>
    <row r="39" spans="1:12" ht="20.100000000000001" customHeight="1">
      <c r="A39" s="69"/>
      <c r="B39" s="160" t="str">
        <f>T.UP3!B62</f>
        <v>c. Maturity Level Sustainbility</v>
      </c>
      <c r="C39" s="75"/>
      <c r="D39" s="97"/>
      <c r="E39" s="202">
        <f>IF(H39="N/A",0,T.UP3!F62)</f>
        <v>0</v>
      </c>
      <c r="F39" s="98"/>
      <c r="G39" s="98"/>
      <c r="H39" s="98"/>
      <c r="I39" s="99"/>
      <c r="J39" s="103"/>
      <c r="K39" s="195"/>
      <c r="L39" s="195"/>
    </row>
    <row r="40" spans="1:12" ht="31.5">
      <c r="A40" s="69"/>
      <c r="B40" s="160" t="str">
        <f>T.UP3!B63</f>
        <v>d. Implementasi Roadmap Perbaikan Penerapan Manajemen Risiko dan Pencapaian Perlakuan Risiko</v>
      </c>
      <c r="C40" s="75"/>
      <c r="D40" s="97"/>
      <c r="E40" s="202">
        <f>IF(H40="N/A",0,T.UP3!F63)</f>
        <v>0</v>
      </c>
      <c r="F40" s="98"/>
      <c r="G40" s="98"/>
      <c r="H40" s="90"/>
      <c r="I40" s="99"/>
      <c r="J40" s="103"/>
      <c r="K40" s="195"/>
      <c r="L40" s="195"/>
    </row>
    <row r="41" spans="1:12" ht="31.5">
      <c r="A41" s="69"/>
      <c r="B41" s="160" t="str">
        <f>T.UP3!B67</f>
        <v>c. Ketepatan penyampaian pelaporan dan
Akurasi Data Kinerja</v>
      </c>
      <c r="C41" s="75"/>
      <c r="D41" s="97"/>
      <c r="E41" s="202" t="str">
        <f>IF(H41="N/A",0,T.UP3!F67)</f>
        <v>Max-10</v>
      </c>
      <c r="F41" s="98"/>
      <c r="G41" s="98"/>
      <c r="H41" s="98"/>
      <c r="I41" s="99"/>
      <c r="J41" s="103"/>
      <c r="K41" s="195"/>
      <c r="L41" s="195"/>
    </row>
    <row r="42" spans="1:12" ht="20.100000000000001" customHeight="1">
      <c r="A42" s="69"/>
      <c r="B42" s="160" t="str">
        <f>T.UP3!B69</f>
        <v>e. Pencapaian Beyond RKAP</v>
      </c>
      <c r="C42" s="75"/>
      <c r="D42" s="97"/>
      <c r="E42" s="202" t="str">
        <f>IF(H42="N/A",0,T.UP3!F69)</f>
        <v>Max-2
Max+2</v>
      </c>
      <c r="F42" s="98"/>
      <c r="G42" s="98"/>
      <c r="H42" s="98"/>
      <c r="I42" s="171"/>
      <c r="J42" s="103"/>
      <c r="K42" s="195"/>
      <c r="L42" s="195"/>
    </row>
    <row r="43" spans="1:12" ht="15.75">
      <c r="A43" s="70"/>
      <c r="B43" s="80" t="s">
        <v>104</v>
      </c>
      <c r="C43" s="128"/>
      <c r="D43" s="81"/>
      <c r="E43" s="82" t="e">
        <f>E7+E11</f>
        <v>#REF!</v>
      </c>
      <c r="F43" s="82"/>
      <c r="G43" s="82"/>
      <c r="H43" s="82"/>
      <c r="I43" s="82"/>
      <c r="J43" s="104" t="e">
        <f>J7+J11</f>
        <v>#REF!</v>
      </c>
    </row>
    <row r="44" spans="1:12" ht="15.75">
      <c r="A44" s="73"/>
      <c r="B44" s="83" t="s">
        <v>105</v>
      </c>
      <c r="C44" s="84"/>
      <c r="D44" s="85"/>
      <c r="E44" s="86">
        <v>100</v>
      </c>
      <c r="F44" s="86"/>
      <c r="G44" s="86"/>
      <c r="H44" s="86"/>
      <c r="I44" s="86"/>
      <c r="J44" s="152" t="e">
        <f>E44/E43*J43</f>
        <v>#REF!</v>
      </c>
    </row>
    <row r="46" spans="1:12">
      <c r="A46" s="669" t="s">
        <v>176</v>
      </c>
      <c r="B46" s="669"/>
      <c r="C46" s="669"/>
      <c r="D46" s="669"/>
      <c r="E46" s="669"/>
      <c r="F46" s="669"/>
      <c r="G46" s="669"/>
      <c r="H46" s="669"/>
      <c r="I46" s="669"/>
      <c r="J46" s="669"/>
    </row>
  </sheetData>
  <mergeCells count="7">
    <mergeCell ref="A46:J46"/>
    <mergeCell ref="A4:A5"/>
    <mergeCell ref="B4:C5"/>
    <mergeCell ref="D4:D5"/>
    <mergeCell ref="E4:E5"/>
    <mergeCell ref="F4:F5"/>
    <mergeCell ref="G4:J4"/>
  </mergeCells>
  <conditionalFormatting sqref="C8:C10">
    <cfRule type="iconSet" priority="166">
      <iconSet iconSet="3ArrowsGray" showValue="0">
        <cfvo type="percent" val="0"/>
        <cfvo type="num" val="2"/>
        <cfvo type="num" val="3"/>
      </iconSet>
    </cfRule>
    <cfRule type="iconSet" priority="165">
      <iconSet iconSet="3ArrowsGray" showValue="0">
        <cfvo type="percent" val="0"/>
        <cfvo type="num" val="2"/>
        <cfvo type="num" val="3"/>
      </iconSet>
    </cfRule>
  </conditionalFormatting>
  <conditionalFormatting sqref="C12:C42">
    <cfRule type="iconSet" priority="163">
      <iconSet iconSet="3ArrowsGray" showValue="0">
        <cfvo type="percent" val="0"/>
        <cfvo type="num" val="2"/>
        <cfvo type="num" val="3"/>
      </iconSet>
    </cfRule>
    <cfRule type="iconSet" priority="164">
      <iconSet iconSet="3ArrowsGray" showValue="0">
        <cfvo type="percent" val="0"/>
        <cfvo type="num" val="2"/>
        <cfvo type="num" val="3"/>
      </iconSet>
    </cfRule>
  </conditionalFormatting>
  <conditionalFormatting sqref="I8">
    <cfRule type="iconSet" priority="155">
      <iconSet>
        <cfvo type="percent" val="0"/>
        <cfvo type="num" val="70"/>
        <cfvo type="num" val="90"/>
      </iconSet>
    </cfRule>
    <cfRule type="iconSet" priority="160">
      <iconSet>
        <cfvo type="percent" val="0"/>
        <cfvo type="num" val="70"/>
        <cfvo type="num" val="90"/>
      </iconSet>
    </cfRule>
    <cfRule type="iconSet" priority="159">
      <iconSet>
        <cfvo type="percent" val="0"/>
        <cfvo type="num" val="95"/>
        <cfvo type="num" val="100"/>
      </iconSet>
    </cfRule>
    <cfRule type="iconSet" priority="158">
      <iconSet>
        <cfvo type="percent" val="0"/>
        <cfvo type="num" val="95"/>
        <cfvo type="num" val="100"/>
      </iconSet>
    </cfRule>
    <cfRule type="iconSet" priority="161">
      <iconSet>
        <cfvo type="percent" val="0"/>
        <cfvo type="num" val="70"/>
        <cfvo type="num" val="90"/>
      </iconSet>
    </cfRule>
    <cfRule type="iconSet" priority="157">
      <iconSet>
        <cfvo type="percent" val="0"/>
        <cfvo type="num" val="95"/>
        <cfvo type="num" val="100"/>
      </iconSet>
    </cfRule>
    <cfRule type="iconSet" priority="156">
      <iconSet>
        <cfvo type="percent" val="0"/>
        <cfvo type="num" val="70"/>
        <cfvo type="num" val="90"/>
      </iconSet>
    </cfRule>
    <cfRule type="iconSet" priority="154">
      <iconSet>
        <cfvo type="percent" val="0"/>
        <cfvo type="num" val="95"/>
        <cfvo type="num" val="100"/>
      </iconSet>
    </cfRule>
    <cfRule type="iconSet" priority="162">
      <iconSet>
        <cfvo type="percent" val="0"/>
        <cfvo type="num" val="95"/>
        <cfvo type="num" val="100"/>
      </iconSet>
    </cfRule>
  </conditionalFormatting>
  <conditionalFormatting sqref="I9">
    <cfRule type="iconSet" priority="3">
      <iconSet>
        <cfvo type="percent" val="0"/>
        <cfvo type="num" val="70"/>
        <cfvo type="num" val="90"/>
      </iconSet>
    </cfRule>
    <cfRule type="iconSet" priority="4">
      <iconSet>
        <cfvo type="percent" val="0"/>
        <cfvo type="num" val="95"/>
        <cfvo type="num" val="100"/>
      </iconSet>
    </cfRule>
    <cfRule type="iconSet" priority="5">
      <iconSet>
        <cfvo type="percent" val="0"/>
        <cfvo type="num" val="95"/>
        <cfvo type="num" val="100"/>
      </iconSet>
    </cfRule>
    <cfRule type="iconSet" priority="6">
      <iconSet>
        <cfvo type="percent" val="0"/>
        <cfvo type="num" val="95"/>
        <cfvo type="num" val="100"/>
      </iconSet>
    </cfRule>
    <cfRule type="iconSet" priority="7">
      <iconSet>
        <cfvo type="percent" val="0"/>
        <cfvo type="num" val="70"/>
        <cfvo type="num" val="90"/>
      </iconSet>
    </cfRule>
    <cfRule type="iconSet" priority="8">
      <iconSet>
        <cfvo type="percent" val="0"/>
        <cfvo type="num" val="70"/>
        <cfvo type="num" val="90"/>
      </iconSet>
    </cfRule>
    <cfRule type="iconSet" priority="9">
      <iconSet>
        <cfvo type="percent" val="0"/>
        <cfvo type="num" val="95"/>
        <cfvo type="num" val="100"/>
      </iconSet>
    </cfRule>
    <cfRule type="iconSet" priority="1">
      <iconSet>
        <cfvo type="percent" val="0"/>
        <cfvo type="num" val="95"/>
        <cfvo type="num" val="100"/>
      </iconSet>
    </cfRule>
    <cfRule type="iconSet" priority="2">
      <iconSet>
        <cfvo type="percent" val="0"/>
        <cfvo type="num" val="70"/>
        <cfvo type="num" val="90"/>
      </iconSet>
    </cfRule>
  </conditionalFormatting>
  <conditionalFormatting sqref="I10">
    <cfRule type="iconSet" priority="153">
      <iconSet>
        <cfvo type="percent" val="0"/>
        <cfvo type="num" val="95"/>
        <cfvo type="num" val="100"/>
      </iconSet>
    </cfRule>
    <cfRule type="iconSet" priority="152">
      <iconSet>
        <cfvo type="percent" val="0"/>
        <cfvo type="num" val="70"/>
        <cfvo type="num" val="90"/>
      </iconSet>
    </cfRule>
    <cfRule type="iconSet" priority="151">
      <iconSet>
        <cfvo type="percent" val="0"/>
        <cfvo type="num" val="70"/>
        <cfvo type="num" val="90"/>
      </iconSet>
    </cfRule>
    <cfRule type="iconSet" priority="150">
      <iconSet>
        <cfvo type="percent" val="0"/>
        <cfvo type="num" val="95"/>
        <cfvo type="num" val="100"/>
      </iconSet>
    </cfRule>
    <cfRule type="iconSet" priority="145">
      <iconSet>
        <cfvo type="percent" val="0"/>
        <cfvo type="num" val="95"/>
        <cfvo type="num" val="100"/>
      </iconSet>
    </cfRule>
    <cfRule type="iconSet" priority="149">
      <iconSet>
        <cfvo type="percent" val="0"/>
        <cfvo type="num" val="95"/>
        <cfvo type="num" val="100"/>
      </iconSet>
    </cfRule>
    <cfRule type="iconSet" priority="148">
      <iconSet>
        <cfvo type="percent" val="0"/>
        <cfvo type="num" val="95"/>
        <cfvo type="num" val="100"/>
      </iconSet>
    </cfRule>
    <cfRule type="iconSet" priority="147">
      <iconSet>
        <cfvo type="percent" val="0"/>
        <cfvo type="num" val="70"/>
        <cfvo type="num" val="90"/>
      </iconSet>
    </cfRule>
    <cfRule type="iconSet" priority="146">
      <iconSet>
        <cfvo type="percent" val="0"/>
        <cfvo type="num" val="70"/>
        <cfvo type="num" val="90"/>
      </iconSet>
    </cfRule>
  </conditionalFormatting>
  <conditionalFormatting sqref="I12">
    <cfRule type="iconSet" priority="137">
      <iconSet>
        <cfvo type="percent" val="0"/>
        <cfvo type="num" val="70"/>
        <cfvo type="num" val="90"/>
      </iconSet>
    </cfRule>
    <cfRule type="iconSet" priority="138">
      <iconSet>
        <cfvo type="percent" val="0"/>
        <cfvo type="num" val="70"/>
        <cfvo type="num" val="90"/>
      </iconSet>
    </cfRule>
    <cfRule type="iconSet" priority="139">
      <iconSet>
        <cfvo type="percent" val="0"/>
        <cfvo type="num" val="95"/>
        <cfvo type="num" val="100"/>
      </iconSet>
    </cfRule>
    <cfRule type="iconSet" priority="140">
      <iconSet>
        <cfvo type="percent" val="0"/>
        <cfvo type="num" val="95"/>
        <cfvo type="num" val="100"/>
      </iconSet>
    </cfRule>
    <cfRule type="iconSet" priority="144">
      <iconSet>
        <cfvo type="percent" val="0"/>
        <cfvo type="num" val="95"/>
        <cfvo type="num" val="100"/>
      </iconSet>
    </cfRule>
    <cfRule type="iconSet" priority="141">
      <iconSet>
        <cfvo type="percent" val="0"/>
        <cfvo type="num" val="95"/>
        <cfvo type="num" val="100"/>
      </iconSet>
    </cfRule>
    <cfRule type="iconSet" priority="142">
      <iconSet>
        <cfvo type="percent" val="0"/>
        <cfvo type="num" val="70"/>
        <cfvo type="num" val="90"/>
      </iconSet>
    </cfRule>
    <cfRule type="iconSet" priority="143">
      <iconSet>
        <cfvo type="percent" val="0"/>
        <cfvo type="num" val="70"/>
        <cfvo type="num" val="90"/>
      </iconSet>
    </cfRule>
    <cfRule type="iconSet" priority="136">
      <iconSet>
        <cfvo type="percent" val="0"/>
        <cfvo type="num" val="95"/>
        <cfvo type="num" val="100"/>
      </iconSet>
    </cfRule>
  </conditionalFormatting>
  <conditionalFormatting sqref="I13">
    <cfRule type="iconSet" priority="134">
      <iconSet>
        <cfvo type="percent" val="0"/>
        <cfvo type="num" val="70"/>
        <cfvo type="num" val="90"/>
      </iconSet>
    </cfRule>
    <cfRule type="iconSet" priority="135">
      <iconSet>
        <cfvo type="percent" val="0"/>
        <cfvo type="num" val="95"/>
        <cfvo type="num" val="100"/>
      </iconSet>
    </cfRule>
    <cfRule type="iconSet" priority="130">
      <iconSet>
        <cfvo type="percent" val="0"/>
        <cfvo type="num" val="95"/>
        <cfvo type="num" val="100"/>
      </iconSet>
    </cfRule>
    <cfRule type="iconSet" priority="127">
      <iconSet>
        <cfvo type="percent" val="0"/>
        <cfvo type="num" val="95"/>
        <cfvo type="num" val="100"/>
      </iconSet>
    </cfRule>
    <cfRule type="iconSet" priority="128">
      <iconSet>
        <cfvo type="percent" val="0"/>
        <cfvo type="num" val="70"/>
        <cfvo type="num" val="90"/>
      </iconSet>
    </cfRule>
    <cfRule type="iconSet" priority="129">
      <iconSet>
        <cfvo type="percent" val="0"/>
        <cfvo type="num" val="70"/>
        <cfvo type="num" val="90"/>
      </iconSet>
    </cfRule>
    <cfRule type="iconSet" priority="131">
      <iconSet>
        <cfvo type="percent" val="0"/>
        <cfvo type="num" val="95"/>
        <cfvo type="num" val="100"/>
      </iconSet>
    </cfRule>
    <cfRule type="iconSet" priority="132">
      <iconSet>
        <cfvo type="percent" val="0"/>
        <cfvo type="num" val="95"/>
        <cfvo type="num" val="100"/>
      </iconSet>
    </cfRule>
    <cfRule type="iconSet" priority="133">
      <iconSet>
        <cfvo type="percent" val="0"/>
        <cfvo type="num" val="70"/>
        <cfvo type="num" val="90"/>
      </iconSet>
    </cfRule>
  </conditionalFormatting>
  <conditionalFormatting sqref="I14">
    <cfRule type="iconSet" priority="124">
      <iconSet>
        <cfvo type="percent" val="0"/>
        <cfvo type="num" val="70"/>
        <cfvo type="num" val="90"/>
      </iconSet>
    </cfRule>
    <cfRule type="iconSet" priority="125">
      <iconSet>
        <cfvo type="percent" val="0"/>
        <cfvo type="num" val="70"/>
        <cfvo type="num" val="90"/>
      </iconSet>
    </cfRule>
    <cfRule type="iconSet" priority="126">
      <iconSet>
        <cfvo type="percent" val="0"/>
        <cfvo type="num" val="95"/>
        <cfvo type="num" val="100"/>
      </iconSet>
    </cfRule>
    <cfRule type="iconSet" priority="123">
      <iconSet>
        <cfvo type="percent" val="0"/>
        <cfvo type="num" val="95"/>
        <cfvo type="num" val="100"/>
      </iconSet>
    </cfRule>
    <cfRule type="iconSet" priority="118">
      <iconSet>
        <cfvo type="percent" val="0"/>
        <cfvo type="num" val="95"/>
        <cfvo type="num" val="100"/>
      </iconSet>
    </cfRule>
    <cfRule type="iconSet" priority="119">
      <iconSet>
        <cfvo type="percent" val="0"/>
        <cfvo type="num" val="70"/>
        <cfvo type="num" val="90"/>
      </iconSet>
    </cfRule>
    <cfRule type="iconSet" priority="120">
      <iconSet>
        <cfvo type="percent" val="0"/>
        <cfvo type="num" val="70"/>
        <cfvo type="num" val="90"/>
      </iconSet>
    </cfRule>
    <cfRule type="iconSet" priority="121">
      <iconSet>
        <cfvo type="percent" val="0"/>
        <cfvo type="num" val="95"/>
        <cfvo type="num" val="100"/>
      </iconSet>
    </cfRule>
    <cfRule type="iconSet" priority="122">
      <iconSet>
        <cfvo type="percent" val="0"/>
        <cfvo type="num" val="95"/>
        <cfvo type="num" val="100"/>
      </iconSet>
    </cfRule>
  </conditionalFormatting>
  <conditionalFormatting sqref="I16">
    <cfRule type="iconSet" priority="117">
      <iconSet>
        <cfvo type="percent" val="0"/>
        <cfvo type="num" val="95"/>
        <cfvo type="num" val="100"/>
      </iconSet>
    </cfRule>
    <cfRule type="iconSet" priority="116">
      <iconSet>
        <cfvo type="percent" val="0"/>
        <cfvo type="num" val="70"/>
        <cfvo type="num" val="90"/>
      </iconSet>
    </cfRule>
    <cfRule type="iconSet" priority="115">
      <iconSet>
        <cfvo type="percent" val="0"/>
        <cfvo type="num" val="70"/>
        <cfvo type="num" val="90"/>
      </iconSet>
    </cfRule>
    <cfRule type="iconSet" priority="113">
      <iconSet>
        <cfvo type="percent" val="0"/>
        <cfvo type="num" val="95"/>
        <cfvo type="num" val="100"/>
      </iconSet>
    </cfRule>
    <cfRule type="iconSet" priority="111">
      <iconSet>
        <cfvo type="percent" val="0"/>
        <cfvo type="num" val="70"/>
        <cfvo type="num" val="90"/>
      </iconSet>
    </cfRule>
    <cfRule type="iconSet" priority="114">
      <iconSet>
        <cfvo type="percent" val="0"/>
        <cfvo type="num" val="95"/>
        <cfvo type="num" val="100"/>
      </iconSet>
    </cfRule>
    <cfRule type="iconSet" priority="112">
      <iconSet>
        <cfvo type="percent" val="0"/>
        <cfvo type="num" val="95"/>
        <cfvo type="num" val="100"/>
      </iconSet>
    </cfRule>
    <cfRule type="iconSet" priority="110">
      <iconSet>
        <cfvo type="percent" val="0"/>
        <cfvo type="num" val="70"/>
        <cfvo type="num" val="90"/>
      </iconSet>
    </cfRule>
    <cfRule type="iconSet" priority="109">
      <iconSet>
        <cfvo type="percent" val="0"/>
        <cfvo type="num" val="95"/>
        <cfvo type="num" val="100"/>
      </iconSet>
    </cfRule>
  </conditionalFormatting>
  <conditionalFormatting sqref="I17">
    <cfRule type="iconSet" priority="104">
      <iconSet>
        <cfvo type="percent" val="0"/>
        <cfvo type="num" val="95"/>
        <cfvo type="num" val="100"/>
      </iconSet>
    </cfRule>
    <cfRule type="iconSet" priority="106">
      <iconSet>
        <cfvo type="percent" val="0"/>
        <cfvo type="num" val="70"/>
        <cfvo type="num" val="90"/>
      </iconSet>
    </cfRule>
    <cfRule type="iconSet" priority="107">
      <iconSet>
        <cfvo type="percent" val="0"/>
        <cfvo type="num" val="70"/>
        <cfvo type="num" val="90"/>
      </iconSet>
    </cfRule>
    <cfRule type="iconSet" priority="108">
      <iconSet>
        <cfvo type="percent" val="0"/>
        <cfvo type="num" val="95"/>
        <cfvo type="num" val="100"/>
      </iconSet>
    </cfRule>
    <cfRule type="iconSet" priority="105">
      <iconSet>
        <cfvo type="percent" val="0"/>
        <cfvo type="num" val="95"/>
        <cfvo type="num" val="100"/>
      </iconSet>
    </cfRule>
    <cfRule type="iconSet" priority="100">
      <iconSet>
        <cfvo type="percent" val="0"/>
        <cfvo type="num" val="95"/>
        <cfvo type="num" val="100"/>
      </iconSet>
    </cfRule>
    <cfRule type="iconSet" priority="101">
      <iconSet>
        <cfvo type="percent" val="0"/>
        <cfvo type="num" val="70"/>
        <cfvo type="num" val="90"/>
      </iconSet>
    </cfRule>
    <cfRule type="iconSet" priority="102">
      <iconSet>
        <cfvo type="percent" val="0"/>
        <cfvo type="num" val="70"/>
        <cfvo type="num" val="90"/>
      </iconSet>
    </cfRule>
    <cfRule type="iconSet" priority="103">
      <iconSet>
        <cfvo type="percent" val="0"/>
        <cfvo type="num" val="95"/>
        <cfvo type="num" val="100"/>
      </iconSet>
    </cfRule>
  </conditionalFormatting>
  <conditionalFormatting sqref="I18">
    <cfRule type="iconSet" priority="96">
      <iconSet>
        <cfvo type="percent" val="0"/>
        <cfvo type="num" val="95"/>
        <cfvo type="num" val="100"/>
      </iconSet>
    </cfRule>
    <cfRule type="iconSet" priority="94">
      <iconSet>
        <cfvo type="percent" val="0"/>
        <cfvo type="num" val="95"/>
        <cfvo type="num" val="100"/>
      </iconSet>
    </cfRule>
    <cfRule type="iconSet" priority="95">
      <iconSet>
        <cfvo type="percent" val="0"/>
        <cfvo type="num" val="95"/>
        <cfvo type="num" val="100"/>
      </iconSet>
    </cfRule>
    <cfRule type="iconSet" priority="99">
      <iconSet>
        <cfvo type="percent" val="0"/>
        <cfvo type="num" val="95"/>
        <cfvo type="num" val="100"/>
      </iconSet>
    </cfRule>
    <cfRule type="iconSet" priority="98">
      <iconSet>
        <cfvo type="percent" val="0"/>
        <cfvo type="num" val="70"/>
        <cfvo type="num" val="90"/>
      </iconSet>
    </cfRule>
    <cfRule type="iconSet" priority="97">
      <iconSet>
        <cfvo type="percent" val="0"/>
        <cfvo type="num" val="70"/>
        <cfvo type="num" val="90"/>
      </iconSet>
    </cfRule>
    <cfRule type="iconSet" priority="91">
      <iconSet>
        <cfvo type="percent" val="0"/>
        <cfvo type="num" val="95"/>
        <cfvo type="num" val="100"/>
      </iconSet>
    </cfRule>
    <cfRule type="iconSet" priority="92">
      <iconSet>
        <cfvo type="percent" val="0"/>
        <cfvo type="num" val="70"/>
        <cfvo type="num" val="90"/>
      </iconSet>
    </cfRule>
    <cfRule type="iconSet" priority="93">
      <iconSet>
        <cfvo type="percent" val="0"/>
        <cfvo type="num" val="70"/>
        <cfvo type="num" val="90"/>
      </iconSet>
    </cfRule>
  </conditionalFormatting>
  <conditionalFormatting sqref="I19">
    <cfRule type="iconSet" priority="247">
      <iconSet>
        <cfvo type="percent" val="0"/>
        <cfvo type="num" val="70"/>
        <cfvo type="num" val="90"/>
      </iconSet>
    </cfRule>
    <cfRule type="iconSet" priority="252">
      <iconSet>
        <cfvo type="percent" val="0"/>
        <cfvo type="num" val="70"/>
        <cfvo type="num" val="90"/>
      </iconSet>
    </cfRule>
    <cfRule type="iconSet" priority="258">
      <iconSet>
        <cfvo type="percent" val="0"/>
        <cfvo type="num" val="95"/>
        <cfvo type="num" val="100"/>
      </iconSet>
    </cfRule>
    <cfRule type="iconSet" priority="257">
      <iconSet>
        <cfvo type="percent" val="0"/>
        <cfvo type="num" val="95"/>
        <cfvo type="num" val="100"/>
      </iconSet>
    </cfRule>
    <cfRule type="iconSet" priority="256">
      <iconSet>
        <cfvo type="percent" val="0"/>
        <cfvo type="num" val="70"/>
        <cfvo type="num" val="90"/>
      </iconSet>
    </cfRule>
    <cfRule type="iconSet" priority="255">
      <iconSet>
        <cfvo type="percent" val="0"/>
        <cfvo type="num" val="70"/>
        <cfvo type="num" val="90"/>
      </iconSet>
    </cfRule>
    <cfRule type="iconSet" priority="254">
      <iconSet>
        <cfvo type="percent" val="0"/>
        <cfvo type="num" val="95"/>
        <cfvo type="num" val="100"/>
      </iconSet>
    </cfRule>
    <cfRule type="iconSet" priority="253">
      <iconSet>
        <cfvo type="percent" val="0"/>
        <cfvo type="num" val="95"/>
        <cfvo type="num" val="100"/>
      </iconSet>
    </cfRule>
    <cfRule type="iconSet" priority="251">
      <iconSet>
        <cfvo type="percent" val="0"/>
        <cfvo type="num" val="70"/>
        <cfvo type="num" val="90"/>
      </iconSet>
    </cfRule>
    <cfRule type="iconSet" priority="250">
      <iconSet>
        <cfvo type="percent" val="0"/>
        <cfvo type="num" val="95"/>
        <cfvo type="num" val="100"/>
      </iconSet>
    </cfRule>
    <cfRule type="iconSet" priority="249">
      <iconSet>
        <cfvo type="percent" val="0"/>
        <cfvo type="num" val="95"/>
        <cfvo type="num" val="100"/>
      </iconSet>
    </cfRule>
    <cfRule type="iconSet" priority="230">
      <iconSet>
        <cfvo type="percent" val="0"/>
        <cfvo type="num" val="95"/>
        <cfvo type="num" val="100"/>
      </iconSet>
    </cfRule>
    <cfRule type="iconSet" priority="231">
      <iconSet>
        <cfvo type="percent" val="0"/>
        <cfvo type="num" val="70"/>
        <cfvo type="num" val="90"/>
      </iconSet>
    </cfRule>
    <cfRule type="iconSet" priority="232">
      <iconSet>
        <cfvo type="percent" val="0"/>
        <cfvo type="num" val="70"/>
        <cfvo type="num" val="90"/>
      </iconSet>
    </cfRule>
    <cfRule type="iconSet" priority="233">
      <iconSet>
        <cfvo type="percent" val="0"/>
        <cfvo type="num" val="95"/>
        <cfvo type="num" val="100"/>
      </iconSet>
    </cfRule>
    <cfRule type="iconSet" priority="234">
      <iconSet>
        <cfvo type="percent" val="0"/>
        <cfvo type="num" val="95"/>
        <cfvo type="num" val="100"/>
      </iconSet>
    </cfRule>
    <cfRule type="iconSet" priority="235">
      <iconSet>
        <cfvo type="percent" val="0"/>
        <cfvo type="num" val="70"/>
        <cfvo type="num" val="90"/>
      </iconSet>
    </cfRule>
    <cfRule type="iconSet" priority="248">
      <iconSet>
        <cfvo type="percent" val="0"/>
        <cfvo type="num" val="70"/>
        <cfvo type="num" val="90"/>
      </iconSet>
    </cfRule>
    <cfRule type="iconSet" priority="236">
      <iconSet>
        <cfvo type="percent" val="0"/>
        <cfvo type="num" val="70"/>
        <cfvo type="num" val="90"/>
      </iconSet>
    </cfRule>
    <cfRule type="iconSet" priority="245">
      <iconSet>
        <cfvo type="percent" val="0"/>
        <cfvo type="num" val="95"/>
        <cfvo type="num" val="100"/>
      </iconSet>
    </cfRule>
    <cfRule type="iconSet" priority="237">
      <iconSet>
        <cfvo type="percent" val="0"/>
        <cfvo type="num" val="95"/>
        <cfvo type="num" val="100"/>
      </iconSet>
    </cfRule>
    <cfRule type="iconSet" priority="238">
      <iconSet>
        <cfvo type="percent" val="0"/>
        <cfvo type="num" val="95"/>
        <cfvo type="num" val="100"/>
      </iconSet>
    </cfRule>
    <cfRule type="iconSet" priority="240">
      <iconSet>
        <cfvo type="percent" val="0"/>
        <cfvo type="num" val="70"/>
        <cfvo type="num" val="90"/>
      </iconSet>
    </cfRule>
    <cfRule type="iconSet" priority="241">
      <iconSet>
        <cfvo type="percent" val="0"/>
        <cfvo type="num" val="95"/>
        <cfvo type="num" val="100"/>
      </iconSet>
    </cfRule>
    <cfRule type="iconSet" priority="242">
      <iconSet>
        <cfvo type="percent" val="0"/>
        <cfvo type="num" val="95"/>
        <cfvo type="num" val="100"/>
      </iconSet>
    </cfRule>
    <cfRule type="iconSet" priority="243">
      <iconSet>
        <cfvo type="percent" val="0"/>
        <cfvo type="num" val="70"/>
        <cfvo type="num" val="90"/>
      </iconSet>
    </cfRule>
    <cfRule type="iconSet" priority="244">
      <iconSet>
        <cfvo type="percent" val="0"/>
        <cfvo type="num" val="70"/>
        <cfvo type="num" val="90"/>
      </iconSet>
    </cfRule>
    <cfRule type="iconSet" priority="239">
      <iconSet>
        <cfvo type="percent" val="0"/>
        <cfvo type="num" val="70"/>
        <cfvo type="num" val="90"/>
      </iconSet>
    </cfRule>
    <cfRule type="iconSet" priority="246">
      <iconSet>
        <cfvo type="percent" val="0"/>
        <cfvo type="num" val="95"/>
        <cfvo type="num" val="100"/>
      </iconSet>
    </cfRule>
  </conditionalFormatting>
  <conditionalFormatting sqref="I20">
    <cfRule type="iconSet" priority="88">
      <iconSet>
        <cfvo type="percent" val="0"/>
        <cfvo type="num" val="70"/>
        <cfvo type="num" val="90"/>
      </iconSet>
    </cfRule>
    <cfRule type="iconSet" priority="89">
      <iconSet>
        <cfvo type="percent" val="0"/>
        <cfvo type="num" val="70"/>
        <cfvo type="num" val="90"/>
      </iconSet>
    </cfRule>
    <cfRule type="iconSet" priority="90">
      <iconSet>
        <cfvo type="percent" val="0"/>
        <cfvo type="num" val="95"/>
        <cfvo type="num" val="100"/>
      </iconSet>
    </cfRule>
    <cfRule type="iconSet" priority="86">
      <iconSet>
        <cfvo type="percent" val="0"/>
        <cfvo type="num" val="95"/>
        <cfvo type="num" val="100"/>
      </iconSet>
    </cfRule>
    <cfRule type="iconSet" priority="85">
      <iconSet>
        <cfvo type="percent" val="0"/>
        <cfvo type="num" val="95"/>
        <cfvo type="num" val="100"/>
      </iconSet>
    </cfRule>
    <cfRule type="iconSet" priority="84">
      <iconSet>
        <cfvo type="percent" val="0"/>
        <cfvo type="num" val="70"/>
        <cfvo type="num" val="90"/>
      </iconSet>
    </cfRule>
    <cfRule type="iconSet" priority="83">
      <iconSet>
        <cfvo type="percent" val="0"/>
        <cfvo type="num" val="70"/>
        <cfvo type="num" val="90"/>
      </iconSet>
    </cfRule>
    <cfRule type="iconSet" priority="82">
      <iconSet>
        <cfvo type="percent" val="0"/>
        <cfvo type="num" val="95"/>
        <cfvo type="num" val="100"/>
      </iconSet>
    </cfRule>
    <cfRule type="iconSet" priority="87">
      <iconSet>
        <cfvo type="percent" val="0"/>
        <cfvo type="num" val="95"/>
        <cfvo type="num" val="100"/>
      </iconSet>
    </cfRule>
  </conditionalFormatting>
  <conditionalFormatting sqref="I21">
    <cfRule type="iconSet" priority="74">
      <iconSet>
        <cfvo type="percent" val="0"/>
        <cfvo type="num" val="70"/>
        <cfvo type="num" val="90"/>
      </iconSet>
    </cfRule>
    <cfRule type="iconSet" priority="76">
      <iconSet>
        <cfvo type="percent" val="0"/>
        <cfvo type="num" val="95"/>
        <cfvo type="num" val="100"/>
      </iconSet>
    </cfRule>
    <cfRule type="iconSet" priority="77">
      <iconSet>
        <cfvo type="percent" val="0"/>
        <cfvo type="num" val="95"/>
        <cfvo type="num" val="100"/>
      </iconSet>
    </cfRule>
    <cfRule type="iconSet" priority="78">
      <iconSet>
        <cfvo type="percent" val="0"/>
        <cfvo type="num" val="95"/>
        <cfvo type="num" val="100"/>
      </iconSet>
    </cfRule>
    <cfRule type="iconSet" priority="79">
      <iconSet>
        <cfvo type="percent" val="0"/>
        <cfvo type="num" val="70"/>
        <cfvo type="num" val="90"/>
      </iconSet>
    </cfRule>
    <cfRule type="iconSet" priority="80">
      <iconSet>
        <cfvo type="percent" val="0"/>
        <cfvo type="num" val="70"/>
        <cfvo type="num" val="90"/>
      </iconSet>
    </cfRule>
    <cfRule type="iconSet" priority="81">
      <iconSet>
        <cfvo type="percent" val="0"/>
        <cfvo type="num" val="95"/>
        <cfvo type="num" val="100"/>
      </iconSet>
    </cfRule>
    <cfRule type="iconSet" priority="75">
      <iconSet>
        <cfvo type="percent" val="0"/>
        <cfvo type="num" val="70"/>
        <cfvo type="num" val="90"/>
      </iconSet>
    </cfRule>
    <cfRule type="iconSet" priority="73">
      <iconSet>
        <cfvo type="percent" val="0"/>
        <cfvo type="num" val="95"/>
        <cfvo type="num" val="100"/>
      </iconSet>
    </cfRule>
  </conditionalFormatting>
  <conditionalFormatting sqref="I22">
    <cfRule type="iconSet" priority="70">
      <iconSet>
        <cfvo type="percent" val="0"/>
        <cfvo type="num" val="70"/>
        <cfvo type="num" val="90"/>
      </iconSet>
    </cfRule>
    <cfRule type="iconSet" priority="64">
      <iconSet>
        <cfvo type="percent" val="0"/>
        <cfvo type="num" val="95"/>
        <cfvo type="num" val="100"/>
      </iconSet>
    </cfRule>
    <cfRule type="iconSet" priority="72">
      <iconSet>
        <cfvo type="percent" val="0"/>
        <cfvo type="num" val="95"/>
        <cfvo type="num" val="100"/>
      </iconSet>
    </cfRule>
    <cfRule type="iconSet" priority="71">
      <iconSet>
        <cfvo type="percent" val="0"/>
        <cfvo type="num" val="70"/>
        <cfvo type="num" val="90"/>
      </iconSet>
    </cfRule>
    <cfRule type="iconSet" priority="69">
      <iconSet>
        <cfvo type="percent" val="0"/>
        <cfvo type="num" val="95"/>
        <cfvo type="num" val="100"/>
      </iconSet>
    </cfRule>
    <cfRule type="iconSet" priority="68">
      <iconSet>
        <cfvo type="percent" val="0"/>
        <cfvo type="num" val="95"/>
        <cfvo type="num" val="100"/>
      </iconSet>
    </cfRule>
    <cfRule type="iconSet" priority="67">
      <iconSet>
        <cfvo type="percent" val="0"/>
        <cfvo type="num" val="95"/>
        <cfvo type="num" val="100"/>
      </iconSet>
    </cfRule>
    <cfRule type="iconSet" priority="66">
      <iconSet>
        <cfvo type="percent" val="0"/>
        <cfvo type="num" val="70"/>
        <cfvo type="num" val="90"/>
      </iconSet>
    </cfRule>
    <cfRule type="iconSet" priority="65">
      <iconSet>
        <cfvo type="percent" val="0"/>
        <cfvo type="num" val="70"/>
        <cfvo type="num" val="90"/>
      </iconSet>
    </cfRule>
  </conditionalFormatting>
  <conditionalFormatting sqref="I23:I24">
    <cfRule type="iconSet" priority="56">
      <iconSet>
        <cfvo type="percent" val="0"/>
        <cfvo type="num" val="70"/>
        <cfvo type="num" val="90"/>
      </iconSet>
    </cfRule>
    <cfRule type="iconSet" priority="55">
      <iconSet>
        <cfvo type="percent" val="0"/>
        <cfvo type="num" val="95"/>
        <cfvo type="num" val="100"/>
      </iconSet>
    </cfRule>
    <cfRule type="iconSet" priority="63">
      <iconSet>
        <cfvo type="percent" val="0"/>
        <cfvo type="num" val="95"/>
        <cfvo type="num" val="100"/>
      </iconSet>
    </cfRule>
    <cfRule type="iconSet" priority="62">
      <iconSet>
        <cfvo type="percent" val="0"/>
        <cfvo type="num" val="70"/>
        <cfvo type="num" val="90"/>
      </iconSet>
    </cfRule>
    <cfRule type="iconSet" priority="61">
      <iconSet>
        <cfvo type="percent" val="0"/>
        <cfvo type="num" val="70"/>
        <cfvo type="num" val="90"/>
      </iconSet>
    </cfRule>
    <cfRule type="iconSet" priority="60">
      <iconSet>
        <cfvo type="percent" val="0"/>
        <cfvo type="num" val="95"/>
        <cfvo type="num" val="100"/>
      </iconSet>
    </cfRule>
    <cfRule type="iconSet" priority="59">
      <iconSet>
        <cfvo type="percent" val="0"/>
        <cfvo type="num" val="95"/>
        <cfvo type="num" val="100"/>
      </iconSet>
    </cfRule>
    <cfRule type="iconSet" priority="58">
      <iconSet>
        <cfvo type="percent" val="0"/>
        <cfvo type="num" val="95"/>
        <cfvo type="num" val="100"/>
      </iconSet>
    </cfRule>
    <cfRule type="iconSet" priority="57">
      <iconSet>
        <cfvo type="percent" val="0"/>
        <cfvo type="num" val="70"/>
        <cfvo type="num" val="90"/>
      </iconSet>
    </cfRule>
  </conditionalFormatting>
  <conditionalFormatting sqref="I25">
    <cfRule type="iconSet" priority="51">
      <iconSet>
        <cfvo type="percent" val="0"/>
        <cfvo type="num" val="95"/>
        <cfvo type="num" val="100"/>
      </iconSet>
    </cfRule>
    <cfRule type="iconSet" priority="54">
      <iconSet>
        <cfvo type="percent" val="0"/>
        <cfvo type="num" val="95"/>
        <cfvo type="num" val="100"/>
      </iconSet>
    </cfRule>
    <cfRule type="iconSet" priority="53">
      <iconSet>
        <cfvo type="percent" val="0"/>
        <cfvo type="num" val="70"/>
        <cfvo type="num" val="90"/>
      </iconSet>
    </cfRule>
    <cfRule type="iconSet" priority="52">
      <iconSet>
        <cfvo type="percent" val="0"/>
        <cfvo type="num" val="70"/>
        <cfvo type="num" val="90"/>
      </iconSet>
    </cfRule>
    <cfRule type="iconSet" priority="50">
      <iconSet>
        <cfvo type="percent" val="0"/>
        <cfvo type="num" val="95"/>
        <cfvo type="num" val="100"/>
      </iconSet>
    </cfRule>
    <cfRule type="iconSet" priority="49">
      <iconSet>
        <cfvo type="percent" val="0"/>
        <cfvo type="num" val="95"/>
        <cfvo type="num" val="100"/>
      </iconSet>
    </cfRule>
    <cfRule type="iconSet" priority="48">
      <iconSet>
        <cfvo type="percent" val="0"/>
        <cfvo type="num" val="70"/>
        <cfvo type="num" val="90"/>
      </iconSet>
    </cfRule>
    <cfRule type="iconSet" priority="47">
      <iconSet>
        <cfvo type="percent" val="0"/>
        <cfvo type="num" val="70"/>
        <cfvo type="num" val="90"/>
      </iconSet>
    </cfRule>
    <cfRule type="iconSet" priority="46">
      <iconSet>
        <cfvo type="percent" val="0"/>
        <cfvo type="num" val="95"/>
        <cfvo type="num" val="100"/>
      </iconSet>
    </cfRule>
  </conditionalFormatting>
  <conditionalFormatting sqref="I26">
    <cfRule type="iconSet" priority="229">
      <iconSet>
        <cfvo type="percent" val="0"/>
        <cfvo type="num" val="95"/>
        <cfvo type="num" val="100"/>
      </iconSet>
    </cfRule>
  </conditionalFormatting>
  <conditionalFormatting sqref="I27">
    <cfRule type="iconSet" priority="40">
      <iconSet>
        <cfvo type="percent" val="0"/>
        <cfvo type="num" val="95"/>
        <cfvo type="num" val="100"/>
      </iconSet>
    </cfRule>
    <cfRule type="iconSet" priority="39">
      <iconSet>
        <cfvo type="percent" val="0"/>
        <cfvo type="num" val="70"/>
        <cfvo type="num" val="90"/>
      </iconSet>
    </cfRule>
    <cfRule type="iconSet" priority="37">
      <iconSet>
        <cfvo type="percent" val="0"/>
        <cfvo type="num" val="95"/>
        <cfvo type="num" val="100"/>
      </iconSet>
    </cfRule>
    <cfRule type="iconSet" priority="44">
      <iconSet>
        <cfvo type="percent" val="0"/>
        <cfvo type="num" val="70"/>
        <cfvo type="num" val="90"/>
      </iconSet>
    </cfRule>
    <cfRule type="iconSet" priority="45">
      <iconSet>
        <cfvo type="percent" val="0"/>
        <cfvo type="num" val="95"/>
        <cfvo type="num" val="100"/>
      </iconSet>
    </cfRule>
    <cfRule type="iconSet" priority="38">
      <iconSet>
        <cfvo type="percent" val="0"/>
        <cfvo type="num" val="70"/>
        <cfvo type="num" val="90"/>
      </iconSet>
    </cfRule>
    <cfRule type="iconSet" priority="41">
      <iconSet>
        <cfvo type="percent" val="0"/>
        <cfvo type="num" val="95"/>
        <cfvo type="num" val="100"/>
      </iconSet>
    </cfRule>
    <cfRule type="iconSet" priority="42">
      <iconSet>
        <cfvo type="percent" val="0"/>
        <cfvo type="num" val="95"/>
        <cfvo type="num" val="100"/>
      </iconSet>
    </cfRule>
    <cfRule type="iconSet" priority="43">
      <iconSet>
        <cfvo type="percent" val="0"/>
        <cfvo type="num" val="70"/>
        <cfvo type="num" val="90"/>
      </iconSet>
    </cfRule>
  </conditionalFormatting>
  <conditionalFormatting sqref="I28">
    <cfRule type="iconSet" priority="263">
      <iconSet>
        <cfvo type="percent" val="0"/>
        <cfvo type="num" val="95"/>
        <cfvo type="num" val="100"/>
      </iconSet>
    </cfRule>
  </conditionalFormatting>
  <conditionalFormatting sqref="I29:I31">
    <cfRule type="iconSet" priority="31">
      <iconSet>
        <cfvo type="percent" val="0"/>
        <cfvo type="num" val="95"/>
        <cfvo type="num" val="100"/>
      </iconSet>
    </cfRule>
    <cfRule type="iconSet" priority="32">
      <iconSet>
        <cfvo type="percent" val="0"/>
        <cfvo type="num" val="95"/>
        <cfvo type="num" val="100"/>
      </iconSet>
    </cfRule>
    <cfRule type="iconSet" priority="33">
      <iconSet>
        <cfvo type="percent" val="0"/>
        <cfvo type="num" val="95"/>
        <cfvo type="num" val="100"/>
      </iconSet>
    </cfRule>
    <cfRule type="iconSet" priority="34">
      <iconSet>
        <cfvo type="percent" val="0"/>
        <cfvo type="num" val="70"/>
        <cfvo type="num" val="90"/>
      </iconSet>
    </cfRule>
    <cfRule type="iconSet" priority="35">
      <iconSet>
        <cfvo type="percent" val="0"/>
        <cfvo type="num" val="70"/>
        <cfvo type="num" val="90"/>
      </iconSet>
    </cfRule>
    <cfRule type="iconSet" priority="28">
      <iconSet>
        <cfvo type="percent" val="0"/>
        <cfvo type="num" val="95"/>
        <cfvo type="num" val="100"/>
      </iconSet>
    </cfRule>
    <cfRule type="iconSet" priority="29">
      <iconSet>
        <cfvo type="percent" val="0"/>
        <cfvo type="num" val="70"/>
        <cfvo type="num" val="90"/>
      </iconSet>
    </cfRule>
    <cfRule type="iconSet" priority="30">
      <iconSet>
        <cfvo type="percent" val="0"/>
        <cfvo type="num" val="70"/>
        <cfvo type="num" val="90"/>
      </iconSet>
    </cfRule>
    <cfRule type="iconSet" priority="36">
      <iconSet>
        <cfvo type="percent" val="0"/>
        <cfvo type="num" val="95"/>
        <cfvo type="num" val="100"/>
      </iconSet>
    </cfRule>
  </conditionalFormatting>
  <conditionalFormatting sqref="I32:I34">
    <cfRule type="iconSet" priority="27">
      <iconSet>
        <cfvo type="percent" val="0"/>
        <cfvo type="num" val="95"/>
        <cfvo type="num" val="100"/>
      </iconSet>
    </cfRule>
    <cfRule type="iconSet" priority="25">
      <iconSet>
        <cfvo type="percent" val="0"/>
        <cfvo type="num" val="70"/>
        <cfvo type="num" val="90"/>
      </iconSet>
    </cfRule>
    <cfRule type="iconSet" priority="24">
      <iconSet>
        <cfvo type="percent" val="0"/>
        <cfvo type="num" val="95"/>
        <cfvo type="num" val="100"/>
      </iconSet>
    </cfRule>
    <cfRule type="iconSet" priority="23">
      <iconSet>
        <cfvo type="percent" val="0"/>
        <cfvo type="num" val="95"/>
        <cfvo type="num" val="100"/>
      </iconSet>
    </cfRule>
    <cfRule type="iconSet" priority="22">
      <iconSet>
        <cfvo type="percent" val="0"/>
        <cfvo type="num" val="95"/>
        <cfvo type="num" val="100"/>
      </iconSet>
    </cfRule>
    <cfRule type="iconSet" priority="26">
      <iconSet>
        <cfvo type="percent" val="0"/>
        <cfvo type="num" val="70"/>
        <cfvo type="num" val="90"/>
      </iconSet>
    </cfRule>
    <cfRule type="iconSet" priority="21">
      <iconSet>
        <cfvo type="percent" val="0"/>
        <cfvo type="num" val="70"/>
        <cfvo type="num" val="90"/>
      </iconSet>
    </cfRule>
    <cfRule type="iconSet" priority="20">
      <iconSet>
        <cfvo type="percent" val="0"/>
        <cfvo type="num" val="70"/>
        <cfvo type="num" val="90"/>
      </iconSet>
    </cfRule>
    <cfRule type="iconSet" priority="19">
      <iconSet>
        <cfvo type="percent" val="0"/>
        <cfvo type="num" val="95"/>
        <cfvo type="num" val="100"/>
      </iconSet>
    </cfRule>
  </conditionalFormatting>
  <conditionalFormatting sqref="I35">
    <cfRule type="iconSet" priority="167">
      <iconSet>
        <cfvo type="percent" val="0"/>
        <cfvo type="num" val="95"/>
        <cfvo type="num" val="100"/>
      </iconSet>
    </cfRule>
  </conditionalFormatting>
  <conditionalFormatting sqref="I36:I37">
    <cfRule type="iconSet" priority="16">
      <iconSet>
        <cfvo type="percent" val="0"/>
        <cfvo type="num" val="70"/>
        <cfvo type="num" val="90"/>
      </iconSet>
    </cfRule>
    <cfRule type="iconSet" priority="15">
      <iconSet>
        <cfvo type="percent" val="0"/>
        <cfvo type="num" val="95"/>
        <cfvo type="num" val="100"/>
      </iconSet>
    </cfRule>
    <cfRule type="iconSet" priority="10">
      <iconSet>
        <cfvo type="percent" val="0"/>
        <cfvo type="num" val="95"/>
        <cfvo type="num" val="100"/>
      </iconSet>
    </cfRule>
    <cfRule type="iconSet" priority="18">
      <iconSet>
        <cfvo type="percent" val="0"/>
        <cfvo type="num" val="95"/>
        <cfvo type="num" val="100"/>
      </iconSet>
    </cfRule>
    <cfRule type="iconSet" priority="14">
      <iconSet>
        <cfvo type="percent" val="0"/>
        <cfvo type="num" val="95"/>
        <cfvo type="num" val="100"/>
      </iconSet>
    </cfRule>
    <cfRule type="iconSet" priority="13">
      <iconSet>
        <cfvo type="percent" val="0"/>
        <cfvo type="num" val="95"/>
        <cfvo type="num" val="100"/>
      </iconSet>
    </cfRule>
    <cfRule type="iconSet" priority="12">
      <iconSet>
        <cfvo type="percent" val="0"/>
        <cfvo type="num" val="70"/>
        <cfvo type="num" val="90"/>
      </iconSet>
    </cfRule>
    <cfRule type="iconSet" priority="11">
      <iconSet>
        <cfvo type="percent" val="0"/>
        <cfvo type="num" val="70"/>
        <cfvo type="num" val="90"/>
      </iconSet>
    </cfRule>
    <cfRule type="iconSet" priority="17">
      <iconSet>
        <cfvo type="percent" val="0"/>
        <cfvo type="num" val="70"/>
        <cfvo type="num" val="90"/>
      </iconSet>
    </cfRule>
  </conditionalFormatting>
  <conditionalFormatting sqref="I38">
    <cfRule type="iconSet" priority="291">
      <iconSet>
        <cfvo type="percent" val="0"/>
        <cfvo type="num" val="95"/>
        <cfvo type="num" val="100"/>
      </iconSet>
    </cfRule>
    <cfRule type="iconSet" priority="290">
      <iconSet>
        <cfvo type="percent" val="0"/>
        <cfvo type="num" val="70"/>
        <cfvo type="num" val="90"/>
      </iconSet>
    </cfRule>
    <cfRule type="iconSet" priority="289">
      <iconSet>
        <cfvo type="percent" val="0"/>
        <cfvo type="num" val="70"/>
        <cfvo type="num" val="90"/>
      </iconSet>
    </cfRule>
    <cfRule type="iconSet" priority="288">
      <iconSet>
        <cfvo type="percent" val="0"/>
        <cfvo type="num" val="95"/>
        <cfvo type="num" val="100"/>
      </iconSet>
    </cfRule>
  </conditionalFormatting>
  <conditionalFormatting sqref="I38:I39">
    <cfRule type="iconSet" priority="280">
      <iconSet>
        <cfvo type="percent" val="0"/>
        <cfvo type="num" val="95"/>
        <cfvo type="num" val="100"/>
      </iconSet>
    </cfRule>
    <cfRule type="iconSet" priority="281">
      <iconSet>
        <cfvo type="percent" val="0"/>
        <cfvo type="num" val="70"/>
        <cfvo type="num" val="90"/>
      </iconSet>
    </cfRule>
    <cfRule type="iconSet" priority="282">
      <iconSet>
        <cfvo type="percent" val="0"/>
        <cfvo type="num" val="70"/>
        <cfvo type="num" val="90"/>
      </iconSet>
    </cfRule>
    <cfRule type="iconSet" priority="283">
      <iconSet>
        <cfvo type="percent" val="0"/>
        <cfvo type="num" val="95"/>
        <cfvo type="num" val="100"/>
      </iconSet>
    </cfRule>
    <cfRule type="iconSet" priority="276">
      <iconSet>
        <cfvo type="percent" val="0"/>
        <cfvo type="num" val="95"/>
        <cfvo type="num" val="100"/>
      </iconSet>
    </cfRule>
    <cfRule type="iconSet" priority="277">
      <iconSet>
        <cfvo type="percent" val="0"/>
        <cfvo type="num" val="70"/>
        <cfvo type="num" val="90"/>
      </iconSet>
    </cfRule>
    <cfRule type="iconSet" priority="278">
      <iconSet>
        <cfvo type="percent" val="0"/>
        <cfvo type="num" val="70"/>
        <cfvo type="num" val="90"/>
      </iconSet>
    </cfRule>
    <cfRule type="iconSet" priority="279">
      <iconSet>
        <cfvo type="percent" val="0"/>
        <cfvo type="num" val="95"/>
        <cfvo type="num" val="100"/>
      </iconSet>
    </cfRule>
  </conditionalFormatting>
  <conditionalFormatting sqref="I38:I41">
    <cfRule type="iconSet" priority="296">
      <iconSet>
        <cfvo type="percent" val="0"/>
        <cfvo type="num" val="95"/>
        <cfvo type="num" val="100"/>
      </iconSet>
    </cfRule>
  </conditionalFormatting>
  <conditionalFormatting sqref="I39">
    <cfRule type="iconSet" priority="259">
      <iconSet>
        <cfvo type="percent" val="0"/>
        <cfvo type="num" val="95"/>
        <cfvo type="num" val="100"/>
      </iconSet>
    </cfRule>
    <cfRule type="iconSet" priority="169">
      <iconSet>
        <cfvo type="percent" val="0"/>
        <cfvo type="num" val="95"/>
        <cfvo type="num" val="100"/>
      </iconSet>
    </cfRule>
    <cfRule type="iconSet" priority="170">
      <iconSet>
        <cfvo type="percent" val="0"/>
        <cfvo type="num" val="70"/>
        <cfvo type="num" val="90"/>
      </iconSet>
    </cfRule>
    <cfRule type="iconSet" priority="171">
      <iconSet>
        <cfvo type="percent" val="0"/>
        <cfvo type="num" val="70"/>
        <cfvo type="num" val="90"/>
      </iconSet>
    </cfRule>
    <cfRule type="iconSet" priority="172">
      <iconSet>
        <cfvo type="percent" val="0"/>
        <cfvo type="num" val="95"/>
        <cfvo type="num" val="100"/>
      </iconSet>
    </cfRule>
    <cfRule type="iconSet" priority="260">
      <iconSet>
        <cfvo type="percent" val="0"/>
        <cfvo type="num" val="70"/>
        <cfvo type="num" val="90"/>
      </iconSet>
    </cfRule>
    <cfRule type="iconSet" priority="268">
      <iconSet>
        <cfvo type="percent" val="0"/>
        <cfvo type="num" val="95"/>
        <cfvo type="num" val="100"/>
      </iconSet>
    </cfRule>
    <cfRule type="iconSet" priority="264">
      <iconSet>
        <cfvo type="percent" val="0"/>
        <cfvo type="num" val="95"/>
        <cfvo type="num" val="100"/>
      </iconSet>
    </cfRule>
    <cfRule type="iconSet" priority="261">
      <iconSet>
        <cfvo type="percent" val="0"/>
        <cfvo type="num" val="70"/>
        <cfvo type="num" val="90"/>
      </iconSet>
    </cfRule>
    <cfRule type="iconSet" priority="262">
      <iconSet>
        <cfvo type="percent" val="0"/>
        <cfvo type="num" val="95"/>
        <cfvo type="num" val="100"/>
      </iconSet>
    </cfRule>
    <cfRule type="iconSet" priority="265">
      <iconSet>
        <cfvo type="percent" val="0"/>
        <cfvo type="num" val="70"/>
        <cfvo type="num" val="90"/>
      </iconSet>
    </cfRule>
    <cfRule type="iconSet" priority="266">
      <iconSet>
        <cfvo type="percent" val="0"/>
        <cfvo type="num" val="70"/>
        <cfvo type="num" val="90"/>
      </iconSet>
    </cfRule>
    <cfRule type="iconSet" priority="267">
      <iconSet>
        <cfvo type="percent" val="0"/>
        <cfvo type="num" val="95"/>
        <cfvo type="num" val="100"/>
      </iconSet>
    </cfRule>
    <cfRule type="iconSet" priority="269">
      <iconSet>
        <cfvo type="percent" val="0"/>
        <cfvo type="num" val="70"/>
        <cfvo type="num" val="90"/>
      </iconSet>
    </cfRule>
    <cfRule type="iconSet" priority="270">
      <iconSet>
        <cfvo type="percent" val="0"/>
        <cfvo type="num" val="70"/>
        <cfvo type="num" val="90"/>
      </iconSet>
    </cfRule>
    <cfRule type="iconSet" priority="271">
      <iconSet>
        <cfvo type="percent" val="0"/>
        <cfvo type="num" val="95"/>
        <cfvo type="num" val="100"/>
      </iconSet>
    </cfRule>
    <cfRule type="iconSet" priority="272">
      <iconSet>
        <cfvo type="percent" val="0"/>
        <cfvo type="num" val="95"/>
        <cfvo type="num" val="100"/>
      </iconSet>
    </cfRule>
    <cfRule type="iconSet" priority="273">
      <iconSet>
        <cfvo type="percent" val="0"/>
        <cfvo type="num" val="70"/>
        <cfvo type="num" val="90"/>
      </iconSet>
    </cfRule>
    <cfRule type="iconSet" priority="274">
      <iconSet>
        <cfvo type="percent" val="0"/>
        <cfvo type="num" val="70"/>
        <cfvo type="num" val="90"/>
      </iconSet>
    </cfRule>
    <cfRule type="iconSet" priority="275">
      <iconSet>
        <cfvo type="percent" val="0"/>
        <cfvo type="num" val="95"/>
        <cfvo type="num" val="100"/>
      </iconSet>
    </cfRule>
    <cfRule type="iconSet" priority="286">
      <iconSet>
        <cfvo type="percent" val="0"/>
        <cfvo type="num" val="70"/>
        <cfvo type="num" val="90"/>
      </iconSet>
    </cfRule>
    <cfRule type="iconSet" priority="284">
      <iconSet>
        <cfvo type="percent" val="0"/>
        <cfvo type="num" val="95"/>
        <cfvo type="num" val="100"/>
      </iconSet>
    </cfRule>
    <cfRule type="iconSet" priority="285">
      <iconSet>
        <cfvo type="percent" val="0"/>
        <cfvo type="num" val="70"/>
        <cfvo type="num" val="90"/>
      </iconSet>
    </cfRule>
    <cfRule type="iconSet" priority="287">
      <iconSet>
        <cfvo type="percent" val="0"/>
        <cfvo type="num" val="95"/>
        <cfvo type="num" val="100"/>
      </iconSet>
    </cfRule>
  </conditionalFormatting>
  <conditionalFormatting sqref="I40">
    <cfRule type="iconSet" priority="208">
      <iconSet>
        <cfvo type="percent" val="0"/>
        <cfvo type="num" val="95"/>
        <cfvo type="num" val="100"/>
      </iconSet>
    </cfRule>
    <cfRule type="iconSet" priority="207">
      <iconSet>
        <cfvo type="percent" val="0"/>
        <cfvo type="num" val="70"/>
        <cfvo type="num" val="90"/>
      </iconSet>
    </cfRule>
    <cfRule type="iconSet" priority="205">
      <iconSet>
        <cfvo type="percent" val="0"/>
        <cfvo type="num" val="95"/>
        <cfvo type="num" val="100"/>
      </iconSet>
    </cfRule>
    <cfRule type="iconSet" priority="212">
      <iconSet>
        <cfvo type="percent" val="0"/>
        <cfvo type="num" val="95"/>
        <cfvo type="num" val="100"/>
      </iconSet>
    </cfRule>
    <cfRule type="iconSet" priority="206">
      <iconSet>
        <cfvo type="percent" val="0"/>
        <cfvo type="num" val="70"/>
        <cfvo type="num" val="90"/>
      </iconSet>
    </cfRule>
    <cfRule type="iconSet" priority="204">
      <iconSet>
        <cfvo type="percent" val="0"/>
        <cfvo type="num" val="95"/>
        <cfvo type="num" val="100"/>
      </iconSet>
    </cfRule>
    <cfRule type="iconSet" priority="203">
      <iconSet>
        <cfvo type="percent" val="0"/>
        <cfvo type="num" val="70"/>
        <cfvo type="num" val="90"/>
      </iconSet>
    </cfRule>
    <cfRule type="iconSet" priority="202">
      <iconSet>
        <cfvo type="percent" val="0"/>
        <cfvo type="num" val="70"/>
        <cfvo type="num" val="90"/>
      </iconSet>
    </cfRule>
    <cfRule type="iconSet" priority="211">
      <iconSet>
        <cfvo type="percent" val="0"/>
        <cfvo type="num" val="70"/>
        <cfvo type="num" val="90"/>
      </iconSet>
    </cfRule>
    <cfRule type="iconSet" priority="215">
      <iconSet>
        <cfvo type="percent" val="0"/>
        <cfvo type="num" val="70"/>
        <cfvo type="num" val="90"/>
      </iconSet>
    </cfRule>
    <cfRule type="iconSet" priority="201">
      <iconSet>
        <cfvo type="percent" val="0"/>
        <cfvo type="num" val="95"/>
        <cfvo type="num" val="100"/>
      </iconSet>
    </cfRule>
    <cfRule type="iconSet" priority="223">
      <iconSet>
        <cfvo type="percent" val="0"/>
        <cfvo type="num" val="70"/>
        <cfvo type="num" val="90"/>
      </iconSet>
    </cfRule>
    <cfRule type="iconSet" priority="224">
      <iconSet>
        <cfvo type="percent" val="0"/>
        <cfvo type="num" val="95"/>
        <cfvo type="num" val="100"/>
      </iconSet>
    </cfRule>
    <cfRule type="iconSet" priority="225">
      <iconSet>
        <cfvo type="percent" val="0"/>
        <cfvo type="num" val="95"/>
        <cfvo type="num" val="100"/>
      </iconSet>
    </cfRule>
    <cfRule type="iconSet" priority="226">
      <iconSet>
        <cfvo type="percent" val="0"/>
        <cfvo type="num" val="70"/>
        <cfvo type="num" val="90"/>
      </iconSet>
    </cfRule>
    <cfRule type="iconSet" priority="227">
      <iconSet>
        <cfvo type="percent" val="0"/>
        <cfvo type="num" val="70"/>
        <cfvo type="num" val="90"/>
      </iconSet>
    </cfRule>
    <cfRule type="iconSet" priority="228">
      <iconSet>
        <cfvo type="percent" val="0"/>
        <cfvo type="num" val="95"/>
        <cfvo type="num" val="100"/>
      </iconSet>
    </cfRule>
    <cfRule type="iconSet" priority="214">
      <iconSet>
        <cfvo type="percent" val="0"/>
        <cfvo type="num" val="70"/>
        <cfvo type="num" val="90"/>
      </iconSet>
    </cfRule>
    <cfRule type="iconSet" priority="217">
      <iconSet>
        <cfvo type="percent" val="0"/>
        <cfvo type="num" val="95"/>
        <cfvo type="num" val="100"/>
      </iconSet>
    </cfRule>
    <cfRule type="iconSet" priority="218">
      <iconSet>
        <cfvo type="percent" val="0"/>
        <cfvo type="num" val="70"/>
        <cfvo type="num" val="90"/>
      </iconSet>
    </cfRule>
    <cfRule type="iconSet" priority="219">
      <iconSet>
        <cfvo type="percent" val="0"/>
        <cfvo type="num" val="70"/>
        <cfvo type="num" val="90"/>
      </iconSet>
    </cfRule>
    <cfRule type="iconSet" priority="220">
      <iconSet>
        <cfvo type="percent" val="0"/>
        <cfvo type="num" val="95"/>
        <cfvo type="num" val="100"/>
      </iconSet>
    </cfRule>
    <cfRule type="iconSet" priority="221">
      <iconSet>
        <cfvo type="percent" val="0"/>
        <cfvo type="num" val="95"/>
        <cfvo type="num" val="100"/>
      </iconSet>
    </cfRule>
    <cfRule type="iconSet" priority="216">
      <iconSet>
        <cfvo type="percent" val="0"/>
        <cfvo type="num" val="95"/>
        <cfvo type="num" val="100"/>
      </iconSet>
    </cfRule>
    <cfRule type="iconSet" priority="213">
      <iconSet>
        <cfvo type="percent" val="0"/>
        <cfvo type="num" val="95"/>
        <cfvo type="num" val="100"/>
      </iconSet>
    </cfRule>
    <cfRule type="iconSet" priority="210">
      <iconSet>
        <cfvo type="percent" val="0"/>
        <cfvo type="num" val="70"/>
        <cfvo type="num" val="90"/>
      </iconSet>
    </cfRule>
    <cfRule type="iconSet" priority="209">
      <iconSet>
        <cfvo type="percent" val="0"/>
        <cfvo type="num" val="95"/>
        <cfvo type="num" val="100"/>
      </iconSet>
    </cfRule>
    <cfRule type="iconSet" priority="222">
      <iconSet>
        <cfvo type="percent" val="0"/>
        <cfvo type="num" val="70"/>
        <cfvo type="num" val="90"/>
      </iconSet>
    </cfRule>
  </conditionalFormatting>
  <conditionalFormatting sqref="I40:I41">
    <cfRule type="iconSet" priority="293">
      <iconSet>
        <cfvo type="percent" val="0"/>
        <cfvo type="num" val="95"/>
        <cfvo type="num" val="100"/>
      </iconSet>
    </cfRule>
    <cfRule type="iconSet" priority="292">
      <iconSet>
        <cfvo type="percent" val="0"/>
        <cfvo type="num" val="70"/>
        <cfvo type="num" val="90"/>
      </iconSet>
    </cfRule>
  </conditionalFormatting>
  <conditionalFormatting sqref="I41">
    <cfRule type="iconSet" priority="179">
      <iconSet>
        <cfvo type="percent" val="0"/>
        <cfvo type="num" val="70"/>
        <cfvo type="num" val="90"/>
      </iconSet>
    </cfRule>
    <cfRule type="iconSet" priority="195">
      <iconSet>
        <cfvo type="percent" val="0"/>
        <cfvo type="num" val="70"/>
        <cfvo type="num" val="90"/>
      </iconSet>
    </cfRule>
    <cfRule type="iconSet" priority="199">
      <iconSet>
        <cfvo type="percent" val="0"/>
        <cfvo type="num" val="70"/>
        <cfvo type="num" val="90"/>
      </iconSet>
    </cfRule>
    <cfRule type="iconSet" priority="198">
      <iconSet>
        <cfvo type="percent" val="0"/>
        <cfvo type="num" val="70"/>
        <cfvo type="num" val="90"/>
      </iconSet>
    </cfRule>
    <cfRule type="iconSet" priority="197">
      <iconSet>
        <cfvo type="percent" val="0"/>
        <cfvo type="num" val="95"/>
        <cfvo type="num" val="100"/>
      </iconSet>
    </cfRule>
    <cfRule type="iconSet" priority="196">
      <iconSet>
        <cfvo type="percent" val="0"/>
        <cfvo type="num" val="95"/>
        <cfvo type="num" val="100"/>
      </iconSet>
    </cfRule>
    <cfRule type="iconSet" priority="194">
      <iconSet>
        <cfvo type="percent" val="0"/>
        <cfvo type="num" val="70"/>
        <cfvo type="num" val="90"/>
      </iconSet>
    </cfRule>
    <cfRule type="iconSet" priority="193">
      <iconSet>
        <cfvo type="percent" val="0"/>
        <cfvo type="num" val="95"/>
        <cfvo type="num" val="100"/>
      </iconSet>
    </cfRule>
    <cfRule type="iconSet" priority="192">
      <iconSet>
        <cfvo type="percent" val="0"/>
        <cfvo type="num" val="95"/>
        <cfvo type="num" val="100"/>
      </iconSet>
    </cfRule>
    <cfRule type="iconSet" priority="191">
      <iconSet>
        <cfvo type="percent" val="0"/>
        <cfvo type="num" val="70"/>
        <cfvo type="num" val="90"/>
      </iconSet>
    </cfRule>
    <cfRule type="iconSet" priority="190">
      <iconSet>
        <cfvo type="percent" val="0"/>
        <cfvo type="num" val="70"/>
        <cfvo type="num" val="90"/>
      </iconSet>
    </cfRule>
    <cfRule type="iconSet" priority="178">
      <iconSet>
        <cfvo type="percent" val="0"/>
        <cfvo type="num" val="70"/>
        <cfvo type="num" val="90"/>
      </iconSet>
    </cfRule>
    <cfRule type="iconSet" priority="188">
      <iconSet>
        <cfvo type="percent" val="0"/>
        <cfvo type="num" val="95"/>
        <cfvo type="num" val="100"/>
      </iconSet>
    </cfRule>
    <cfRule type="iconSet" priority="187">
      <iconSet>
        <cfvo type="percent" val="0"/>
        <cfvo type="num" val="70"/>
        <cfvo type="num" val="90"/>
      </iconSet>
    </cfRule>
    <cfRule type="iconSet" priority="186">
      <iconSet>
        <cfvo type="percent" val="0"/>
        <cfvo type="num" val="70"/>
        <cfvo type="num" val="90"/>
      </iconSet>
    </cfRule>
    <cfRule type="iconSet" priority="185">
      <iconSet>
        <cfvo type="percent" val="0"/>
        <cfvo type="num" val="95"/>
        <cfvo type="num" val="100"/>
      </iconSet>
    </cfRule>
    <cfRule type="iconSet" priority="173">
      <iconSet>
        <cfvo type="percent" val="0"/>
        <cfvo type="num" val="95"/>
        <cfvo type="num" val="100"/>
      </iconSet>
    </cfRule>
    <cfRule type="iconSet" priority="174">
      <iconSet>
        <cfvo type="percent" val="0"/>
        <cfvo type="num" val="70"/>
        <cfvo type="num" val="90"/>
      </iconSet>
    </cfRule>
    <cfRule type="iconSet" priority="175">
      <iconSet>
        <cfvo type="percent" val="0"/>
        <cfvo type="num" val="70"/>
        <cfvo type="num" val="90"/>
      </iconSet>
    </cfRule>
    <cfRule type="iconSet" priority="200">
      <iconSet>
        <cfvo type="percent" val="0"/>
        <cfvo type="num" val="95"/>
        <cfvo type="num" val="100"/>
      </iconSet>
    </cfRule>
    <cfRule type="iconSet" priority="184">
      <iconSet>
        <cfvo type="percent" val="0"/>
        <cfvo type="num" val="95"/>
        <cfvo type="num" val="100"/>
      </iconSet>
    </cfRule>
    <cfRule type="iconSet" priority="183">
      <iconSet>
        <cfvo type="percent" val="0"/>
        <cfvo type="num" val="70"/>
        <cfvo type="num" val="90"/>
      </iconSet>
    </cfRule>
    <cfRule type="iconSet" priority="182">
      <iconSet>
        <cfvo type="percent" val="0"/>
        <cfvo type="num" val="70"/>
        <cfvo type="num" val="90"/>
      </iconSet>
    </cfRule>
    <cfRule type="iconSet" priority="181">
      <iconSet>
        <cfvo type="percent" val="0"/>
        <cfvo type="num" val="95"/>
        <cfvo type="num" val="100"/>
      </iconSet>
    </cfRule>
    <cfRule type="iconSet" priority="180">
      <iconSet>
        <cfvo type="percent" val="0"/>
        <cfvo type="num" val="95"/>
        <cfvo type="num" val="100"/>
      </iconSet>
    </cfRule>
    <cfRule type="iconSet" priority="189">
      <iconSet>
        <cfvo type="percent" val="0"/>
        <cfvo type="num" val="95"/>
        <cfvo type="num" val="100"/>
      </iconSet>
    </cfRule>
    <cfRule type="iconSet" priority="176">
      <iconSet>
        <cfvo type="percent" val="0"/>
        <cfvo type="num" val="95"/>
        <cfvo type="num" val="100"/>
      </iconSet>
    </cfRule>
    <cfRule type="iconSet" priority="294">
      <iconSet>
        <cfvo type="percent" val="0"/>
        <cfvo type="num" val="70"/>
        <cfvo type="num" val="90"/>
      </iconSet>
    </cfRule>
    <cfRule type="iconSet" priority="295">
      <iconSet>
        <cfvo type="percent" val="0"/>
        <cfvo type="num" val="95"/>
        <cfvo type="num" val="100"/>
      </iconSet>
    </cfRule>
    <cfRule type="iconSet" priority="177">
      <iconSet>
        <cfvo type="percent" val="0"/>
        <cfvo type="num" val="95"/>
        <cfvo type="num" val="100"/>
      </iconSet>
    </cfRule>
  </conditionalFormatting>
  <conditionalFormatting sqref="I42">
    <cfRule type="iconSet" priority="168">
      <iconSet>
        <cfvo type="percent" val="0"/>
        <cfvo type="num" val="95"/>
        <cfvo type="num" val="100"/>
      </iconSet>
    </cfRule>
  </conditionalFormatting>
  <dataValidations count="1">
    <dataValidation type="list" allowBlank="1" showInputMessage="1" showErrorMessage="1" sqref="M2" xr:uid="{00000000-0002-0000-0800-000000000000}">
      <formula1>$M$7:$M$18</formula1>
    </dataValidation>
  </dataValidations>
  <printOptions horizontalCentered="1"/>
  <pageMargins left="0.25" right="0.25" top="0.75" bottom="0.75" header="0.3" footer="0.3"/>
  <pageSetup paperSize="9" scale="69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J368"/>
  <sheetViews>
    <sheetView workbookViewId="0"/>
  </sheetViews>
  <sheetFormatPr defaultColWidth="8.85546875" defaultRowHeight="15"/>
  <cols>
    <col min="1" max="1" width="5.7109375" style="105" customWidth="1"/>
    <col min="2" max="2" width="17.28515625" customWidth="1"/>
    <col min="3" max="3" width="60.140625" bestFit="1" customWidth="1"/>
    <col min="4" max="4" width="17.7109375" bestFit="1" customWidth="1"/>
    <col min="5" max="13" width="14.85546875" bestFit="1" customWidth="1"/>
    <col min="14" max="14" width="15" bestFit="1" customWidth="1"/>
    <col min="15" max="15" width="14.85546875" bestFit="1" customWidth="1"/>
    <col min="16" max="16" width="11" customWidth="1"/>
    <col min="17" max="17" width="17.140625" customWidth="1"/>
    <col min="18" max="18" width="59.7109375" bestFit="1" customWidth="1"/>
    <col min="19" max="20" width="21.5703125" customWidth="1"/>
    <col min="21" max="24" width="16.140625" bestFit="1" customWidth="1"/>
    <col min="25" max="25" width="17.7109375" bestFit="1" customWidth="1"/>
    <col min="26" max="26" width="18.7109375" bestFit="1" customWidth="1"/>
    <col min="27" max="27" width="19.7109375" bestFit="1" customWidth="1"/>
    <col min="28" max="28" width="20.5703125" bestFit="1" customWidth="1"/>
    <col min="29" max="29" width="20" bestFit="1" customWidth="1"/>
    <col min="30" max="30" width="16.140625" bestFit="1" customWidth="1"/>
    <col min="31" max="31" width="11.42578125" bestFit="1" customWidth="1"/>
    <col min="32" max="32" width="18.5703125" customWidth="1"/>
    <col min="33" max="33" width="44.85546875" customWidth="1"/>
    <col min="34" max="35" width="20.42578125" customWidth="1"/>
    <col min="36" max="36" width="16.7109375" customWidth="1"/>
    <col min="37" max="43" width="22.28515625" bestFit="1" customWidth="1"/>
    <col min="44" max="44" width="17.28515625" bestFit="1" customWidth="1"/>
    <col min="45" max="45" width="16.42578125" bestFit="1" customWidth="1"/>
    <col min="46" max="46" width="9.28515625" customWidth="1"/>
    <col min="47" max="47" width="1.85546875" style="143" customWidth="1"/>
  </cols>
  <sheetData>
    <row r="1" spans="1:47" s="30" customFormat="1" ht="15.75">
      <c r="A1" s="28"/>
      <c r="B1" s="29" t="s">
        <v>122</v>
      </c>
      <c r="C1" s="28"/>
      <c r="D1" s="28"/>
      <c r="E1" s="28"/>
      <c r="F1" s="28"/>
      <c r="G1" s="28"/>
      <c r="H1" s="28"/>
      <c r="I1" s="298"/>
      <c r="J1" s="28"/>
      <c r="K1" s="28"/>
      <c r="L1" s="28"/>
      <c r="M1" s="28"/>
      <c r="N1" s="28"/>
      <c r="O1" s="28"/>
      <c r="Q1" s="29"/>
      <c r="R1" s="28"/>
      <c r="S1" s="28"/>
      <c r="T1" s="28"/>
      <c r="U1" s="28"/>
      <c r="V1" s="28"/>
      <c r="W1" s="28"/>
      <c r="X1" s="298"/>
      <c r="Y1" s="28"/>
      <c r="Z1" s="37"/>
      <c r="AA1" s="28"/>
      <c r="AB1" s="28"/>
      <c r="AC1" s="28"/>
      <c r="AD1" s="28"/>
      <c r="AF1" s="29"/>
      <c r="AG1" s="28"/>
      <c r="AH1" s="28"/>
      <c r="AI1" s="28"/>
      <c r="AJ1" s="28"/>
      <c r="AK1" s="28"/>
      <c r="AL1" s="28"/>
      <c r="AM1" s="298"/>
      <c r="AN1" s="28"/>
      <c r="AO1" s="28"/>
      <c r="AP1" s="28"/>
      <c r="AQ1" s="28"/>
      <c r="AR1" s="28"/>
      <c r="AS1" s="28"/>
      <c r="AU1" s="142"/>
    </row>
    <row r="2" spans="1:47" s="30" customFormat="1" ht="15.75">
      <c r="A2" s="28"/>
      <c r="B2" s="29" t="s">
        <v>123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Q2" s="29"/>
      <c r="R2" s="28"/>
      <c r="S2" s="28"/>
      <c r="T2" s="28"/>
      <c r="U2" s="28"/>
      <c r="V2" s="28"/>
      <c r="W2" s="28"/>
      <c r="X2" s="28"/>
      <c r="Y2" s="28"/>
      <c r="Z2" s="37"/>
      <c r="AA2" s="28"/>
      <c r="AB2" s="28"/>
      <c r="AC2" s="28"/>
      <c r="AD2" s="28"/>
      <c r="AF2" s="29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U2" s="142"/>
    </row>
    <row r="3" spans="1:47" s="30" customFormat="1" ht="15.75">
      <c r="A3" s="28"/>
      <c r="B3" s="29" t="s">
        <v>124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Q3" s="29"/>
      <c r="R3" s="28"/>
      <c r="S3" s="158"/>
      <c r="T3" s="158"/>
      <c r="U3" s="158"/>
      <c r="V3" s="158"/>
      <c r="W3" s="158"/>
      <c r="X3" s="158"/>
      <c r="Y3" s="158"/>
      <c r="Z3" s="475"/>
      <c r="AA3" s="158"/>
      <c r="AB3" s="158"/>
      <c r="AC3" s="158"/>
      <c r="AD3" s="28"/>
      <c r="AF3" s="29"/>
      <c r="AG3" s="28"/>
      <c r="AH3" s="28"/>
      <c r="AI3" s="299"/>
      <c r="AJ3" s="28"/>
      <c r="AK3" s="28"/>
      <c r="AL3" s="28"/>
      <c r="AM3" s="28"/>
      <c r="AN3" s="28"/>
      <c r="AO3" s="28"/>
      <c r="AP3" s="28"/>
      <c r="AQ3" s="28"/>
      <c r="AR3" s="28"/>
      <c r="AS3" s="28"/>
      <c r="AU3" s="142"/>
    </row>
    <row r="4" spans="1:47" s="30" customFormat="1" ht="15.75">
      <c r="A4" s="28"/>
      <c r="B4" s="389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Q4" s="29"/>
      <c r="R4" s="28"/>
      <c r="S4" s="158"/>
      <c r="T4" s="158"/>
      <c r="U4" s="158"/>
      <c r="V4" s="158"/>
      <c r="W4" s="158"/>
      <c r="X4" s="158"/>
      <c r="Y4" s="158"/>
      <c r="Z4" s="475"/>
      <c r="AA4" s="158"/>
      <c r="AB4" s="158"/>
      <c r="AC4" s="158"/>
      <c r="AD4" s="28"/>
      <c r="AF4" s="29"/>
      <c r="AG4" s="28"/>
      <c r="AH4" s="28"/>
      <c r="AI4" s="299"/>
      <c r="AJ4" s="28"/>
      <c r="AK4" s="28"/>
      <c r="AL4" s="28"/>
      <c r="AM4" s="28"/>
      <c r="AN4" s="28"/>
      <c r="AO4" s="28"/>
      <c r="AP4" s="28"/>
      <c r="AQ4" s="28"/>
      <c r="AR4" s="28"/>
      <c r="AS4" s="28"/>
      <c r="AU4" s="142"/>
    </row>
    <row r="5" spans="1:47">
      <c r="B5" s="21" t="s">
        <v>177</v>
      </c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Q5" t="str">
        <f>B5</f>
        <v xml:space="preserve">GANGGUAN TM </v>
      </c>
      <c r="S5" s="105"/>
      <c r="T5" s="105"/>
      <c r="U5" s="105"/>
      <c r="V5" s="388"/>
      <c r="W5" s="105"/>
      <c r="X5" s="105"/>
      <c r="Y5" s="105"/>
      <c r="Z5" s="105"/>
      <c r="AA5" s="105"/>
      <c r="AB5" s="105"/>
      <c r="AC5" s="105"/>
      <c r="AD5" s="105"/>
      <c r="AF5" t="str">
        <f>B5</f>
        <v xml:space="preserve">GANGGUAN TM </v>
      </c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U5"/>
    </row>
    <row r="6" spans="1:47">
      <c r="B6" s="21" t="s">
        <v>100</v>
      </c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Q6" t="s">
        <v>126</v>
      </c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F6" t="s">
        <v>127</v>
      </c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U6"/>
    </row>
    <row r="7" spans="1:47">
      <c r="B7" s="681" t="s">
        <v>72</v>
      </c>
      <c r="C7" s="682"/>
      <c r="D7" s="638" t="s">
        <v>74</v>
      </c>
      <c r="E7" s="638" t="s">
        <v>75</v>
      </c>
      <c r="F7" s="638" t="s">
        <v>76</v>
      </c>
      <c r="G7" s="638" t="s">
        <v>77</v>
      </c>
      <c r="H7" s="638" t="s">
        <v>78</v>
      </c>
      <c r="I7" s="638" t="s">
        <v>79</v>
      </c>
      <c r="J7" s="638" t="s">
        <v>80</v>
      </c>
      <c r="K7" s="638" t="s">
        <v>81</v>
      </c>
      <c r="L7" s="638" t="s">
        <v>82</v>
      </c>
      <c r="M7" s="638" t="s">
        <v>83</v>
      </c>
      <c r="N7" s="638" t="s">
        <v>84</v>
      </c>
      <c r="O7" s="638" t="s">
        <v>85</v>
      </c>
      <c r="Q7" s="681" t="s">
        <v>72</v>
      </c>
      <c r="R7" s="682"/>
      <c r="S7" s="638" t="s">
        <v>74</v>
      </c>
      <c r="T7" s="638" t="s">
        <v>75</v>
      </c>
      <c r="U7" s="638" t="s">
        <v>76</v>
      </c>
      <c r="V7" s="638" t="s">
        <v>77</v>
      </c>
      <c r="W7" s="638" t="s">
        <v>78</v>
      </c>
      <c r="X7" s="638" t="s">
        <v>79</v>
      </c>
      <c r="Y7" s="638" t="s">
        <v>80</v>
      </c>
      <c r="Z7" s="638" t="s">
        <v>81</v>
      </c>
      <c r="AA7" s="638" t="s">
        <v>82</v>
      </c>
      <c r="AB7" s="638" t="s">
        <v>83</v>
      </c>
      <c r="AC7" s="638" t="s">
        <v>84</v>
      </c>
      <c r="AD7" s="638" t="s">
        <v>85</v>
      </c>
      <c r="AF7" s="681" t="s">
        <v>72</v>
      </c>
      <c r="AG7" s="682"/>
      <c r="AH7" s="638" t="s">
        <v>74</v>
      </c>
      <c r="AI7" s="638" t="s">
        <v>75</v>
      </c>
      <c r="AJ7" s="638" t="s">
        <v>76</v>
      </c>
      <c r="AK7" s="638" t="s">
        <v>77</v>
      </c>
      <c r="AL7" s="638" t="s">
        <v>78</v>
      </c>
      <c r="AM7" s="638" t="s">
        <v>79</v>
      </c>
      <c r="AN7" s="638" t="s">
        <v>80</v>
      </c>
      <c r="AO7" s="638" t="s">
        <v>81</v>
      </c>
      <c r="AP7" s="638" t="s">
        <v>82</v>
      </c>
      <c r="AQ7" s="638" t="s">
        <v>83</v>
      </c>
      <c r="AR7" s="638" t="s">
        <v>84</v>
      </c>
      <c r="AS7" s="638" t="s">
        <v>85</v>
      </c>
    </row>
    <row r="8" spans="1:47" ht="18.600000000000001" customHeight="1">
      <c r="B8" s="709" t="s">
        <v>128</v>
      </c>
      <c r="C8" s="489" t="s">
        <v>178</v>
      </c>
      <c r="D8" s="513">
        <v>6</v>
      </c>
      <c r="E8" s="513">
        <v>11</v>
      </c>
      <c r="F8" s="513">
        <v>17</v>
      </c>
      <c r="G8" s="513">
        <v>22</v>
      </c>
      <c r="H8" s="513">
        <v>28</v>
      </c>
      <c r="I8" s="513">
        <v>33</v>
      </c>
      <c r="J8" s="513">
        <v>39</v>
      </c>
      <c r="K8" s="513">
        <v>44</v>
      </c>
      <c r="L8" s="513">
        <v>50</v>
      </c>
      <c r="M8" s="513">
        <v>55</v>
      </c>
      <c r="N8" s="513">
        <v>61</v>
      </c>
      <c r="O8" s="513">
        <v>62</v>
      </c>
      <c r="Q8" s="683" t="s">
        <v>128</v>
      </c>
      <c r="R8" s="489" t="str">
        <f>C8</f>
        <v>Gangguan TM &gt; 5 Menit</v>
      </c>
      <c r="S8" s="513">
        <v>2</v>
      </c>
      <c r="T8" s="513">
        <v>1</v>
      </c>
      <c r="U8" s="513">
        <v>5</v>
      </c>
      <c r="V8" s="513">
        <v>3</v>
      </c>
      <c r="W8" s="513">
        <v>18</v>
      </c>
      <c r="X8" s="513">
        <v>2</v>
      </c>
      <c r="Y8" s="513">
        <v>7</v>
      </c>
      <c r="Z8" s="513">
        <v>0</v>
      </c>
      <c r="AA8" s="513">
        <v>8</v>
      </c>
      <c r="AB8" s="513"/>
      <c r="AC8" s="513"/>
      <c r="AD8" s="513"/>
      <c r="AF8" s="683" t="s">
        <v>128</v>
      </c>
      <c r="AG8" s="489" t="str">
        <f>R8</f>
        <v>Gangguan TM &gt; 5 Menit</v>
      </c>
      <c r="AH8" s="513">
        <f>S8</f>
        <v>2</v>
      </c>
      <c r="AI8" s="513">
        <f>SUM($S8:T8)</f>
        <v>3</v>
      </c>
      <c r="AJ8" s="513">
        <f>SUM($S8:U8)</f>
        <v>8</v>
      </c>
      <c r="AK8" s="513">
        <f>SUM($S8:V8)</f>
        <v>11</v>
      </c>
      <c r="AL8" s="513">
        <f>SUM($S8:W8)</f>
        <v>29</v>
      </c>
      <c r="AM8" s="513">
        <f>SUM($S8:X8)</f>
        <v>31</v>
      </c>
      <c r="AN8" s="513">
        <f>SUM($S8:Y8)</f>
        <v>38</v>
      </c>
      <c r="AO8" s="513">
        <f>SUM($S8:Z8)</f>
        <v>38</v>
      </c>
      <c r="AP8" s="513">
        <f>SUM($S8:AA8)</f>
        <v>46</v>
      </c>
      <c r="AQ8" s="513">
        <f>SUM($S8:AB8)</f>
        <v>46</v>
      </c>
      <c r="AR8" s="513">
        <f>SUM($S8:AC8)</f>
        <v>46</v>
      </c>
      <c r="AS8" s="513">
        <f>SUM($S8:AD8)</f>
        <v>46</v>
      </c>
    </row>
    <row r="9" spans="1:47" ht="18.600000000000001" customHeight="1">
      <c r="B9" s="710"/>
      <c r="C9" s="489" t="s">
        <v>179</v>
      </c>
      <c r="D9" s="513">
        <v>7</v>
      </c>
      <c r="E9" s="513">
        <v>14</v>
      </c>
      <c r="F9" s="513">
        <v>22</v>
      </c>
      <c r="G9" s="513">
        <v>29</v>
      </c>
      <c r="H9" s="513">
        <v>36</v>
      </c>
      <c r="I9" s="513">
        <v>43</v>
      </c>
      <c r="J9" s="513">
        <v>50</v>
      </c>
      <c r="K9" s="513">
        <v>57</v>
      </c>
      <c r="L9" s="513">
        <v>65</v>
      </c>
      <c r="M9" s="513">
        <v>72</v>
      </c>
      <c r="N9" s="513">
        <v>79</v>
      </c>
      <c r="O9" s="513">
        <v>86</v>
      </c>
      <c r="Q9" s="684"/>
      <c r="R9" s="489" t="str">
        <f t="shared" ref="R9:R24" si="0">C9</f>
        <v>Gangguan TM ≤ 5 Menit</v>
      </c>
      <c r="S9" s="513">
        <v>0</v>
      </c>
      <c r="T9" s="513">
        <v>6</v>
      </c>
      <c r="U9" s="513">
        <v>2</v>
      </c>
      <c r="V9" s="513">
        <v>0</v>
      </c>
      <c r="W9" s="513">
        <v>15</v>
      </c>
      <c r="X9" s="513">
        <v>11</v>
      </c>
      <c r="Y9" s="513">
        <v>8</v>
      </c>
      <c r="Z9" s="513">
        <v>2</v>
      </c>
      <c r="AA9" s="513">
        <v>11</v>
      </c>
      <c r="AB9" s="513"/>
      <c r="AC9" s="513"/>
      <c r="AD9" s="513"/>
      <c r="AF9" s="684"/>
      <c r="AG9" s="489" t="str">
        <f t="shared" ref="AG9:AG24" si="1">R9</f>
        <v>Gangguan TM ≤ 5 Menit</v>
      </c>
      <c r="AH9" s="513">
        <f>S9</f>
        <v>0</v>
      </c>
      <c r="AI9" s="513">
        <f>SUM($S9:T9)</f>
        <v>6</v>
      </c>
      <c r="AJ9" s="513">
        <f>SUM($S9:U9)</f>
        <v>8</v>
      </c>
      <c r="AK9" s="513">
        <f>SUM($S9:V9)</f>
        <v>8</v>
      </c>
      <c r="AL9" s="513">
        <f>SUM($S9:W9)</f>
        <v>23</v>
      </c>
      <c r="AM9" s="513">
        <f>SUM($S9:X9)</f>
        <v>34</v>
      </c>
      <c r="AN9" s="513">
        <f>SUM($S9:Y9)</f>
        <v>42</v>
      </c>
      <c r="AO9" s="513">
        <f>SUM($S9:Z9)</f>
        <v>44</v>
      </c>
      <c r="AP9" s="513">
        <f>SUM($S9:AA9)</f>
        <v>55</v>
      </c>
      <c r="AQ9" s="513">
        <f>SUM($S9:AB9)</f>
        <v>55</v>
      </c>
      <c r="AR9" s="513">
        <f>SUM($S9:AC9)</f>
        <v>55</v>
      </c>
      <c r="AS9" s="513">
        <f>SUM($S9:AD9)</f>
        <v>55</v>
      </c>
    </row>
    <row r="10" spans="1:47" ht="18.600000000000001" customHeight="1">
      <c r="B10" s="711"/>
      <c r="C10" s="516"/>
      <c r="D10" s="517"/>
      <c r="E10" s="517"/>
      <c r="F10" s="517"/>
      <c r="G10" s="517"/>
      <c r="H10" s="517"/>
      <c r="I10" s="517"/>
      <c r="J10" s="517"/>
      <c r="K10" s="517"/>
      <c r="L10" s="517"/>
      <c r="M10" s="517"/>
      <c r="N10" s="517"/>
      <c r="O10" s="517"/>
      <c r="Q10" s="685"/>
      <c r="R10" s="516"/>
      <c r="S10" s="517"/>
      <c r="T10" s="517"/>
      <c r="U10" s="517"/>
      <c r="V10" s="517"/>
      <c r="W10" s="517"/>
      <c r="X10" s="517"/>
      <c r="Y10" s="517"/>
      <c r="Z10" s="517"/>
      <c r="AA10" s="517"/>
      <c r="AB10" s="517"/>
      <c r="AC10" s="517"/>
      <c r="AD10" s="517"/>
      <c r="AF10" s="685"/>
      <c r="AG10" s="516"/>
      <c r="AH10" s="518"/>
      <c r="AI10" s="518"/>
      <c r="AJ10" s="518"/>
      <c r="AK10" s="518"/>
      <c r="AL10" s="518"/>
      <c r="AM10" s="518"/>
      <c r="AN10" s="518"/>
      <c r="AO10" s="518"/>
      <c r="AP10" s="518"/>
      <c r="AQ10" s="518"/>
      <c r="AR10" s="517"/>
      <c r="AS10" s="517"/>
    </row>
    <row r="11" spans="1:47" ht="18.600000000000001" customHeight="1">
      <c r="B11" s="709" t="s">
        <v>87</v>
      </c>
      <c r="C11" s="489" t="s">
        <v>178</v>
      </c>
      <c r="D11" s="513">
        <v>3</v>
      </c>
      <c r="E11" s="513">
        <v>5</v>
      </c>
      <c r="F11" s="513">
        <v>8</v>
      </c>
      <c r="G11" s="513">
        <v>11</v>
      </c>
      <c r="H11" s="513">
        <v>13</v>
      </c>
      <c r="I11" s="513">
        <v>15.999999999999998</v>
      </c>
      <c r="J11" s="513">
        <v>19</v>
      </c>
      <c r="K11" s="513">
        <v>21</v>
      </c>
      <c r="L11" s="513">
        <v>24</v>
      </c>
      <c r="M11" s="513">
        <v>27</v>
      </c>
      <c r="N11" s="513">
        <v>29</v>
      </c>
      <c r="O11" s="513">
        <v>30</v>
      </c>
      <c r="Q11" s="683" t="s">
        <v>87</v>
      </c>
      <c r="R11" s="489" t="str">
        <f t="shared" si="0"/>
        <v>Gangguan TM &gt; 5 Menit</v>
      </c>
      <c r="S11" s="513">
        <v>2</v>
      </c>
      <c r="T11" s="513">
        <v>3</v>
      </c>
      <c r="U11" s="513">
        <v>3</v>
      </c>
      <c r="V11" s="513">
        <v>2</v>
      </c>
      <c r="W11" s="513">
        <v>3</v>
      </c>
      <c r="X11" s="513">
        <v>0</v>
      </c>
      <c r="Y11" s="513">
        <v>2</v>
      </c>
      <c r="Z11" s="513">
        <v>0</v>
      </c>
      <c r="AA11" s="513">
        <v>1</v>
      </c>
      <c r="AB11" s="513"/>
      <c r="AC11" s="513"/>
      <c r="AD11" s="513"/>
      <c r="AF11" s="683" t="s">
        <v>87</v>
      </c>
      <c r="AG11" s="489" t="str">
        <f t="shared" si="1"/>
        <v>Gangguan TM &gt; 5 Menit</v>
      </c>
      <c r="AH11" s="513">
        <f>S11</f>
        <v>2</v>
      </c>
      <c r="AI11" s="513">
        <f>SUM($S11:T11)</f>
        <v>5</v>
      </c>
      <c r="AJ11" s="513">
        <f>SUM($S11:U11)</f>
        <v>8</v>
      </c>
      <c r="AK11" s="513">
        <f>SUM($S11:V11)</f>
        <v>10</v>
      </c>
      <c r="AL11" s="513">
        <f>SUM($S11:W11)</f>
        <v>13</v>
      </c>
      <c r="AM11" s="513">
        <f>SUM($S11:X11)</f>
        <v>13</v>
      </c>
      <c r="AN11" s="513">
        <f>SUM($S11:Y11)</f>
        <v>15</v>
      </c>
      <c r="AO11" s="513">
        <f>SUM($S11:Z11)</f>
        <v>15</v>
      </c>
      <c r="AP11" s="513">
        <f>SUM($S11:AA11)</f>
        <v>16</v>
      </c>
      <c r="AQ11" s="513">
        <f>SUM($S11:AB11)</f>
        <v>16</v>
      </c>
      <c r="AR11" s="513">
        <f>SUM($S11:AC11)</f>
        <v>16</v>
      </c>
      <c r="AS11" s="513">
        <f>SUM($S11:AD11)</f>
        <v>16</v>
      </c>
    </row>
    <row r="12" spans="1:47" ht="18.600000000000001" customHeight="1">
      <c r="B12" s="710"/>
      <c r="C12" s="489" t="s">
        <v>179</v>
      </c>
      <c r="D12" s="513">
        <v>4</v>
      </c>
      <c r="E12" s="513">
        <v>7</v>
      </c>
      <c r="F12" s="513">
        <v>11</v>
      </c>
      <c r="G12" s="513">
        <v>15</v>
      </c>
      <c r="H12" s="513">
        <v>18</v>
      </c>
      <c r="I12" s="513">
        <v>22</v>
      </c>
      <c r="J12" s="513">
        <v>26</v>
      </c>
      <c r="K12" s="513">
        <v>29</v>
      </c>
      <c r="L12" s="513">
        <v>33</v>
      </c>
      <c r="M12" s="513">
        <v>37</v>
      </c>
      <c r="N12" s="513">
        <v>40</v>
      </c>
      <c r="O12" s="513">
        <v>44</v>
      </c>
      <c r="Q12" s="684"/>
      <c r="R12" s="489" t="str">
        <f t="shared" si="0"/>
        <v>Gangguan TM ≤ 5 Menit</v>
      </c>
      <c r="S12" s="513">
        <v>0</v>
      </c>
      <c r="T12" s="513">
        <v>2</v>
      </c>
      <c r="U12" s="513">
        <v>1</v>
      </c>
      <c r="V12" s="513">
        <v>1</v>
      </c>
      <c r="W12" s="513">
        <v>11</v>
      </c>
      <c r="X12" s="513">
        <v>4</v>
      </c>
      <c r="Y12" s="513">
        <v>1</v>
      </c>
      <c r="Z12" s="513">
        <v>0</v>
      </c>
      <c r="AA12" s="513">
        <v>1</v>
      </c>
      <c r="AB12" s="513"/>
      <c r="AC12" s="513"/>
      <c r="AD12" s="513"/>
      <c r="AF12" s="684"/>
      <c r="AG12" s="489" t="str">
        <f t="shared" si="1"/>
        <v>Gangguan TM ≤ 5 Menit</v>
      </c>
      <c r="AH12" s="513">
        <f>S12</f>
        <v>0</v>
      </c>
      <c r="AI12" s="513">
        <f>SUM($S12:T12)</f>
        <v>2</v>
      </c>
      <c r="AJ12" s="513">
        <f>SUM($S12:U12)</f>
        <v>3</v>
      </c>
      <c r="AK12" s="513">
        <f>SUM($S12:V12)</f>
        <v>4</v>
      </c>
      <c r="AL12" s="513">
        <f>SUM($S12:W12)</f>
        <v>15</v>
      </c>
      <c r="AM12" s="513">
        <f>SUM($S12:X12)</f>
        <v>19</v>
      </c>
      <c r="AN12" s="513">
        <f>SUM($S12:Y12)</f>
        <v>20</v>
      </c>
      <c r="AO12" s="513">
        <f>SUM($S12:Z12)</f>
        <v>20</v>
      </c>
      <c r="AP12" s="513">
        <f>SUM($S12:AA12)</f>
        <v>21</v>
      </c>
      <c r="AQ12" s="513">
        <f>SUM($S12:AB12)</f>
        <v>21</v>
      </c>
      <c r="AR12" s="513">
        <f>SUM($S12:AC12)</f>
        <v>21</v>
      </c>
      <c r="AS12" s="513">
        <f>SUM($S12:AD12)</f>
        <v>21</v>
      </c>
    </row>
    <row r="13" spans="1:47" ht="18.600000000000001" customHeight="1">
      <c r="B13" s="711"/>
      <c r="C13" s="516"/>
      <c r="D13" s="517"/>
      <c r="E13" s="517"/>
      <c r="F13" s="517"/>
      <c r="G13" s="517"/>
      <c r="H13" s="517"/>
      <c r="I13" s="517"/>
      <c r="J13" s="517"/>
      <c r="K13" s="517"/>
      <c r="L13" s="517"/>
      <c r="M13" s="517"/>
      <c r="N13" s="517"/>
      <c r="O13" s="517"/>
      <c r="Q13" s="685"/>
      <c r="R13" s="516"/>
      <c r="S13" s="517"/>
      <c r="T13" s="517"/>
      <c r="U13" s="519"/>
      <c r="V13" s="517"/>
      <c r="W13" s="517"/>
      <c r="X13" s="517"/>
      <c r="Y13" s="517"/>
      <c r="Z13" s="517"/>
      <c r="AA13" s="517"/>
      <c r="AB13" s="517"/>
      <c r="AC13" s="517"/>
      <c r="AD13" s="517"/>
      <c r="AF13" s="685"/>
      <c r="AG13" s="516"/>
      <c r="AH13" s="517"/>
      <c r="AI13" s="517"/>
      <c r="AJ13" s="517"/>
      <c r="AK13" s="517"/>
      <c r="AL13" s="517"/>
      <c r="AM13" s="517"/>
      <c r="AN13" s="517"/>
      <c r="AO13" s="517"/>
      <c r="AP13" s="517"/>
      <c r="AQ13" s="517"/>
      <c r="AR13" s="517"/>
      <c r="AS13" s="517"/>
    </row>
    <row r="14" spans="1:47" ht="18.600000000000001" customHeight="1">
      <c r="B14" s="709" t="s">
        <v>88</v>
      </c>
      <c r="C14" s="489" t="s">
        <v>178</v>
      </c>
      <c r="D14" s="513">
        <v>3</v>
      </c>
      <c r="E14" s="513">
        <v>6</v>
      </c>
      <c r="F14" s="513">
        <v>10</v>
      </c>
      <c r="G14" s="513">
        <v>13</v>
      </c>
      <c r="H14" s="513">
        <v>16.000000000000004</v>
      </c>
      <c r="I14" s="513">
        <v>19</v>
      </c>
      <c r="J14" s="513">
        <v>22</v>
      </c>
      <c r="K14" s="513">
        <v>26</v>
      </c>
      <c r="L14" s="513">
        <v>29</v>
      </c>
      <c r="M14" s="513">
        <v>32</v>
      </c>
      <c r="N14" s="513">
        <v>35</v>
      </c>
      <c r="O14" s="513">
        <v>36</v>
      </c>
      <c r="Q14" s="683" t="s">
        <v>88</v>
      </c>
      <c r="R14" s="489" t="str">
        <f t="shared" si="0"/>
        <v>Gangguan TM &gt; 5 Menit</v>
      </c>
      <c r="S14" s="513">
        <v>0</v>
      </c>
      <c r="T14" s="513">
        <v>0</v>
      </c>
      <c r="U14" s="513">
        <v>8</v>
      </c>
      <c r="V14" s="513">
        <v>1</v>
      </c>
      <c r="W14" s="531">
        <v>2</v>
      </c>
      <c r="X14" s="513">
        <v>2</v>
      </c>
      <c r="Y14" s="513">
        <v>3</v>
      </c>
      <c r="Z14" s="513">
        <v>0</v>
      </c>
      <c r="AA14" s="513">
        <v>2</v>
      </c>
      <c r="AB14" s="513"/>
      <c r="AC14" s="513"/>
      <c r="AD14" s="513"/>
      <c r="AF14" s="683" t="s">
        <v>88</v>
      </c>
      <c r="AG14" s="489" t="str">
        <f t="shared" si="1"/>
        <v>Gangguan TM &gt; 5 Menit</v>
      </c>
      <c r="AH14" s="513">
        <f>S14</f>
        <v>0</v>
      </c>
      <c r="AI14" s="513">
        <f>SUM($S14:T14)</f>
        <v>0</v>
      </c>
      <c r="AJ14" s="513">
        <f>SUM($S14:U14)</f>
        <v>8</v>
      </c>
      <c r="AK14" s="513">
        <f>SUM($S14:V14)</f>
        <v>9</v>
      </c>
      <c r="AL14" s="513">
        <f>SUM($S14:W14)</f>
        <v>11</v>
      </c>
      <c r="AM14" s="513">
        <f>SUM($S14:X14)</f>
        <v>13</v>
      </c>
      <c r="AN14" s="513">
        <f>SUM($S14:Y14)</f>
        <v>16</v>
      </c>
      <c r="AO14" s="513">
        <f>SUM($S14:Z14)</f>
        <v>16</v>
      </c>
      <c r="AP14" s="513">
        <f>SUM($S14:AA14)</f>
        <v>18</v>
      </c>
      <c r="AQ14" s="513">
        <f>SUM($S14:AB14)</f>
        <v>18</v>
      </c>
      <c r="AR14" s="513">
        <f>SUM($S14:AC14)</f>
        <v>18</v>
      </c>
      <c r="AS14" s="513">
        <f>SUM($S14:AD14)</f>
        <v>18</v>
      </c>
    </row>
    <row r="15" spans="1:47" ht="18.600000000000001" customHeight="1">
      <c r="B15" s="710"/>
      <c r="C15" s="489" t="s">
        <v>179</v>
      </c>
      <c r="D15" s="513">
        <v>2</v>
      </c>
      <c r="E15" s="513">
        <v>4</v>
      </c>
      <c r="F15" s="513">
        <v>5</v>
      </c>
      <c r="G15" s="513">
        <v>7</v>
      </c>
      <c r="H15" s="513">
        <v>9</v>
      </c>
      <c r="I15" s="513">
        <v>11</v>
      </c>
      <c r="J15" s="513">
        <v>13</v>
      </c>
      <c r="K15" s="513">
        <v>14</v>
      </c>
      <c r="L15" s="513">
        <v>16</v>
      </c>
      <c r="M15" s="513">
        <v>18</v>
      </c>
      <c r="N15" s="513">
        <v>20</v>
      </c>
      <c r="O15" s="513">
        <v>21</v>
      </c>
      <c r="Q15" s="684"/>
      <c r="R15" s="489" t="str">
        <f t="shared" si="0"/>
        <v>Gangguan TM ≤ 5 Menit</v>
      </c>
      <c r="S15" s="513">
        <v>0</v>
      </c>
      <c r="T15" s="513">
        <v>4</v>
      </c>
      <c r="U15" s="513">
        <v>0</v>
      </c>
      <c r="V15" s="513">
        <v>0</v>
      </c>
      <c r="W15" s="513">
        <v>3</v>
      </c>
      <c r="X15" s="384">
        <v>2</v>
      </c>
      <c r="Y15" s="513">
        <v>2</v>
      </c>
      <c r="Z15" s="513">
        <v>0</v>
      </c>
      <c r="AA15" s="513">
        <v>1</v>
      </c>
      <c r="AB15" s="513"/>
      <c r="AC15" s="513"/>
      <c r="AD15" s="513"/>
      <c r="AF15" s="684"/>
      <c r="AG15" s="489" t="str">
        <f t="shared" si="1"/>
        <v>Gangguan TM ≤ 5 Menit</v>
      </c>
      <c r="AH15" s="513">
        <f>S15</f>
        <v>0</v>
      </c>
      <c r="AI15" s="513">
        <f>SUM($S15:T15)</f>
        <v>4</v>
      </c>
      <c r="AJ15" s="513">
        <f>SUM($S15:U15)</f>
        <v>4</v>
      </c>
      <c r="AK15" s="513">
        <f>SUM($S15:V15)</f>
        <v>4</v>
      </c>
      <c r="AL15" s="513">
        <f>SUM($S15:W15)</f>
        <v>7</v>
      </c>
      <c r="AM15" s="513">
        <f>SUM($S15:X15)</f>
        <v>9</v>
      </c>
      <c r="AN15" s="513">
        <f>SUM($S15:Y15)</f>
        <v>11</v>
      </c>
      <c r="AO15" s="513">
        <f>SUM($S15:Z15)</f>
        <v>11</v>
      </c>
      <c r="AP15" s="513">
        <f>SUM($S15:AA15)</f>
        <v>12</v>
      </c>
      <c r="AQ15" s="513">
        <f>SUM($S15:AB15)</f>
        <v>12</v>
      </c>
      <c r="AR15" s="513">
        <f>SUM($S15:AC15)</f>
        <v>12</v>
      </c>
      <c r="AS15" s="513">
        <f>SUM($S15:AD15)</f>
        <v>12</v>
      </c>
    </row>
    <row r="16" spans="1:47" ht="18.600000000000001" customHeight="1">
      <c r="B16" s="711"/>
      <c r="C16" s="516"/>
      <c r="D16" s="517"/>
      <c r="E16" s="517"/>
      <c r="F16" s="517"/>
      <c r="G16" s="517"/>
      <c r="H16" s="517"/>
      <c r="I16" s="517"/>
      <c r="J16" s="517"/>
      <c r="K16" s="517"/>
      <c r="L16" s="517"/>
      <c r="M16" s="517"/>
      <c r="N16" s="517"/>
      <c r="O16" s="517"/>
      <c r="Q16" s="685"/>
      <c r="R16" s="516"/>
      <c r="S16" s="517"/>
      <c r="T16" s="518"/>
      <c r="U16" s="517"/>
      <c r="V16" s="517"/>
      <c r="W16" s="517"/>
      <c r="X16" s="517"/>
      <c r="Y16" s="517"/>
      <c r="Z16" s="517"/>
      <c r="AA16" s="517"/>
      <c r="AB16" s="517"/>
      <c r="AC16" s="517"/>
      <c r="AD16" s="517"/>
      <c r="AF16" s="685"/>
      <c r="AG16" s="516"/>
      <c r="AH16" s="517"/>
      <c r="AI16" s="517"/>
      <c r="AJ16" s="517"/>
      <c r="AK16" s="517"/>
      <c r="AL16" s="517"/>
      <c r="AM16" s="518"/>
      <c r="AN16" s="517"/>
      <c r="AO16" s="517"/>
      <c r="AP16" s="517"/>
      <c r="AQ16" s="517"/>
      <c r="AR16" s="517"/>
      <c r="AS16" s="517"/>
    </row>
    <row r="17" spans="1:47" ht="18.600000000000001" customHeight="1">
      <c r="B17" s="709" t="s">
        <v>121</v>
      </c>
      <c r="C17" s="489" t="s">
        <v>178</v>
      </c>
      <c r="D17" s="513">
        <v>1</v>
      </c>
      <c r="E17" s="513">
        <v>2</v>
      </c>
      <c r="F17" s="513">
        <v>3</v>
      </c>
      <c r="G17" s="513">
        <v>4</v>
      </c>
      <c r="H17" s="513">
        <v>5</v>
      </c>
      <c r="I17" s="513">
        <v>6</v>
      </c>
      <c r="J17" s="513">
        <v>7</v>
      </c>
      <c r="K17" s="513">
        <v>9</v>
      </c>
      <c r="L17" s="513">
        <v>10</v>
      </c>
      <c r="M17" s="513">
        <v>11</v>
      </c>
      <c r="N17" s="513">
        <v>12</v>
      </c>
      <c r="O17" s="513">
        <v>12</v>
      </c>
      <c r="Q17" s="683" t="s">
        <v>121</v>
      </c>
      <c r="R17" s="489" t="str">
        <f t="shared" si="0"/>
        <v>Gangguan TM &gt; 5 Menit</v>
      </c>
      <c r="S17" s="513">
        <v>0</v>
      </c>
      <c r="T17" s="513">
        <v>1</v>
      </c>
      <c r="U17" s="513">
        <v>1</v>
      </c>
      <c r="V17" s="513">
        <v>1</v>
      </c>
      <c r="W17" s="513">
        <v>1</v>
      </c>
      <c r="X17" s="513">
        <v>1</v>
      </c>
      <c r="Y17" s="513">
        <v>2</v>
      </c>
      <c r="Z17" s="513">
        <v>0</v>
      </c>
      <c r="AA17" s="513">
        <v>0</v>
      </c>
      <c r="AB17" s="513"/>
      <c r="AC17" s="513"/>
      <c r="AD17" s="513"/>
      <c r="AF17" s="683" t="s">
        <v>121</v>
      </c>
      <c r="AG17" s="489" t="str">
        <f t="shared" si="1"/>
        <v>Gangguan TM &gt; 5 Menit</v>
      </c>
      <c r="AH17" s="513">
        <f>S17</f>
        <v>0</v>
      </c>
      <c r="AI17" s="513">
        <f>SUM($S17:T17)</f>
        <v>1</v>
      </c>
      <c r="AJ17" s="513">
        <f>SUM($S17:U17)</f>
        <v>2</v>
      </c>
      <c r="AK17" s="513">
        <f>SUM($S17:V17)</f>
        <v>3</v>
      </c>
      <c r="AL17" s="513">
        <f>SUM($S17:W17)</f>
        <v>4</v>
      </c>
      <c r="AM17" s="513">
        <f>SUM($S17:X17)</f>
        <v>5</v>
      </c>
      <c r="AN17" s="513">
        <f>SUM($S17:Y17)</f>
        <v>7</v>
      </c>
      <c r="AO17" s="513">
        <f>SUM($S17:Z17)</f>
        <v>7</v>
      </c>
      <c r="AP17" s="513">
        <f>SUM($S17:AA17)</f>
        <v>7</v>
      </c>
      <c r="AQ17" s="513">
        <f>SUM($S17:AB17)</f>
        <v>7</v>
      </c>
      <c r="AR17" s="513">
        <f>SUM($S17:AC17)</f>
        <v>7</v>
      </c>
      <c r="AS17" s="513">
        <f>SUM($S17:AD17)</f>
        <v>7</v>
      </c>
    </row>
    <row r="18" spans="1:47" ht="18.600000000000001" customHeight="1">
      <c r="B18" s="710"/>
      <c r="C18" s="489" t="s">
        <v>179</v>
      </c>
      <c r="D18" s="513">
        <v>2</v>
      </c>
      <c r="E18" s="513">
        <v>3</v>
      </c>
      <c r="F18" s="513">
        <v>5</v>
      </c>
      <c r="G18" s="513">
        <v>7</v>
      </c>
      <c r="H18" s="513">
        <v>8</v>
      </c>
      <c r="I18" s="513">
        <v>10</v>
      </c>
      <c r="J18" s="513">
        <v>12</v>
      </c>
      <c r="K18" s="513">
        <v>14</v>
      </c>
      <c r="L18" s="513">
        <v>15</v>
      </c>
      <c r="M18" s="513">
        <v>17</v>
      </c>
      <c r="N18" s="513">
        <v>19</v>
      </c>
      <c r="O18" s="513">
        <v>20</v>
      </c>
      <c r="Q18" s="684"/>
      <c r="R18" s="489" t="str">
        <f t="shared" si="0"/>
        <v>Gangguan TM ≤ 5 Menit</v>
      </c>
      <c r="S18" s="513">
        <v>0</v>
      </c>
      <c r="T18" s="513">
        <v>2</v>
      </c>
      <c r="U18" s="513">
        <v>0</v>
      </c>
      <c r="V18" s="513">
        <v>0</v>
      </c>
      <c r="W18" s="513">
        <v>4</v>
      </c>
      <c r="X18" s="513">
        <v>1</v>
      </c>
      <c r="Y18" s="513">
        <v>3</v>
      </c>
      <c r="Z18" s="513">
        <v>1</v>
      </c>
      <c r="AA18" s="513">
        <v>1</v>
      </c>
      <c r="AB18" s="513"/>
      <c r="AC18" s="513"/>
      <c r="AD18" s="513"/>
      <c r="AF18" s="684"/>
      <c r="AG18" s="489" t="str">
        <f t="shared" si="1"/>
        <v>Gangguan TM ≤ 5 Menit</v>
      </c>
      <c r="AH18" s="513">
        <f>S18</f>
        <v>0</v>
      </c>
      <c r="AI18" s="513">
        <f>SUM($S18:T18)</f>
        <v>2</v>
      </c>
      <c r="AJ18" s="513">
        <f>SUM($S18:U18)</f>
        <v>2</v>
      </c>
      <c r="AK18" s="513">
        <f>SUM($S18:V18)</f>
        <v>2</v>
      </c>
      <c r="AL18" s="513">
        <f>SUM($S18:W18)</f>
        <v>6</v>
      </c>
      <c r="AM18" s="513">
        <f>SUM($S18:X18)</f>
        <v>7</v>
      </c>
      <c r="AN18" s="513">
        <f>SUM($S18:Y18)</f>
        <v>10</v>
      </c>
      <c r="AO18" s="513">
        <f>SUM($S18:Z18)</f>
        <v>11</v>
      </c>
      <c r="AP18" s="513">
        <f>SUM($S18:AA18)</f>
        <v>12</v>
      </c>
      <c r="AQ18" s="513">
        <f>SUM($S18:AB18)</f>
        <v>12</v>
      </c>
      <c r="AR18" s="513">
        <f>SUM($S18:AC18)</f>
        <v>12</v>
      </c>
      <c r="AS18" s="513">
        <f>SUM($S18:AD18)</f>
        <v>12</v>
      </c>
    </row>
    <row r="19" spans="1:47" ht="18.600000000000001" customHeight="1">
      <c r="B19" s="711"/>
      <c r="C19" s="516"/>
      <c r="D19" s="517"/>
      <c r="E19" s="517"/>
      <c r="F19" s="517"/>
      <c r="G19" s="517"/>
      <c r="H19" s="517"/>
      <c r="I19" s="517"/>
      <c r="J19" s="517"/>
      <c r="K19" s="517"/>
      <c r="L19" s="517"/>
      <c r="M19" s="517"/>
      <c r="N19" s="517"/>
      <c r="O19" s="517"/>
      <c r="Q19" s="685"/>
      <c r="R19" s="516"/>
      <c r="S19" s="517"/>
      <c r="T19" s="517"/>
      <c r="U19" s="517"/>
      <c r="V19" s="517"/>
      <c r="W19" s="517"/>
      <c r="X19" s="517"/>
      <c r="Y19" s="517"/>
      <c r="Z19" s="517"/>
      <c r="AA19" s="517"/>
      <c r="AB19" s="517"/>
      <c r="AC19" s="517"/>
      <c r="AD19" s="517"/>
      <c r="AF19" s="685"/>
      <c r="AG19" s="516"/>
      <c r="AH19" s="517"/>
      <c r="AI19" s="517"/>
      <c r="AJ19" s="517"/>
      <c r="AK19" s="517"/>
      <c r="AL19" s="517"/>
      <c r="AM19" s="517"/>
      <c r="AN19" s="517"/>
      <c r="AO19" s="517"/>
      <c r="AP19" s="517"/>
      <c r="AQ19" s="517"/>
      <c r="AR19" s="517"/>
      <c r="AS19" s="517"/>
    </row>
    <row r="20" spans="1:47" ht="18.600000000000001" customHeight="1">
      <c r="B20" s="712" t="s">
        <v>89</v>
      </c>
      <c r="C20" s="489" t="s">
        <v>178</v>
      </c>
      <c r="D20" s="513">
        <v>2</v>
      </c>
      <c r="E20" s="513">
        <v>5</v>
      </c>
      <c r="F20" s="513">
        <v>7</v>
      </c>
      <c r="G20" s="513">
        <v>9</v>
      </c>
      <c r="H20" s="513">
        <v>12</v>
      </c>
      <c r="I20" s="513">
        <v>14.000000000000002</v>
      </c>
      <c r="J20" s="513">
        <v>16</v>
      </c>
      <c r="K20" s="513">
        <v>19</v>
      </c>
      <c r="L20" s="513">
        <v>21</v>
      </c>
      <c r="M20" s="513">
        <v>23</v>
      </c>
      <c r="N20" s="513">
        <v>26</v>
      </c>
      <c r="O20" s="513">
        <v>26</v>
      </c>
      <c r="Q20" s="679" t="s">
        <v>89</v>
      </c>
      <c r="R20" s="489" t="str">
        <f t="shared" si="0"/>
        <v>Gangguan TM &gt; 5 Menit</v>
      </c>
      <c r="S20" s="513">
        <v>1</v>
      </c>
      <c r="T20" s="513">
        <v>0</v>
      </c>
      <c r="U20" s="513">
        <v>5</v>
      </c>
      <c r="V20" s="513">
        <v>1</v>
      </c>
      <c r="W20" s="513">
        <v>2</v>
      </c>
      <c r="X20" s="513">
        <v>2</v>
      </c>
      <c r="Y20" s="513">
        <v>0</v>
      </c>
      <c r="Z20" s="513">
        <v>0</v>
      </c>
      <c r="AA20" s="513">
        <v>0</v>
      </c>
      <c r="AB20" s="513"/>
      <c r="AC20" s="513"/>
      <c r="AD20" s="513"/>
      <c r="AF20" s="679" t="s">
        <v>89</v>
      </c>
      <c r="AG20" s="489" t="str">
        <f t="shared" si="1"/>
        <v>Gangguan TM &gt; 5 Menit</v>
      </c>
      <c r="AH20" s="513">
        <f>S20</f>
        <v>1</v>
      </c>
      <c r="AI20" s="513">
        <f>SUM($S20:T20)</f>
        <v>1</v>
      </c>
      <c r="AJ20" s="513">
        <f>SUM($S20:U20)</f>
        <v>6</v>
      </c>
      <c r="AK20" s="513">
        <f>SUM($S20:V20)</f>
        <v>7</v>
      </c>
      <c r="AL20" s="513">
        <f>SUM($S20:W20)</f>
        <v>9</v>
      </c>
      <c r="AM20" s="513">
        <f>SUM($S20:X20)</f>
        <v>11</v>
      </c>
      <c r="AN20" s="513">
        <f>SUM($S20:Y20)</f>
        <v>11</v>
      </c>
      <c r="AO20" s="513">
        <f>SUM($S20:Z20)</f>
        <v>11</v>
      </c>
      <c r="AP20" s="513">
        <f>SUM($S20:AA20)</f>
        <v>11</v>
      </c>
      <c r="AQ20" s="513">
        <f>SUM($S20:AB20)</f>
        <v>11</v>
      </c>
      <c r="AR20" s="513">
        <f>SUM($S20:AC20)</f>
        <v>11</v>
      </c>
      <c r="AS20" s="513">
        <f>SUM($S20:AD20)</f>
        <v>11</v>
      </c>
    </row>
    <row r="21" spans="1:47" ht="18.600000000000001" customHeight="1">
      <c r="B21" s="712"/>
      <c r="C21" s="489" t="s">
        <v>179</v>
      </c>
      <c r="D21" s="513">
        <v>2</v>
      </c>
      <c r="E21" s="513">
        <v>3</v>
      </c>
      <c r="F21" s="513">
        <v>5</v>
      </c>
      <c r="G21" s="513">
        <v>7</v>
      </c>
      <c r="H21" s="513">
        <v>8</v>
      </c>
      <c r="I21" s="513">
        <v>10</v>
      </c>
      <c r="J21" s="513">
        <v>12</v>
      </c>
      <c r="K21" s="513">
        <v>14</v>
      </c>
      <c r="L21" s="513">
        <v>15</v>
      </c>
      <c r="M21" s="513">
        <v>17</v>
      </c>
      <c r="N21" s="513">
        <v>19</v>
      </c>
      <c r="O21" s="513">
        <v>20</v>
      </c>
      <c r="Q21" s="679"/>
      <c r="R21" s="489" t="str">
        <f t="shared" si="0"/>
        <v>Gangguan TM ≤ 5 Menit</v>
      </c>
      <c r="S21" s="513">
        <v>1</v>
      </c>
      <c r="T21" s="513">
        <v>3</v>
      </c>
      <c r="U21" s="513">
        <v>0</v>
      </c>
      <c r="V21" s="513">
        <v>0</v>
      </c>
      <c r="W21" s="513">
        <v>2</v>
      </c>
      <c r="X21" s="513">
        <v>1</v>
      </c>
      <c r="Y21" s="513">
        <v>3</v>
      </c>
      <c r="Z21" s="513">
        <v>0</v>
      </c>
      <c r="AA21" s="513">
        <v>2</v>
      </c>
      <c r="AB21" s="513"/>
      <c r="AC21" s="513"/>
      <c r="AD21" s="513"/>
      <c r="AF21" s="679"/>
      <c r="AG21" s="489" t="str">
        <f t="shared" si="1"/>
        <v>Gangguan TM ≤ 5 Menit</v>
      </c>
      <c r="AH21" s="513">
        <f>S21</f>
        <v>1</v>
      </c>
      <c r="AI21" s="513">
        <f>SUM($S21:T21)</f>
        <v>4</v>
      </c>
      <c r="AJ21" s="513">
        <f>SUM($S21:U21)</f>
        <v>4</v>
      </c>
      <c r="AK21" s="513">
        <f>SUM($S21:V21)</f>
        <v>4</v>
      </c>
      <c r="AL21" s="513">
        <f>SUM($S21:W21)</f>
        <v>6</v>
      </c>
      <c r="AM21" s="513">
        <f>SUM($S21:X21)</f>
        <v>7</v>
      </c>
      <c r="AN21" s="513">
        <f>SUM($S21:Y21)</f>
        <v>10</v>
      </c>
      <c r="AO21" s="513">
        <f>SUM($S21:Z21)</f>
        <v>10</v>
      </c>
      <c r="AP21" s="513">
        <f>SUM($S21:AA21)</f>
        <v>12</v>
      </c>
      <c r="AQ21" s="513">
        <f>SUM($S21:AB21)</f>
        <v>12</v>
      </c>
      <c r="AR21" s="513">
        <f>SUM($S21:AC21)</f>
        <v>12</v>
      </c>
      <c r="AS21" s="513">
        <f>SUM($S21:AD21)</f>
        <v>12</v>
      </c>
    </row>
    <row r="22" spans="1:47" ht="18.600000000000001" customHeight="1">
      <c r="B22" s="712"/>
      <c r="C22" s="516"/>
      <c r="D22" s="517"/>
      <c r="E22" s="517"/>
      <c r="F22" s="517"/>
      <c r="G22" s="517"/>
      <c r="H22" s="517"/>
      <c r="I22" s="517"/>
      <c r="J22" s="517"/>
      <c r="K22" s="517"/>
      <c r="L22" s="517"/>
      <c r="M22" s="517"/>
      <c r="N22" s="517"/>
      <c r="O22" s="517"/>
      <c r="Q22" s="679"/>
      <c r="R22" s="516"/>
      <c r="S22" s="517"/>
      <c r="T22" s="517"/>
      <c r="U22" s="519"/>
      <c r="V22" s="519"/>
      <c r="W22" s="517"/>
      <c r="X22" s="517"/>
      <c r="Y22" s="517"/>
      <c r="Z22" s="517"/>
      <c r="AA22" s="517"/>
      <c r="AB22" s="517"/>
      <c r="AC22" s="517"/>
      <c r="AD22" s="517"/>
      <c r="AF22" s="679"/>
      <c r="AG22" s="516"/>
      <c r="AH22" s="517"/>
      <c r="AI22" s="517"/>
      <c r="AJ22" s="517"/>
      <c r="AK22" s="517"/>
      <c r="AL22" s="517"/>
      <c r="AM22" s="517"/>
      <c r="AN22" s="517"/>
      <c r="AO22" s="517"/>
      <c r="AP22" s="517"/>
      <c r="AQ22" s="517"/>
      <c r="AR22" s="517"/>
      <c r="AS22" s="517"/>
    </row>
    <row r="23" spans="1:47" ht="18.600000000000001" customHeight="1">
      <c r="B23" s="643" t="s">
        <v>90</v>
      </c>
      <c r="C23" s="489" t="s">
        <v>178</v>
      </c>
      <c r="D23" s="513">
        <v>15</v>
      </c>
      <c r="E23" s="513">
        <v>29</v>
      </c>
      <c r="F23" s="513">
        <v>45</v>
      </c>
      <c r="G23" s="513">
        <v>59</v>
      </c>
      <c r="H23" s="513">
        <v>74</v>
      </c>
      <c r="I23" s="513">
        <v>88</v>
      </c>
      <c r="J23" s="513">
        <v>103</v>
      </c>
      <c r="K23" s="513">
        <v>119</v>
      </c>
      <c r="L23" s="513">
        <v>134</v>
      </c>
      <c r="M23" s="513">
        <v>148</v>
      </c>
      <c r="N23" s="513">
        <v>163</v>
      </c>
      <c r="O23" s="513">
        <v>166</v>
      </c>
      <c r="Q23" s="679" t="s">
        <v>90</v>
      </c>
      <c r="R23" s="489" t="str">
        <f t="shared" si="0"/>
        <v>Gangguan TM &gt; 5 Menit</v>
      </c>
      <c r="S23" s="513">
        <f t="shared" ref="S23:AD24" si="2">S8+S11+S14+S17+S20</f>
        <v>5</v>
      </c>
      <c r="T23" s="513">
        <f t="shared" si="2"/>
        <v>5</v>
      </c>
      <c r="U23" s="513">
        <f t="shared" si="2"/>
        <v>22</v>
      </c>
      <c r="V23" s="513">
        <f t="shared" si="2"/>
        <v>8</v>
      </c>
      <c r="W23" s="513">
        <f t="shared" si="2"/>
        <v>26</v>
      </c>
      <c r="X23" s="513">
        <f t="shared" si="2"/>
        <v>7</v>
      </c>
      <c r="Y23" s="513">
        <f t="shared" si="2"/>
        <v>14</v>
      </c>
      <c r="Z23" s="513">
        <f t="shared" si="2"/>
        <v>0</v>
      </c>
      <c r="AA23" s="513">
        <f t="shared" si="2"/>
        <v>11</v>
      </c>
      <c r="AB23" s="513">
        <f t="shared" si="2"/>
        <v>0</v>
      </c>
      <c r="AC23" s="513">
        <f t="shared" si="2"/>
        <v>0</v>
      </c>
      <c r="AD23" s="513">
        <f t="shared" si="2"/>
        <v>0</v>
      </c>
      <c r="AF23" s="679" t="s">
        <v>90</v>
      </c>
      <c r="AG23" s="489" t="str">
        <f t="shared" si="1"/>
        <v>Gangguan TM &gt; 5 Menit</v>
      </c>
      <c r="AH23" s="513">
        <f t="shared" ref="AH23:AS23" si="3">AH8+AH11+AH14+AH17+AH20</f>
        <v>5</v>
      </c>
      <c r="AI23" s="513">
        <f t="shared" si="3"/>
        <v>10</v>
      </c>
      <c r="AJ23" s="513">
        <f t="shared" si="3"/>
        <v>32</v>
      </c>
      <c r="AK23" s="513">
        <f t="shared" si="3"/>
        <v>40</v>
      </c>
      <c r="AL23" s="513">
        <f t="shared" si="3"/>
        <v>66</v>
      </c>
      <c r="AM23" s="513">
        <f t="shared" si="3"/>
        <v>73</v>
      </c>
      <c r="AN23" s="513">
        <f t="shared" si="3"/>
        <v>87</v>
      </c>
      <c r="AO23" s="513">
        <f t="shared" si="3"/>
        <v>87</v>
      </c>
      <c r="AP23" s="513">
        <f t="shared" si="3"/>
        <v>98</v>
      </c>
      <c r="AQ23" s="513">
        <f t="shared" si="3"/>
        <v>98</v>
      </c>
      <c r="AR23" s="513">
        <f t="shared" si="3"/>
        <v>98</v>
      </c>
      <c r="AS23" s="513">
        <f t="shared" si="3"/>
        <v>98</v>
      </c>
    </row>
    <row r="24" spans="1:47" ht="18.600000000000001" customHeight="1">
      <c r="B24" s="644"/>
      <c r="C24" s="489" t="s">
        <v>179</v>
      </c>
      <c r="D24" s="513">
        <v>17</v>
      </c>
      <c r="E24" s="513">
        <v>31</v>
      </c>
      <c r="F24" s="513">
        <v>48</v>
      </c>
      <c r="G24" s="513">
        <v>65</v>
      </c>
      <c r="H24" s="513">
        <v>79</v>
      </c>
      <c r="I24" s="513">
        <v>96</v>
      </c>
      <c r="J24" s="513">
        <v>113</v>
      </c>
      <c r="K24" s="513">
        <v>128</v>
      </c>
      <c r="L24" s="513">
        <v>144</v>
      </c>
      <c r="M24" s="513">
        <v>161</v>
      </c>
      <c r="N24" s="513">
        <v>177</v>
      </c>
      <c r="O24" s="513">
        <v>191</v>
      </c>
      <c r="Q24" s="679"/>
      <c r="R24" s="489" t="str">
        <f t="shared" si="0"/>
        <v>Gangguan TM ≤ 5 Menit</v>
      </c>
      <c r="S24" s="513">
        <f t="shared" si="2"/>
        <v>1</v>
      </c>
      <c r="T24" s="513">
        <f t="shared" ref="T24:AD24" si="4">T9+T12+T15+T18+T21</f>
        <v>17</v>
      </c>
      <c r="U24" s="513">
        <f t="shared" si="4"/>
        <v>3</v>
      </c>
      <c r="V24" s="513">
        <f t="shared" si="4"/>
        <v>1</v>
      </c>
      <c r="W24" s="513">
        <f t="shared" si="4"/>
        <v>35</v>
      </c>
      <c r="X24" s="513">
        <f t="shared" si="4"/>
        <v>19</v>
      </c>
      <c r="Y24" s="513">
        <f t="shared" si="4"/>
        <v>17</v>
      </c>
      <c r="Z24" s="513">
        <f t="shared" si="4"/>
        <v>3</v>
      </c>
      <c r="AA24" s="513">
        <f t="shared" si="4"/>
        <v>16</v>
      </c>
      <c r="AB24" s="513">
        <f t="shared" si="4"/>
        <v>0</v>
      </c>
      <c r="AC24" s="513">
        <f t="shared" si="4"/>
        <v>0</v>
      </c>
      <c r="AD24" s="513">
        <f t="shared" si="4"/>
        <v>0</v>
      </c>
      <c r="AF24" s="679"/>
      <c r="AG24" s="489" t="str">
        <f t="shared" si="1"/>
        <v>Gangguan TM ≤ 5 Menit</v>
      </c>
      <c r="AH24" s="513">
        <f t="shared" ref="AH24:AS24" si="5">AH9+AH12+AH15+AH18+AH21</f>
        <v>1</v>
      </c>
      <c r="AI24" s="513">
        <f t="shared" si="5"/>
        <v>18</v>
      </c>
      <c r="AJ24" s="513">
        <f t="shared" si="5"/>
        <v>21</v>
      </c>
      <c r="AK24" s="513">
        <f t="shared" si="5"/>
        <v>22</v>
      </c>
      <c r="AL24" s="513">
        <f t="shared" si="5"/>
        <v>57</v>
      </c>
      <c r="AM24" s="513">
        <f t="shared" si="5"/>
        <v>76</v>
      </c>
      <c r="AN24" s="513">
        <f t="shared" si="5"/>
        <v>93</v>
      </c>
      <c r="AO24" s="513">
        <f t="shared" si="5"/>
        <v>96</v>
      </c>
      <c r="AP24" s="513">
        <f t="shared" si="5"/>
        <v>112</v>
      </c>
      <c r="AQ24" s="513">
        <f t="shared" si="5"/>
        <v>112</v>
      </c>
      <c r="AR24" s="513">
        <f t="shared" si="5"/>
        <v>112</v>
      </c>
      <c r="AS24" s="513">
        <f t="shared" si="5"/>
        <v>112</v>
      </c>
    </row>
    <row r="25" spans="1:47" ht="14.45" customHeight="1">
      <c r="B25" s="645"/>
      <c r="C25" s="516"/>
      <c r="D25" s="517"/>
      <c r="E25" s="517"/>
      <c r="F25" s="517"/>
      <c r="G25" s="517"/>
      <c r="H25" s="517"/>
      <c r="I25" s="517"/>
      <c r="J25" s="517"/>
      <c r="K25" s="517"/>
      <c r="L25" s="517"/>
      <c r="M25" s="517"/>
      <c r="N25" s="517"/>
      <c r="O25" s="517"/>
      <c r="Q25" s="679"/>
      <c r="R25" s="516"/>
      <c r="S25" s="518"/>
      <c r="T25" s="518"/>
      <c r="U25" s="518"/>
      <c r="V25" s="518"/>
      <c r="W25" s="518"/>
      <c r="X25" s="518"/>
      <c r="Y25" s="518"/>
      <c r="Z25" s="518"/>
      <c r="AA25" s="518"/>
      <c r="AB25" s="518"/>
      <c r="AC25" s="518"/>
      <c r="AD25" s="518"/>
      <c r="AF25" s="679"/>
      <c r="AG25" s="516"/>
      <c r="AH25" s="518"/>
      <c r="AI25" s="518"/>
      <c r="AJ25" s="518"/>
      <c r="AK25" s="518"/>
      <c r="AL25" s="518"/>
      <c r="AM25" s="518"/>
      <c r="AN25" s="518"/>
      <c r="AO25" s="518"/>
      <c r="AP25" s="518"/>
      <c r="AQ25" s="518"/>
      <c r="AR25" s="518"/>
      <c r="AS25" s="518"/>
    </row>
    <row r="26" spans="1:47" s="30" customFormat="1" ht="15.75">
      <c r="A26" s="28"/>
      <c r="B26" s="29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Q26" s="29"/>
      <c r="R26" s="2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28"/>
      <c r="AF26" s="29"/>
      <c r="AG26" s="28"/>
      <c r="AH26" s="28"/>
      <c r="AI26" s="299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U26" s="142"/>
    </row>
    <row r="27" spans="1:47"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H27" s="105"/>
      <c r="AI27" s="105"/>
      <c r="AJ27" s="105"/>
      <c r="AK27" s="105"/>
      <c r="AL27" s="105"/>
      <c r="AM27" s="105"/>
      <c r="AN27" s="105"/>
      <c r="AO27" s="105"/>
      <c r="AP27" s="105"/>
      <c r="AQ27" s="105"/>
      <c r="AR27" s="166"/>
      <c r="AS27" s="105"/>
    </row>
    <row r="28" spans="1:47">
      <c r="B28" s="371" t="s">
        <v>180</v>
      </c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Q28" s="194" t="str">
        <f>B28</f>
        <v>KERUSAKAN PERALATAN DISTRIBUSI</v>
      </c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F28" s="194" t="str">
        <f>Q28</f>
        <v>KERUSAKAN PERALATAN DISTRIBUSI</v>
      </c>
      <c r="AH28" s="105"/>
      <c r="AI28" s="105"/>
      <c r="AJ28" s="105"/>
      <c r="AK28" s="105"/>
      <c r="AL28" s="105"/>
      <c r="AM28" s="105"/>
      <c r="AN28" s="105"/>
      <c r="AO28" s="105"/>
      <c r="AP28" s="105"/>
      <c r="AQ28" s="105"/>
      <c r="AR28" s="105"/>
      <c r="AS28" s="105"/>
    </row>
    <row r="29" spans="1:47">
      <c r="B29" s="21" t="s">
        <v>100</v>
      </c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Q29" t="s">
        <v>126</v>
      </c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F29" t="s">
        <v>181</v>
      </c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</row>
    <row r="30" spans="1:47">
      <c r="B30" s="686" t="s">
        <v>72</v>
      </c>
      <c r="C30" s="686"/>
      <c r="D30" s="638" t="s">
        <v>74</v>
      </c>
      <c r="E30" s="638" t="s">
        <v>75</v>
      </c>
      <c r="F30" s="638" t="s">
        <v>76</v>
      </c>
      <c r="G30" s="638" t="s">
        <v>77</v>
      </c>
      <c r="H30" s="638" t="s">
        <v>78</v>
      </c>
      <c r="I30" s="638" t="s">
        <v>79</v>
      </c>
      <c r="J30" s="638" t="s">
        <v>80</v>
      </c>
      <c r="K30" s="638" t="s">
        <v>81</v>
      </c>
      <c r="L30" s="638" t="s">
        <v>82</v>
      </c>
      <c r="M30" s="638" t="s">
        <v>83</v>
      </c>
      <c r="N30" s="638" t="s">
        <v>84</v>
      </c>
      <c r="O30" s="638" t="s">
        <v>85</v>
      </c>
      <c r="Q30" s="686" t="s">
        <v>72</v>
      </c>
      <c r="R30" s="686"/>
      <c r="S30" s="638" t="s">
        <v>74</v>
      </c>
      <c r="T30" s="638" t="s">
        <v>75</v>
      </c>
      <c r="U30" s="638" t="s">
        <v>76</v>
      </c>
      <c r="V30" s="638" t="s">
        <v>77</v>
      </c>
      <c r="W30" s="638" t="s">
        <v>78</v>
      </c>
      <c r="X30" s="638" t="s">
        <v>79</v>
      </c>
      <c r="Y30" s="638" t="s">
        <v>80</v>
      </c>
      <c r="Z30" s="638" t="s">
        <v>81</v>
      </c>
      <c r="AA30" s="638" t="s">
        <v>82</v>
      </c>
      <c r="AB30" s="638" t="s">
        <v>83</v>
      </c>
      <c r="AC30" s="638" t="s">
        <v>84</v>
      </c>
      <c r="AD30" s="638" t="s">
        <v>85</v>
      </c>
      <c r="AF30" s="686" t="s">
        <v>72</v>
      </c>
      <c r="AG30" s="686"/>
      <c r="AH30" s="638" t="s">
        <v>74</v>
      </c>
      <c r="AI30" s="638" t="s">
        <v>75</v>
      </c>
      <c r="AJ30" s="638" t="s">
        <v>76</v>
      </c>
      <c r="AK30" s="638" t="s">
        <v>77</v>
      </c>
      <c r="AL30" s="638" t="s">
        <v>78</v>
      </c>
      <c r="AM30" s="638" t="s">
        <v>79</v>
      </c>
      <c r="AN30" s="638" t="s">
        <v>80</v>
      </c>
      <c r="AO30" s="638" t="s">
        <v>81</v>
      </c>
      <c r="AP30" s="638" t="s">
        <v>82</v>
      </c>
      <c r="AQ30" s="638" t="s">
        <v>83</v>
      </c>
      <c r="AR30" s="638" t="s">
        <v>84</v>
      </c>
      <c r="AS30" s="638" t="s">
        <v>85</v>
      </c>
    </row>
    <row r="31" spans="1:47">
      <c r="B31" s="680" t="s">
        <v>128</v>
      </c>
      <c r="C31" s="489" t="s">
        <v>182</v>
      </c>
      <c r="D31" s="529"/>
      <c r="E31" s="529"/>
      <c r="F31" s="529"/>
      <c r="G31" s="529"/>
      <c r="H31" s="529"/>
      <c r="I31" s="529"/>
      <c r="J31" s="529"/>
      <c r="K31" s="529"/>
      <c r="L31" s="529"/>
      <c r="M31" s="529"/>
      <c r="N31" s="529"/>
      <c r="O31" s="529"/>
      <c r="Q31" s="680" t="s">
        <v>128</v>
      </c>
      <c r="R31" s="489" t="str">
        <f t="shared" ref="R31:R45" si="6">C31</f>
        <v xml:space="preserve">Kerusakan PHB  - TM </v>
      </c>
      <c r="S31" s="539">
        <v>0</v>
      </c>
      <c r="T31" s="539">
        <v>0</v>
      </c>
      <c r="U31" s="539">
        <v>0</v>
      </c>
      <c r="V31" s="539">
        <v>0</v>
      </c>
      <c r="W31" s="539">
        <v>0</v>
      </c>
      <c r="X31" s="539">
        <v>0</v>
      </c>
      <c r="Y31" s="539">
        <v>1</v>
      </c>
      <c r="Z31" s="539">
        <v>0</v>
      </c>
      <c r="AA31" s="539">
        <v>0</v>
      </c>
      <c r="AB31" s="539"/>
      <c r="AC31" s="539"/>
      <c r="AD31" s="539"/>
      <c r="AF31" s="680" t="s">
        <v>128</v>
      </c>
      <c r="AG31" s="489" t="str">
        <f t="shared" ref="AG31:AG45" si="7">C31</f>
        <v xml:space="preserve">Kerusakan PHB  - TM </v>
      </c>
      <c r="AH31" s="539">
        <f>S31</f>
        <v>0</v>
      </c>
      <c r="AI31" s="539">
        <f>SUM($S31:T31)</f>
        <v>0</v>
      </c>
      <c r="AJ31" s="539">
        <f>SUM($S31:U31)</f>
        <v>0</v>
      </c>
      <c r="AK31" s="539">
        <f>SUM($S31:V31)</f>
        <v>0</v>
      </c>
      <c r="AL31" s="539">
        <f>SUM($S31:W31)</f>
        <v>0</v>
      </c>
      <c r="AM31" s="539">
        <f>SUM($S31:X31)</f>
        <v>0</v>
      </c>
      <c r="AN31" s="539">
        <f>SUM($S31:Y31)</f>
        <v>1</v>
      </c>
      <c r="AO31" s="539">
        <f>SUM($S31:Z31)</f>
        <v>1</v>
      </c>
      <c r="AP31" s="539">
        <f>SUM($S31:AA31)</f>
        <v>1</v>
      </c>
      <c r="AQ31" s="539">
        <f>SUM($S31:AB31)</f>
        <v>1</v>
      </c>
      <c r="AR31" s="539">
        <f>SUM($S31:AC31)</f>
        <v>1</v>
      </c>
      <c r="AS31" s="539">
        <f>SUM($S31:AD31)</f>
        <v>1</v>
      </c>
    </row>
    <row r="32" spans="1:47">
      <c r="B32" s="680"/>
      <c r="C32" s="489" t="s">
        <v>183</v>
      </c>
      <c r="D32" s="529"/>
      <c r="E32" s="529"/>
      <c r="F32" s="529"/>
      <c r="G32" s="529"/>
      <c r="H32" s="529"/>
      <c r="I32" s="529"/>
      <c r="J32" s="529"/>
      <c r="K32" s="529"/>
      <c r="L32" s="529"/>
      <c r="M32" s="529"/>
      <c r="N32" s="529"/>
      <c r="O32" s="529"/>
      <c r="Q32" s="680"/>
      <c r="R32" s="489" t="str">
        <f t="shared" si="6"/>
        <v>Kerusakan Trafo Distribusi</v>
      </c>
      <c r="S32" s="539">
        <v>0</v>
      </c>
      <c r="T32" s="539">
        <v>0</v>
      </c>
      <c r="U32" s="539">
        <v>0</v>
      </c>
      <c r="V32" s="539">
        <v>0</v>
      </c>
      <c r="W32" s="539">
        <v>1</v>
      </c>
      <c r="X32" s="539">
        <v>1</v>
      </c>
      <c r="Y32" s="539">
        <v>0</v>
      </c>
      <c r="Z32" s="539">
        <v>0</v>
      </c>
      <c r="AA32" s="539">
        <v>0</v>
      </c>
      <c r="AB32" s="539"/>
      <c r="AC32" s="539"/>
      <c r="AD32" s="539"/>
      <c r="AF32" s="680"/>
      <c r="AG32" s="489" t="str">
        <f t="shared" si="7"/>
        <v>Kerusakan Trafo Distribusi</v>
      </c>
      <c r="AH32" s="539">
        <f>S32</f>
        <v>0</v>
      </c>
      <c r="AI32" s="539">
        <f>SUM($S32:T32)</f>
        <v>0</v>
      </c>
      <c r="AJ32" s="539">
        <f>SUM($S32:U32)</f>
        <v>0</v>
      </c>
      <c r="AK32" s="539">
        <f>SUM($S32:V32)</f>
        <v>0</v>
      </c>
      <c r="AL32" s="539">
        <f>SUM($S32:W32)</f>
        <v>1</v>
      </c>
      <c r="AM32" s="539">
        <f>SUM($S32:X32)</f>
        <v>2</v>
      </c>
      <c r="AN32" s="539">
        <f>SUM($S32:Y32)</f>
        <v>2</v>
      </c>
      <c r="AO32" s="539">
        <f>SUM($S32:Z32)</f>
        <v>2</v>
      </c>
      <c r="AP32" s="539">
        <f>SUM($S32:AA32)</f>
        <v>2</v>
      </c>
      <c r="AQ32" s="539">
        <f>SUM($S32:AB32)</f>
        <v>2</v>
      </c>
      <c r="AR32" s="539">
        <f>SUM($S32:AC32)</f>
        <v>2</v>
      </c>
      <c r="AS32" s="539">
        <f>SUM($S32:AD32)</f>
        <v>2</v>
      </c>
    </row>
    <row r="33" spans="2:45">
      <c r="B33" s="680"/>
      <c r="C33" s="549" t="s">
        <v>184</v>
      </c>
      <c r="D33" s="550">
        <v>0</v>
      </c>
      <c r="E33" s="550">
        <v>0</v>
      </c>
      <c r="F33" s="550">
        <v>1</v>
      </c>
      <c r="G33" s="550">
        <v>1</v>
      </c>
      <c r="H33" s="550">
        <v>1</v>
      </c>
      <c r="I33" s="550">
        <v>1</v>
      </c>
      <c r="J33" s="550">
        <v>1</v>
      </c>
      <c r="K33" s="550">
        <v>1</v>
      </c>
      <c r="L33" s="550">
        <v>1</v>
      </c>
      <c r="M33" s="550">
        <v>1</v>
      </c>
      <c r="N33" s="550">
        <v>1</v>
      </c>
      <c r="O33" s="550">
        <v>1</v>
      </c>
      <c r="Q33" s="680"/>
      <c r="R33" s="551" t="str">
        <f t="shared" si="6"/>
        <v>Jumlah</v>
      </c>
      <c r="S33" s="552">
        <f>SUM(S31:S32)</f>
        <v>0</v>
      </c>
      <c r="T33" s="552">
        <f t="shared" ref="T33:AD33" si="8">SUM(T31:T32)</f>
        <v>0</v>
      </c>
      <c r="U33" s="552">
        <f t="shared" si="8"/>
        <v>0</v>
      </c>
      <c r="V33" s="552">
        <f t="shared" si="8"/>
        <v>0</v>
      </c>
      <c r="W33" s="552">
        <f t="shared" si="8"/>
        <v>1</v>
      </c>
      <c r="X33" s="552">
        <f t="shared" si="8"/>
        <v>1</v>
      </c>
      <c r="Y33" s="552">
        <f t="shared" si="8"/>
        <v>1</v>
      </c>
      <c r="Z33" s="552">
        <f t="shared" si="8"/>
        <v>0</v>
      </c>
      <c r="AA33" s="552">
        <f t="shared" si="8"/>
        <v>0</v>
      </c>
      <c r="AB33" s="552">
        <f t="shared" si="8"/>
        <v>0</v>
      </c>
      <c r="AC33" s="552">
        <f t="shared" si="8"/>
        <v>0</v>
      </c>
      <c r="AD33" s="552">
        <f t="shared" si="8"/>
        <v>0</v>
      </c>
      <c r="AF33" s="680"/>
      <c r="AG33" s="551" t="str">
        <f t="shared" si="7"/>
        <v>Jumlah</v>
      </c>
      <c r="AH33" s="552">
        <f>SUM(AH31:AH32)</f>
        <v>0</v>
      </c>
      <c r="AI33" s="552">
        <f t="shared" ref="AI33:AS33" si="9">SUM(AI31:AI32)</f>
        <v>0</v>
      </c>
      <c r="AJ33" s="552">
        <f t="shared" si="9"/>
        <v>0</v>
      </c>
      <c r="AK33" s="552">
        <f t="shared" si="9"/>
        <v>0</v>
      </c>
      <c r="AL33" s="552">
        <f t="shared" si="9"/>
        <v>1</v>
      </c>
      <c r="AM33" s="552">
        <f t="shared" si="9"/>
        <v>2</v>
      </c>
      <c r="AN33" s="552">
        <f t="shared" si="9"/>
        <v>3</v>
      </c>
      <c r="AO33" s="552">
        <f t="shared" si="9"/>
        <v>3</v>
      </c>
      <c r="AP33" s="552">
        <f t="shared" si="9"/>
        <v>3</v>
      </c>
      <c r="AQ33" s="552">
        <f t="shared" si="9"/>
        <v>3</v>
      </c>
      <c r="AR33" s="552">
        <f t="shared" si="9"/>
        <v>3</v>
      </c>
      <c r="AS33" s="552">
        <f t="shared" si="9"/>
        <v>3</v>
      </c>
    </row>
    <row r="34" spans="2:45">
      <c r="B34" s="680" t="s">
        <v>87</v>
      </c>
      <c r="C34" s="489" t="s">
        <v>182</v>
      </c>
      <c r="D34" s="529"/>
      <c r="E34" s="529"/>
      <c r="F34" s="529"/>
      <c r="G34" s="529"/>
      <c r="H34" s="529"/>
      <c r="I34" s="529"/>
      <c r="J34" s="529"/>
      <c r="K34" s="529"/>
      <c r="L34" s="529"/>
      <c r="M34" s="529"/>
      <c r="N34" s="529"/>
      <c r="O34" s="529"/>
      <c r="Q34" s="680" t="s">
        <v>87</v>
      </c>
      <c r="R34" s="489" t="str">
        <f t="shared" si="6"/>
        <v xml:space="preserve">Kerusakan PHB  - TM </v>
      </c>
      <c r="S34" s="529">
        <v>0</v>
      </c>
      <c r="T34" s="529">
        <v>0</v>
      </c>
      <c r="U34" s="529">
        <v>0</v>
      </c>
      <c r="V34" s="529">
        <v>0</v>
      </c>
      <c r="W34" s="529">
        <v>0</v>
      </c>
      <c r="X34" s="539">
        <v>0</v>
      </c>
      <c r="Y34" s="529">
        <v>0</v>
      </c>
      <c r="Z34" s="529">
        <v>0</v>
      </c>
      <c r="AA34" s="529">
        <v>0</v>
      </c>
      <c r="AB34" s="529"/>
      <c r="AC34" s="529"/>
      <c r="AD34" s="529"/>
      <c r="AF34" s="680" t="s">
        <v>87</v>
      </c>
      <c r="AG34" s="489" t="str">
        <f t="shared" si="7"/>
        <v xml:space="preserve">Kerusakan PHB  - TM </v>
      </c>
      <c r="AH34" s="529">
        <f>S34</f>
        <v>0</v>
      </c>
      <c r="AI34" s="529">
        <f>SUM($S34:T34)</f>
        <v>0</v>
      </c>
      <c r="AJ34" s="529">
        <f>SUM($S34:U34)</f>
        <v>0</v>
      </c>
      <c r="AK34" s="529">
        <f>SUM($S34:V34)</f>
        <v>0</v>
      </c>
      <c r="AL34" s="529">
        <f>SUM($S34:W34)</f>
        <v>0</v>
      </c>
      <c r="AM34" s="529">
        <f>SUM($S34:X34)</f>
        <v>0</v>
      </c>
      <c r="AN34" s="529">
        <f>SUM($S34:Y34)</f>
        <v>0</v>
      </c>
      <c r="AO34" s="529">
        <f>SUM($S34:Z34)</f>
        <v>0</v>
      </c>
      <c r="AP34" s="529">
        <f>SUM($S34:AA34)</f>
        <v>0</v>
      </c>
      <c r="AQ34" s="529">
        <f>SUM($S34:AB34)</f>
        <v>0</v>
      </c>
      <c r="AR34" s="529">
        <f>SUM($S34:AC34)</f>
        <v>0</v>
      </c>
      <c r="AS34" s="529">
        <f>SUM($S34:AD34)</f>
        <v>0</v>
      </c>
    </row>
    <row r="35" spans="2:45">
      <c r="B35" s="680"/>
      <c r="C35" s="489" t="s">
        <v>183</v>
      </c>
      <c r="D35" s="529"/>
      <c r="E35" s="529"/>
      <c r="F35" s="529"/>
      <c r="G35" s="529"/>
      <c r="H35" s="529"/>
      <c r="I35" s="529"/>
      <c r="J35" s="529"/>
      <c r="K35" s="529"/>
      <c r="L35" s="529"/>
      <c r="M35" s="529"/>
      <c r="N35" s="529"/>
      <c r="O35" s="529"/>
      <c r="Q35" s="680"/>
      <c r="R35" s="489" t="str">
        <f t="shared" si="6"/>
        <v>Kerusakan Trafo Distribusi</v>
      </c>
      <c r="S35" s="529">
        <v>0</v>
      </c>
      <c r="T35" s="529">
        <v>0</v>
      </c>
      <c r="U35" s="529">
        <v>0</v>
      </c>
      <c r="V35" s="529">
        <v>0</v>
      </c>
      <c r="W35" s="529">
        <v>0</v>
      </c>
      <c r="X35" s="539">
        <v>0</v>
      </c>
      <c r="Y35" s="529">
        <v>0</v>
      </c>
      <c r="Z35" s="529">
        <v>0</v>
      </c>
      <c r="AA35" s="529">
        <v>0</v>
      </c>
      <c r="AB35" s="529"/>
      <c r="AC35" s="529"/>
      <c r="AD35" s="529"/>
      <c r="AF35" s="680"/>
      <c r="AG35" s="489" t="str">
        <f t="shared" si="7"/>
        <v>Kerusakan Trafo Distribusi</v>
      </c>
      <c r="AH35" s="529">
        <f>S35</f>
        <v>0</v>
      </c>
      <c r="AI35" s="529">
        <f>SUM($S35:T35)</f>
        <v>0</v>
      </c>
      <c r="AJ35" s="539">
        <f>SUM($S35:U35)</f>
        <v>0</v>
      </c>
      <c r="AK35" s="539">
        <f>SUM($S35:V35)</f>
        <v>0</v>
      </c>
      <c r="AL35" s="539">
        <f>SUM($S35:W35)</f>
        <v>0</v>
      </c>
      <c r="AM35" s="539">
        <f>SUM($S35:X35)</f>
        <v>0</v>
      </c>
      <c r="AN35" s="539">
        <f>SUM($S35:Y35)</f>
        <v>0</v>
      </c>
      <c r="AO35" s="539">
        <f>SUM($S35:Z35)</f>
        <v>0</v>
      </c>
      <c r="AP35" s="539">
        <f>SUM($S35:AA35)</f>
        <v>0</v>
      </c>
      <c r="AQ35" s="539">
        <f>SUM($S35:AB35)</f>
        <v>0</v>
      </c>
      <c r="AR35" s="539">
        <f>SUM($S35:AC35)</f>
        <v>0</v>
      </c>
      <c r="AS35" s="539">
        <f>SUM($S35:AD35)</f>
        <v>0</v>
      </c>
    </row>
    <row r="36" spans="2:45">
      <c r="B36" s="680"/>
      <c r="C36" s="549" t="s">
        <v>184</v>
      </c>
      <c r="D36" s="550">
        <v>0</v>
      </c>
      <c r="E36" s="550">
        <v>0</v>
      </c>
      <c r="F36" s="550">
        <v>1</v>
      </c>
      <c r="G36" s="550">
        <v>1</v>
      </c>
      <c r="H36" s="550">
        <v>1</v>
      </c>
      <c r="I36" s="550">
        <v>1</v>
      </c>
      <c r="J36" s="550">
        <v>1</v>
      </c>
      <c r="K36" s="550">
        <v>1</v>
      </c>
      <c r="L36" s="550">
        <v>1</v>
      </c>
      <c r="M36" s="550">
        <v>1</v>
      </c>
      <c r="N36" s="550">
        <v>1</v>
      </c>
      <c r="O36" s="550">
        <v>1</v>
      </c>
      <c r="Q36" s="680"/>
      <c r="R36" s="551" t="str">
        <f t="shared" si="6"/>
        <v>Jumlah</v>
      </c>
      <c r="S36" s="552">
        <f>SUM(S34:S35)</f>
        <v>0</v>
      </c>
      <c r="T36" s="552">
        <f t="shared" ref="T36" si="10">SUM(T34:T35)</f>
        <v>0</v>
      </c>
      <c r="U36" s="552">
        <f t="shared" ref="U36" si="11">SUM(U34:U35)</f>
        <v>0</v>
      </c>
      <c r="V36" s="552">
        <f t="shared" ref="V36" si="12">SUM(V34:V35)</f>
        <v>0</v>
      </c>
      <c r="W36" s="552">
        <f t="shared" ref="W36" si="13">SUM(W34:W35)</f>
        <v>0</v>
      </c>
      <c r="X36" s="552">
        <f t="shared" ref="X36" si="14">SUM(X34:X35)</f>
        <v>0</v>
      </c>
      <c r="Y36" s="552">
        <f t="shared" ref="Y36" si="15">SUM(Y34:Y35)</f>
        <v>0</v>
      </c>
      <c r="Z36" s="552">
        <f t="shared" ref="Z36" si="16">SUM(Z34:Z35)</f>
        <v>0</v>
      </c>
      <c r="AA36" s="552">
        <f t="shared" ref="AA36" si="17">SUM(AA34:AA35)</f>
        <v>0</v>
      </c>
      <c r="AB36" s="552">
        <f t="shared" ref="AB36" si="18">SUM(AB34:AB35)</f>
        <v>0</v>
      </c>
      <c r="AC36" s="552">
        <f t="shared" ref="AC36" si="19">SUM(AC34:AC35)</f>
        <v>0</v>
      </c>
      <c r="AD36" s="552">
        <f t="shared" ref="AD36" si="20">SUM(AD34:AD35)</f>
        <v>0</v>
      </c>
      <c r="AF36" s="680"/>
      <c r="AG36" s="551" t="str">
        <f t="shared" si="7"/>
        <v>Jumlah</v>
      </c>
      <c r="AH36" s="552">
        <f>SUM(AH34:AH35)</f>
        <v>0</v>
      </c>
      <c r="AI36" s="552">
        <f t="shared" ref="AI36" si="21">SUM(AI34:AI35)</f>
        <v>0</v>
      </c>
      <c r="AJ36" s="553">
        <f t="shared" ref="AJ36" si="22">SUM(AJ34:AJ35)</f>
        <v>0</v>
      </c>
      <c r="AK36" s="553">
        <f t="shared" ref="AK36" si="23">SUM(AK34:AK35)</f>
        <v>0</v>
      </c>
      <c r="AL36" s="553">
        <f t="shared" ref="AL36" si="24">SUM(AL34:AL35)</f>
        <v>0</v>
      </c>
      <c r="AM36" s="553">
        <f t="shared" ref="AM36" si="25">SUM(AM34:AM35)</f>
        <v>0</v>
      </c>
      <c r="AN36" s="553">
        <f t="shared" ref="AN36" si="26">SUM(AN34:AN35)</f>
        <v>0</v>
      </c>
      <c r="AO36" s="553">
        <f t="shared" ref="AO36" si="27">SUM(AO34:AO35)</f>
        <v>0</v>
      </c>
      <c r="AP36" s="553">
        <f t="shared" ref="AP36" si="28">SUM(AP34:AP35)</f>
        <v>0</v>
      </c>
      <c r="AQ36" s="553">
        <f t="shared" ref="AQ36" si="29">SUM(AQ34:AQ35)</f>
        <v>0</v>
      </c>
      <c r="AR36" s="553">
        <f t="shared" ref="AR36" si="30">SUM(AR34:AR35)</f>
        <v>0</v>
      </c>
      <c r="AS36" s="553">
        <f t="shared" ref="AS36" si="31">SUM(AS34:AS35)</f>
        <v>0</v>
      </c>
    </row>
    <row r="37" spans="2:45">
      <c r="B37" s="680" t="s">
        <v>88</v>
      </c>
      <c r="C37" s="489" t="s">
        <v>182</v>
      </c>
      <c r="D37" s="529"/>
      <c r="E37" s="529"/>
      <c r="F37" s="529"/>
      <c r="G37" s="529"/>
      <c r="H37" s="529"/>
      <c r="I37" s="529"/>
      <c r="J37" s="529"/>
      <c r="K37" s="529"/>
      <c r="L37" s="529"/>
      <c r="M37" s="529"/>
      <c r="N37" s="529"/>
      <c r="O37" s="529"/>
      <c r="Q37" s="680" t="s">
        <v>88</v>
      </c>
      <c r="R37" s="489" t="str">
        <f t="shared" si="6"/>
        <v xml:space="preserve">Kerusakan PHB  - TM </v>
      </c>
      <c r="S37" s="540">
        <v>0</v>
      </c>
      <c r="T37" s="540">
        <v>0</v>
      </c>
      <c r="U37" s="540">
        <v>0</v>
      </c>
      <c r="V37" s="540">
        <v>0</v>
      </c>
      <c r="W37" s="540">
        <v>0</v>
      </c>
      <c r="X37" s="539">
        <v>0</v>
      </c>
      <c r="Y37" s="540">
        <v>0</v>
      </c>
      <c r="Z37" s="540">
        <v>0</v>
      </c>
      <c r="AA37" s="540">
        <v>0</v>
      </c>
      <c r="AB37" s="540"/>
      <c r="AC37" s="540"/>
      <c r="AD37" s="540"/>
      <c r="AF37" s="680" t="s">
        <v>88</v>
      </c>
      <c r="AG37" s="489" t="str">
        <f t="shared" si="7"/>
        <v xml:space="preserve">Kerusakan PHB  - TM </v>
      </c>
      <c r="AH37" s="540">
        <f>S37</f>
        <v>0</v>
      </c>
      <c r="AI37" s="540">
        <f>SUM($S37:T37)</f>
        <v>0</v>
      </c>
      <c r="AJ37" s="539">
        <f>SUM($S37:U37)</f>
        <v>0</v>
      </c>
      <c r="AK37" s="539">
        <f>SUM($S37:V37)</f>
        <v>0</v>
      </c>
      <c r="AL37" s="539">
        <f>SUM($S37:W37)</f>
        <v>0</v>
      </c>
      <c r="AM37" s="539">
        <f>SUM($S37:X37)</f>
        <v>0</v>
      </c>
      <c r="AN37" s="539">
        <f>SUM($S37:Y37)</f>
        <v>0</v>
      </c>
      <c r="AO37" s="539">
        <f>SUM($S37:Z37)</f>
        <v>0</v>
      </c>
      <c r="AP37" s="539">
        <f>SUM($S37:AA37)</f>
        <v>0</v>
      </c>
      <c r="AQ37" s="539">
        <f>SUM($S37:AB37)</f>
        <v>0</v>
      </c>
      <c r="AR37" s="539">
        <f>SUM($S37:AC37)</f>
        <v>0</v>
      </c>
      <c r="AS37" s="539">
        <f>SUM($S37:AD37)</f>
        <v>0</v>
      </c>
    </row>
    <row r="38" spans="2:45">
      <c r="B38" s="680"/>
      <c r="C38" s="489" t="s">
        <v>183</v>
      </c>
      <c r="D38" s="529"/>
      <c r="E38" s="529"/>
      <c r="F38" s="529"/>
      <c r="G38" s="529"/>
      <c r="H38" s="529"/>
      <c r="I38" s="529"/>
      <c r="J38" s="529"/>
      <c r="K38" s="529"/>
      <c r="L38" s="529"/>
      <c r="M38" s="529"/>
      <c r="N38" s="529"/>
      <c r="O38" s="529"/>
      <c r="Q38" s="680"/>
      <c r="R38" s="489" t="str">
        <f t="shared" si="6"/>
        <v>Kerusakan Trafo Distribusi</v>
      </c>
      <c r="S38" s="540">
        <v>0</v>
      </c>
      <c r="T38" s="540">
        <v>0</v>
      </c>
      <c r="U38" s="540">
        <v>0</v>
      </c>
      <c r="V38" s="540">
        <v>0</v>
      </c>
      <c r="W38" s="540">
        <v>0</v>
      </c>
      <c r="X38" s="539">
        <v>0</v>
      </c>
      <c r="Y38" s="540">
        <v>0</v>
      </c>
      <c r="Z38" s="540">
        <v>0</v>
      </c>
      <c r="AA38" s="540">
        <v>0</v>
      </c>
      <c r="AB38" s="540"/>
      <c r="AC38" s="540"/>
      <c r="AD38" s="540"/>
      <c r="AF38" s="680"/>
      <c r="AG38" s="489" t="str">
        <f t="shared" si="7"/>
        <v>Kerusakan Trafo Distribusi</v>
      </c>
      <c r="AH38" s="540">
        <f>S38</f>
        <v>0</v>
      </c>
      <c r="AI38" s="540">
        <f>SUM($S38:T38)</f>
        <v>0</v>
      </c>
      <c r="AJ38" s="539">
        <f>SUM($S38:U38)</f>
        <v>0</v>
      </c>
      <c r="AK38" s="539">
        <f>SUM($S38:V38)</f>
        <v>0</v>
      </c>
      <c r="AL38" s="539">
        <f>SUM($S38:W38)</f>
        <v>0</v>
      </c>
      <c r="AM38" s="539">
        <f>SUM($S38:X38)</f>
        <v>0</v>
      </c>
      <c r="AN38" s="539">
        <f>SUM($S38:Y38)</f>
        <v>0</v>
      </c>
      <c r="AO38" s="539">
        <f>SUM($S38:Z38)</f>
        <v>0</v>
      </c>
      <c r="AP38" s="539">
        <f>SUM($S38:AA38)</f>
        <v>0</v>
      </c>
      <c r="AQ38" s="539">
        <f>SUM($S38:AB38)</f>
        <v>0</v>
      </c>
      <c r="AR38" s="539">
        <f>SUM($S38:AC38)</f>
        <v>0</v>
      </c>
      <c r="AS38" s="539">
        <f>SUM($S38:AD38)</f>
        <v>0</v>
      </c>
    </row>
    <row r="39" spans="2:45">
      <c r="B39" s="680"/>
      <c r="C39" s="549" t="s">
        <v>184</v>
      </c>
      <c r="D39" s="550">
        <v>0</v>
      </c>
      <c r="E39" s="550">
        <v>0</v>
      </c>
      <c r="F39" s="550">
        <v>1</v>
      </c>
      <c r="G39" s="550">
        <v>1</v>
      </c>
      <c r="H39" s="550">
        <v>1</v>
      </c>
      <c r="I39" s="550">
        <v>1</v>
      </c>
      <c r="J39" s="550">
        <v>1</v>
      </c>
      <c r="K39" s="550">
        <v>1</v>
      </c>
      <c r="L39" s="550">
        <v>1</v>
      </c>
      <c r="M39" s="550">
        <v>1</v>
      </c>
      <c r="N39" s="550">
        <v>1</v>
      </c>
      <c r="O39" s="550">
        <v>1</v>
      </c>
      <c r="Q39" s="680"/>
      <c r="R39" s="551" t="str">
        <f t="shared" si="6"/>
        <v>Jumlah</v>
      </c>
      <c r="S39" s="552">
        <f>SUM(S37:S38)</f>
        <v>0</v>
      </c>
      <c r="T39" s="552">
        <f t="shared" ref="T39" si="32">SUM(T37:T38)</f>
        <v>0</v>
      </c>
      <c r="U39" s="552">
        <f t="shared" ref="U39" si="33">SUM(U37:U38)</f>
        <v>0</v>
      </c>
      <c r="V39" s="552">
        <f t="shared" ref="V39" si="34">SUM(V37:V38)</f>
        <v>0</v>
      </c>
      <c r="W39" s="552">
        <f t="shared" ref="W39" si="35">SUM(W37:W38)</f>
        <v>0</v>
      </c>
      <c r="X39" s="552">
        <f t="shared" ref="X39" si="36">SUM(X37:X38)</f>
        <v>0</v>
      </c>
      <c r="Y39" s="552">
        <f t="shared" ref="Y39" si="37">SUM(Y37:Y38)</f>
        <v>0</v>
      </c>
      <c r="Z39" s="552">
        <f t="shared" ref="Z39" si="38">SUM(Z37:Z38)</f>
        <v>0</v>
      </c>
      <c r="AA39" s="552">
        <f t="shared" ref="AA39" si="39">SUM(AA37:AA38)</f>
        <v>0</v>
      </c>
      <c r="AB39" s="552">
        <f t="shared" ref="AB39" si="40">SUM(AB37:AB38)</f>
        <v>0</v>
      </c>
      <c r="AC39" s="552">
        <f t="shared" ref="AC39" si="41">SUM(AC37:AC38)</f>
        <v>0</v>
      </c>
      <c r="AD39" s="552">
        <f t="shared" ref="AD39" si="42">SUM(AD37:AD38)</f>
        <v>0</v>
      </c>
      <c r="AF39" s="680"/>
      <c r="AG39" s="551" t="str">
        <f t="shared" si="7"/>
        <v>Jumlah</v>
      </c>
      <c r="AH39" s="552">
        <f>SUM(AH37:AH38)</f>
        <v>0</v>
      </c>
      <c r="AI39" s="552">
        <f t="shared" ref="AI39" si="43">SUM(AI37:AI38)</f>
        <v>0</v>
      </c>
      <c r="AJ39" s="553">
        <f t="shared" ref="AJ39" si="44">SUM(AJ37:AJ38)</f>
        <v>0</v>
      </c>
      <c r="AK39" s="553">
        <f t="shared" ref="AK39" si="45">SUM(AK37:AK38)</f>
        <v>0</v>
      </c>
      <c r="AL39" s="553">
        <f t="shared" ref="AL39" si="46">SUM(AL37:AL38)</f>
        <v>0</v>
      </c>
      <c r="AM39" s="553">
        <f t="shared" ref="AM39" si="47">SUM(AM37:AM38)</f>
        <v>0</v>
      </c>
      <c r="AN39" s="553">
        <f t="shared" ref="AN39" si="48">SUM(AN37:AN38)</f>
        <v>0</v>
      </c>
      <c r="AO39" s="553">
        <f t="shared" ref="AO39" si="49">SUM(AO37:AO38)</f>
        <v>0</v>
      </c>
      <c r="AP39" s="553">
        <f t="shared" ref="AP39" si="50">SUM(AP37:AP38)</f>
        <v>0</v>
      </c>
      <c r="AQ39" s="553">
        <f t="shared" ref="AQ39" si="51">SUM(AQ37:AQ38)</f>
        <v>0</v>
      </c>
      <c r="AR39" s="553">
        <f t="shared" ref="AR39" si="52">SUM(AR37:AR38)</f>
        <v>0</v>
      </c>
      <c r="AS39" s="553">
        <f t="shared" ref="AS39" si="53">SUM(AS37:AS38)</f>
        <v>0</v>
      </c>
    </row>
    <row r="40" spans="2:45">
      <c r="B40" s="680" t="s">
        <v>121</v>
      </c>
      <c r="C40" s="489" t="s">
        <v>182</v>
      </c>
      <c r="D40" s="529"/>
      <c r="E40" s="529"/>
      <c r="F40" s="529"/>
      <c r="G40" s="529"/>
      <c r="H40" s="529"/>
      <c r="I40" s="529"/>
      <c r="J40" s="529"/>
      <c r="K40" s="529"/>
      <c r="L40" s="529"/>
      <c r="M40" s="529"/>
      <c r="N40" s="529"/>
      <c r="O40" s="529"/>
      <c r="Q40" s="680" t="s">
        <v>121</v>
      </c>
      <c r="R40" s="489" t="str">
        <f t="shared" si="6"/>
        <v xml:space="preserve">Kerusakan PHB  - TM </v>
      </c>
      <c r="S40" s="529">
        <v>0</v>
      </c>
      <c r="T40" s="529">
        <v>0</v>
      </c>
      <c r="U40" s="529">
        <v>0</v>
      </c>
      <c r="V40" s="529">
        <v>0</v>
      </c>
      <c r="W40" s="529">
        <v>0</v>
      </c>
      <c r="X40" s="539">
        <v>0</v>
      </c>
      <c r="Y40" s="529">
        <v>0</v>
      </c>
      <c r="Z40" s="529">
        <v>0</v>
      </c>
      <c r="AA40" s="529">
        <v>0</v>
      </c>
      <c r="AB40" s="529"/>
      <c r="AC40" s="529"/>
      <c r="AD40" s="529"/>
      <c r="AF40" s="680" t="s">
        <v>121</v>
      </c>
      <c r="AG40" s="489" t="str">
        <f t="shared" si="7"/>
        <v xml:space="preserve">Kerusakan PHB  - TM </v>
      </c>
      <c r="AH40" s="529">
        <f>S40</f>
        <v>0</v>
      </c>
      <c r="AI40" s="529">
        <f>SUM($S40:T40)</f>
        <v>0</v>
      </c>
      <c r="AJ40" s="539">
        <f>SUM($S40:U40)</f>
        <v>0</v>
      </c>
      <c r="AK40" s="539">
        <f>SUM($S40:V40)</f>
        <v>0</v>
      </c>
      <c r="AL40" s="539">
        <f>SUM($S40:W40)</f>
        <v>0</v>
      </c>
      <c r="AM40" s="539">
        <f>SUM($S40:X40)</f>
        <v>0</v>
      </c>
      <c r="AN40" s="539">
        <f>SUM($S40:Y40)</f>
        <v>0</v>
      </c>
      <c r="AO40" s="539">
        <f>SUM($S40:Z40)</f>
        <v>0</v>
      </c>
      <c r="AP40" s="539">
        <f>SUM($S40:AA40)</f>
        <v>0</v>
      </c>
      <c r="AQ40" s="539">
        <f>SUM($S40:AB40)</f>
        <v>0</v>
      </c>
      <c r="AR40" s="539">
        <f>SUM($S40:AC40)</f>
        <v>0</v>
      </c>
      <c r="AS40" s="539">
        <f>SUM($S40:AD40)</f>
        <v>0</v>
      </c>
    </row>
    <row r="41" spans="2:45">
      <c r="B41" s="680"/>
      <c r="C41" s="489" t="s">
        <v>183</v>
      </c>
      <c r="D41" s="529"/>
      <c r="E41" s="529"/>
      <c r="F41" s="529"/>
      <c r="G41" s="529"/>
      <c r="H41" s="529"/>
      <c r="I41" s="529"/>
      <c r="J41" s="529"/>
      <c r="K41" s="529"/>
      <c r="L41" s="529"/>
      <c r="M41" s="529"/>
      <c r="N41" s="529"/>
      <c r="O41" s="529"/>
      <c r="Q41" s="680"/>
      <c r="R41" s="489" t="str">
        <f t="shared" si="6"/>
        <v>Kerusakan Trafo Distribusi</v>
      </c>
      <c r="S41" s="529">
        <v>0</v>
      </c>
      <c r="T41" s="529">
        <v>0</v>
      </c>
      <c r="U41" s="529">
        <v>0</v>
      </c>
      <c r="V41" s="529">
        <v>0</v>
      </c>
      <c r="W41" s="529">
        <v>0</v>
      </c>
      <c r="X41" s="539">
        <v>0</v>
      </c>
      <c r="Y41" s="529">
        <v>0</v>
      </c>
      <c r="Z41" s="529">
        <v>0</v>
      </c>
      <c r="AA41" s="529">
        <v>0</v>
      </c>
      <c r="AB41" s="529"/>
      <c r="AC41" s="529"/>
      <c r="AD41" s="529"/>
      <c r="AF41" s="680"/>
      <c r="AG41" s="489" t="str">
        <f t="shared" si="7"/>
        <v>Kerusakan Trafo Distribusi</v>
      </c>
      <c r="AH41" s="529">
        <f>S41</f>
        <v>0</v>
      </c>
      <c r="AI41" s="529">
        <f>SUM($S41:T41)</f>
        <v>0</v>
      </c>
      <c r="AJ41" s="539">
        <f>SUM($S41:U41)</f>
        <v>0</v>
      </c>
      <c r="AK41" s="539">
        <f>SUM($S41:V41)</f>
        <v>0</v>
      </c>
      <c r="AL41" s="539">
        <f>SUM($S41:W41)</f>
        <v>0</v>
      </c>
      <c r="AM41" s="539">
        <f>SUM($S41:X41)</f>
        <v>0</v>
      </c>
      <c r="AN41" s="539">
        <f>SUM($S41:Y41)</f>
        <v>0</v>
      </c>
      <c r="AO41" s="539">
        <f>SUM($S41:Z41)</f>
        <v>0</v>
      </c>
      <c r="AP41" s="539">
        <f>SUM($S41:AA41)</f>
        <v>0</v>
      </c>
      <c r="AQ41" s="539">
        <f>SUM($S41:AB41)</f>
        <v>0</v>
      </c>
      <c r="AR41" s="539">
        <f>SUM($S41:AC41)</f>
        <v>0</v>
      </c>
      <c r="AS41" s="539">
        <f>SUM($S41:AD41)</f>
        <v>0</v>
      </c>
    </row>
    <row r="42" spans="2:45">
      <c r="B42" s="680"/>
      <c r="C42" s="549" t="s">
        <v>184</v>
      </c>
      <c r="D42" s="550">
        <v>0</v>
      </c>
      <c r="E42" s="550">
        <v>0</v>
      </c>
      <c r="F42" s="550">
        <v>0</v>
      </c>
      <c r="G42" s="550">
        <v>0</v>
      </c>
      <c r="H42" s="550">
        <v>0</v>
      </c>
      <c r="I42" s="550">
        <v>1</v>
      </c>
      <c r="J42" s="550">
        <v>1</v>
      </c>
      <c r="K42" s="550">
        <v>1</v>
      </c>
      <c r="L42" s="550">
        <v>1</v>
      </c>
      <c r="M42" s="550">
        <v>1</v>
      </c>
      <c r="N42" s="550">
        <v>1</v>
      </c>
      <c r="O42" s="550">
        <v>1</v>
      </c>
      <c r="Q42" s="680"/>
      <c r="R42" s="551" t="str">
        <f t="shared" si="6"/>
        <v>Jumlah</v>
      </c>
      <c r="S42" s="552">
        <f>SUM(S40:S41)</f>
        <v>0</v>
      </c>
      <c r="T42" s="552">
        <f t="shared" ref="T42" si="54">SUM(T40:T41)</f>
        <v>0</v>
      </c>
      <c r="U42" s="552">
        <f t="shared" ref="U42" si="55">SUM(U40:U41)</f>
        <v>0</v>
      </c>
      <c r="V42" s="552">
        <f t="shared" ref="V42" si="56">SUM(V40:V41)</f>
        <v>0</v>
      </c>
      <c r="W42" s="552">
        <f t="shared" ref="W42" si="57">SUM(W40:W41)</f>
        <v>0</v>
      </c>
      <c r="X42" s="552">
        <f t="shared" ref="X42" si="58">SUM(X40:X41)</f>
        <v>0</v>
      </c>
      <c r="Y42" s="552">
        <f t="shared" ref="Y42" si="59">SUM(Y40:Y41)</f>
        <v>0</v>
      </c>
      <c r="Z42" s="552">
        <f t="shared" ref="Z42" si="60">SUM(Z40:Z41)</f>
        <v>0</v>
      </c>
      <c r="AA42" s="552">
        <f t="shared" ref="AA42" si="61">SUM(AA40:AA41)</f>
        <v>0</v>
      </c>
      <c r="AB42" s="552">
        <f t="shared" ref="AB42" si="62">SUM(AB40:AB41)</f>
        <v>0</v>
      </c>
      <c r="AC42" s="552">
        <f t="shared" ref="AC42" si="63">SUM(AC40:AC41)</f>
        <v>0</v>
      </c>
      <c r="AD42" s="552">
        <f t="shared" ref="AD42" si="64">SUM(AD40:AD41)</f>
        <v>0</v>
      </c>
      <c r="AF42" s="680"/>
      <c r="AG42" s="551" t="str">
        <f t="shared" si="7"/>
        <v>Jumlah</v>
      </c>
      <c r="AH42" s="552">
        <f>SUM(AH40:AH41)</f>
        <v>0</v>
      </c>
      <c r="AI42" s="552">
        <f t="shared" ref="AI42" si="65">SUM(AI40:AI41)</f>
        <v>0</v>
      </c>
      <c r="AJ42" s="553">
        <f t="shared" ref="AJ42" si="66">SUM(AJ40:AJ41)</f>
        <v>0</v>
      </c>
      <c r="AK42" s="553">
        <f t="shared" ref="AK42" si="67">SUM(AK40:AK41)</f>
        <v>0</v>
      </c>
      <c r="AL42" s="553">
        <f t="shared" ref="AL42" si="68">SUM(AL40:AL41)</f>
        <v>0</v>
      </c>
      <c r="AM42" s="553">
        <f t="shared" ref="AM42" si="69">SUM(AM40:AM41)</f>
        <v>0</v>
      </c>
      <c r="AN42" s="553">
        <f t="shared" ref="AN42" si="70">SUM(AN40:AN41)</f>
        <v>0</v>
      </c>
      <c r="AO42" s="553">
        <f t="shared" ref="AO42" si="71">SUM(AO40:AO41)</f>
        <v>0</v>
      </c>
      <c r="AP42" s="553">
        <f t="shared" ref="AP42" si="72">SUM(AP40:AP41)</f>
        <v>0</v>
      </c>
      <c r="AQ42" s="553">
        <f t="shared" ref="AQ42" si="73">SUM(AQ40:AQ41)</f>
        <v>0</v>
      </c>
      <c r="AR42" s="553">
        <f t="shared" ref="AR42" si="74">SUM(AR40:AR41)</f>
        <v>0</v>
      </c>
      <c r="AS42" s="553">
        <f t="shared" ref="AS42" si="75">SUM(AS40:AS41)</f>
        <v>0</v>
      </c>
    </row>
    <row r="43" spans="2:45">
      <c r="B43" s="680" t="s">
        <v>89</v>
      </c>
      <c r="C43" s="489" t="s">
        <v>182</v>
      </c>
      <c r="D43" s="529"/>
      <c r="E43" s="529"/>
      <c r="F43" s="529"/>
      <c r="G43" s="529"/>
      <c r="H43" s="529"/>
      <c r="I43" s="529"/>
      <c r="J43" s="529"/>
      <c r="K43" s="529"/>
      <c r="L43" s="529"/>
      <c r="M43" s="529"/>
      <c r="N43" s="529"/>
      <c r="O43" s="529"/>
      <c r="Q43" s="680" t="s">
        <v>89</v>
      </c>
      <c r="R43" s="489" t="str">
        <f t="shared" si="6"/>
        <v xml:space="preserve">Kerusakan PHB  - TM </v>
      </c>
      <c r="S43" s="529">
        <v>0</v>
      </c>
      <c r="T43" s="529">
        <v>0</v>
      </c>
      <c r="U43" s="529">
        <v>0</v>
      </c>
      <c r="V43" s="529">
        <v>0</v>
      </c>
      <c r="W43" s="529">
        <v>0</v>
      </c>
      <c r="X43" s="539">
        <v>0</v>
      </c>
      <c r="Y43" s="529">
        <v>0</v>
      </c>
      <c r="Z43" s="529">
        <v>0</v>
      </c>
      <c r="AA43" s="529">
        <v>0</v>
      </c>
      <c r="AB43" s="529"/>
      <c r="AC43" s="529"/>
      <c r="AD43" s="529"/>
      <c r="AF43" s="680" t="s">
        <v>89</v>
      </c>
      <c r="AG43" s="489" t="str">
        <f t="shared" si="7"/>
        <v xml:space="preserve">Kerusakan PHB  - TM </v>
      </c>
      <c r="AH43" s="529">
        <f>S43</f>
        <v>0</v>
      </c>
      <c r="AI43" s="529">
        <f>SUM($S43:T43)</f>
        <v>0</v>
      </c>
      <c r="AJ43" s="539">
        <f>SUM($S43:U43)</f>
        <v>0</v>
      </c>
      <c r="AK43" s="539">
        <f>SUM($S43:V43)</f>
        <v>0</v>
      </c>
      <c r="AL43" s="539">
        <f>SUM($S43:W43)</f>
        <v>0</v>
      </c>
      <c r="AM43" s="539">
        <f>SUM($S43:X43)</f>
        <v>0</v>
      </c>
      <c r="AN43" s="539">
        <f>SUM($S43:Y43)</f>
        <v>0</v>
      </c>
      <c r="AO43" s="539">
        <f>SUM($S43:Z43)</f>
        <v>0</v>
      </c>
      <c r="AP43" s="539">
        <f>SUM($S43:AA43)</f>
        <v>0</v>
      </c>
      <c r="AQ43" s="539">
        <f>SUM($S43:AB43)</f>
        <v>0</v>
      </c>
      <c r="AR43" s="539">
        <f>SUM($S43:AC43)</f>
        <v>0</v>
      </c>
      <c r="AS43" s="539">
        <f>SUM($S43:AD43)</f>
        <v>0</v>
      </c>
    </row>
    <row r="44" spans="2:45">
      <c r="B44" s="680"/>
      <c r="C44" s="489" t="s">
        <v>183</v>
      </c>
      <c r="D44" s="529"/>
      <c r="E44" s="529"/>
      <c r="F44" s="529"/>
      <c r="G44" s="529"/>
      <c r="H44" s="529"/>
      <c r="I44" s="529"/>
      <c r="J44" s="529"/>
      <c r="K44" s="529"/>
      <c r="L44" s="529"/>
      <c r="M44" s="529"/>
      <c r="N44" s="529"/>
      <c r="O44" s="529"/>
      <c r="Q44" s="680"/>
      <c r="R44" s="489" t="str">
        <f t="shared" si="6"/>
        <v>Kerusakan Trafo Distribusi</v>
      </c>
      <c r="S44" s="529">
        <v>0</v>
      </c>
      <c r="T44" s="529">
        <v>0</v>
      </c>
      <c r="U44" s="529">
        <v>0</v>
      </c>
      <c r="V44" s="529">
        <v>0</v>
      </c>
      <c r="W44" s="529">
        <v>0</v>
      </c>
      <c r="X44" s="539">
        <v>0</v>
      </c>
      <c r="Y44" s="529">
        <v>0</v>
      </c>
      <c r="Z44" s="529">
        <v>0</v>
      </c>
      <c r="AA44" s="529">
        <v>0</v>
      </c>
      <c r="AB44" s="529"/>
      <c r="AC44" s="529"/>
      <c r="AD44" s="529"/>
      <c r="AF44" s="680"/>
      <c r="AG44" s="489" t="str">
        <f t="shared" si="7"/>
        <v>Kerusakan Trafo Distribusi</v>
      </c>
      <c r="AH44" s="529">
        <f>S44</f>
        <v>0</v>
      </c>
      <c r="AI44" s="529">
        <f>SUM($S44:T44)</f>
        <v>0</v>
      </c>
      <c r="AJ44" s="539">
        <f>SUM($S44:U44)</f>
        <v>0</v>
      </c>
      <c r="AK44" s="539">
        <f>SUM($S44:V44)</f>
        <v>0</v>
      </c>
      <c r="AL44" s="539">
        <f>SUM($S44:W44)</f>
        <v>0</v>
      </c>
      <c r="AM44" s="539">
        <f>SUM($S44:X44)</f>
        <v>0</v>
      </c>
      <c r="AN44" s="539">
        <f>SUM($S44:Y44)</f>
        <v>0</v>
      </c>
      <c r="AO44" s="539">
        <f>SUM($S44:Z44)</f>
        <v>0</v>
      </c>
      <c r="AP44" s="539">
        <f>SUM($S44:AA44)</f>
        <v>0</v>
      </c>
      <c r="AQ44" s="539">
        <f>SUM($S44:AB44)</f>
        <v>0</v>
      </c>
      <c r="AR44" s="539">
        <f>SUM($S44:AC44)</f>
        <v>0</v>
      </c>
      <c r="AS44" s="539">
        <f>SUM($S44:AD44)</f>
        <v>0</v>
      </c>
    </row>
    <row r="45" spans="2:45">
      <c r="B45" s="680"/>
      <c r="C45" s="549" t="s">
        <v>184</v>
      </c>
      <c r="D45" s="550">
        <v>0</v>
      </c>
      <c r="E45" s="550">
        <v>0</v>
      </c>
      <c r="F45" s="550">
        <v>1</v>
      </c>
      <c r="G45" s="550">
        <v>1</v>
      </c>
      <c r="H45" s="550">
        <v>1</v>
      </c>
      <c r="I45" s="550">
        <v>1</v>
      </c>
      <c r="J45" s="550">
        <v>1</v>
      </c>
      <c r="K45" s="550">
        <v>1</v>
      </c>
      <c r="L45" s="550">
        <v>1</v>
      </c>
      <c r="M45" s="550">
        <v>1</v>
      </c>
      <c r="N45" s="550">
        <v>1</v>
      </c>
      <c r="O45" s="550">
        <v>1</v>
      </c>
      <c r="Q45" s="680"/>
      <c r="R45" s="551" t="str">
        <f t="shared" si="6"/>
        <v>Jumlah</v>
      </c>
      <c r="S45" s="552">
        <f>SUM(S43:S44)</f>
        <v>0</v>
      </c>
      <c r="T45" s="552">
        <f t="shared" ref="T45" si="76">SUM(T43:T44)</f>
        <v>0</v>
      </c>
      <c r="U45" s="552">
        <f t="shared" ref="U45" si="77">SUM(U43:U44)</f>
        <v>0</v>
      </c>
      <c r="V45" s="552">
        <f t="shared" ref="V45" si="78">SUM(V43:V44)</f>
        <v>0</v>
      </c>
      <c r="W45" s="552">
        <f t="shared" ref="W45" si="79">SUM(W43:W44)</f>
        <v>0</v>
      </c>
      <c r="X45" s="552">
        <f t="shared" ref="X45" si="80">SUM(X43:X44)</f>
        <v>0</v>
      </c>
      <c r="Y45" s="552">
        <f t="shared" ref="Y45" si="81">SUM(Y43:Y44)</f>
        <v>0</v>
      </c>
      <c r="Z45" s="552">
        <f t="shared" ref="Z45" si="82">SUM(Z43:Z44)</f>
        <v>0</v>
      </c>
      <c r="AA45" s="552">
        <f t="shared" ref="AA45" si="83">SUM(AA43:AA44)</f>
        <v>0</v>
      </c>
      <c r="AB45" s="552">
        <f t="shared" ref="AB45" si="84">SUM(AB43:AB44)</f>
        <v>0</v>
      </c>
      <c r="AC45" s="552">
        <f t="shared" ref="AC45" si="85">SUM(AC43:AC44)</f>
        <v>0</v>
      </c>
      <c r="AD45" s="552">
        <f t="shared" ref="AD45" si="86">SUM(AD43:AD44)</f>
        <v>0</v>
      </c>
      <c r="AF45" s="680"/>
      <c r="AG45" s="551" t="str">
        <f t="shared" si="7"/>
        <v>Jumlah</v>
      </c>
      <c r="AH45" s="552">
        <f>SUM(AH43:AH44)</f>
        <v>0</v>
      </c>
      <c r="AI45" s="552">
        <f t="shared" ref="AI45" si="87">SUM(AI43:AI44)</f>
        <v>0</v>
      </c>
      <c r="AJ45" s="553">
        <f t="shared" ref="AJ45" si="88">SUM(AJ43:AJ44)</f>
        <v>0</v>
      </c>
      <c r="AK45" s="553">
        <f t="shared" ref="AK45" si="89">SUM(AK43:AK44)</f>
        <v>0</v>
      </c>
      <c r="AL45" s="553">
        <f t="shared" ref="AL45" si="90">SUM(AL43:AL44)</f>
        <v>0</v>
      </c>
      <c r="AM45" s="553">
        <f t="shared" ref="AM45" si="91">SUM(AM43:AM44)</f>
        <v>0</v>
      </c>
      <c r="AN45" s="553">
        <f t="shared" ref="AN45" si="92">SUM(AN43:AN44)</f>
        <v>0</v>
      </c>
      <c r="AO45" s="553">
        <f t="shared" ref="AO45" si="93">SUM(AO43:AO44)</f>
        <v>0</v>
      </c>
      <c r="AP45" s="553">
        <f t="shared" ref="AP45" si="94">SUM(AP43:AP44)</f>
        <v>0</v>
      </c>
      <c r="AQ45" s="553">
        <f t="shared" ref="AQ45" si="95">SUM(AQ43:AQ44)</f>
        <v>0</v>
      </c>
      <c r="AR45" s="553">
        <f t="shared" ref="AR45" si="96">SUM(AR43:AR44)</f>
        <v>0</v>
      </c>
      <c r="AS45" s="553">
        <f t="shared" ref="AS45" si="97">SUM(AS43:AS44)</f>
        <v>0</v>
      </c>
    </row>
    <row r="46" spans="2:45">
      <c r="B46" s="680" t="s">
        <v>90</v>
      </c>
      <c r="C46" s="489" t="s">
        <v>182</v>
      </c>
      <c r="D46" s="529"/>
      <c r="E46" s="529"/>
      <c r="F46" s="529"/>
      <c r="G46" s="529"/>
      <c r="H46" s="529"/>
      <c r="I46" s="529"/>
      <c r="J46" s="529"/>
      <c r="K46" s="529"/>
      <c r="L46" s="529"/>
      <c r="M46" s="529"/>
      <c r="N46" s="529"/>
      <c r="O46" s="529"/>
      <c r="Q46" s="680" t="s">
        <v>89</v>
      </c>
      <c r="R46" s="489" t="str">
        <f t="shared" ref="R46:R48" si="98">C46</f>
        <v xml:space="preserve">Kerusakan PHB  - TM </v>
      </c>
      <c r="S46" s="529">
        <f t="shared" ref="S46" si="99">S31+S34+S37+S40+S43</f>
        <v>0</v>
      </c>
      <c r="T46" s="529">
        <f t="shared" ref="T46:V46" si="100">T31+T34+T37+T40+T43</f>
        <v>0</v>
      </c>
      <c r="U46" s="529">
        <f t="shared" si="100"/>
        <v>0</v>
      </c>
      <c r="V46" s="529">
        <f t="shared" si="100"/>
        <v>0</v>
      </c>
      <c r="W46" s="529">
        <f t="shared" ref="W46:Y46" si="101">W31+W34+W37+W40+W43</f>
        <v>0</v>
      </c>
      <c r="X46" s="529">
        <f t="shared" si="101"/>
        <v>0</v>
      </c>
      <c r="Y46" s="529">
        <f t="shared" si="101"/>
        <v>1</v>
      </c>
      <c r="Z46" s="529">
        <v>0</v>
      </c>
      <c r="AA46" s="529">
        <v>0</v>
      </c>
      <c r="AB46" s="529"/>
      <c r="AC46" s="529"/>
      <c r="AD46" s="529"/>
      <c r="AF46" s="680" t="s">
        <v>89</v>
      </c>
      <c r="AG46" s="489" t="str">
        <f t="shared" ref="AG46:AG48" si="102">C46</f>
        <v xml:space="preserve">Kerusakan PHB  - TM </v>
      </c>
      <c r="AH46" s="529">
        <f>S46</f>
        <v>0</v>
      </c>
      <c r="AI46" s="529">
        <f>SUM($S46:T46)</f>
        <v>0</v>
      </c>
      <c r="AJ46" s="539">
        <f>SUM($S46:U46)</f>
        <v>0</v>
      </c>
      <c r="AK46" s="539">
        <f>SUM($S46:V46)</f>
        <v>0</v>
      </c>
      <c r="AL46" s="539">
        <f>SUM($S46:W46)</f>
        <v>0</v>
      </c>
      <c r="AM46" s="539">
        <f>SUM($S46:X46)</f>
        <v>0</v>
      </c>
      <c r="AN46" s="539">
        <f>SUM($S46:Y46)</f>
        <v>1</v>
      </c>
      <c r="AO46" s="539">
        <f>SUM($S46:Z46)</f>
        <v>1</v>
      </c>
      <c r="AP46" s="539">
        <f>SUM($S46:AA46)</f>
        <v>1</v>
      </c>
      <c r="AQ46" s="539">
        <f>SUM($S46:AB46)</f>
        <v>1</v>
      </c>
      <c r="AR46" s="539">
        <f>SUM($S46:AC46)</f>
        <v>1</v>
      </c>
      <c r="AS46" s="539">
        <f>SUM($S46:AD46)</f>
        <v>1</v>
      </c>
    </row>
    <row r="47" spans="2:45">
      <c r="B47" s="680"/>
      <c r="C47" s="489" t="s">
        <v>183</v>
      </c>
      <c r="D47" s="529"/>
      <c r="E47" s="529"/>
      <c r="F47" s="529"/>
      <c r="G47" s="529"/>
      <c r="H47" s="529"/>
      <c r="I47" s="529"/>
      <c r="J47" s="529"/>
      <c r="K47" s="529"/>
      <c r="L47" s="529"/>
      <c r="M47" s="529"/>
      <c r="N47" s="529"/>
      <c r="O47" s="529"/>
      <c r="Q47" s="680"/>
      <c r="R47" s="489" t="str">
        <f t="shared" si="98"/>
        <v>Kerusakan Trafo Distribusi</v>
      </c>
      <c r="S47" s="529">
        <f t="shared" ref="S47" si="103">S32+S35+S38+S41+S44</f>
        <v>0</v>
      </c>
      <c r="T47" s="529">
        <f t="shared" ref="T47:V47" si="104">T32+T35+T38+T41+T44</f>
        <v>0</v>
      </c>
      <c r="U47" s="529">
        <f t="shared" si="104"/>
        <v>0</v>
      </c>
      <c r="V47" s="529">
        <f t="shared" si="104"/>
        <v>0</v>
      </c>
      <c r="W47" s="529">
        <f t="shared" ref="W47:Y47" si="105">W32+W35+W38+W41+W44</f>
        <v>1</v>
      </c>
      <c r="X47" s="529">
        <f t="shared" si="105"/>
        <v>1</v>
      </c>
      <c r="Y47" s="529">
        <f t="shared" si="105"/>
        <v>0</v>
      </c>
      <c r="Z47" s="529">
        <v>0</v>
      </c>
      <c r="AA47" s="529">
        <v>0</v>
      </c>
      <c r="AB47" s="529"/>
      <c r="AC47" s="529"/>
      <c r="AD47" s="529"/>
      <c r="AF47" s="680"/>
      <c r="AG47" s="489" t="str">
        <f t="shared" si="102"/>
        <v>Kerusakan Trafo Distribusi</v>
      </c>
      <c r="AH47" s="529">
        <f>S47</f>
        <v>0</v>
      </c>
      <c r="AI47" s="529">
        <f>SUM($S47:T47)</f>
        <v>0</v>
      </c>
      <c r="AJ47" s="539">
        <f>SUM($S47:U47)</f>
        <v>0</v>
      </c>
      <c r="AK47" s="539">
        <f>SUM($S47:V47)</f>
        <v>0</v>
      </c>
      <c r="AL47" s="539">
        <f>SUM($S47:W47)</f>
        <v>1</v>
      </c>
      <c r="AM47" s="539">
        <f>SUM($S47:X47)</f>
        <v>2</v>
      </c>
      <c r="AN47" s="539">
        <f>SUM($S47:Y47)</f>
        <v>2</v>
      </c>
      <c r="AO47" s="539">
        <f>SUM($S47:Z47)</f>
        <v>2</v>
      </c>
      <c r="AP47" s="539">
        <f>SUM($S47:AA47)</f>
        <v>2</v>
      </c>
      <c r="AQ47" s="539">
        <f>SUM($S47:AB47)</f>
        <v>2</v>
      </c>
      <c r="AR47" s="539">
        <f>SUM($S47:AC47)</f>
        <v>2</v>
      </c>
      <c r="AS47" s="539">
        <f>SUM($S47:AD47)</f>
        <v>2</v>
      </c>
    </row>
    <row r="48" spans="2:45">
      <c r="B48" s="680"/>
      <c r="C48" s="549" t="s">
        <v>184</v>
      </c>
      <c r="D48" s="550">
        <v>0</v>
      </c>
      <c r="E48" s="550">
        <v>0</v>
      </c>
      <c r="F48" s="550">
        <v>5</v>
      </c>
      <c r="G48" s="550">
        <v>5</v>
      </c>
      <c r="H48" s="550">
        <v>5</v>
      </c>
      <c r="I48" s="550">
        <v>5</v>
      </c>
      <c r="J48" s="550">
        <v>5</v>
      </c>
      <c r="K48" s="550">
        <v>5</v>
      </c>
      <c r="L48" s="550">
        <v>5</v>
      </c>
      <c r="M48" s="550">
        <v>5</v>
      </c>
      <c r="N48" s="550">
        <v>5</v>
      </c>
      <c r="O48" s="550">
        <v>5</v>
      </c>
      <c r="Q48" s="680"/>
      <c r="R48" s="551" t="str">
        <f t="shared" si="98"/>
        <v>Jumlah</v>
      </c>
      <c r="S48" s="552">
        <f>SUM(S46:S47)</f>
        <v>0</v>
      </c>
      <c r="T48" s="552">
        <f t="shared" ref="T48:AD48" si="106">SUM(T46:T47)</f>
        <v>0</v>
      </c>
      <c r="U48" s="552">
        <f t="shared" si="106"/>
        <v>0</v>
      </c>
      <c r="V48" s="552">
        <f t="shared" si="106"/>
        <v>0</v>
      </c>
      <c r="W48" s="552">
        <f t="shared" si="106"/>
        <v>1</v>
      </c>
      <c r="X48" s="552">
        <f t="shared" si="106"/>
        <v>1</v>
      </c>
      <c r="Y48" s="552">
        <f t="shared" si="106"/>
        <v>1</v>
      </c>
      <c r="Z48" s="552">
        <f t="shared" si="106"/>
        <v>0</v>
      </c>
      <c r="AA48" s="552">
        <f t="shared" si="106"/>
        <v>0</v>
      </c>
      <c r="AB48" s="552">
        <f t="shared" si="106"/>
        <v>0</v>
      </c>
      <c r="AC48" s="552">
        <f t="shared" si="106"/>
        <v>0</v>
      </c>
      <c r="AD48" s="552">
        <f t="shared" si="106"/>
        <v>0</v>
      </c>
      <c r="AF48" s="680"/>
      <c r="AG48" s="551" t="str">
        <f t="shared" si="102"/>
        <v>Jumlah</v>
      </c>
      <c r="AH48" s="552">
        <f>SUM(AH46:AH47)</f>
        <v>0</v>
      </c>
      <c r="AI48" s="552">
        <f t="shared" ref="AI48" si="107">SUM(AI46:AI47)</f>
        <v>0</v>
      </c>
      <c r="AJ48" s="553">
        <f t="shared" ref="AJ48" si="108">SUM(AJ46:AJ47)</f>
        <v>0</v>
      </c>
      <c r="AK48" s="553">
        <f t="shared" ref="AK48" si="109">SUM(AK46:AK47)</f>
        <v>0</v>
      </c>
      <c r="AL48" s="553">
        <f t="shared" ref="AL48" si="110">SUM(AL46:AL47)</f>
        <v>1</v>
      </c>
      <c r="AM48" s="553">
        <f t="shared" ref="AM48" si="111">SUM(AM46:AM47)</f>
        <v>2</v>
      </c>
      <c r="AN48" s="553">
        <f t="shared" ref="AN48" si="112">SUM(AN46:AN47)</f>
        <v>3</v>
      </c>
      <c r="AO48" s="553">
        <f t="shared" ref="AO48" si="113">SUM(AO46:AO47)</f>
        <v>3</v>
      </c>
      <c r="AP48" s="553">
        <f t="shared" ref="AP48" si="114">SUM(AP46:AP47)</f>
        <v>3</v>
      </c>
      <c r="AQ48" s="553">
        <f t="shared" ref="AQ48" si="115">SUM(AQ46:AQ47)</f>
        <v>3</v>
      </c>
      <c r="AR48" s="553">
        <f t="shared" ref="AR48" si="116">SUM(AR46:AR47)</f>
        <v>3</v>
      </c>
      <c r="AS48" s="553">
        <f t="shared" ref="AS48" si="117">SUM(AS46:AS47)</f>
        <v>3</v>
      </c>
    </row>
    <row r="49" spans="1:45">
      <c r="D49" s="105"/>
      <c r="E49" s="105"/>
      <c r="F49" s="105"/>
      <c r="G49" s="105"/>
      <c r="H49" s="105"/>
      <c r="I49" s="105"/>
      <c r="J49" s="105"/>
      <c r="K49" s="300"/>
      <c r="L49" s="105"/>
      <c r="M49" s="105"/>
      <c r="N49" s="105"/>
      <c r="O49" s="105"/>
      <c r="S49" s="166"/>
      <c r="T49" s="166"/>
      <c r="U49" s="166"/>
      <c r="V49" s="166"/>
      <c r="W49" s="166"/>
      <c r="X49" s="166"/>
      <c r="Y49" s="166"/>
      <c r="Z49" s="166"/>
      <c r="AA49" s="166"/>
      <c r="AB49" s="166"/>
      <c r="AC49" s="166"/>
      <c r="AD49" s="166"/>
      <c r="AH49" s="105"/>
      <c r="AI49" s="105"/>
      <c r="AJ49" s="105"/>
      <c r="AK49" s="105"/>
      <c r="AL49" s="105"/>
      <c r="AM49" s="105"/>
      <c r="AN49" s="105"/>
      <c r="AO49" s="105"/>
      <c r="AP49" s="105"/>
      <c r="AQ49" s="105"/>
      <c r="AR49" s="166"/>
      <c r="AS49" s="105"/>
    </row>
    <row r="50" spans="1:45">
      <c r="A50" s="105">
        <v>4</v>
      </c>
      <c r="B50" s="21" t="s">
        <v>185</v>
      </c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Q50" t="str">
        <f>$B$50</f>
        <v>PENURUNAN FEEDBACK RATING NEGATIF PADA PLN MOBILE - GANGGUAN</v>
      </c>
      <c r="S50" s="166"/>
      <c r="T50" s="166"/>
      <c r="U50" s="166"/>
      <c r="V50" s="166"/>
      <c r="W50" s="166"/>
      <c r="X50" s="166"/>
      <c r="Y50" s="166"/>
      <c r="Z50" s="166"/>
      <c r="AA50" s="166"/>
      <c r="AB50" s="166"/>
      <c r="AC50" s="166"/>
      <c r="AD50" s="166"/>
      <c r="AF50" t="str">
        <f>$B$50</f>
        <v>PENURUNAN FEEDBACK RATING NEGATIF PADA PLN MOBILE - GANGGUAN</v>
      </c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66"/>
      <c r="AS50" s="105"/>
    </row>
    <row r="51" spans="1:45">
      <c r="B51" s="21" t="s">
        <v>100</v>
      </c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Q51" t="s">
        <v>126</v>
      </c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  <c r="AD51" s="105"/>
      <c r="AF51" t="s">
        <v>127</v>
      </c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</row>
    <row r="52" spans="1:45">
      <c r="B52" s="686" t="s">
        <v>72</v>
      </c>
      <c r="C52" s="686"/>
      <c r="D52" s="638" t="s">
        <v>74</v>
      </c>
      <c r="E52" s="638" t="s">
        <v>75</v>
      </c>
      <c r="F52" s="638" t="s">
        <v>76</v>
      </c>
      <c r="G52" s="638" t="s">
        <v>77</v>
      </c>
      <c r="H52" s="638" t="s">
        <v>78</v>
      </c>
      <c r="I52" s="638" t="s">
        <v>79</v>
      </c>
      <c r="J52" s="638" t="s">
        <v>80</v>
      </c>
      <c r="K52" s="638" t="s">
        <v>81</v>
      </c>
      <c r="L52" s="638" t="s">
        <v>82</v>
      </c>
      <c r="M52" s="638" t="s">
        <v>83</v>
      </c>
      <c r="N52" s="638" t="s">
        <v>84</v>
      </c>
      <c r="O52" s="638" t="s">
        <v>85</v>
      </c>
      <c r="Q52" s="686" t="s">
        <v>72</v>
      </c>
      <c r="R52" s="686"/>
      <c r="S52" s="638" t="s">
        <v>74</v>
      </c>
      <c r="T52" s="638" t="s">
        <v>75</v>
      </c>
      <c r="U52" s="638" t="s">
        <v>76</v>
      </c>
      <c r="V52" s="638" t="s">
        <v>77</v>
      </c>
      <c r="W52" s="638" t="s">
        <v>78</v>
      </c>
      <c r="X52" s="638" t="s">
        <v>79</v>
      </c>
      <c r="Y52" s="638" t="s">
        <v>80</v>
      </c>
      <c r="Z52" s="638" t="s">
        <v>81</v>
      </c>
      <c r="AA52" s="638" t="s">
        <v>82</v>
      </c>
      <c r="AB52" s="638" t="s">
        <v>83</v>
      </c>
      <c r="AC52" s="638" t="s">
        <v>84</v>
      </c>
      <c r="AD52" s="638" t="s">
        <v>85</v>
      </c>
      <c r="AF52" s="686" t="s">
        <v>72</v>
      </c>
      <c r="AG52" s="686"/>
      <c r="AH52" s="638" t="s">
        <v>74</v>
      </c>
      <c r="AI52" s="638" t="s">
        <v>75</v>
      </c>
      <c r="AJ52" s="638" t="s">
        <v>76</v>
      </c>
      <c r="AK52" s="638" t="s">
        <v>77</v>
      </c>
      <c r="AL52" s="638" t="s">
        <v>78</v>
      </c>
      <c r="AM52" s="638" t="s">
        <v>79</v>
      </c>
      <c r="AN52" s="638" t="s">
        <v>80</v>
      </c>
      <c r="AO52" s="638" t="s">
        <v>81</v>
      </c>
      <c r="AP52" s="638" t="s">
        <v>82</v>
      </c>
      <c r="AQ52" s="638" t="s">
        <v>83</v>
      </c>
      <c r="AR52" s="638" t="s">
        <v>84</v>
      </c>
      <c r="AS52" s="638" t="s">
        <v>85</v>
      </c>
    </row>
    <row r="53" spans="1:45">
      <c r="B53" s="680" t="s">
        <v>128</v>
      </c>
      <c r="C53" s="489" t="s">
        <v>186</v>
      </c>
      <c r="D53" s="529"/>
      <c r="E53" s="529"/>
      <c r="F53" s="529"/>
      <c r="G53" s="529"/>
      <c r="H53" s="529"/>
      <c r="I53" s="529"/>
      <c r="J53" s="529"/>
      <c r="K53" s="529"/>
      <c r="L53" s="529"/>
      <c r="M53" s="529"/>
      <c r="N53" s="529"/>
      <c r="O53" s="529"/>
      <c r="Q53" s="680" t="s">
        <v>128</v>
      </c>
      <c r="R53" s="489" t="s">
        <v>186</v>
      </c>
      <c r="S53" s="539">
        <v>341</v>
      </c>
      <c r="T53" s="529">
        <v>292</v>
      </c>
      <c r="U53" s="529">
        <v>397</v>
      </c>
      <c r="V53" s="529">
        <v>339</v>
      </c>
      <c r="W53" s="529">
        <v>317</v>
      </c>
      <c r="X53" s="529">
        <v>299</v>
      </c>
      <c r="Y53" s="529">
        <v>390</v>
      </c>
      <c r="Z53" s="529">
        <v>320</v>
      </c>
      <c r="AA53" s="529">
        <v>300</v>
      </c>
      <c r="AB53" s="529"/>
      <c r="AC53" s="529"/>
      <c r="AD53" s="529"/>
      <c r="AF53" s="680" t="s">
        <v>128</v>
      </c>
      <c r="AG53" s="489" t="s">
        <v>186</v>
      </c>
      <c r="AH53" s="538">
        <f t="shared" ref="AH53:AH69" si="118">S53</f>
        <v>341</v>
      </c>
      <c r="AI53" s="538">
        <f>SUM($S53:T$53)</f>
        <v>633</v>
      </c>
      <c r="AJ53" s="538">
        <f>SUM($S53:U$53)</f>
        <v>1030</v>
      </c>
      <c r="AK53" s="538">
        <f>SUM($S53:V$53)</f>
        <v>1369</v>
      </c>
      <c r="AL53" s="538">
        <f>SUM($S53:W$53)</f>
        <v>1686</v>
      </c>
      <c r="AM53" s="538">
        <f>SUM($S53:X$53)</f>
        <v>1985</v>
      </c>
      <c r="AN53" s="538">
        <f>SUM($S53:Y$53)</f>
        <v>2375</v>
      </c>
      <c r="AO53" s="538">
        <f>SUM($S53:Z$53)</f>
        <v>2695</v>
      </c>
      <c r="AP53" s="538">
        <f>SUM($S53:AA$53)</f>
        <v>2995</v>
      </c>
      <c r="AQ53" s="538">
        <f>SUM($S53:AB$53)</f>
        <v>2995</v>
      </c>
      <c r="AR53" s="538">
        <f>SUM($S53:AC$53)</f>
        <v>2995</v>
      </c>
      <c r="AS53" s="538">
        <f>SUM($S53:AD$53)</f>
        <v>2995</v>
      </c>
    </row>
    <row r="54" spans="1:45">
      <c r="B54" s="680"/>
      <c r="C54" s="489" t="s">
        <v>187</v>
      </c>
      <c r="D54" s="529"/>
      <c r="E54" s="529"/>
      <c r="F54" s="529"/>
      <c r="G54" s="529"/>
      <c r="H54" s="529"/>
      <c r="I54" s="529"/>
      <c r="J54" s="529"/>
      <c r="K54" s="529"/>
      <c r="L54" s="529"/>
      <c r="M54" s="529"/>
      <c r="N54" s="529"/>
      <c r="O54" s="529"/>
      <c r="P54" s="293"/>
      <c r="Q54" s="680"/>
      <c r="R54" s="489" t="s">
        <v>187</v>
      </c>
      <c r="S54" s="539">
        <v>0</v>
      </c>
      <c r="T54" s="529">
        <v>0</v>
      </c>
      <c r="U54" s="529">
        <v>0</v>
      </c>
      <c r="V54" s="529">
        <v>0</v>
      </c>
      <c r="W54" s="529">
        <v>0</v>
      </c>
      <c r="X54" s="529">
        <v>0</v>
      </c>
      <c r="Y54" s="529">
        <v>0</v>
      </c>
      <c r="Z54" s="529">
        <v>0</v>
      </c>
      <c r="AA54" s="529">
        <v>0</v>
      </c>
      <c r="AB54" s="529"/>
      <c r="AC54" s="529"/>
      <c r="AD54" s="529"/>
      <c r="AF54" s="680"/>
      <c r="AG54" s="489" t="s">
        <v>187</v>
      </c>
      <c r="AH54" s="538">
        <f t="shared" si="118"/>
        <v>0</v>
      </c>
      <c r="AI54" s="538">
        <f>SUM($S54:T$54)</f>
        <v>0</v>
      </c>
      <c r="AJ54" s="538">
        <f>SUM($S54:U$54)</f>
        <v>0</v>
      </c>
      <c r="AK54" s="538">
        <f>SUM($S54:V$54)</f>
        <v>0</v>
      </c>
      <c r="AL54" s="538">
        <f>SUM($S54:W$54)</f>
        <v>0</v>
      </c>
      <c r="AM54" s="538">
        <f>SUM($S54:X$54)</f>
        <v>0</v>
      </c>
      <c r="AN54" s="538">
        <f>SUM($S54:Y$54)</f>
        <v>0</v>
      </c>
      <c r="AO54" s="538">
        <f>SUM($S54:Z$54)</f>
        <v>0</v>
      </c>
      <c r="AP54" s="538">
        <f>SUM($S54:AA$54)</f>
        <v>0</v>
      </c>
      <c r="AQ54" s="538">
        <f>SUM($S54:AB$54)</f>
        <v>0</v>
      </c>
      <c r="AR54" s="538">
        <f>SUM($S54:AC$54)</f>
        <v>0</v>
      </c>
      <c r="AS54" s="538">
        <f>SUM($S54:AD$54)</f>
        <v>0</v>
      </c>
    </row>
    <row r="55" spans="1:45">
      <c r="B55" s="680"/>
      <c r="C55" s="549" t="s">
        <v>188</v>
      </c>
      <c r="D55" s="550">
        <v>0.09</v>
      </c>
      <c r="E55" s="550">
        <v>0.09</v>
      </c>
      <c r="F55" s="550">
        <v>0.09</v>
      </c>
      <c r="G55" s="550">
        <v>0.09</v>
      </c>
      <c r="H55" s="550">
        <v>0.09</v>
      </c>
      <c r="I55" s="550">
        <v>0.09</v>
      </c>
      <c r="J55" s="550">
        <v>0.09</v>
      </c>
      <c r="K55" s="550">
        <v>0.09</v>
      </c>
      <c r="L55" s="550">
        <v>0.09</v>
      </c>
      <c r="M55" s="550">
        <v>0.09</v>
      </c>
      <c r="N55" s="550">
        <v>0.09</v>
      </c>
      <c r="O55" s="550">
        <v>0.09</v>
      </c>
      <c r="Q55" s="680"/>
      <c r="R55" s="549" t="s">
        <v>188</v>
      </c>
      <c r="S55" s="554">
        <f t="shared" ref="S55:AD55" si="119">S54/S53*100</f>
        <v>0</v>
      </c>
      <c r="T55" s="554">
        <f t="shared" si="119"/>
        <v>0</v>
      </c>
      <c r="U55" s="554">
        <f t="shared" si="119"/>
        <v>0</v>
      </c>
      <c r="V55" s="554">
        <f t="shared" si="119"/>
        <v>0</v>
      </c>
      <c r="W55" s="554">
        <f t="shared" si="119"/>
        <v>0</v>
      </c>
      <c r="X55" s="554">
        <f t="shared" si="119"/>
        <v>0</v>
      </c>
      <c r="Y55" s="554">
        <f t="shared" si="119"/>
        <v>0</v>
      </c>
      <c r="Z55" s="554">
        <f t="shared" si="119"/>
        <v>0</v>
      </c>
      <c r="AA55" s="554">
        <f t="shared" si="119"/>
        <v>0</v>
      </c>
      <c r="AB55" s="554" t="e">
        <f t="shared" si="119"/>
        <v>#DIV/0!</v>
      </c>
      <c r="AC55" s="554" t="e">
        <f t="shared" si="119"/>
        <v>#DIV/0!</v>
      </c>
      <c r="AD55" s="554" t="e">
        <f t="shared" si="119"/>
        <v>#DIV/0!</v>
      </c>
      <c r="AF55" s="680"/>
      <c r="AG55" s="549" t="s">
        <v>188</v>
      </c>
      <c r="AH55" s="554">
        <f t="shared" ref="AH55:AS55" si="120">AH54/AH53*100</f>
        <v>0</v>
      </c>
      <c r="AI55" s="554">
        <f t="shared" si="120"/>
        <v>0</v>
      </c>
      <c r="AJ55" s="554">
        <f t="shared" si="120"/>
        <v>0</v>
      </c>
      <c r="AK55" s="554">
        <f t="shared" si="120"/>
        <v>0</v>
      </c>
      <c r="AL55" s="554">
        <f t="shared" si="120"/>
        <v>0</v>
      </c>
      <c r="AM55" s="554">
        <f t="shared" si="120"/>
        <v>0</v>
      </c>
      <c r="AN55" s="554">
        <f t="shared" si="120"/>
        <v>0</v>
      </c>
      <c r="AO55" s="554">
        <f t="shared" si="120"/>
        <v>0</v>
      </c>
      <c r="AP55" s="554">
        <f t="shared" si="120"/>
        <v>0</v>
      </c>
      <c r="AQ55" s="554">
        <f t="shared" si="120"/>
        <v>0</v>
      </c>
      <c r="AR55" s="554">
        <f t="shared" si="120"/>
        <v>0</v>
      </c>
      <c r="AS55" s="554">
        <f t="shared" si="120"/>
        <v>0</v>
      </c>
    </row>
    <row r="56" spans="1:45">
      <c r="B56" s="680" t="s">
        <v>87</v>
      </c>
      <c r="C56" s="489" t="s">
        <v>186</v>
      </c>
      <c r="D56" s="529"/>
      <c r="E56" s="529"/>
      <c r="F56" s="529"/>
      <c r="G56" s="529"/>
      <c r="H56" s="529"/>
      <c r="I56" s="529"/>
      <c r="J56" s="529"/>
      <c r="K56" s="529"/>
      <c r="L56" s="529"/>
      <c r="M56" s="529"/>
      <c r="N56" s="529"/>
      <c r="O56" s="529"/>
      <c r="Q56" s="680" t="s">
        <v>87</v>
      </c>
      <c r="R56" s="489" t="s">
        <v>186</v>
      </c>
      <c r="S56" s="538">
        <v>466</v>
      </c>
      <c r="T56" s="540">
        <v>413</v>
      </c>
      <c r="U56" s="540">
        <v>389</v>
      </c>
      <c r="V56" s="540">
        <v>322</v>
      </c>
      <c r="W56" s="540">
        <v>319</v>
      </c>
      <c r="X56" s="540">
        <v>261</v>
      </c>
      <c r="Y56" s="540">
        <v>351</v>
      </c>
      <c r="Z56" s="540">
        <v>422</v>
      </c>
      <c r="AA56" s="540">
        <v>489</v>
      </c>
      <c r="AB56" s="540"/>
      <c r="AC56" s="540"/>
      <c r="AD56" s="540"/>
      <c r="AF56" s="680" t="s">
        <v>87</v>
      </c>
      <c r="AG56" s="489" t="s">
        <v>186</v>
      </c>
      <c r="AH56" s="538">
        <f t="shared" si="118"/>
        <v>466</v>
      </c>
      <c r="AI56" s="539">
        <f>SUM($S$56:T56)</f>
        <v>879</v>
      </c>
      <c r="AJ56" s="539">
        <f>SUM($S$56:U56)</f>
        <v>1268</v>
      </c>
      <c r="AK56" s="539">
        <f>SUM($S$56:V56)</f>
        <v>1590</v>
      </c>
      <c r="AL56" s="539">
        <f>SUM($S$56:W56)</f>
        <v>1909</v>
      </c>
      <c r="AM56" s="539">
        <f>SUM($S$56:X56)</f>
        <v>2170</v>
      </c>
      <c r="AN56" s="539">
        <f>SUM($S$56:Y56)</f>
        <v>2521</v>
      </c>
      <c r="AO56" s="539">
        <f>SUM($S$56:Z56)</f>
        <v>2943</v>
      </c>
      <c r="AP56" s="539">
        <f>SUM($S$56:AA56)</f>
        <v>3432</v>
      </c>
      <c r="AQ56" s="539">
        <f>SUM($S$56:AB56)</f>
        <v>3432</v>
      </c>
      <c r="AR56" s="539">
        <f>SUM($S$56:AC56)</f>
        <v>3432</v>
      </c>
      <c r="AS56" s="539">
        <f>SUM($S$56:AD56)</f>
        <v>3432</v>
      </c>
    </row>
    <row r="57" spans="1:45">
      <c r="B57" s="680"/>
      <c r="C57" s="489" t="s">
        <v>187</v>
      </c>
      <c r="D57" s="529"/>
      <c r="E57" s="529"/>
      <c r="F57" s="529"/>
      <c r="G57" s="529"/>
      <c r="H57" s="529"/>
      <c r="I57" s="529"/>
      <c r="J57" s="529"/>
      <c r="K57" s="529"/>
      <c r="L57" s="529"/>
      <c r="M57" s="529"/>
      <c r="N57" s="529"/>
      <c r="O57" s="529"/>
      <c r="Q57" s="680"/>
      <c r="R57" s="489" t="s">
        <v>187</v>
      </c>
      <c r="S57" s="529">
        <v>0</v>
      </c>
      <c r="T57" s="540">
        <v>0</v>
      </c>
      <c r="U57" s="540">
        <v>0</v>
      </c>
      <c r="V57" s="540">
        <v>0</v>
      </c>
      <c r="W57" s="540">
        <v>0</v>
      </c>
      <c r="X57" s="540">
        <v>0</v>
      </c>
      <c r="Y57" s="540">
        <v>0</v>
      </c>
      <c r="Z57" s="540">
        <v>0</v>
      </c>
      <c r="AA57" s="540">
        <v>0</v>
      </c>
      <c r="AB57" s="540"/>
      <c r="AC57" s="540"/>
      <c r="AD57" s="540"/>
      <c r="AF57" s="680"/>
      <c r="AG57" s="489" t="s">
        <v>187</v>
      </c>
      <c r="AH57" s="538">
        <f t="shared" si="118"/>
        <v>0</v>
      </c>
      <c r="AI57" s="539">
        <f>SUM($S$57:T57)</f>
        <v>0</v>
      </c>
      <c r="AJ57" s="539">
        <f>SUM($S$57:U57)</f>
        <v>0</v>
      </c>
      <c r="AK57" s="539">
        <f>SUM($S$57:V57)</f>
        <v>0</v>
      </c>
      <c r="AL57" s="539">
        <f>SUM($S$57:W57)</f>
        <v>0</v>
      </c>
      <c r="AM57" s="539">
        <f>SUM($S$57:X57)</f>
        <v>0</v>
      </c>
      <c r="AN57" s="539">
        <f>SUM($S$57:Y57)</f>
        <v>0</v>
      </c>
      <c r="AO57" s="539">
        <f>SUM($S$57:Z57)</f>
        <v>0</v>
      </c>
      <c r="AP57" s="539">
        <f>SUM($S$57:AA57)</f>
        <v>0</v>
      </c>
      <c r="AQ57" s="539">
        <f>SUM($S$57:AB57)</f>
        <v>0</v>
      </c>
      <c r="AR57" s="539">
        <f>SUM($S$57:AC57)</f>
        <v>0</v>
      </c>
      <c r="AS57" s="539">
        <f>SUM($S$57:AD57)</f>
        <v>0</v>
      </c>
    </row>
    <row r="58" spans="1:45">
      <c r="B58" s="680"/>
      <c r="C58" s="549" t="s">
        <v>188</v>
      </c>
      <c r="D58" s="550">
        <v>0.09</v>
      </c>
      <c r="E58" s="550">
        <v>0.09</v>
      </c>
      <c r="F58" s="550">
        <v>0.09</v>
      </c>
      <c r="G58" s="550">
        <v>0.09</v>
      </c>
      <c r="H58" s="550">
        <v>0.09</v>
      </c>
      <c r="I58" s="550">
        <v>0.09</v>
      </c>
      <c r="J58" s="550">
        <v>0.09</v>
      </c>
      <c r="K58" s="550">
        <v>0.09</v>
      </c>
      <c r="L58" s="550">
        <v>0.09</v>
      </c>
      <c r="M58" s="550">
        <v>0.09</v>
      </c>
      <c r="N58" s="550">
        <v>0.09</v>
      </c>
      <c r="O58" s="550">
        <v>0.09</v>
      </c>
      <c r="Q58" s="680"/>
      <c r="R58" s="549" t="s">
        <v>188</v>
      </c>
      <c r="S58" s="554">
        <f t="shared" ref="S58:AD58" si="121">S57/S56*100</f>
        <v>0</v>
      </c>
      <c r="T58" s="552">
        <f t="shared" si="121"/>
        <v>0</v>
      </c>
      <c r="U58" s="552">
        <f t="shared" si="121"/>
        <v>0</v>
      </c>
      <c r="V58" s="552">
        <f t="shared" si="121"/>
        <v>0</v>
      </c>
      <c r="W58" s="552">
        <f t="shared" si="121"/>
        <v>0</v>
      </c>
      <c r="X58" s="552">
        <f t="shared" si="121"/>
        <v>0</v>
      </c>
      <c r="Y58" s="552">
        <f t="shared" si="121"/>
        <v>0</v>
      </c>
      <c r="Z58" s="552">
        <f t="shared" si="121"/>
        <v>0</v>
      </c>
      <c r="AA58" s="552">
        <f t="shared" si="121"/>
        <v>0</v>
      </c>
      <c r="AB58" s="552" t="e">
        <f t="shared" si="121"/>
        <v>#DIV/0!</v>
      </c>
      <c r="AC58" s="552" t="e">
        <f t="shared" si="121"/>
        <v>#DIV/0!</v>
      </c>
      <c r="AD58" s="552" t="e">
        <f t="shared" si="121"/>
        <v>#DIV/0!</v>
      </c>
      <c r="AF58" s="680"/>
      <c r="AG58" s="549" t="s">
        <v>188</v>
      </c>
      <c r="AH58" s="554">
        <f t="shared" ref="AH58:AS58" si="122">AH57/AH56*100</f>
        <v>0</v>
      </c>
      <c r="AI58" s="553">
        <f t="shared" si="122"/>
        <v>0</v>
      </c>
      <c r="AJ58" s="553">
        <f t="shared" si="122"/>
        <v>0</v>
      </c>
      <c r="AK58" s="553">
        <f t="shared" si="122"/>
        <v>0</v>
      </c>
      <c r="AL58" s="553">
        <f t="shared" si="122"/>
        <v>0</v>
      </c>
      <c r="AM58" s="553">
        <f t="shared" si="122"/>
        <v>0</v>
      </c>
      <c r="AN58" s="553">
        <f t="shared" si="122"/>
        <v>0</v>
      </c>
      <c r="AO58" s="553">
        <f t="shared" si="122"/>
        <v>0</v>
      </c>
      <c r="AP58" s="553">
        <f t="shared" si="122"/>
        <v>0</v>
      </c>
      <c r="AQ58" s="553">
        <f t="shared" si="122"/>
        <v>0</v>
      </c>
      <c r="AR58" s="553">
        <f t="shared" si="122"/>
        <v>0</v>
      </c>
      <c r="AS58" s="553">
        <f t="shared" si="122"/>
        <v>0</v>
      </c>
    </row>
    <row r="59" spans="1:45">
      <c r="B59" s="680" t="s">
        <v>88</v>
      </c>
      <c r="C59" s="489" t="s">
        <v>186</v>
      </c>
      <c r="D59" s="529"/>
      <c r="E59" s="529"/>
      <c r="F59" s="529"/>
      <c r="G59" s="529"/>
      <c r="H59" s="529"/>
      <c r="I59" s="529"/>
      <c r="J59" s="529"/>
      <c r="K59" s="529"/>
      <c r="L59" s="529"/>
      <c r="M59" s="529"/>
      <c r="N59" s="529"/>
      <c r="O59" s="529"/>
      <c r="Q59" s="680" t="s">
        <v>88</v>
      </c>
      <c r="R59" s="489" t="s">
        <v>186</v>
      </c>
      <c r="S59" s="540">
        <v>351</v>
      </c>
      <c r="T59" s="540">
        <v>334</v>
      </c>
      <c r="U59" s="540">
        <v>431</v>
      </c>
      <c r="V59" s="540">
        <v>335</v>
      </c>
      <c r="W59" s="540">
        <v>299</v>
      </c>
      <c r="X59" s="538">
        <v>269</v>
      </c>
      <c r="Y59" s="540">
        <v>308</v>
      </c>
      <c r="Z59" s="540">
        <v>322</v>
      </c>
      <c r="AA59" s="540">
        <v>290</v>
      </c>
      <c r="AB59" s="540"/>
      <c r="AC59" s="540"/>
      <c r="AD59" s="540"/>
      <c r="AF59" s="680" t="s">
        <v>88</v>
      </c>
      <c r="AG59" s="489" t="s">
        <v>186</v>
      </c>
      <c r="AH59" s="538">
        <f t="shared" si="118"/>
        <v>351</v>
      </c>
      <c r="AI59" s="539">
        <f>SUM($S$59:T59)</f>
        <v>685</v>
      </c>
      <c r="AJ59" s="539">
        <f>SUM($S$59:U59)</f>
        <v>1116</v>
      </c>
      <c r="AK59" s="539">
        <f>SUM($S$59:V59)</f>
        <v>1451</v>
      </c>
      <c r="AL59" s="539">
        <f>SUM($S$59:W59)</f>
        <v>1750</v>
      </c>
      <c r="AM59" s="539">
        <f>SUM($S$59:X59)</f>
        <v>2019</v>
      </c>
      <c r="AN59" s="539">
        <f>SUM($S$59:Y59)</f>
        <v>2327</v>
      </c>
      <c r="AO59" s="539">
        <f>SUM($S$59:Z59)</f>
        <v>2649</v>
      </c>
      <c r="AP59" s="539">
        <f>SUM($S$59:AA59)</f>
        <v>2939</v>
      </c>
      <c r="AQ59" s="539">
        <f>SUM($S$59:AB59)</f>
        <v>2939</v>
      </c>
      <c r="AR59" s="539">
        <f>SUM($S$59:AC59)</f>
        <v>2939</v>
      </c>
      <c r="AS59" s="539">
        <f>SUM($S$59:AD59)</f>
        <v>2939</v>
      </c>
    </row>
    <row r="60" spans="1:45">
      <c r="B60" s="680"/>
      <c r="C60" s="489" t="s">
        <v>187</v>
      </c>
      <c r="D60" s="529"/>
      <c r="E60" s="529"/>
      <c r="F60" s="529"/>
      <c r="G60" s="529"/>
      <c r="H60" s="529"/>
      <c r="I60" s="529"/>
      <c r="J60" s="529"/>
      <c r="K60" s="529"/>
      <c r="L60" s="529"/>
      <c r="M60" s="529"/>
      <c r="N60" s="529"/>
      <c r="O60" s="529"/>
      <c r="Q60" s="680"/>
      <c r="R60" s="489" t="s">
        <v>187</v>
      </c>
      <c r="S60" s="540">
        <v>0</v>
      </c>
      <c r="T60" s="540">
        <v>0</v>
      </c>
      <c r="U60" s="540">
        <v>0</v>
      </c>
      <c r="V60" s="540">
        <v>0</v>
      </c>
      <c r="W60" s="540">
        <v>0</v>
      </c>
      <c r="X60" s="540">
        <v>0</v>
      </c>
      <c r="Y60" s="540">
        <v>0</v>
      </c>
      <c r="Z60" s="540">
        <v>0</v>
      </c>
      <c r="AA60" s="540">
        <v>0</v>
      </c>
      <c r="AB60" s="540"/>
      <c r="AC60" s="540"/>
      <c r="AD60" s="540"/>
      <c r="AF60" s="680"/>
      <c r="AG60" s="489" t="s">
        <v>187</v>
      </c>
      <c r="AH60" s="538">
        <f t="shared" si="118"/>
        <v>0</v>
      </c>
      <c r="AI60" s="539">
        <f>SUM($S$60:T60)</f>
        <v>0</v>
      </c>
      <c r="AJ60" s="539">
        <f>SUM($S$60:U60)</f>
        <v>0</v>
      </c>
      <c r="AK60" s="539">
        <f>SUM($S$60:V60)</f>
        <v>0</v>
      </c>
      <c r="AL60" s="539">
        <f>SUM($S$60:W60)</f>
        <v>0</v>
      </c>
      <c r="AM60" s="539">
        <f>SUM($S$60:X60)</f>
        <v>0</v>
      </c>
      <c r="AN60" s="539">
        <f>SUM($S$60:Y60)</f>
        <v>0</v>
      </c>
      <c r="AO60" s="539">
        <f>SUM($S$60:Z60)</f>
        <v>0</v>
      </c>
      <c r="AP60" s="539">
        <f>SUM($S$60:AA60)</f>
        <v>0</v>
      </c>
      <c r="AQ60" s="539">
        <f>SUM($S$60:AB60)</f>
        <v>0</v>
      </c>
      <c r="AR60" s="539">
        <f>SUM($S$60:AC60)</f>
        <v>0</v>
      </c>
      <c r="AS60" s="539">
        <f>SUM($S$60:AD60)</f>
        <v>0</v>
      </c>
    </row>
    <row r="61" spans="1:45">
      <c r="B61" s="680"/>
      <c r="C61" s="549" t="s">
        <v>188</v>
      </c>
      <c r="D61" s="550">
        <v>0.09</v>
      </c>
      <c r="E61" s="550">
        <v>0.09</v>
      </c>
      <c r="F61" s="550">
        <v>0.09</v>
      </c>
      <c r="G61" s="550">
        <v>0.09</v>
      </c>
      <c r="H61" s="550">
        <v>0.09</v>
      </c>
      <c r="I61" s="550">
        <v>0.09</v>
      </c>
      <c r="J61" s="550">
        <v>0.09</v>
      </c>
      <c r="K61" s="550">
        <v>0.09</v>
      </c>
      <c r="L61" s="550">
        <v>0.09</v>
      </c>
      <c r="M61" s="550">
        <v>0.09</v>
      </c>
      <c r="N61" s="550">
        <v>0.09</v>
      </c>
      <c r="O61" s="550">
        <v>0.09</v>
      </c>
      <c r="Q61" s="680"/>
      <c r="R61" s="549" t="s">
        <v>188</v>
      </c>
      <c r="S61" s="554">
        <f t="shared" ref="S61:AD61" si="123">S60/S59*100</f>
        <v>0</v>
      </c>
      <c r="T61" s="552">
        <f t="shared" si="123"/>
        <v>0</v>
      </c>
      <c r="U61" s="552">
        <f t="shared" si="123"/>
        <v>0</v>
      </c>
      <c r="V61" s="552">
        <f t="shared" si="123"/>
        <v>0</v>
      </c>
      <c r="W61" s="552">
        <f t="shared" si="123"/>
        <v>0</v>
      </c>
      <c r="X61" s="552">
        <f t="shared" si="123"/>
        <v>0</v>
      </c>
      <c r="Y61" s="552">
        <f t="shared" si="123"/>
        <v>0</v>
      </c>
      <c r="Z61" s="552">
        <f t="shared" si="123"/>
        <v>0</v>
      </c>
      <c r="AA61" s="552">
        <f t="shared" si="123"/>
        <v>0</v>
      </c>
      <c r="AB61" s="552" t="e">
        <f t="shared" si="123"/>
        <v>#DIV/0!</v>
      </c>
      <c r="AC61" s="552" t="e">
        <f t="shared" si="123"/>
        <v>#DIV/0!</v>
      </c>
      <c r="AD61" s="552" t="e">
        <f t="shared" si="123"/>
        <v>#DIV/0!</v>
      </c>
      <c r="AF61" s="680"/>
      <c r="AG61" s="549" t="s">
        <v>188</v>
      </c>
      <c r="AH61" s="554">
        <f t="shared" ref="AH61:AS61" si="124">AH60/AH59*100</f>
        <v>0</v>
      </c>
      <c r="AI61" s="553">
        <f t="shared" si="124"/>
        <v>0</v>
      </c>
      <c r="AJ61" s="553">
        <f t="shared" si="124"/>
        <v>0</v>
      </c>
      <c r="AK61" s="553">
        <f t="shared" si="124"/>
        <v>0</v>
      </c>
      <c r="AL61" s="553">
        <f t="shared" si="124"/>
        <v>0</v>
      </c>
      <c r="AM61" s="552">
        <f t="shared" si="124"/>
        <v>0</v>
      </c>
      <c r="AN61" s="553">
        <f t="shared" si="124"/>
        <v>0</v>
      </c>
      <c r="AO61" s="553">
        <f t="shared" si="124"/>
        <v>0</v>
      </c>
      <c r="AP61" s="553">
        <f t="shared" si="124"/>
        <v>0</v>
      </c>
      <c r="AQ61" s="553">
        <f t="shared" si="124"/>
        <v>0</v>
      </c>
      <c r="AR61" s="553">
        <f t="shared" si="124"/>
        <v>0</v>
      </c>
      <c r="AS61" s="553">
        <f t="shared" si="124"/>
        <v>0</v>
      </c>
    </row>
    <row r="62" spans="1:45">
      <c r="B62" s="680" t="s">
        <v>121</v>
      </c>
      <c r="C62" s="489" t="s">
        <v>186</v>
      </c>
      <c r="D62" s="529"/>
      <c r="E62" s="529"/>
      <c r="F62" s="529"/>
      <c r="G62" s="529"/>
      <c r="H62" s="529"/>
      <c r="I62" s="529"/>
      <c r="J62" s="529"/>
      <c r="K62" s="529"/>
      <c r="L62" s="529"/>
      <c r="M62" s="529"/>
      <c r="N62" s="529"/>
      <c r="O62" s="529"/>
      <c r="Q62" s="680" t="s">
        <v>121</v>
      </c>
      <c r="R62" s="489" t="s">
        <v>186</v>
      </c>
      <c r="S62" s="538">
        <v>209</v>
      </c>
      <c r="T62" s="529">
        <v>341</v>
      </c>
      <c r="U62" s="540">
        <v>351</v>
      </c>
      <c r="V62" s="540">
        <v>249</v>
      </c>
      <c r="W62" s="529">
        <v>213</v>
      </c>
      <c r="X62" s="529">
        <v>224</v>
      </c>
      <c r="Y62" s="529">
        <v>220</v>
      </c>
      <c r="Z62" s="529">
        <v>218</v>
      </c>
      <c r="AA62" s="529">
        <v>200</v>
      </c>
      <c r="AB62" s="529"/>
      <c r="AC62" s="529"/>
      <c r="AD62" s="529"/>
      <c r="AF62" s="680" t="s">
        <v>121</v>
      </c>
      <c r="AG62" s="489" t="s">
        <v>186</v>
      </c>
      <c r="AH62" s="538">
        <f t="shared" si="118"/>
        <v>209</v>
      </c>
      <c r="AI62" s="539">
        <f>SUM($S$62:T62)</f>
        <v>550</v>
      </c>
      <c r="AJ62" s="539">
        <f>SUM($S$62:U62)</f>
        <v>901</v>
      </c>
      <c r="AK62" s="539">
        <f>SUM($S$62:V62)</f>
        <v>1150</v>
      </c>
      <c r="AL62" s="539">
        <f>SUM($S$62:W62)</f>
        <v>1363</v>
      </c>
      <c r="AM62" s="539">
        <f>SUM($S$62:X62)</f>
        <v>1587</v>
      </c>
      <c r="AN62" s="539">
        <f>SUM($S$62:Y62)</f>
        <v>1807</v>
      </c>
      <c r="AO62" s="539">
        <f>SUM($S$62:Z62)</f>
        <v>2025</v>
      </c>
      <c r="AP62" s="539">
        <f>SUM($S$62:AA62)</f>
        <v>2225</v>
      </c>
      <c r="AQ62" s="539">
        <f>SUM($S$62:AB62)</f>
        <v>2225</v>
      </c>
      <c r="AR62" s="539">
        <f>SUM($S$62:AC62)</f>
        <v>2225</v>
      </c>
      <c r="AS62" s="539">
        <f>SUM($S$62:AD62)</f>
        <v>2225</v>
      </c>
    </row>
    <row r="63" spans="1:45">
      <c r="B63" s="680"/>
      <c r="C63" s="489" t="s">
        <v>187</v>
      </c>
      <c r="D63" s="529"/>
      <c r="E63" s="529"/>
      <c r="F63" s="529"/>
      <c r="G63" s="529"/>
      <c r="H63" s="529"/>
      <c r="I63" s="529"/>
      <c r="J63" s="529"/>
      <c r="K63" s="529"/>
      <c r="L63" s="529"/>
      <c r="M63" s="529"/>
      <c r="N63" s="529"/>
      <c r="O63" s="529"/>
      <c r="Q63" s="680"/>
      <c r="R63" s="489" t="s">
        <v>187</v>
      </c>
      <c r="S63" s="529">
        <v>0</v>
      </c>
      <c r="T63" s="529">
        <v>0</v>
      </c>
      <c r="U63" s="529">
        <v>0</v>
      </c>
      <c r="V63" s="529">
        <v>0</v>
      </c>
      <c r="W63" s="529">
        <v>0</v>
      </c>
      <c r="X63" s="529">
        <v>0</v>
      </c>
      <c r="Y63" s="529">
        <v>0</v>
      </c>
      <c r="Z63" s="529">
        <v>0</v>
      </c>
      <c r="AA63" s="529">
        <v>0</v>
      </c>
      <c r="AB63" s="529"/>
      <c r="AC63" s="529"/>
      <c r="AD63" s="529"/>
      <c r="AF63" s="680"/>
      <c r="AG63" s="489" t="s">
        <v>187</v>
      </c>
      <c r="AH63" s="538">
        <f t="shared" si="118"/>
        <v>0</v>
      </c>
      <c r="AI63" s="539">
        <f>SUM($S$63:T63)</f>
        <v>0</v>
      </c>
      <c r="AJ63" s="539">
        <f>SUM($S$63:U63)</f>
        <v>0</v>
      </c>
      <c r="AK63" s="539">
        <f>SUM($S$63:V63)</f>
        <v>0</v>
      </c>
      <c r="AL63" s="539">
        <f>SUM($S$63:W63)</f>
        <v>0</v>
      </c>
      <c r="AM63" s="539">
        <f>SUM($S$63:X63)</f>
        <v>0</v>
      </c>
      <c r="AN63" s="539">
        <f>SUM($S$63:Y63)</f>
        <v>0</v>
      </c>
      <c r="AO63" s="539">
        <f>SUM($S$63:Z63)</f>
        <v>0</v>
      </c>
      <c r="AP63" s="539">
        <f>SUM($S$63:AA63)</f>
        <v>0</v>
      </c>
      <c r="AQ63" s="539">
        <f>SUM($S$63:AB63)</f>
        <v>0</v>
      </c>
      <c r="AR63" s="539">
        <f>SUM($S$63:AC63)</f>
        <v>0</v>
      </c>
      <c r="AS63" s="539">
        <f>SUM($S$63:AD63)</f>
        <v>0</v>
      </c>
    </row>
    <row r="64" spans="1:45">
      <c r="B64" s="680"/>
      <c r="C64" s="549" t="s">
        <v>188</v>
      </c>
      <c r="D64" s="550">
        <v>0.09</v>
      </c>
      <c r="E64" s="550">
        <v>0.09</v>
      </c>
      <c r="F64" s="550">
        <v>0.09</v>
      </c>
      <c r="G64" s="550">
        <v>0.09</v>
      </c>
      <c r="H64" s="550">
        <v>0.09</v>
      </c>
      <c r="I64" s="550">
        <v>0.09</v>
      </c>
      <c r="J64" s="550">
        <v>0.09</v>
      </c>
      <c r="K64" s="550">
        <v>0.09</v>
      </c>
      <c r="L64" s="550">
        <v>0.09</v>
      </c>
      <c r="M64" s="550">
        <v>0.09</v>
      </c>
      <c r="N64" s="550">
        <v>0.09</v>
      </c>
      <c r="O64" s="550">
        <v>0.09</v>
      </c>
      <c r="Q64" s="680"/>
      <c r="R64" s="549" t="s">
        <v>188</v>
      </c>
      <c r="S64" s="554">
        <f t="shared" ref="S64:AD64" si="125">S63/S62*100</f>
        <v>0</v>
      </c>
      <c r="T64" s="552">
        <f t="shared" si="125"/>
        <v>0</v>
      </c>
      <c r="U64" s="552">
        <f t="shared" si="125"/>
        <v>0</v>
      </c>
      <c r="V64" s="552">
        <f t="shared" si="125"/>
        <v>0</v>
      </c>
      <c r="W64" s="552">
        <f t="shared" si="125"/>
        <v>0</v>
      </c>
      <c r="X64" s="552">
        <f t="shared" si="125"/>
        <v>0</v>
      </c>
      <c r="Y64" s="552">
        <f t="shared" si="125"/>
        <v>0</v>
      </c>
      <c r="Z64" s="552">
        <f t="shared" si="125"/>
        <v>0</v>
      </c>
      <c r="AA64" s="552">
        <f t="shared" si="125"/>
        <v>0</v>
      </c>
      <c r="AB64" s="552" t="e">
        <f t="shared" si="125"/>
        <v>#DIV/0!</v>
      </c>
      <c r="AC64" s="552" t="e">
        <f t="shared" si="125"/>
        <v>#DIV/0!</v>
      </c>
      <c r="AD64" s="552" t="e">
        <f t="shared" si="125"/>
        <v>#DIV/0!</v>
      </c>
      <c r="AF64" s="680"/>
      <c r="AG64" s="549" t="s">
        <v>188</v>
      </c>
      <c r="AH64" s="554">
        <f t="shared" ref="AH64:AS64" si="126">AH63/AH62*100</f>
        <v>0</v>
      </c>
      <c r="AI64" s="553">
        <f t="shared" si="126"/>
        <v>0</v>
      </c>
      <c r="AJ64" s="553">
        <f t="shared" si="126"/>
        <v>0</v>
      </c>
      <c r="AK64" s="553">
        <f t="shared" si="126"/>
        <v>0</v>
      </c>
      <c r="AL64" s="553">
        <f t="shared" si="126"/>
        <v>0</v>
      </c>
      <c r="AM64" s="553">
        <f t="shared" si="126"/>
        <v>0</v>
      </c>
      <c r="AN64" s="553">
        <f t="shared" si="126"/>
        <v>0</v>
      </c>
      <c r="AO64" s="553">
        <f t="shared" si="126"/>
        <v>0</v>
      </c>
      <c r="AP64" s="553">
        <f t="shared" si="126"/>
        <v>0</v>
      </c>
      <c r="AQ64" s="553">
        <f t="shared" si="126"/>
        <v>0</v>
      </c>
      <c r="AR64" s="553">
        <f t="shared" si="126"/>
        <v>0</v>
      </c>
      <c r="AS64" s="553">
        <f t="shared" si="126"/>
        <v>0</v>
      </c>
    </row>
    <row r="65" spans="2:45">
      <c r="B65" s="680" t="s">
        <v>89</v>
      </c>
      <c r="C65" s="489" t="s">
        <v>186</v>
      </c>
      <c r="D65" s="529"/>
      <c r="E65" s="529"/>
      <c r="F65" s="529"/>
      <c r="G65" s="529"/>
      <c r="H65" s="529"/>
      <c r="I65" s="529"/>
      <c r="J65" s="529"/>
      <c r="K65" s="529"/>
      <c r="L65" s="529"/>
      <c r="M65" s="529"/>
      <c r="N65" s="529"/>
      <c r="O65" s="529"/>
      <c r="Q65" s="680" t="s">
        <v>89</v>
      </c>
      <c r="R65" s="489" t="s">
        <v>186</v>
      </c>
      <c r="S65" s="538">
        <v>947</v>
      </c>
      <c r="T65" s="539">
        <v>887</v>
      </c>
      <c r="U65" s="539">
        <v>975</v>
      </c>
      <c r="V65" s="539">
        <v>975</v>
      </c>
      <c r="W65" s="539">
        <v>892</v>
      </c>
      <c r="X65" s="539">
        <v>874</v>
      </c>
      <c r="Y65" s="539">
        <v>832</v>
      </c>
      <c r="Z65" s="539">
        <v>874</v>
      </c>
      <c r="AA65" s="539">
        <v>123</v>
      </c>
      <c r="AB65" s="539"/>
      <c r="AC65" s="539"/>
      <c r="AD65" s="539"/>
      <c r="AF65" s="680" t="s">
        <v>89</v>
      </c>
      <c r="AG65" s="489" t="s">
        <v>186</v>
      </c>
      <c r="AH65" s="538">
        <f t="shared" si="118"/>
        <v>947</v>
      </c>
      <c r="AI65" s="539">
        <f>SUM($S$65:T65)</f>
        <v>1834</v>
      </c>
      <c r="AJ65" s="539">
        <f>SUM($S$65:U65)</f>
        <v>2809</v>
      </c>
      <c r="AK65" s="539">
        <f>SUM($S$65:V65)</f>
        <v>3784</v>
      </c>
      <c r="AL65" s="539">
        <f>SUM($S$65:W65)</f>
        <v>4676</v>
      </c>
      <c r="AM65" s="539">
        <f>SUM($S$65:X65)</f>
        <v>5550</v>
      </c>
      <c r="AN65" s="539">
        <f>SUM($S$65:Y65)</f>
        <v>6382</v>
      </c>
      <c r="AO65" s="539">
        <f>SUM($S$65:Z65)</f>
        <v>7256</v>
      </c>
      <c r="AP65" s="539">
        <f>SUM($S$65:AA65)</f>
        <v>7379</v>
      </c>
      <c r="AQ65" s="539">
        <f>SUM($S$65:AB65)</f>
        <v>7379</v>
      </c>
      <c r="AR65" s="539">
        <f>SUM($S$65:AC65)</f>
        <v>7379</v>
      </c>
      <c r="AS65" s="539">
        <f>SUM($S$65:AD65)</f>
        <v>7379</v>
      </c>
    </row>
    <row r="66" spans="2:45">
      <c r="B66" s="680"/>
      <c r="C66" s="489" t="s">
        <v>187</v>
      </c>
      <c r="D66" s="529"/>
      <c r="E66" s="529"/>
      <c r="F66" s="529"/>
      <c r="G66" s="529"/>
      <c r="H66" s="529"/>
      <c r="I66" s="529"/>
      <c r="J66" s="529"/>
      <c r="K66" s="529"/>
      <c r="L66" s="529"/>
      <c r="M66" s="529"/>
      <c r="N66" s="529"/>
      <c r="O66" s="529"/>
      <c r="Q66" s="680"/>
      <c r="R66" s="489" t="s">
        <v>187</v>
      </c>
      <c r="S66" s="529">
        <v>0</v>
      </c>
      <c r="T66" s="539">
        <v>0</v>
      </c>
      <c r="U66" s="539">
        <v>0</v>
      </c>
      <c r="V66" s="539">
        <v>0</v>
      </c>
      <c r="W66" s="539">
        <v>0</v>
      </c>
      <c r="X66" s="539">
        <v>0</v>
      </c>
      <c r="Y66" s="539">
        <v>0</v>
      </c>
      <c r="Z66" s="539">
        <v>0</v>
      </c>
      <c r="AA66" s="539">
        <v>0</v>
      </c>
      <c r="AB66" s="539"/>
      <c r="AC66" s="539"/>
      <c r="AD66" s="539"/>
      <c r="AF66" s="680"/>
      <c r="AG66" s="489" t="s">
        <v>187</v>
      </c>
      <c r="AH66" s="538">
        <f t="shared" si="118"/>
        <v>0</v>
      </c>
      <c r="AI66" s="539">
        <f>SUM($S$66:T66)</f>
        <v>0</v>
      </c>
      <c r="AJ66" s="539">
        <f>SUM($S$66:U66)</f>
        <v>0</v>
      </c>
      <c r="AK66" s="539">
        <f>SUM($S$66:V66)</f>
        <v>0</v>
      </c>
      <c r="AL66" s="539">
        <f>SUM($S$66:W66)</f>
        <v>0</v>
      </c>
      <c r="AM66" s="539">
        <f>SUM($S$66:X66)</f>
        <v>0</v>
      </c>
      <c r="AN66" s="539">
        <f>SUM($S$66:Y66)</f>
        <v>0</v>
      </c>
      <c r="AO66" s="539">
        <f>SUM($S$66:Z66)</f>
        <v>0</v>
      </c>
      <c r="AP66" s="539">
        <f>SUM($S$66:AA66)</f>
        <v>0</v>
      </c>
      <c r="AQ66" s="539">
        <f>SUM($S$66:AB66)</f>
        <v>0</v>
      </c>
      <c r="AR66" s="539">
        <f>SUM($S$66:AC66)</f>
        <v>0</v>
      </c>
      <c r="AS66" s="539">
        <f>SUM($S$66:AD66)</f>
        <v>0</v>
      </c>
    </row>
    <row r="67" spans="2:45">
      <c r="B67" s="680"/>
      <c r="C67" s="549" t="s">
        <v>188</v>
      </c>
      <c r="D67" s="550">
        <v>0.09</v>
      </c>
      <c r="E67" s="550">
        <v>0.09</v>
      </c>
      <c r="F67" s="550">
        <v>0.09</v>
      </c>
      <c r="G67" s="550">
        <v>0.09</v>
      </c>
      <c r="H67" s="550">
        <v>0.09</v>
      </c>
      <c r="I67" s="550">
        <v>0.09</v>
      </c>
      <c r="J67" s="550">
        <v>0.09</v>
      </c>
      <c r="K67" s="550">
        <v>0.09</v>
      </c>
      <c r="L67" s="550">
        <v>0.09</v>
      </c>
      <c r="M67" s="550">
        <v>0.09</v>
      </c>
      <c r="N67" s="550">
        <v>0.09</v>
      </c>
      <c r="O67" s="550">
        <v>0.09</v>
      </c>
      <c r="Q67" s="680"/>
      <c r="R67" s="549" t="s">
        <v>188</v>
      </c>
      <c r="S67" s="554">
        <f t="shared" ref="S67:AD67" si="127">S66/S65*100</f>
        <v>0</v>
      </c>
      <c r="T67" s="553">
        <f t="shared" si="127"/>
        <v>0</v>
      </c>
      <c r="U67" s="553">
        <f t="shared" si="127"/>
        <v>0</v>
      </c>
      <c r="V67" s="553">
        <f t="shared" si="127"/>
        <v>0</v>
      </c>
      <c r="W67" s="553">
        <f>W66/W65*100</f>
        <v>0</v>
      </c>
      <c r="X67" s="553">
        <f>X66/X65*100</f>
        <v>0</v>
      </c>
      <c r="Y67" s="553">
        <f t="shared" si="127"/>
        <v>0</v>
      </c>
      <c r="Z67" s="553">
        <f t="shared" si="127"/>
        <v>0</v>
      </c>
      <c r="AA67" s="553">
        <f t="shared" si="127"/>
        <v>0</v>
      </c>
      <c r="AB67" s="553" t="e">
        <f t="shared" si="127"/>
        <v>#DIV/0!</v>
      </c>
      <c r="AC67" s="553" t="e">
        <f t="shared" si="127"/>
        <v>#DIV/0!</v>
      </c>
      <c r="AD67" s="553" t="e">
        <f t="shared" si="127"/>
        <v>#DIV/0!</v>
      </c>
      <c r="AF67" s="680"/>
      <c r="AG67" s="549" t="s">
        <v>188</v>
      </c>
      <c r="AH67" s="554">
        <f t="shared" ref="AH67:AS67" si="128">AH66/AH65*100</f>
        <v>0</v>
      </c>
      <c r="AI67" s="553">
        <f t="shared" si="128"/>
        <v>0</v>
      </c>
      <c r="AJ67" s="553">
        <f t="shared" si="128"/>
        <v>0</v>
      </c>
      <c r="AK67" s="553">
        <f t="shared" si="128"/>
        <v>0</v>
      </c>
      <c r="AL67" s="553">
        <f t="shared" si="128"/>
        <v>0</v>
      </c>
      <c r="AM67" s="553">
        <f t="shared" si="128"/>
        <v>0</v>
      </c>
      <c r="AN67" s="553">
        <f t="shared" si="128"/>
        <v>0</v>
      </c>
      <c r="AO67" s="553">
        <f t="shared" si="128"/>
        <v>0</v>
      </c>
      <c r="AP67" s="553">
        <f t="shared" si="128"/>
        <v>0</v>
      </c>
      <c r="AQ67" s="553">
        <f t="shared" si="128"/>
        <v>0</v>
      </c>
      <c r="AR67" s="553">
        <f t="shared" si="128"/>
        <v>0</v>
      </c>
      <c r="AS67" s="553">
        <f t="shared" si="128"/>
        <v>0</v>
      </c>
    </row>
    <row r="68" spans="2:45">
      <c r="B68" s="680" t="s">
        <v>90</v>
      </c>
      <c r="C68" s="489" t="s">
        <v>186</v>
      </c>
      <c r="D68" s="529"/>
      <c r="E68" s="529"/>
      <c r="F68" s="529"/>
      <c r="G68" s="529"/>
      <c r="H68" s="529"/>
      <c r="I68" s="529"/>
      <c r="J68" s="529"/>
      <c r="K68" s="529"/>
      <c r="L68" s="529"/>
      <c r="M68" s="529"/>
      <c r="N68" s="529"/>
      <c r="O68" s="529"/>
      <c r="Q68" s="680" t="s">
        <v>90</v>
      </c>
      <c r="R68" s="489" t="s">
        <v>186</v>
      </c>
      <c r="S68" s="538">
        <f t="shared" ref="S68:AD68" si="129">S65+S62+S59+S56+S53</f>
        <v>2314</v>
      </c>
      <c r="T68" s="539">
        <f t="shared" si="129"/>
        <v>2267</v>
      </c>
      <c r="U68" s="539">
        <f t="shared" si="129"/>
        <v>2543</v>
      </c>
      <c r="V68" s="539">
        <f t="shared" si="129"/>
        <v>2220</v>
      </c>
      <c r="W68" s="539">
        <f>W65+W62+W59+W56+W53</f>
        <v>2040</v>
      </c>
      <c r="X68" s="539">
        <f>X65+X62+X59+X56+X53</f>
        <v>1927</v>
      </c>
      <c r="Y68" s="539">
        <f t="shared" si="129"/>
        <v>2101</v>
      </c>
      <c r="Z68" s="539">
        <f t="shared" si="129"/>
        <v>2156</v>
      </c>
      <c r="AA68" s="539">
        <f t="shared" si="129"/>
        <v>1402</v>
      </c>
      <c r="AB68" s="539">
        <f t="shared" si="129"/>
        <v>0</v>
      </c>
      <c r="AC68" s="539">
        <f t="shared" si="129"/>
        <v>0</v>
      </c>
      <c r="AD68" s="539">
        <f t="shared" si="129"/>
        <v>0</v>
      </c>
      <c r="AF68" s="680" t="s">
        <v>90</v>
      </c>
      <c r="AG68" s="489" t="s">
        <v>186</v>
      </c>
      <c r="AH68" s="538">
        <f t="shared" si="118"/>
        <v>2314</v>
      </c>
      <c r="AI68" s="539">
        <f>SUM($S$68:T68)</f>
        <v>4581</v>
      </c>
      <c r="AJ68" s="539">
        <f>SUM($S$68:U68)</f>
        <v>7124</v>
      </c>
      <c r="AK68" s="539">
        <f>SUM($S$68:V68)</f>
        <v>9344</v>
      </c>
      <c r="AL68" s="539">
        <f>SUM($S$68:W68)</f>
        <v>11384</v>
      </c>
      <c r="AM68" s="539">
        <f>SUM($S$68:X68)</f>
        <v>13311</v>
      </c>
      <c r="AN68" s="539">
        <f>SUM($S$68:Y68)</f>
        <v>15412</v>
      </c>
      <c r="AO68" s="539">
        <f>SUM($S$68:Z68)</f>
        <v>17568</v>
      </c>
      <c r="AP68" s="539">
        <f>SUM($S$68:AA68)</f>
        <v>18970</v>
      </c>
      <c r="AQ68" s="539">
        <f>SUM($S$68:AB68)</f>
        <v>18970</v>
      </c>
      <c r="AR68" s="539">
        <f>SUM($S$68:AC68)</f>
        <v>18970</v>
      </c>
      <c r="AS68" s="539">
        <f>SUM($S$68:AD68)</f>
        <v>18970</v>
      </c>
    </row>
    <row r="69" spans="2:45">
      <c r="B69" s="680"/>
      <c r="C69" s="489" t="s">
        <v>187</v>
      </c>
      <c r="D69" s="529"/>
      <c r="E69" s="529"/>
      <c r="F69" s="529"/>
      <c r="G69" s="529"/>
      <c r="H69" s="529"/>
      <c r="I69" s="529"/>
      <c r="J69" s="529"/>
      <c r="K69" s="529"/>
      <c r="L69" s="529"/>
      <c r="M69" s="529"/>
      <c r="N69" s="529"/>
      <c r="O69" s="529"/>
      <c r="Q69" s="680"/>
      <c r="R69" s="489" t="s">
        <v>187</v>
      </c>
      <c r="S69" s="538">
        <f t="shared" ref="S69:AD69" si="130">S66+S63+S60+S57+S54</f>
        <v>0</v>
      </c>
      <c r="T69" s="539">
        <f t="shared" si="130"/>
        <v>0</v>
      </c>
      <c r="U69" s="539">
        <f t="shared" si="130"/>
        <v>0</v>
      </c>
      <c r="V69" s="539">
        <f t="shared" si="130"/>
        <v>0</v>
      </c>
      <c r="W69" s="539">
        <f>W66+W63+W60+W57+W54</f>
        <v>0</v>
      </c>
      <c r="X69" s="539">
        <f>X66+X63+X60+X57+X54</f>
        <v>0</v>
      </c>
      <c r="Y69" s="539">
        <f t="shared" si="130"/>
        <v>0</v>
      </c>
      <c r="Z69" s="539">
        <f t="shared" si="130"/>
        <v>0</v>
      </c>
      <c r="AA69" s="539">
        <f t="shared" si="130"/>
        <v>0</v>
      </c>
      <c r="AB69" s="539">
        <f t="shared" si="130"/>
        <v>0</v>
      </c>
      <c r="AC69" s="539">
        <f t="shared" si="130"/>
        <v>0</v>
      </c>
      <c r="AD69" s="539">
        <f t="shared" si="130"/>
        <v>0</v>
      </c>
      <c r="AF69" s="680"/>
      <c r="AG69" s="489" t="s">
        <v>187</v>
      </c>
      <c r="AH69" s="538">
        <f t="shared" si="118"/>
        <v>0</v>
      </c>
      <c r="AI69" s="539">
        <f>SUM($S$69:T69)</f>
        <v>0</v>
      </c>
      <c r="AJ69" s="539">
        <f>SUM($S$69:U69)</f>
        <v>0</v>
      </c>
      <c r="AK69" s="539">
        <f>SUM($S$69:V69)</f>
        <v>0</v>
      </c>
      <c r="AL69" s="539">
        <f>SUM($S$69:W69)</f>
        <v>0</v>
      </c>
      <c r="AM69" s="539">
        <f>SUM($S$69:X69)</f>
        <v>0</v>
      </c>
      <c r="AN69" s="539">
        <f>SUM($S$69:Y69)</f>
        <v>0</v>
      </c>
      <c r="AO69" s="539">
        <f>SUM($S$69:Z69)</f>
        <v>0</v>
      </c>
      <c r="AP69" s="539">
        <f>SUM($S$69:AA69)</f>
        <v>0</v>
      </c>
      <c r="AQ69" s="539">
        <f>SUM($S$69:AB69)</f>
        <v>0</v>
      </c>
      <c r="AR69" s="539">
        <f>SUM($S$69:AC69)</f>
        <v>0</v>
      </c>
      <c r="AS69" s="539">
        <f>SUM($S$69:AD69)</f>
        <v>0</v>
      </c>
    </row>
    <row r="70" spans="2:45">
      <c r="B70" s="680"/>
      <c r="C70" s="549" t="s">
        <v>188</v>
      </c>
      <c r="D70" s="550">
        <v>0.09</v>
      </c>
      <c r="E70" s="550">
        <v>0.09</v>
      </c>
      <c r="F70" s="550">
        <v>0.09</v>
      </c>
      <c r="G70" s="550">
        <v>0.09</v>
      </c>
      <c r="H70" s="550">
        <v>0.09</v>
      </c>
      <c r="I70" s="550">
        <v>0.09</v>
      </c>
      <c r="J70" s="550">
        <v>0.09</v>
      </c>
      <c r="K70" s="550">
        <v>0.09</v>
      </c>
      <c r="L70" s="550">
        <v>0.09</v>
      </c>
      <c r="M70" s="550">
        <v>0.09</v>
      </c>
      <c r="N70" s="550">
        <v>0.09</v>
      </c>
      <c r="O70" s="550">
        <v>0.09</v>
      </c>
      <c r="Q70" s="680"/>
      <c r="R70" s="549" t="s">
        <v>188</v>
      </c>
      <c r="S70" s="554">
        <f t="shared" ref="S70:AD70" si="131">S69/S68*100</f>
        <v>0</v>
      </c>
      <c r="T70" s="553">
        <f t="shared" si="131"/>
        <v>0</v>
      </c>
      <c r="U70" s="553">
        <f t="shared" si="131"/>
        <v>0</v>
      </c>
      <c r="V70" s="555">
        <f t="shared" si="131"/>
        <v>0</v>
      </c>
      <c r="W70" s="555">
        <f t="shared" si="131"/>
        <v>0</v>
      </c>
      <c r="X70" s="555">
        <f t="shared" si="131"/>
        <v>0</v>
      </c>
      <c r="Y70" s="555">
        <f t="shared" si="131"/>
        <v>0</v>
      </c>
      <c r="Z70" s="555">
        <f t="shared" si="131"/>
        <v>0</v>
      </c>
      <c r="AA70" s="555">
        <f t="shared" si="131"/>
        <v>0</v>
      </c>
      <c r="AB70" s="555" t="e">
        <f t="shared" si="131"/>
        <v>#DIV/0!</v>
      </c>
      <c r="AC70" s="555" t="e">
        <f t="shared" si="131"/>
        <v>#DIV/0!</v>
      </c>
      <c r="AD70" s="555" t="e">
        <f t="shared" si="131"/>
        <v>#DIV/0!</v>
      </c>
      <c r="AF70" s="680"/>
      <c r="AG70" s="549" t="s">
        <v>188</v>
      </c>
      <c r="AH70" s="556">
        <f t="shared" ref="AH70:AS70" si="132">AH69/AH68*100</f>
        <v>0</v>
      </c>
      <c r="AI70" s="555">
        <f t="shared" si="132"/>
        <v>0</v>
      </c>
      <c r="AJ70" s="555">
        <f t="shared" si="132"/>
        <v>0</v>
      </c>
      <c r="AK70" s="555">
        <f t="shared" si="132"/>
        <v>0</v>
      </c>
      <c r="AL70" s="555">
        <f t="shared" si="132"/>
        <v>0</v>
      </c>
      <c r="AM70" s="555">
        <f t="shared" si="132"/>
        <v>0</v>
      </c>
      <c r="AN70" s="555">
        <f t="shared" si="132"/>
        <v>0</v>
      </c>
      <c r="AO70" s="555">
        <f t="shared" si="132"/>
        <v>0</v>
      </c>
      <c r="AP70" s="555">
        <f t="shared" si="132"/>
        <v>0</v>
      </c>
      <c r="AQ70" s="555">
        <f t="shared" si="132"/>
        <v>0</v>
      </c>
      <c r="AR70" s="555">
        <f t="shared" si="132"/>
        <v>0</v>
      </c>
      <c r="AS70" s="555">
        <f t="shared" si="132"/>
        <v>0</v>
      </c>
    </row>
    <row r="71" spans="2:45"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  <c r="AC71" s="166"/>
      <c r="AD71" s="166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66"/>
      <c r="AS71" s="105"/>
    </row>
    <row r="72" spans="2:45">
      <c r="B72" s="371" t="s">
        <v>189</v>
      </c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Q72" s="194" t="str">
        <f>$B$72</f>
        <v>PENURUNAN PENGADUAN GANGGUAN BERULANG PADA PLN MOBILE</v>
      </c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  <c r="AD72" s="105"/>
      <c r="AF72" s="194" t="str">
        <f>Q72</f>
        <v>PENURUNAN PENGADUAN GANGGUAN BERULANG PADA PLN MOBILE</v>
      </c>
      <c r="AH72" s="105"/>
      <c r="AI72" s="105"/>
      <c r="AJ72" s="105">
        <f>IF(B2="", "", SUM($B$2:B2))</f>
        <v>0</v>
      </c>
      <c r="AK72" s="105"/>
      <c r="AL72" s="105"/>
      <c r="AM72" s="105"/>
      <c r="AN72" s="105"/>
      <c r="AO72" s="105"/>
      <c r="AP72" s="105"/>
      <c r="AQ72" s="105"/>
      <c r="AR72" s="105"/>
      <c r="AS72" s="105"/>
    </row>
    <row r="73" spans="2:45">
      <c r="B73" s="21" t="s">
        <v>100</v>
      </c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Q73" t="s">
        <v>126</v>
      </c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  <c r="AD73" s="105"/>
      <c r="AF73" t="s">
        <v>181</v>
      </c>
      <c r="AH73" s="105"/>
      <c r="AI73" s="105"/>
      <c r="AJ73" s="105"/>
      <c r="AK73" s="105"/>
      <c r="AL73" s="105"/>
      <c r="AM73" s="105"/>
      <c r="AN73" s="105"/>
      <c r="AO73" s="105"/>
      <c r="AP73" s="105"/>
      <c r="AQ73" s="105"/>
      <c r="AR73" s="105"/>
      <c r="AS73" s="105"/>
    </row>
    <row r="74" spans="2:45">
      <c r="B74" s="686" t="s">
        <v>72</v>
      </c>
      <c r="C74" s="686"/>
      <c r="D74" s="638" t="s">
        <v>74</v>
      </c>
      <c r="E74" s="638" t="s">
        <v>75</v>
      </c>
      <c r="F74" s="638" t="s">
        <v>76</v>
      </c>
      <c r="G74" s="638" t="s">
        <v>77</v>
      </c>
      <c r="H74" s="638" t="s">
        <v>78</v>
      </c>
      <c r="I74" s="638" t="s">
        <v>79</v>
      </c>
      <c r="J74" s="638" t="s">
        <v>80</v>
      </c>
      <c r="K74" s="638" t="s">
        <v>81</v>
      </c>
      <c r="L74" s="638" t="s">
        <v>82</v>
      </c>
      <c r="M74" s="638" t="s">
        <v>83</v>
      </c>
      <c r="N74" s="638" t="s">
        <v>84</v>
      </c>
      <c r="O74" s="638" t="s">
        <v>85</v>
      </c>
      <c r="Q74" s="686" t="s">
        <v>72</v>
      </c>
      <c r="R74" s="686"/>
      <c r="S74" s="638" t="s">
        <v>74</v>
      </c>
      <c r="T74" s="638" t="s">
        <v>75</v>
      </c>
      <c r="U74" s="638" t="s">
        <v>76</v>
      </c>
      <c r="V74" s="638" t="s">
        <v>77</v>
      </c>
      <c r="W74" s="638" t="s">
        <v>78</v>
      </c>
      <c r="X74" s="638" t="s">
        <v>79</v>
      </c>
      <c r="Y74" s="638" t="s">
        <v>80</v>
      </c>
      <c r="Z74" s="638" t="s">
        <v>81</v>
      </c>
      <c r="AA74" s="638" t="s">
        <v>82</v>
      </c>
      <c r="AB74" s="638" t="s">
        <v>83</v>
      </c>
      <c r="AC74" s="638" t="s">
        <v>84</v>
      </c>
      <c r="AD74" s="638" t="s">
        <v>85</v>
      </c>
      <c r="AF74" s="686" t="s">
        <v>72</v>
      </c>
      <c r="AG74" s="686"/>
      <c r="AH74" s="638" t="s">
        <v>74</v>
      </c>
      <c r="AI74" s="638" t="s">
        <v>75</v>
      </c>
      <c r="AJ74" s="638" t="s">
        <v>76</v>
      </c>
      <c r="AK74" s="638" t="s">
        <v>77</v>
      </c>
      <c r="AL74" s="638" t="s">
        <v>78</v>
      </c>
      <c r="AM74" s="638" t="s">
        <v>79</v>
      </c>
      <c r="AN74" s="638" t="s">
        <v>80</v>
      </c>
      <c r="AO74" s="638" t="s">
        <v>81</v>
      </c>
      <c r="AP74" s="638" t="s">
        <v>82</v>
      </c>
      <c r="AQ74" s="638" t="s">
        <v>83</v>
      </c>
      <c r="AR74" s="638" t="s">
        <v>84</v>
      </c>
      <c r="AS74" s="638" t="s">
        <v>85</v>
      </c>
    </row>
    <row r="75" spans="2:45">
      <c r="B75" s="680" t="s">
        <v>128</v>
      </c>
      <c r="C75" s="489" t="s">
        <v>186</v>
      </c>
      <c r="D75" s="529"/>
      <c r="E75" s="529"/>
      <c r="F75" s="529"/>
      <c r="G75" s="529"/>
      <c r="H75" s="529"/>
      <c r="I75" s="529"/>
      <c r="J75" s="529"/>
      <c r="K75" s="529"/>
      <c r="L75" s="529"/>
      <c r="M75" s="529"/>
      <c r="N75" s="529"/>
      <c r="O75" s="529"/>
      <c r="Q75" s="680" t="s">
        <v>128</v>
      </c>
      <c r="R75" s="489" t="s">
        <v>186</v>
      </c>
      <c r="S75" s="539">
        <f t="shared" ref="S75:AD75" si="133">S53</f>
        <v>341</v>
      </c>
      <c r="T75" s="539">
        <f t="shared" si="133"/>
        <v>292</v>
      </c>
      <c r="U75" s="539">
        <f t="shared" si="133"/>
        <v>397</v>
      </c>
      <c r="V75" s="539">
        <f t="shared" si="133"/>
        <v>339</v>
      </c>
      <c r="W75" s="539">
        <f t="shared" si="133"/>
        <v>317</v>
      </c>
      <c r="X75" s="539">
        <f t="shared" si="133"/>
        <v>299</v>
      </c>
      <c r="Y75" s="539">
        <f t="shared" si="133"/>
        <v>390</v>
      </c>
      <c r="Z75" s="539">
        <f t="shared" si="133"/>
        <v>320</v>
      </c>
      <c r="AA75" s="539">
        <f t="shared" si="133"/>
        <v>300</v>
      </c>
      <c r="AB75" s="539">
        <f t="shared" si="133"/>
        <v>0</v>
      </c>
      <c r="AC75" s="539">
        <f t="shared" si="133"/>
        <v>0</v>
      </c>
      <c r="AD75" s="539">
        <f t="shared" si="133"/>
        <v>0</v>
      </c>
      <c r="AF75" s="680" t="s">
        <v>128</v>
      </c>
      <c r="AG75" s="489" t="s">
        <v>186</v>
      </c>
      <c r="AH75" s="539">
        <f t="shared" ref="AH75:AH91" si="134">S75</f>
        <v>341</v>
      </c>
      <c r="AI75" s="539">
        <f>SUM($S$75:T75)</f>
        <v>633</v>
      </c>
      <c r="AJ75" s="539">
        <f>SUM($S$75:U75)</f>
        <v>1030</v>
      </c>
      <c r="AK75" s="539">
        <f>SUM($S$75:V75)</f>
        <v>1369</v>
      </c>
      <c r="AL75" s="539">
        <f>SUM($S$75:W75)</f>
        <v>1686</v>
      </c>
      <c r="AM75" s="539">
        <f>SUM($S$75:X75)</f>
        <v>1985</v>
      </c>
      <c r="AN75" s="539">
        <f>SUM($S$75:Y75)</f>
        <v>2375</v>
      </c>
      <c r="AO75" s="539">
        <f>SUM($S$75:Z75)</f>
        <v>2695</v>
      </c>
      <c r="AP75" s="539">
        <f>SUM($S$75:AA75)</f>
        <v>2995</v>
      </c>
      <c r="AQ75" s="539">
        <f>SUM($S$75:AB75)</f>
        <v>2995</v>
      </c>
      <c r="AR75" s="539">
        <f>SUM($S$75:AC75)</f>
        <v>2995</v>
      </c>
      <c r="AS75" s="539">
        <f>SUM($S$75:AD75)</f>
        <v>2995</v>
      </c>
    </row>
    <row r="76" spans="2:45">
      <c r="B76" s="680"/>
      <c r="C76" s="489" t="s">
        <v>190</v>
      </c>
      <c r="D76" s="529"/>
      <c r="E76" s="529"/>
      <c r="F76" s="529"/>
      <c r="G76" s="529"/>
      <c r="H76" s="529"/>
      <c r="I76" s="529"/>
      <c r="J76" s="529"/>
      <c r="K76" s="529"/>
      <c r="L76" s="529"/>
      <c r="M76" s="529"/>
      <c r="N76" s="529"/>
      <c r="O76" s="529"/>
      <c r="Q76" s="680"/>
      <c r="R76" s="489" t="s">
        <v>190</v>
      </c>
      <c r="S76" s="539">
        <v>0</v>
      </c>
      <c r="T76" s="539">
        <v>0</v>
      </c>
      <c r="U76" s="539">
        <v>0</v>
      </c>
      <c r="V76" s="539">
        <v>0</v>
      </c>
      <c r="W76" s="539">
        <v>0</v>
      </c>
      <c r="X76" s="539">
        <v>0</v>
      </c>
      <c r="Y76" s="539">
        <v>0</v>
      </c>
      <c r="Z76" s="539">
        <v>0</v>
      </c>
      <c r="AA76" s="539">
        <v>0</v>
      </c>
      <c r="AB76" s="539">
        <v>0</v>
      </c>
      <c r="AC76" s="539">
        <v>1</v>
      </c>
      <c r="AD76" s="539">
        <v>0</v>
      </c>
      <c r="AF76" s="680"/>
      <c r="AG76" s="489" t="s">
        <v>190</v>
      </c>
      <c r="AH76" s="539">
        <f t="shared" si="134"/>
        <v>0</v>
      </c>
      <c r="AI76" s="539">
        <f>SUM($S$76:T76)</f>
        <v>0</v>
      </c>
      <c r="AJ76" s="539">
        <f>SUM($S$76:U76)</f>
        <v>0</v>
      </c>
      <c r="AK76" s="539">
        <f>SUM($S$76:V76)</f>
        <v>0</v>
      </c>
      <c r="AL76" s="539">
        <f>SUM($S$76:W76)</f>
        <v>0</v>
      </c>
      <c r="AM76" s="539">
        <f>SUM($S$76:X76)</f>
        <v>0</v>
      </c>
      <c r="AN76" s="539">
        <f>SUM($S$76:Y76)</f>
        <v>0</v>
      </c>
      <c r="AO76" s="539">
        <f>SUM($S$76:Z76)</f>
        <v>0</v>
      </c>
      <c r="AP76" s="539">
        <f>SUM($S$76:AA76)</f>
        <v>0</v>
      </c>
      <c r="AQ76" s="539">
        <f>SUM($S$76:AB76)</f>
        <v>0</v>
      </c>
      <c r="AR76" s="539">
        <f>SUM($S$76:AC76)</f>
        <v>1</v>
      </c>
      <c r="AS76" s="539">
        <f>SUM($S$76:AD76)</f>
        <v>1</v>
      </c>
    </row>
    <row r="77" spans="2:45">
      <c r="B77" s="680"/>
      <c r="C77" s="549" t="s">
        <v>190</v>
      </c>
      <c r="D77" s="552">
        <v>0.04</v>
      </c>
      <c r="E77" s="552">
        <v>0.04</v>
      </c>
      <c r="F77" s="552">
        <v>0.04</v>
      </c>
      <c r="G77" s="552">
        <v>0.04</v>
      </c>
      <c r="H77" s="552">
        <v>0.04</v>
      </c>
      <c r="I77" s="552">
        <v>0.04</v>
      </c>
      <c r="J77" s="552">
        <v>0.04</v>
      </c>
      <c r="K77" s="552">
        <v>0.04</v>
      </c>
      <c r="L77" s="552">
        <v>0.04</v>
      </c>
      <c r="M77" s="552">
        <v>0.04</v>
      </c>
      <c r="N77" s="552">
        <v>0.04</v>
      </c>
      <c r="O77" s="552">
        <v>0.04</v>
      </c>
      <c r="Q77" s="680"/>
      <c r="R77" s="549" t="s">
        <v>190</v>
      </c>
      <c r="S77" s="554">
        <f t="shared" ref="S77:AD77" si="135">S76/S75*100</f>
        <v>0</v>
      </c>
      <c r="T77" s="552">
        <f t="shared" si="135"/>
        <v>0</v>
      </c>
      <c r="U77" s="552">
        <f t="shared" si="135"/>
        <v>0</v>
      </c>
      <c r="V77" s="552">
        <f t="shared" si="135"/>
        <v>0</v>
      </c>
      <c r="W77" s="552">
        <f t="shared" si="135"/>
        <v>0</v>
      </c>
      <c r="X77" s="552">
        <f t="shared" si="135"/>
        <v>0</v>
      </c>
      <c r="Y77" s="552">
        <f t="shared" si="135"/>
        <v>0</v>
      </c>
      <c r="Z77" s="552">
        <f t="shared" si="135"/>
        <v>0</v>
      </c>
      <c r="AA77" s="552">
        <f t="shared" si="135"/>
        <v>0</v>
      </c>
      <c r="AB77" s="552" t="e">
        <f t="shared" si="135"/>
        <v>#DIV/0!</v>
      </c>
      <c r="AC77" s="552" t="e">
        <f t="shared" si="135"/>
        <v>#DIV/0!</v>
      </c>
      <c r="AD77" s="552" t="e">
        <f t="shared" si="135"/>
        <v>#DIV/0!</v>
      </c>
      <c r="AF77" s="680"/>
      <c r="AG77" s="549" t="s">
        <v>190</v>
      </c>
      <c r="AH77" s="552">
        <f t="shared" ref="AH77:AS77" si="136">AH76/AH75*100</f>
        <v>0</v>
      </c>
      <c r="AI77" s="553">
        <f t="shared" si="136"/>
        <v>0</v>
      </c>
      <c r="AJ77" s="553">
        <f t="shared" si="136"/>
        <v>0</v>
      </c>
      <c r="AK77" s="553">
        <f t="shared" si="136"/>
        <v>0</v>
      </c>
      <c r="AL77" s="553">
        <f t="shared" si="136"/>
        <v>0</v>
      </c>
      <c r="AM77" s="553">
        <f t="shared" si="136"/>
        <v>0</v>
      </c>
      <c r="AN77" s="553">
        <f t="shared" si="136"/>
        <v>0</v>
      </c>
      <c r="AO77" s="553">
        <f t="shared" si="136"/>
        <v>0</v>
      </c>
      <c r="AP77" s="553">
        <f t="shared" si="136"/>
        <v>0</v>
      </c>
      <c r="AQ77" s="553">
        <f t="shared" si="136"/>
        <v>0</v>
      </c>
      <c r="AR77" s="553">
        <f t="shared" si="136"/>
        <v>3.3388981636060099E-2</v>
      </c>
      <c r="AS77" s="553">
        <f t="shared" si="136"/>
        <v>3.3388981636060099E-2</v>
      </c>
    </row>
    <row r="78" spans="2:45">
      <c r="B78" s="680" t="s">
        <v>87</v>
      </c>
      <c r="C78" s="489" t="s">
        <v>186</v>
      </c>
      <c r="D78" s="529"/>
      <c r="E78" s="529"/>
      <c r="F78" s="529"/>
      <c r="G78" s="529"/>
      <c r="H78" s="529"/>
      <c r="I78" s="529"/>
      <c r="J78" s="529"/>
      <c r="K78" s="529"/>
      <c r="L78" s="529"/>
      <c r="M78" s="529"/>
      <c r="N78" s="529"/>
      <c r="O78" s="529"/>
      <c r="Q78" s="680" t="s">
        <v>87</v>
      </c>
      <c r="R78" s="489" t="s">
        <v>186</v>
      </c>
      <c r="S78" s="538">
        <f t="shared" ref="S78:AD78" si="137">S56</f>
        <v>466</v>
      </c>
      <c r="T78" s="538">
        <f t="shared" si="137"/>
        <v>413</v>
      </c>
      <c r="U78" s="538">
        <f t="shared" si="137"/>
        <v>389</v>
      </c>
      <c r="V78" s="538">
        <f t="shared" si="137"/>
        <v>322</v>
      </c>
      <c r="W78" s="538">
        <f t="shared" si="137"/>
        <v>319</v>
      </c>
      <c r="X78" s="538">
        <f t="shared" si="137"/>
        <v>261</v>
      </c>
      <c r="Y78" s="538">
        <f t="shared" si="137"/>
        <v>351</v>
      </c>
      <c r="Z78" s="538">
        <f t="shared" si="137"/>
        <v>422</v>
      </c>
      <c r="AA78" s="538">
        <f t="shared" si="137"/>
        <v>489</v>
      </c>
      <c r="AB78" s="538">
        <f t="shared" si="137"/>
        <v>0</v>
      </c>
      <c r="AC78" s="538">
        <f t="shared" si="137"/>
        <v>0</v>
      </c>
      <c r="AD78" s="538">
        <f t="shared" si="137"/>
        <v>0</v>
      </c>
      <c r="AF78" s="680" t="s">
        <v>87</v>
      </c>
      <c r="AG78" s="489" t="s">
        <v>186</v>
      </c>
      <c r="AH78" s="538">
        <f t="shared" si="134"/>
        <v>466</v>
      </c>
      <c r="AI78" s="539">
        <f>SUM($S$78:T78)</f>
        <v>879</v>
      </c>
      <c r="AJ78" s="539">
        <f>SUM($S$78:U78)</f>
        <v>1268</v>
      </c>
      <c r="AK78" s="539">
        <f>SUM($S$78:V78)</f>
        <v>1590</v>
      </c>
      <c r="AL78" s="539">
        <f>SUM($S$78:W78)</f>
        <v>1909</v>
      </c>
      <c r="AM78" s="539">
        <f>SUM($S$78:X78)</f>
        <v>2170</v>
      </c>
      <c r="AN78" s="539">
        <f>SUM($S$78:Y78)</f>
        <v>2521</v>
      </c>
      <c r="AO78" s="539">
        <f>SUM($S$78:Z78)</f>
        <v>2943</v>
      </c>
      <c r="AP78" s="539">
        <f>SUM($S$78:AA78)</f>
        <v>3432</v>
      </c>
      <c r="AQ78" s="539">
        <f>SUM($S$78:AB78)</f>
        <v>3432</v>
      </c>
      <c r="AR78" s="539">
        <f>SUM($S$78:AC78)</f>
        <v>3432</v>
      </c>
      <c r="AS78" s="539">
        <f>SUM($S$78:AD78)</f>
        <v>3432</v>
      </c>
    </row>
    <row r="79" spans="2:45">
      <c r="B79" s="680"/>
      <c r="C79" s="489" t="s">
        <v>190</v>
      </c>
      <c r="D79" s="529"/>
      <c r="E79" s="529"/>
      <c r="F79" s="529"/>
      <c r="G79" s="529"/>
      <c r="H79" s="529"/>
      <c r="I79" s="529"/>
      <c r="J79" s="529"/>
      <c r="K79" s="529"/>
      <c r="L79" s="529"/>
      <c r="M79" s="529"/>
      <c r="N79" s="529"/>
      <c r="O79" s="529"/>
      <c r="Q79" s="680"/>
      <c r="R79" s="489" t="s">
        <v>190</v>
      </c>
      <c r="S79" s="529">
        <v>0</v>
      </c>
      <c r="T79" s="529">
        <v>0</v>
      </c>
      <c r="U79" s="529">
        <v>0</v>
      </c>
      <c r="V79" s="529">
        <v>0</v>
      </c>
      <c r="W79" s="529">
        <v>0</v>
      </c>
      <c r="X79" s="529">
        <v>0</v>
      </c>
      <c r="Y79" s="529">
        <v>0</v>
      </c>
      <c r="Z79" s="529">
        <v>0</v>
      </c>
      <c r="AA79" s="529">
        <v>0</v>
      </c>
      <c r="AB79" s="529">
        <v>0</v>
      </c>
      <c r="AC79" s="529">
        <v>0</v>
      </c>
      <c r="AD79" s="529">
        <v>1</v>
      </c>
      <c r="AF79" s="680"/>
      <c r="AG79" s="489" t="s">
        <v>190</v>
      </c>
      <c r="AH79" s="529">
        <f t="shared" si="134"/>
        <v>0</v>
      </c>
      <c r="AI79" s="539">
        <f>SUM($S$79:T79)</f>
        <v>0</v>
      </c>
      <c r="AJ79" s="539">
        <f>SUM($S$79:U79)</f>
        <v>0</v>
      </c>
      <c r="AK79" s="539">
        <f>SUM($S$79:V79)</f>
        <v>0</v>
      </c>
      <c r="AL79" s="539">
        <f>SUM($S$79:W79)</f>
        <v>0</v>
      </c>
      <c r="AM79" s="539">
        <f>SUM($S$79:X79)</f>
        <v>0</v>
      </c>
      <c r="AN79" s="539">
        <f>SUM($S$79:Y79)</f>
        <v>0</v>
      </c>
      <c r="AO79" s="539">
        <f>SUM($S$79:Z79)</f>
        <v>0</v>
      </c>
      <c r="AP79" s="539">
        <f>SUM($S$79:AA79)</f>
        <v>0</v>
      </c>
      <c r="AQ79" s="539">
        <f>SUM($S$79:AB79)</f>
        <v>0</v>
      </c>
      <c r="AR79" s="539">
        <f>SUM($S$79:AC79)</f>
        <v>0</v>
      </c>
      <c r="AS79" s="539">
        <f>SUM($S$79:AD79)</f>
        <v>1</v>
      </c>
    </row>
    <row r="80" spans="2:45">
      <c r="B80" s="680"/>
      <c r="C80" s="549" t="s">
        <v>190</v>
      </c>
      <c r="D80" s="552">
        <v>0.04</v>
      </c>
      <c r="E80" s="552">
        <v>0.04</v>
      </c>
      <c r="F80" s="552">
        <v>0.04</v>
      </c>
      <c r="G80" s="552">
        <v>0.04</v>
      </c>
      <c r="H80" s="552">
        <v>0.04</v>
      </c>
      <c r="I80" s="552">
        <v>0.04</v>
      </c>
      <c r="J80" s="552">
        <v>0.04</v>
      </c>
      <c r="K80" s="552">
        <v>0.04</v>
      </c>
      <c r="L80" s="552">
        <v>0.04</v>
      </c>
      <c r="M80" s="552">
        <v>0.04</v>
      </c>
      <c r="N80" s="552">
        <v>0.04</v>
      </c>
      <c r="O80" s="552">
        <v>0.04</v>
      </c>
      <c r="Q80" s="680"/>
      <c r="R80" s="549" t="s">
        <v>190</v>
      </c>
      <c r="S80" s="554">
        <f t="shared" ref="S80:AD80" si="138">S79/S78*100</f>
        <v>0</v>
      </c>
      <c r="T80" s="552">
        <f t="shared" si="138"/>
        <v>0</v>
      </c>
      <c r="U80" s="552">
        <f t="shared" si="138"/>
        <v>0</v>
      </c>
      <c r="V80" s="552">
        <f t="shared" si="138"/>
        <v>0</v>
      </c>
      <c r="W80" s="552">
        <f t="shared" si="138"/>
        <v>0</v>
      </c>
      <c r="X80" s="552">
        <f t="shared" si="138"/>
        <v>0</v>
      </c>
      <c r="Y80" s="552">
        <f t="shared" si="138"/>
        <v>0</v>
      </c>
      <c r="Z80" s="552">
        <f t="shared" si="138"/>
        <v>0</v>
      </c>
      <c r="AA80" s="552">
        <f t="shared" si="138"/>
        <v>0</v>
      </c>
      <c r="AB80" s="552" t="e">
        <f t="shared" si="138"/>
        <v>#DIV/0!</v>
      </c>
      <c r="AC80" s="552" t="e">
        <f t="shared" si="138"/>
        <v>#DIV/0!</v>
      </c>
      <c r="AD80" s="552" t="e">
        <f t="shared" si="138"/>
        <v>#DIV/0!</v>
      </c>
      <c r="AF80" s="680"/>
      <c r="AG80" s="549" t="s">
        <v>190</v>
      </c>
      <c r="AH80" s="552">
        <f t="shared" ref="AH80:AS80" si="139">AH79/AH78*100</f>
        <v>0</v>
      </c>
      <c r="AI80" s="553">
        <f t="shared" si="139"/>
        <v>0</v>
      </c>
      <c r="AJ80" s="553">
        <f t="shared" si="139"/>
        <v>0</v>
      </c>
      <c r="AK80" s="553">
        <f t="shared" si="139"/>
        <v>0</v>
      </c>
      <c r="AL80" s="553">
        <f t="shared" si="139"/>
        <v>0</v>
      </c>
      <c r="AM80" s="553">
        <f t="shared" si="139"/>
        <v>0</v>
      </c>
      <c r="AN80" s="553">
        <f t="shared" si="139"/>
        <v>0</v>
      </c>
      <c r="AO80" s="553">
        <f t="shared" si="139"/>
        <v>0</v>
      </c>
      <c r="AP80" s="553">
        <f t="shared" si="139"/>
        <v>0</v>
      </c>
      <c r="AQ80" s="553">
        <f t="shared" si="139"/>
        <v>0</v>
      </c>
      <c r="AR80" s="553">
        <f t="shared" si="139"/>
        <v>0</v>
      </c>
      <c r="AS80" s="553">
        <f t="shared" si="139"/>
        <v>2.9137529137529136E-2</v>
      </c>
    </row>
    <row r="81" spans="2:45">
      <c r="B81" s="680" t="s">
        <v>88</v>
      </c>
      <c r="C81" s="489" t="s">
        <v>186</v>
      </c>
      <c r="D81" s="529"/>
      <c r="E81" s="529"/>
      <c r="F81" s="529"/>
      <c r="G81" s="529"/>
      <c r="H81" s="529"/>
      <c r="I81" s="529"/>
      <c r="J81" s="529"/>
      <c r="K81" s="529"/>
      <c r="L81" s="529"/>
      <c r="M81" s="529"/>
      <c r="N81" s="529"/>
      <c r="O81" s="529"/>
      <c r="Q81" s="680" t="s">
        <v>88</v>
      </c>
      <c r="R81" s="489" t="s">
        <v>186</v>
      </c>
      <c r="S81" s="540">
        <f t="shared" ref="S81:AD81" si="140">S59</f>
        <v>351</v>
      </c>
      <c r="T81" s="540">
        <f t="shared" si="140"/>
        <v>334</v>
      </c>
      <c r="U81" s="540">
        <f t="shared" si="140"/>
        <v>431</v>
      </c>
      <c r="V81" s="540">
        <f t="shared" si="140"/>
        <v>335</v>
      </c>
      <c r="W81" s="540">
        <f t="shared" si="140"/>
        <v>299</v>
      </c>
      <c r="X81" s="540">
        <f t="shared" si="140"/>
        <v>269</v>
      </c>
      <c r="Y81" s="540">
        <f t="shared" si="140"/>
        <v>308</v>
      </c>
      <c r="Z81" s="540">
        <f t="shared" si="140"/>
        <v>322</v>
      </c>
      <c r="AA81" s="540">
        <f t="shared" si="140"/>
        <v>290</v>
      </c>
      <c r="AB81" s="540">
        <f t="shared" si="140"/>
        <v>0</v>
      </c>
      <c r="AC81" s="540">
        <f t="shared" si="140"/>
        <v>0</v>
      </c>
      <c r="AD81" s="540">
        <f t="shared" si="140"/>
        <v>0</v>
      </c>
      <c r="AF81" s="680" t="s">
        <v>88</v>
      </c>
      <c r="AG81" s="489" t="s">
        <v>186</v>
      </c>
      <c r="AH81" s="540">
        <f t="shared" si="134"/>
        <v>351</v>
      </c>
      <c r="AI81" s="539">
        <f>SUM($S$81:T81)</f>
        <v>685</v>
      </c>
      <c r="AJ81" s="539">
        <f>SUM($S$81:U81)</f>
        <v>1116</v>
      </c>
      <c r="AK81" s="539">
        <f>SUM($S$81:V81)</f>
        <v>1451</v>
      </c>
      <c r="AL81" s="539">
        <f>SUM($S$81:W81)</f>
        <v>1750</v>
      </c>
      <c r="AM81" s="539">
        <f>SUM($S$81:X81)</f>
        <v>2019</v>
      </c>
      <c r="AN81" s="539">
        <f>SUM($S$81:Y81)</f>
        <v>2327</v>
      </c>
      <c r="AO81" s="539">
        <f>SUM($S$81:Z81)</f>
        <v>2649</v>
      </c>
      <c r="AP81" s="539">
        <f>SUM($S$81:AA81)</f>
        <v>2939</v>
      </c>
      <c r="AQ81" s="539">
        <f>SUM($S$81:AB81)</f>
        <v>2939</v>
      </c>
      <c r="AR81" s="539">
        <f>SUM($S$81:AC81)</f>
        <v>2939</v>
      </c>
      <c r="AS81" s="539">
        <f>SUM($S$81:AD81)</f>
        <v>2939</v>
      </c>
    </row>
    <row r="82" spans="2:45">
      <c r="B82" s="680"/>
      <c r="C82" s="489" t="s">
        <v>190</v>
      </c>
      <c r="D82" s="529"/>
      <c r="E82" s="529"/>
      <c r="F82" s="529"/>
      <c r="G82" s="529"/>
      <c r="H82" s="529"/>
      <c r="I82" s="529"/>
      <c r="J82" s="529"/>
      <c r="K82" s="529"/>
      <c r="L82" s="529"/>
      <c r="M82" s="529"/>
      <c r="N82" s="529"/>
      <c r="O82" s="529"/>
      <c r="Q82" s="680"/>
      <c r="R82" s="489" t="s">
        <v>190</v>
      </c>
      <c r="S82" s="540">
        <v>0</v>
      </c>
      <c r="T82" s="540">
        <v>0</v>
      </c>
      <c r="U82" s="540">
        <v>0</v>
      </c>
      <c r="V82" s="540">
        <v>0</v>
      </c>
      <c r="W82" s="540">
        <v>0</v>
      </c>
      <c r="X82" s="540">
        <v>0</v>
      </c>
      <c r="Y82" s="540">
        <v>0</v>
      </c>
      <c r="Z82" s="540">
        <v>0</v>
      </c>
      <c r="AA82" s="540">
        <v>0</v>
      </c>
      <c r="AB82" s="540">
        <v>0</v>
      </c>
      <c r="AC82" s="540">
        <v>1</v>
      </c>
      <c r="AD82" s="540">
        <v>0</v>
      </c>
      <c r="AF82" s="680"/>
      <c r="AG82" s="489" t="s">
        <v>190</v>
      </c>
      <c r="AH82" s="540">
        <f t="shared" si="134"/>
        <v>0</v>
      </c>
      <c r="AI82" s="539">
        <f>SUM($S$82:T82)</f>
        <v>0</v>
      </c>
      <c r="AJ82" s="539">
        <f>SUM($S$82:U82)</f>
        <v>0</v>
      </c>
      <c r="AK82" s="539">
        <f>SUM($S$82:V82)</f>
        <v>0</v>
      </c>
      <c r="AL82" s="539">
        <f>SUM($S$82:W82)</f>
        <v>0</v>
      </c>
      <c r="AM82" s="539">
        <f>SUM($S$82:X82)</f>
        <v>0</v>
      </c>
      <c r="AN82" s="539">
        <f>SUM($S$82:Y82)</f>
        <v>0</v>
      </c>
      <c r="AO82" s="539">
        <f>SUM($S$82:Z82)</f>
        <v>0</v>
      </c>
      <c r="AP82" s="539">
        <f>SUM($S$82:AA82)</f>
        <v>0</v>
      </c>
      <c r="AQ82" s="539">
        <f>SUM($S$82:AB82)</f>
        <v>0</v>
      </c>
      <c r="AR82" s="539">
        <f>SUM($S$82:AC82)</f>
        <v>1</v>
      </c>
      <c r="AS82" s="539">
        <f>SUM($S$82:AD82)</f>
        <v>1</v>
      </c>
    </row>
    <row r="83" spans="2:45">
      <c r="B83" s="680"/>
      <c r="C83" s="549" t="s">
        <v>190</v>
      </c>
      <c r="D83" s="552">
        <v>0.04</v>
      </c>
      <c r="E83" s="552">
        <v>0.04</v>
      </c>
      <c r="F83" s="552">
        <v>0.04</v>
      </c>
      <c r="G83" s="552">
        <v>0.04</v>
      </c>
      <c r="H83" s="552">
        <v>0.04</v>
      </c>
      <c r="I83" s="552">
        <v>0.04</v>
      </c>
      <c r="J83" s="552">
        <v>0.04</v>
      </c>
      <c r="K83" s="552">
        <v>0.04</v>
      </c>
      <c r="L83" s="552">
        <v>0.04</v>
      </c>
      <c r="M83" s="552">
        <v>0.04</v>
      </c>
      <c r="N83" s="552">
        <v>0.04</v>
      </c>
      <c r="O83" s="552">
        <v>0.04</v>
      </c>
      <c r="Q83" s="680"/>
      <c r="R83" s="549" t="s">
        <v>190</v>
      </c>
      <c r="S83" s="554">
        <f t="shared" ref="S83:AD83" si="141">S82/S81*100</f>
        <v>0</v>
      </c>
      <c r="T83" s="552">
        <f t="shared" si="141"/>
        <v>0</v>
      </c>
      <c r="U83" s="552">
        <f t="shared" si="141"/>
        <v>0</v>
      </c>
      <c r="V83" s="552">
        <f t="shared" si="141"/>
        <v>0</v>
      </c>
      <c r="W83" s="552">
        <f t="shared" si="141"/>
        <v>0</v>
      </c>
      <c r="X83" s="552">
        <f t="shared" si="141"/>
        <v>0</v>
      </c>
      <c r="Y83" s="552">
        <f t="shared" si="141"/>
        <v>0</v>
      </c>
      <c r="Z83" s="552">
        <f t="shared" si="141"/>
        <v>0</v>
      </c>
      <c r="AA83" s="552">
        <f t="shared" si="141"/>
        <v>0</v>
      </c>
      <c r="AB83" s="552" t="e">
        <f t="shared" si="141"/>
        <v>#DIV/0!</v>
      </c>
      <c r="AC83" s="552" t="e">
        <f t="shared" si="141"/>
        <v>#DIV/0!</v>
      </c>
      <c r="AD83" s="552" t="e">
        <f t="shared" si="141"/>
        <v>#DIV/0!</v>
      </c>
      <c r="AF83" s="680"/>
      <c r="AG83" s="549" t="s">
        <v>190</v>
      </c>
      <c r="AH83" s="552">
        <f t="shared" ref="AH83:AS83" si="142">AH82/AH81*100</f>
        <v>0</v>
      </c>
      <c r="AI83" s="553">
        <f t="shared" si="142"/>
        <v>0</v>
      </c>
      <c r="AJ83" s="553">
        <f t="shared" si="142"/>
        <v>0</v>
      </c>
      <c r="AK83" s="553">
        <f t="shared" si="142"/>
        <v>0</v>
      </c>
      <c r="AL83" s="553">
        <f t="shared" si="142"/>
        <v>0</v>
      </c>
      <c r="AM83" s="553">
        <f t="shared" si="142"/>
        <v>0</v>
      </c>
      <c r="AN83" s="553">
        <f t="shared" si="142"/>
        <v>0</v>
      </c>
      <c r="AO83" s="553">
        <f t="shared" si="142"/>
        <v>0</v>
      </c>
      <c r="AP83" s="553">
        <f t="shared" si="142"/>
        <v>0</v>
      </c>
      <c r="AQ83" s="553">
        <f t="shared" si="142"/>
        <v>0</v>
      </c>
      <c r="AR83" s="553">
        <f t="shared" si="142"/>
        <v>3.4025178632187819E-2</v>
      </c>
      <c r="AS83" s="553">
        <f t="shared" si="142"/>
        <v>3.4025178632187819E-2</v>
      </c>
    </row>
    <row r="84" spans="2:45">
      <c r="B84" s="680" t="s">
        <v>121</v>
      </c>
      <c r="C84" s="489" t="s">
        <v>186</v>
      </c>
      <c r="D84" s="529"/>
      <c r="E84" s="529"/>
      <c r="F84" s="529"/>
      <c r="G84" s="529"/>
      <c r="H84" s="529"/>
      <c r="I84" s="529"/>
      <c r="J84" s="529"/>
      <c r="K84" s="529"/>
      <c r="L84" s="529"/>
      <c r="M84" s="529"/>
      <c r="N84" s="529"/>
      <c r="O84" s="529"/>
      <c r="Q84" s="680" t="s">
        <v>121</v>
      </c>
      <c r="R84" s="489" t="s">
        <v>186</v>
      </c>
      <c r="S84" s="538">
        <f t="shared" ref="S84:AD84" si="143">S62</f>
        <v>209</v>
      </c>
      <c r="T84" s="538">
        <f t="shared" si="143"/>
        <v>341</v>
      </c>
      <c r="U84" s="538">
        <f t="shared" si="143"/>
        <v>351</v>
      </c>
      <c r="V84" s="538">
        <f t="shared" si="143"/>
        <v>249</v>
      </c>
      <c r="W84" s="538">
        <f t="shared" si="143"/>
        <v>213</v>
      </c>
      <c r="X84" s="538">
        <f t="shared" si="143"/>
        <v>224</v>
      </c>
      <c r="Y84" s="538">
        <f t="shared" si="143"/>
        <v>220</v>
      </c>
      <c r="Z84" s="538">
        <f t="shared" si="143"/>
        <v>218</v>
      </c>
      <c r="AA84" s="538">
        <f t="shared" si="143"/>
        <v>200</v>
      </c>
      <c r="AB84" s="538">
        <f t="shared" si="143"/>
        <v>0</v>
      </c>
      <c r="AC84" s="538">
        <f t="shared" si="143"/>
        <v>0</v>
      </c>
      <c r="AD84" s="538">
        <f t="shared" si="143"/>
        <v>0</v>
      </c>
      <c r="AF84" s="680" t="s">
        <v>121</v>
      </c>
      <c r="AG84" s="489" t="s">
        <v>186</v>
      </c>
      <c r="AH84" s="538">
        <f t="shared" si="134"/>
        <v>209</v>
      </c>
      <c r="AI84" s="539">
        <f>SUM($S$84:T84)</f>
        <v>550</v>
      </c>
      <c r="AJ84" s="539">
        <f>SUM($S$84:U84)</f>
        <v>901</v>
      </c>
      <c r="AK84" s="539">
        <f>SUM($S$84:V84)</f>
        <v>1150</v>
      </c>
      <c r="AL84" s="539">
        <f>SUM($S$84:W84)</f>
        <v>1363</v>
      </c>
      <c r="AM84" s="539">
        <f>SUM($S$84:X84)</f>
        <v>1587</v>
      </c>
      <c r="AN84" s="539">
        <f>SUM($S$84:Y84)</f>
        <v>1807</v>
      </c>
      <c r="AO84" s="539">
        <f>SUM($S$84:Z84)</f>
        <v>2025</v>
      </c>
      <c r="AP84" s="539">
        <f>SUM($S$84:AA84)</f>
        <v>2225</v>
      </c>
      <c r="AQ84" s="539">
        <f>SUM($S$84:AB84)</f>
        <v>2225</v>
      </c>
      <c r="AR84" s="539">
        <f>SUM($S$84:AC84)</f>
        <v>2225</v>
      </c>
      <c r="AS84" s="539">
        <f>SUM($S$84:AD84)</f>
        <v>2225</v>
      </c>
    </row>
    <row r="85" spans="2:45">
      <c r="B85" s="680"/>
      <c r="C85" s="489" t="s">
        <v>190</v>
      </c>
      <c r="D85" s="529"/>
      <c r="E85" s="529"/>
      <c r="F85" s="529"/>
      <c r="G85" s="529"/>
      <c r="H85" s="529"/>
      <c r="I85" s="529"/>
      <c r="J85" s="529"/>
      <c r="K85" s="529"/>
      <c r="L85" s="529"/>
      <c r="M85" s="529"/>
      <c r="N85" s="529"/>
      <c r="O85" s="529"/>
      <c r="Q85" s="680"/>
      <c r="R85" s="489" t="s">
        <v>190</v>
      </c>
      <c r="S85" s="529">
        <v>0</v>
      </c>
      <c r="T85" s="529">
        <v>0</v>
      </c>
      <c r="U85" s="529">
        <v>0</v>
      </c>
      <c r="V85" s="529">
        <v>0</v>
      </c>
      <c r="W85" s="529">
        <v>0</v>
      </c>
      <c r="X85" s="529">
        <v>0</v>
      </c>
      <c r="Y85" s="529">
        <v>0</v>
      </c>
      <c r="Z85" s="529">
        <v>0</v>
      </c>
      <c r="AA85" s="529">
        <v>0</v>
      </c>
      <c r="AB85" s="529">
        <v>0</v>
      </c>
      <c r="AC85" s="529">
        <v>0</v>
      </c>
      <c r="AD85" s="529">
        <v>0</v>
      </c>
      <c r="AF85" s="680"/>
      <c r="AG85" s="489" t="s">
        <v>190</v>
      </c>
      <c r="AH85" s="529">
        <f t="shared" si="134"/>
        <v>0</v>
      </c>
      <c r="AI85" s="539">
        <f>SUM($S$85:T85)</f>
        <v>0</v>
      </c>
      <c r="AJ85" s="539">
        <f>SUM($S$85:U85)</f>
        <v>0</v>
      </c>
      <c r="AK85" s="539">
        <f>SUM($S$85:V85)</f>
        <v>0</v>
      </c>
      <c r="AL85" s="539">
        <f>SUM($S$85:W85)</f>
        <v>0</v>
      </c>
      <c r="AM85" s="539">
        <f>SUM($S$85:X85)</f>
        <v>0</v>
      </c>
      <c r="AN85" s="539">
        <f>SUM($S$85:Y85)</f>
        <v>0</v>
      </c>
      <c r="AO85" s="539">
        <f>SUM($S$85:Z85)</f>
        <v>0</v>
      </c>
      <c r="AP85" s="539">
        <f>SUM($S$85:AA85)</f>
        <v>0</v>
      </c>
      <c r="AQ85" s="539">
        <f>SUM($S$85:AB85)</f>
        <v>0</v>
      </c>
      <c r="AR85" s="539">
        <f>SUM($S$85:AC85)</f>
        <v>0</v>
      </c>
      <c r="AS85" s="539">
        <f>SUM($S$85:AD85)</f>
        <v>0</v>
      </c>
    </row>
    <row r="86" spans="2:45">
      <c r="B86" s="680"/>
      <c r="C86" s="549" t="s">
        <v>190</v>
      </c>
      <c r="D86" s="552">
        <v>0.04</v>
      </c>
      <c r="E86" s="552">
        <v>0.04</v>
      </c>
      <c r="F86" s="552">
        <v>0.04</v>
      </c>
      <c r="G86" s="552">
        <v>0.04</v>
      </c>
      <c r="H86" s="552">
        <v>0.04</v>
      </c>
      <c r="I86" s="552">
        <v>0.04</v>
      </c>
      <c r="J86" s="552">
        <v>0.04</v>
      </c>
      <c r="K86" s="552">
        <v>0.04</v>
      </c>
      <c r="L86" s="552">
        <v>0.04</v>
      </c>
      <c r="M86" s="552">
        <v>0.04</v>
      </c>
      <c r="N86" s="552">
        <v>0.04</v>
      </c>
      <c r="O86" s="552">
        <v>0.04</v>
      </c>
      <c r="Q86" s="680"/>
      <c r="R86" s="549" t="s">
        <v>190</v>
      </c>
      <c r="S86" s="554">
        <f>S85/S84*100%</f>
        <v>0</v>
      </c>
      <c r="T86" s="552">
        <f t="shared" ref="T86:AD86" si="144">T85/T84*100</f>
        <v>0</v>
      </c>
      <c r="U86" s="552">
        <f t="shared" si="144"/>
        <v>0</v>
      </c>
      <c r="V86" s="552">
        <f t="shared" si="144"/>
        <v>0</v>
      </c>
      <c r="W86" s="552">
        <f t="shared" si="144"/>
        <v>0</v>
      </c>
      <c r="X86" s="552">
        <f t="shared" si="144"/>
        <v>0</v>
      </c>
      <c r="Y86" s="552">
        <f t="shared" si="144"/>
        <v>0</v>
      </c>
      <c r="Z86" s="552">
        <f t="shared" si="144"/>
        <v>0</v>
      </c>
      <c r="AA86" s="552">
        <f t="shared" si="144"/>
        <v>0</v>
      </c>
      <c r="AB86" s="552" t="e">
        <f t="shared" si="144"/>
        <v>#DIV/0!</v>
      </c>
      <c r="AC86" s="552" t="e">
        <f t="shared" si="144"/>
        <v>#DIV/0!</v>
      </c>
      <c r="AD86" s="552" t="e">
        <f t="shared" si="144"/>
        <v>#DIV/0!</v>
      </c>
      <c r="AF86" s="680"/>
      <c r="AG86" s="549" t="s">
        <v>190</v>
      </c>
      <c r="AH86" s="552">
        <f t="shared" ref="AH86:AS86" si="145">AH85/AH84*100</f>
        <v>0</v>
      </c>
      <c r="AI86" s="553">
        <f t="shared" si="145"/>
        <v>0</v>
      </c>
      <c r="AJ86" s="553">
        <f t="shared" si="145"/>
        <v>0</v>
      </c>
      <c r="AK86" s="553">
        <f t="shared" si="145"/>
        <v>0</v>
      </c>
      <c r="AL86" s="553">
        <f t="shared" si="145"/>
        <v>0</v>
      </c>
      <c r="AM86" s="553">
        <f t="shared" si="145"/>
        <v>0</v>
      </c>
      <c r="AN86" s="553">
        <f t="shared" si="145"/>
        <v>0</v>
      </c>
      <c r="AO86" s="553">
        <f t="shared" si="145"/>
        <v>0</v>
      </c>
      <c r="AP86" s="553">
        <f t="shared" si="145"/>
        <v>0</v>
      </c>
      <c r="AQ86" s="553">
        <f t="shared" si="145"/>
        <v>0</v>
      </c>
      <c r="AR86" s="553">
        <f t="shared" si="145"/>
        <v>0</v>
      </c>
      <c r="AS86" s="553">
        <f t="shared" si="145"/>
        <v>0</v>
      </c>
    </row>
    <row r="87" spans="2:45">
      <c r="B87" s="680" t="s">
        <v>89</v>
      </c>
      <c r="C87" s="489" t="s">
        <v>186</v>
      </c>
      <c r="D87" s="529"/>
      <c r="E87" s="529"/>
      <c r="F87" s="529"/>
      <c r="G87" s="529"/>
      <c r="H87" s="529"/>
      <c r="I87" s="529"/>
      <c r="J87" s="529"/>
      <c r="K87" s="529"/>
      <c r="L87" s="529"/>
      <c r="M87" s="529"/>
      <c r="N87" s="529"/>
      <c r="O87" s="529"/>
      <c r="Q87" s="680" t="s">
        <v>89</v>
      </c>
      <c r="R87" s="489" t="s">
        <v>186</v>
      </c>
      <c r="S87" s="538">
        <f t="shared" ref="S87:AD87" si="146">S65</f>
        <v>947</v>
      </c>
      <c r="T87" s="538">
        <f t="shared" si="146"/>
        <v>887</v>
      </c>
      <c r="U87" s="538">
        <f t="shared" si="146"/>
        <v>975</v>
      </c>
      <c r="V87" s="538">
        <f t="shared" si="146"/>
        <v>975</v>
      </c>
      <c r="W87" s="538">
        <f>W65</f>
        <v>892</v>
      </c>
      <c r="X87" s="538">
        <f>X65</f>
        <v>874</v>
      </c>
      <c r="Y87" s="538">
        <f t="shared" si="146"/>
        <v>832</v>
      </c>
      <c r="Z87" s="538">
        <f t="shared" si="146"/>
        <v>874</v>
      </c>
      <c r="AA87" s="538">
        <f t="shared" si="146"/>
        <v>123</v>
      </c>
      <c r="AB87" s="538">
        <f t="shared" si="146"/>
        <v>0</v>
      </c>
      <c r="AC87" s="538">
        <f t="shared" si="146"/>
        <v>0</v>
      </c>
      <c r="AD87" s="538">
        <f t="shared" si="146"/>
        <v>0</v>
      </c>
      <c r="AF87" s="680" t="s">
        <v>89</v>
      </c>
      <c r="AG87" s="489" t="s">
        <v>186</v>
      </c>
      <c r="AH87" s="538">
        <f t="shared" si="134"/>
        <v>947</v>
      </c>
      <c r="AI87" s="539">
        <f>SUM($S$87:T87)</f>
        <v>1834</v>
      </c>
      <c r="AJ87" s="539">
        <f>SUM($S$87:U87)</f>
        <v>2809</v>
      </c>
      <c r="AK87" s="539">
        <f>SUM($S$87:V87)</f>
        <v>3784</v>
      </c>
      <c r="AL87" s="539">
        <f>SUM($S$87:W87)</f>
        <v>4676</v>
      </c>
      <c r="AM87" s="539">
        <f>SUM($S$87:X87)</f>
        <v>5550</v>
      </c>
      <c r="AN87" s="539">
        <f>SUM($S$87:Y87)</f>
        <v>6382</v>
      </c>
      <c r="AO87" s="539">
        <f>SUM($S$87:Z87)</f>
        <v>7256</v>
      </c>
      <c r="AP87" s="539">
        <f>SUM($S$87:AA87)</f>
        <v>7379</v>
      </c>
      <c r="AQ87" s="539">
        <f>SUM($S$87:AB87)</f>
        <v>7379</v>
      </c>
      <c r="AR87" s="539">
        <f>SUM($S$87:AC87)</f>
        <v>7379</v>
      </c>
      <c r="AS87" s="539">
        <f>SUM($S$87:AD87)</f>
        <v>7379</v>
      </c>
    </row>
    <row r="88" spans="2:45">
      <c r="B88" s="680"/>
      <c r="C88" s="489" t="s">
        <v>190</v>
      </c>
      <c r="D88" s="529"/>
      <c r="E88" s="529"/>
      <c r="F88" s="529"/>
      <c r="G88" s="529"/>
      <c r="H88" s="529"/>
      <c r="I88" s="529"/>
      <c r="J88" s="529"/>
      <c r="K88" s="529"/>
      <c r="L88" s="529"/>
      <c r="M88" s="529"/>
      <c r="N88" s="529"/>
      <c r="O88" s="529"/>
      <c r="Q88" s="680"/>
      <c r="R88" s="489" t="s">
        <v>190</v>
      </c>
      <c r="S88" s="529">
        <v>0</v>
      </c>
      <c r="T88" s="529">
        <v>0</v>
      </c>
      <c r="U88" s="529">
        <v>0</v>
      </c>
      <c r="V88" s="529">
        <v>0</v>
      </c>
      <c r="W88" s="529">
        <v>0</v>
      </c>
      <c r="X88" s="529">
        <v>0</v>
      </c>
      <c r="Y88" s="529">
        <v>0</v>
      </c>
      <c r="Z88" s="529">
        <v>0</v>
      </c>
      <c r="AA88" s="529">
        <v>0</v>
      </c>
      <c r="AB88" s="529">
        <v>0</v>
      </c>
      <c r="AC88" s="529">
        <v>0</v>
      </c>
      <c r="AD88" s="529">
        <v>0</v>
      </c>
      <c r="AF88" s="680"/>
      <c r="AG88" s="489" t="s">
        <v>190</v>
      </c>
      <c r="AH88" s="529">
        <f t="shared" si="134"/>
        <v>0</v>
      </c>
      <c r="AI88" s="539">
        <f>SUM($S$88:T88)</f>
        <v>0</v>
      </c>
      <c r="AJ88" s="539">
        <f>SUM($S$88:U88)</f>
        <v>0</v>
      </c>
      <c r="AK88" s="539">
        <f>SUM($S$88:V88)</f>
        <v>0</v>
      </c>
      <c r="AL88" s="539">
        <f>SUM($S$88:W88)</f>
        <v>0</v>
      </c>
      <c r="AM88" s="539">
        <f>SUM($S$88:X88)</f>
        <v>0</v>
      </c>
      <c r="AN88" s="539">
        <f>SUM($S$88:Y88)</f>
        <v>0</v>
      </c>
      <c r="AO88" s="539">
        <f>SUM($S$88:Z88)</f>
        <v>0</v>
      </c>
      <c r="AP88" s="539">
        <f>SUM($S$88:AA88)</f>
        <v>0</v>
      </c>
      <c r="AQ88" s="539">
        <f>SUM($S$88:AB88)</f>
        <v>0</v>
      </c>
      <c r="AR88" s="539">
        <f>SUM($S$88:AC88)</f>
        <v>0</v>
      </c>
      <c r="AS88" s="539">
        <f>SUM($S$88:AD88)</f>
        <v>0</v>
      </c>
    </row>
    <row r="89" spans="2:45">
      <c r="B89" s="680"/>
      <c r="C89" s="549" t="s">
        <v>190</v>
      </c>
      <c r="D89" s="552">
        <v>0.04</v>
      </c>
      <c r="E89" s="552">
        <v>0.04</v>
      </c>
      <c r="F89" s="552">
        <v>0.04</v>
      </c>
      <c r="G89" s="552">
        <v>0.04</v>
      </c>
      <c r="H89" s="552">
        <v>0.04</v>
      </c>
      <c r="I89" s="552">
        <v>0.04</v>
      </c>
      <c r="J89" s="552">
        <v>0.04</v>
      </c>
      <c r="K89" s="552">
        <v>0.04</v>
      </c>
      <c r="L89" s="552">
        <v>0.04</v>
      </c>
      <c r="M89" s="552">
        <v>0.04</v>
      </c>
      <c r="N89" s="552">
        <v>0.04</v>
      </c>
      <c r="O89" s="552">
        <v>0.04</v>
      </c>
      <c r="Q89" s="680"/>
      <c r="R89" s="549" t="s">
        <v>190</v>
      </c>
      <c r="S89" s="554">
        <f t="shared" ref="S89:AD89" si="147">S88/S87*100</f>
        <v>0</v>
      </c>
      <c r="T89" s="552">
        <f t="shared" si="147"/>
        <v>0</v>
      </c>
      <c r="U89" s="552">
        <f t="shared" si="147"/>
        <v>0</v>
      </c>
      <c r="V89" s="552">
        <f t="shared" si="147"/>
        <v>0</v>
      </c>
      <c r="W89" s="552">
        <f t="shared" si="147"/>
        <v>0</v>
      </c>
      <c r="X89" s="552">
        <f t="shared" si="147"/>
        <v>0</v>
      </c>
      <c r="Y89" s="552">
        <f t="shared" si="147"/>
        <v>0</v>
      </c>
      <c r="Z89" s="552">
        <f t="shared" si="147"/>
        <v>0</v>
      </c>
      <c r="AA89" s="552">
        <f t="shared" si="147"/>
        <v>0</v>
      </c>
      <c r="AB89" s="552" t="e">
        <f t="shared" si="147"/>
        <v>#DIV/0!</v>
      </c>
      <c r="AC89" s="552" t="e">
        <f t="shared" si="147"/>
        <v>#DIV/0!</v>
      </c>
      <c r="AD89" s="552" t="e">
        <f t="shared" si="147"/>
        <v>#DIV/0!</v>
      </c>
      <c r="AF89" s="680"/>
      <c r="AG89" s="549" t="s">
        <v>190</v>
      </c>
      <c r="AH89" s="552">
        <f t="shared" ref="AH89:AS89" si="148">AH88/AH87*100</f>
        <v>0</v>
      </c>
      <c r="AI89" s="553">
        <f t="shared" si="148"/>
        <v>0</v>
      </c>
      <c r="AJ89" s="553">
        <f t="shared" si="148"/>
        <v>0</v>
      </c>
      <c r="AK89" s="553">
        <f t="shared" si="148"/>
        <v>0</v>
      </c>
      <c r="AL89" s="553">
        <f t="shared" si="148"/>
        <v>0</v>
      </c>
      <c r="AM89" s="553">
        <f t="shared" si="148"/>
        <v>0</v>
      </c>
      <c r="AN89" s="553">
        <f t="shared" si="148"/>
        <v>0</v>
      </c>
      <c r="AO89" s="553">
        <f t="shared" si="148"/>
        <v>0</v>
      </c>
      <c r="AP89" s="553">
        <f t="shared" si="148"/>
        <v>0</v>
      </c>
      <c r="AQ89" s="553">
        <f t="shared" si="148"/>
        <v>0</v>
      </c>
      <c r="AR89" s="553">
        <f t="shared" si="148"/>
        <v>0</v>
      </c>
      <c r="AS89" s="553">
        <f t="shared" si="148"/>
        <v>0</v>
      </c>
    </row>
    <row r="90" spans="2:45">
      <c r="B90" s="680" t="s">
        <v>90</v>
      </c>
      <c r="C90" s="489" t="s">
        <v>186</v>
      </c>
      <c r="D90" s="529"/>
      <c r="E90" s="529"/>
      <c r="F90" s="529"/>
      <c r="G90" s="529"/>
      <c r="H90" s="529"/>
      <c r="I90" s="529"/>
      <c r="J90" s="529"/>
      <c r="K90" s="529"/>
      <c r="L90" s="529"/>
      <c r="M90" s="529"/>
      <c r="N90" s="529"/>
      <c r="O90" s="529"/>
      <c r="Q90" s="680" t="s">
        <v>90</v>
      </c>
      <c r="R90" s="489" t="s">
        <v>186</v>
      </c>
      <c r="S90" s="538">
        <f t="shared" ref="S90:AD90" si="149">S68</f>
        <v>2314</v>
      </c>
      <c r="T90" s="538">
        <f t="shared" si="149"/>
        <v>2267</v>
      </c>
      <c r="U90" s="538">
        <f t="shared" si="149"/>
        <v>2543</v>
      </c>
      <c r="V90" s="538">
        <f t="shared" si="149"/>
        <v>2220</v>
      </c>
      <c r="W90" s="538">
        <f t="shared" si="149"/>
        <v>2040</v>
      </c>
      <c r="X90" s="538">
        <f t="shared" si="149"/>
        <v>1927</v>
      </c>
      <c r="Y90" s="538">
        <f t="shared" si="149"/>
        <v>2101</v>
      </c>
      <c r="Z90" s="538">
        <f t="shared" si="149"/>
        <v>2156</v>
      </c>
      <c r="AA90" s="538">
        <f t="shared" si="149"/>
        <v>1402</v>
      </c>
      <c r="AB90" s="538">
        <f t="shared" si="149"/>
        <v>0</v>
      </c>
      <c r="AC90" s="538">
        <f t="shared" si="149"/>
        <v>0</v>
      </c>
      <c r="AD90" s="538">
        <f t="shared" si="149"/>
        <v>0</v>
      </c>
      <c r="AF90" s="680" t="s">
        <v>90</v>
      </c>
      <c r="AG90" s="489" t="s">
        <v>186</v>
      </c>
      <c r="AH90" s="538">
        <f t="shared" si="134"/>
        <v>2314</v>
      </c>
      <c r="AI90" s="538">
        <f>SUM($S$90:T90)</f>
        <v>4581</v>
      </c>
      <c r="AJ90" s="538">
        <f>SUM($S$90:U90)</f>
        <v>7124</v>
      </c>
      <c r="AK90" s="538">
        <f>SUM($S$90:V90)</f>
        <v>9344</v>
      </c>
      <c r="AL90" s="538">
        <f>SUM($S$90:W90)</f>
        <v>11384</v>
      </c>
      <c r="AM90" s="538">
        <f>SUM($S$90:X90)</f>
        <v>13311</v>
      </c>
      <c r="AN90" s="538">
        <f>SUM($S$90:Y90)</f>
        <v>15412</v>
      </c>
      <c r="AO90" s="538">
        <f>SUM($S$90:Z90)</f>
        <v>17568</v>
      </c>
      <c r="AP90" s="538">
        <f>SUM($S$90:AA90)</f>
        <v>18970</v>
      </c>
      <c r="AQ90" s="538">
        <f>SUM($S$90:AB90)</f>
        <v>18970</v>
      </c>
      <c r="AR90" s="538">
        <f>SUM($S$90:AC90)</f>
        <v>18970</v>
      </c>
      <c r="AS90" s="538">
        <f>SUM($S$90:AD90)</f>
        <v>18970</v>
      </c>
    </row>
    <row r="91" spans="2:45">
      <c r="B91" s="680"/>
      <c r="C91" s="489" t="s">
        <v>190</v>
      </c>
      <c r="D91" s="529"/>
      <c r="E91" s="529"/>
      <c r="F91" s="529"/>
      <c r="G91" s="529"/>
      <c r="H91" s="529"/>
      <c r="I91" s="529"/>
      <c r="J91" s="529"/>
      <c r="K91" s="529"/>
      <c r="L91" s="529"/>
      <c r="M91" s="529"/>
      <c r="N91" s="529"/>
      <c r="O91" s="529"/>
      <c r="Q91" s="680"/>
      <c r="R91" s="489" t="s">
        <v>190</v>
      </c>
      <c r="S91" s="540">
        <f t="shared" ref="S91:Z91" si="150">S76+S79+S82+S85+S88</f>
        <v>0</v>
      </c>
      <c r="T91" s="540">
        <f t="shared" si="150"/>
        <v>0</v>
      </c>
      <c r="U91" s="540">
        <f t="shared" si="150"/>
        <v>0</v>
      </c>
      <c r="V91" s="540">
        <f t="shared" si="150"/>
        <v>0</v>
      </c>
      <c r="W91" s="540">
        <f t="shared" si="150"/>
        <v>0</v>
      </c>
      <c r="X91" s="540">
        <f t="shared" si="150"/>
        <v>0</v>
      </c>
      <c r="Y91" s="540">
        <f t="shared" si="150"/>
        <v>0</v>
      </c>
      <c r="Z91" s="540">
        <f t="shared" si="150"/>
        <v>0</v>
      </c>
      <c r="AA91" s="529">
        <v>0</v>
      </c>
      <c r="AB91" s="529">
        <v>0</v>
      </c>
      <c r="AC91" s="529">
        <v>0</v>
      </c>
      <c r="AD91" s="529">
        <v>1</v>
      </c>
      <c r="AF91" s="680"/>
      <c r="AG91" s="489" t="s">
        <v>190</v>
      </c>
      <c r="AH91" s="540">
        <f t="shared" si="134"/>
        <v>0</v>
      </c>
      <c r="AI91" s="540">
        <f>SUM($S$91:T91)</f>
        <v>0</v>
      </c>
      <c r="AJ91" s="540">
        <f>SUM($S$91:U91)</f>
        <v>0</v>
      </c>
      <c r="AK91" s="540">
        <f>SUM($S$91:V91)</f>
        <v>0</v>
      </c>
      <c r="AL91" s="540">
        <f>SUM($S$91:W91)</f>
        <v>0</v>
      </c>
      <c r="AM91" s="540">
        <f>SUM($S$91:X91)</f>
        <v>0</v>
      </c>
      <c r="AN91" s="540">
        <f>SUM($S$91:Y91)</f>
        <v>0</v>
      </c>
      <c r="AO91" s="540">
        <f>SUM($S$91:Z91)</f>
        <v>0</v>
      </c>
      <c r="AP91" s="540">
        <f>SUM($S$91:AA91)</f>
        <v>0</v>
      </c>
      <c r="AQ91" s="540">
        <f>SUM($S$91:AB91)</f>
        <v>0</v>
      </c>
      <c r="AR91" s="540">
        <f>SUM($S$91:AC91)</f>
        <v>0</v>
      </c>
      <c r="AS91" s="540">
        <f>SUM($S$91:AD91)</f>
        <v>1</v>
      </c>
    </row>
    <row r="92" spans="2:45">
      <c r="B92" s="680"/>
      <c r="C92" s="549" t="s">
        <v>190</v>
      </c>
      <c r="D92" s="552">
        <v>0.04</v>
      </c>
      <c r="E92" s="552">
        <v>0.04</v>
      </c>
      <c r="F92" s="552">
        <v>0.04</v>
      </c>
      <c r="G92" s="552">
        <v>0.04</v>
      </c>
      <c r="H92" s="552">
        <v>0.04</v>
      </c>
      <c r="I92" s="552">
        <v>0.04</v>
      </c>
      <c r="J92" s="552">
        <v>0.04</v>
      </c>
      <c r="K92" s="552">
        <v>0.04</v>
      </c>
      <c r="L92" s="552">
        <v>0.04</v>
      </c>
      <c r="M92" s="552">
        <v>0.04</v>
      </c>
      <c r="N92" s="552">
        <v>0.04</v>
      </c>
      <c r="O92" s="552">
        <v>0.04</v>
      </c>
      <c r="Q92" s="680"/>
      <c r="R92" s="549" t="s">
        <v>190</v>
      </c>
      <c r="S92" s="554">
        <f t="shared" ref="S92:AD92" si="151">S91/S90*100</f>
        <v>0</v>
      </c>
      <c r="T92" s="552">
        <f t="shared" si="151"/>
        <v>0</v>
      </c>
      <c r="U92" s="552">
        <f t="shared" si="151"/>
        <v>0</v>
      </c>
      <c r="V92" s="552">
        <f t="shared" si="151"/>
        <v>0</v>
      </c>
      <c r="W92" s="552">
        <f t="shared" si="151"/>
        <v>0</v>
      </c>
      <c r="X92" s="552">
        <f t="shared" si="151"/>
        <v>0</v>
      </c>
      <c r="Y92" s="552">
        <f t="shared" si="151"/>
        <v>0</v>
      </c>
      <c r="Z92" s="552">
        <f t="shared" si="151"/>
        <v>0</v>
      </c>
      <c r="AA92" s="552">
        <f t="shared" si="151"/>
        <v>0</v>
      </c>
      <c r="AB92" s="552" t="e">
        <f t="shared" si="151"/>
        <v>#DIV/0!</v>
      </c>
      <c r="AC92" s="552" t="e">
        <f t="shared" si="151"/>
        <v>#DIV/0!</v>
      </c>
      <c r="AD92" s="552" t="e">
        <f t="shared" si="151"/>
        <v>#DIV/0!</v>
      </c>
      <c r="AF92" s="680"/>
      <c r="AG92" s="549" t="s">
        <v>190</v>
      </c>
      <c r="AH92" s="552">
        <f t="shared" ref="AH92:AS92" si="152">AH91/AH90*100</f>
        <v>0</v>
      </c>
      <c r="AI92" s="552">
        <f t="shared" si="152"/>
        <v>0</v>
      </c>
      <c r="AJ92" s="552">
        <f t="shared" si="152"/>
        <v>0</v>
      </c>
      <c r="AK92" s="552">
        <f t="shared" si="152"/>
        <v>0</v>
      </c>
      <c r="AL92" s="552">
        <f t="shared" si="152"/>
        <v>0</v>
      </c>
      <c r="AM92" s="552">
        <f t="shared" si="152"/>
        <v>0</v>
      </c>
      <c r="AN92" s="552">
        <f t="shared" si="152"/>
        <v>0</v>
      </c>
      <c r="AO92" s="552">
        <f t="shared" si="152"/>
        <v>0</v>
      </c>
      <c r="AP92" s="552">
        <f t="shared" si="152"/>
        <v>0</v>
      </c>
      <c r="AQ92" s="552">
        <f t="shared" si="152"/>
        <v>0</v>
      </c>
      <c r="AR92" s="552">
        <f t="shared" si="152"/>
        <v>0</v>
      </c>
      <c r="AS92" s="552">
        <f t="shared" si="152"/>
        <v>5.2714812862414339E-3</v>
      </c>
    </row>
    <row r="93" spans="2:45">
      <c r="B93" s="301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  <c r="AC93" s="166"/>
      <c r="AD93" s="166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66"/>
      <c r="AS93" s="105"/>
    </row>
    <row r="94" spans="2:45">
      <c r="B94" s="371" t="s">
        <v>191</v>
      </c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Q94" s="194" t="str">
        <f>B94</f>
        <v>RATING PLN MOBILE</v>
      </c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  <c r="AD94" s="105"/>
      <c r="AF94" s="194" t="str">
        <f>B94</f>
        <v>RATING PLN MOBILE</v>
      </c>
      <c r="AH94" s="105"/>
      <c r="AI94" s="105"/>
      <c r="AJ94" s="105"/>
      <c r="AK94" s="105"/>
      <c r="AL94" s="105"/>
      <c r="AM94" s="105"/>
      <c r="AN94" s="105"/>
      <c r="AO94" s="105"/>
      <c r="AP94" s="105"/>
      <c r="AQ94" s="105"/>
      <c r="AR94" s="105"/>
      <c r="AS94" s="105"/>
    </row>
    <row r="95" spans="2:45">
      <c r="B95" s="21" t="s">
        <v>100</v>
      </c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Q95" t="s">
        <v>126</v>
      </c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  <c r="AD95" s="105"/>
      <c r="AF95" t="s">
        <v>181</v>
      </c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</row>
    <row r="96" spans="2:45">
      <c r="B96" s="686" t="s">
        <v>72</v>
      </c>
      <c r="C96" s="686"/>
      <c r="D96" s="638" t="s">
        <v>74</v>
      </c>
      <c r="E96" s="638" t="s">
        <v>75</v>
      </c>
      <c r="F96" s="638" t="s">
        <v>76</v>
      </c>
      <c r="G96" s="638" t="s">
        <v>77</v>
      </c>
      <c r="H96" s="638" t="s">
        <v>78</v>
      </c>
      <c r="I96" s="638" t="s">
        <v>79</v>
      </c>
      <c r="J96" s="638" t="s">
        <v>80</v>
      </c>
      <c r="K96" s="638" t="s">
        <v>81</v>
      </c>
      <c r="L96" s="638" t="s">
        <v>82</v>
      </c>
      <c r="M96" s="638" t="s">
        <v>83</v>
      </c>
      <c r="N96" s="638" t="s">
        <v>84</v>
      </c>
      <c r="O96" s="638" t="s">
        <v>85</v>
      </c>
      <c r="Q96" s="686" t="s">
        <v>72</v>
      </c>
      <c r="R96" s="686"/>
      <c r="S96" s="638" t="s">
        <v>74</v>
      </c>
      <c r="T96" s="638" t="s">
        <v>75</v>
      </c>
      <c r="U96" s="638" t="s">
        <v>76</v>
      </c>
      <c r="V96" s="638" t="s">
        <v>77</v>
      </c>
      <c r="W96" s="638" t="s">
        <v>78</v>
      </c>
      <c r="X96" s="638" t="s">
        <v>79</v>
      </c>
      <c r="Y96" s="638" t="s">
        <v>80</v>
      </c>
      <c r="Z96" s="638" t="s">
        <v>81</v>
      </c>
      <c r="AA96" s="638" t="s">
        <v>82</v>
      </c>
      <c r="AB96" s="638" t="s">
        <v>83</v>
      </c>
      <c r="AC96" s="638" t="s">
        <v>84</v>
      </c>
      <c r="AD96" s="638" t="s">
        <v>85</v>
      </c>
      <c r="AF96" s="686" t="s">
        <v>72</v>
      </c>
      <c r="AG96" s="686"/>
      <c r="AH96" s="638" t="s">
        <v>74</v>
      </c>
      <c r="AI96" s="638" t="s">
        <v>75</v>
      </c>
      <c r="AJ96" s="638" t="s">
        <v>76</v>
      </c>
      <c r="AK96" s="638" t="s">
        <v>77</v>
      </c>
      <c r="AL96" s="638" t="s">
        <v>78</v>
      </c>
      <c r="AM96" s="638" t="s">
        <v>79</v>
      </c>
      <c r="AN96" s="638" t="s">
        <v>80</v>
      </c>
      <c r="AO96" s="638" t="s">
        <v>81</v>
      </c>
      <c r="AP96" s="638" t="s">
        <v>82</v>
      </c>
      <c r="AQ96" s="638" t="s">
        <v>83</v>
      </c>
      <c r="AR96" s="638" t="s">
        <v>84</v>
      </c>
      <c r="AS96" s="638" t="s">
        <v>85</v>
      </c>
    </row>
    <row r="97" spans="1:47" s="124" customFormat="1" ht="30.6" customHeight="1">
      <c r="A97" s="125"/>
      <c r="B97" s="633" t="s">
        <v>192</v>
      </c>
      <c r="C97" s="557" t="s">
        <v>193</v>
      </c>
      <c r="D97" s="558">
        <v>4.9000000000000004</v>
      </c>
      <c r="E97" s="558">
        <v>4.9000000000000004</v>
      </c>
      <c r="F97" s="558">
        <v>4.9000000000000004</v>
      </c>
      <c r="G97" s="558">
        <v>4.9000000000000004</v>
      </c>
      <c r="H97" s="558">
        <v>4.9000000000000004</v>
      </c>
      <c r="I97" s="558">
        <v>4.9000000000000004</v>
      </c>
      <c r="J97" s="558">
        <v>4.9000000000000004</v>
      </c>
      <c r="K97" s="558">
        <v>4.9000000000000004</v>
      </c>
      <c r="L97" s="558">
        <v>4.9000000000000004</v>
      </c>
      <c r="M97" s="558">
        <v>4.9000000000000004</v>
      </c>
      <c r="N97" s="558">
        <v>4.9000000000000004</v>
      </c>
      <c r="O97" s="558">
        <v>4.9000000000000004</v>
      </c>
      <c r="Q97" s="633" t="str">
        <f>B97</f>
        <v>Semua Unit</v>
      </c>
      <c r="R97" s="557" t="str">
        <f>C97</f>
        <v>Rating</v>
      </c>
      <c r="S97" s="559">
        <v>4.91</v>
      </c>
      <c r="T97" s="559">
        <v>4.91</v>
      </c>
      <c r="U97" s="559">
        <v>4.91</v>
      </c>
      <c r="V97" s="559">
        <v>4.91</v>
      </c>
      <c r="W97" s="559">
        <v>4.9000000000000004</v>
      </c>
      <c r="X97" s="559">
        <v>4.9000000000000004</v>
      </c>
      <c r="Y97" s="560">
        <v>4.9000000000000004</v>
      </c>
      <c r="Z97" s="560">
        <v>4.9000000000000004</v>
      </c>
      <c r="AA97" s="560">
        <v>4.9000000000000004</v>
      </c>
      <c r="AB97" s="560">
        <v>4.9000000000000004</v>
      </c>
      <c r="AC97" s="560">
        <v>4.9000000000000004</v>
      </c>
      <c r="AD97" s="560">
        <v>4.9000000000000004</v>
      </c>
      <c r="AF97" s="633" t="str">
        <f t="shared" ref="AF97:AS97" si="153">Q97</f>
        <v>Semua Unit</v>
      </c>
      <c r="AG97" s="557" t="str">
        <f t="shared" si="153"/>
        <v>Rating</v>
      </c>
      <c r="AH97" s="559">
        <f t="shared" si="153"/>
        <v>4.91</v>
      </c>
      <c r="AI97" s="559">
        <f t="shared" si="153"/>
        <v>4.91</v>
      </c>
      <c r="AJ97" s="559">
        <f t="shared" si="153"/>
        <v>4.91</v>
      </c>
      <c r="AK97" s="559">
        <f t="shared" si="153"/>
        <v>4.91</v>
      </c>
      <c r="AL97" s="559">
        <f t="shared" si="153"/>
        <v>4.9000000000000004</v>
      </c>
      <c r="AM97" s="559">
        <f t="shared" si="153"/>
        <v>4.9000000000000004</v>
      </c>
      <c r="AN97" s="559">
        <f t="shared" si="153"/>
        <v>4.9000000000000004</v>
      </c>
      <c r="AO97" s="559">
        <f t="shared" si="153"/>
        <v>4.9000000000000004</v>
      </c>
      <c r="AP97" s="559">
        <f t="shared" si="153"/>
        <v>4.9000000000000004</v>
      </c>
      <c r="AQ97" s="559">
        <f t="shared" si="153"/>
        <v>4.9000000000000004</v>
      </c>
      <c r="AR97" s="559">
        <f t="shared" si="153"/>
        <v>4.9000000000000004</v>
      </c>
      <c r="AS97" s="559">
        <f t="shared" si="153"/>
        <v>4.9000000000000004</v>
      </c>
      <c r="AU97" s="370"/>
    </row>
    <row r="98" spans="1:47"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  <c r="AC98" s="166"/>
      <c r="AD98" s="166"/>
      <c r="AF98" t="str">
        <f>B231</f>
        <v>JUMLAH PENGGUNA SWACAM</v>
      </c>
      <c r="AH98" s="166"/>
      <c r="AI98" s="166"/>
      <c r="AJ98" s="166"/>
      <c r="AK98" s="166"/>
      <c r="AL98" s="166"/>
      <c r="AM98" s="166"/>
      <c r="AN98" s="166"/>
      <c r="AO98" s="166"/>
      <c r="AP98" s="166"/>
      <c r="AQ98" s="166"/>
      <c r="AR98" s="166"/>
      <c r="AS98" s="166"/>
    </row>
    <row r="99" spans="1:47">
      <c r="B99" s="371" t="s">
        <v>194</v>
      </c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Q99" s="194" t="str">
        <f>B99</f>
        <v>JUMLAH KALI TRANSAKSI KEUANGAN PLN MOBILE - TOTAL</v>
      </c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  <c r="AD99" s="105"/>
      <c r="AF99" s="194" t="str">
        <f>B99</f>
        <v>JUMLAH KALI TRANSAKSI KEUANGAN PLN MOBILE - TOTAL</v>
      </c>
      <c r="AH99" s="105"/>
      <c r="AI99" s="105"/>
      <c r="AJ99" s="105"/>
      <c r="AK99" s="105"/>
      <c r="AL99" s="105"/>
      <c r="AM99" s="105"/>
      <c r="AN99" s="105"/>
      <c r="AO99" s="105"/>
      <c r="AP99" s="105"/>
      <c r="AQ99" s="105"/>
      <c r="AR99" s="105"/>
      <c r="AS99" s="105"/>
    </row>
    <row r="100" spans="1:47">
      <c r="B100" s="21" t="s">
        <v>100</v>
      </c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Q100" t="s">
        <v>126</v>
      </c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  <c r="AD100" s="105"/>
      <c r="AF100" t="s">
        <v>181</v>
      </c>
      <c r="AH100" s="105"/>
      <c r="AI100" s="105"/>
      <c r="AJ100" s="105"/>
      <c r="AK100" s="105"/>
      <c r="AL100" s="105"/>
      <c r="AM100" s="105"/>
      <c r="AN100" s="105"/>
      <c r="AO100" s="105"/>
      <c r="AP100" s="105"/>
      <c r="AQ100" s="105"/>
      <c r="AR100" s="105"/>
      <c r="AS100" s="105"/>
    </row>
    <row r="101" spans="1:47">
      <c r="B101" s="686" t="s">
        <v>72</v>
      </c>
      <c r="C101" s="686"/>
      <c r="D101" s="638" t="s">
        <v>74</v>
      </c>
      <c r="E101" s="638" t="s">
        <v>75</v>
      </c>
      <c r="F101" s="638" t="s">
        <v>76</v>
      </c>
      <c r="G101" s="638" t="s">
        <v>77</v>
      </c>
      <c r="H101" s="638" t="s">
        <v>78</v>
      </c>
      <c r="I101" s="638" t="s">
        <v>79</v>
      </c>
      <c r="J101" s="638" t="s">
        <v>80</v>
      </c>
      <c r="K101" s="638" t="s">
        <v>81</v>
      </c>
      <c r="L101" s="638" t="s">
        <v>82</v>
      </c>
      <c r="M101" s="638" t="s">
        <v>83</v>
      </c>
      <c r="N101" s="638" t="s">
        <v>84</v>
      </c>
      <c r="O101" s="638" t="s">
        <v>85</v>
      </c>
      <c r="Q101" s="686" t="s">
        <v>72</v>
      </c>
      <c r="R101" s="686"/>
      <c r="S101" s="638" t="s">
        <v>74</v>
      </c>
      <c r="T101" s="638" t="s">
        <v>75</v>
      </c>
      <c r="U101" s="638" t="s">
        <v>76</v>
      </c>
      <c r="V101" s="638" t="s">
        <v>77</v>
      </c>
      <c r="W101" s="638" t="s">
        <v>78</v>
      </c>
      <c r="X101" s="638" t="s">
        <v>79</v>
      </c>
      <c r="Y101" s="638" t="s">
        <v>80</v>
      </c>
      <c r="Z101" s="638" t="s">
        <v>81</v>
      </c>
      <c r="AA101" s="638" t="s">
        <v>82</v>
      </c>
      <c r="AB101" s="638" t="s">
        <v>83</v>
      </c>
      <c r="AC101" s="638" t="s">
        <v>84</v>
      </c>
      <c r="AD101" s="638" t="s">
        <v>85</v>
      </c>
      <c r="AF101" s="686" t="s">
        <v>72</v>
      </c>
      <c r="AG101" s="686"/>
      <c r="AH101" s="638" t="s">
        <v>74</v>
      </c>
      <c r="AI101" s="638" t="s">
        <v>75</v>
      </c>
      <c r="AJ101" s="638" t="s">
        <v>76</v>
      </c>
      <c r="AK101" s="638" t="s">
        <v>77</v>
      </c>
      <c r="AL101" s="638" t="s">
        <v>78</v>
      </c>
      <c r="AM101" s="638" t="s">
        <v>79</v>
      </c>
      <c r="AN101" s="638" t="s">
        <v>80</v>
      </c>
      <c r="AO101" s="638" t="s">
        <v>81</v>
      </c>
      <c r="AP101" s="638" t="s">
        <v>82</v>
      </c>
      <c r="AQ101" s="638" t="s">
        <v>83</v>
      </c>
      <c r="AR101" s="638" t="s">
        <v>84</v>
      </c>
      <c r="AS101" s="638" t="s">
        <v>85</v>
      </c>
    </row>
    <row r="102" spans="1:47">
      <c r="B102" s="633" t="s">
        <v>128</v>
      </c>
      <c r="C102" s="549" t="s">
        <v>195</v>
      </c>
      <c r="D102" s="550">
        <v>1598</v>
      </c>
      <c r="E102" s="550">
        <v>3042</v>
      </c>
      <c r="F102" s="550">
        <v>4641</v>
      </c>
      <c r="G102" s="550">
        <v>6188</v>
      </c>
      <c r="H102" s="550">
        <v>7786</v>
      </c>
      <c r="I102" s="550">
        <v>9333</v>
      </c>
      <c r="J102" s="550">
        <v>10381</v>
      </c>
      <c r="K102" s="550">
        <v>11430</v>
      </c>
      <c r="L102" s="550">
        <v>12444</v>
      </c>
      <c r="M102" s="550">
        <v>13492</v>
      </c>
      <c r="N102" s="550">
        <v>14507</v>
      </c>
      <c r="O102" s="550">
        <v>15555</v>
      </c>
      <c r="Q102" s="633" t="str">
        <f t="shared" ref="Q102:Q107" si="154">B102</f>
        <v>ULP Tolitoli</v>
      </c>
      <c r="R102" s="549" t="s">
        <v>195</v>
      </c>
      <c r="S102" s="561">
        <v>859</v>
      </c>
      <c r="T102" s="550">
        <v>1155</v>
      </c>
      <c r="U102" s="550">
        <v>1832</v>
      </c>
      <c r="V102" s="550">
        <v>2510</v>
      </c>
      <c r="W102" s="550">
        <v>2246</v>
      </c>
      <c r="X102" s="550">
        <v>1704</v>
      </c>
      <c r="Y102" s="550">
        <v>1965</v>
      </c>
      <c r="Z102" s="550">
        <v>1940</v>
      </c>
      <c r="AA102" s="550">
        <v>1898</v>
      </c>
      <c r="AB102" s="550"/>
      <c r="AC102" s="550"/>
      <c r="AD102" s="550"/>
      <c r="AF102" s="633" t="str">
        <f t="shared" ref="AF102:AF107" si="155">Q102</f>
        <v>ULP Tolitoli</v>
      </c>
      <c r="AG102" s="549" t="s">
        <v>195</v>
      </c>
      <c r="AH102" s="561">
        <f t="shared" ref="AH102:AH107" si="156">S102</f>
        <v>859</v>
      </c>
      <c r="AI102" s="562">
        <f t="shared" ref="AI102:AS107" si="157">IF(T102=0,0,AH102+T102)</f>
        <v>2014</v>
      </c>
      <c r="AJ102" s="562">
        <f t="shared" si="157"/>
        <v>3846</v>
      </c>
      <c r="AK102" s="562">
        <f t="shared" si="157"/>
        <v>6356</v>
      </c>
      <c r="AL102" s="562">
        <f t="shared" si="157"/>
        <v>8602</v>
      </c>
      <c r="AM102" s="562">
        <f t="shared" si="157"/>
        <v>10306</v>
      </c>
      <c r="AN102" s="562">
        <f t="shared" si="157"/>
        <v>12271</v>
      </c>
      <c r="AO102" s="562">
        <f t="shared" si="157"/>
        <v>14211</v>
      </c>
      <c r="AP102" s="562">
        <f t="shared" si="157"/>
        <v>16109</v>
      </c>
      <c r="AQ102" s="562">
        <f t="shared" si="157"/>
        <v>0</v>
      </c>
      <c r="AR102" s="562">
        <f t="shared" si="157"/>
        <v>0</v>
      </c>
      <c r="AS102" s="562">
        <f t="shared" si="157"/>
        <v>0</v>
      </c>
    </row>
    <row r="103" spans="1:47">
      <c r="B103" s="633" t="s">
        <v>87</v>
      </c>
      <c r="C103" s="549" t="s">
        <v>195</v>
      </c>
      <c r="D103" s="550">
        <v>1826</v>
      </c>
      <c r="E103" s="550">
        <v>3476</v>
      </c>
      <c r="F103" s="550">
        <v>5303</v>
      </c>
      <c r="G103" s="550">
        <v>7070</v>
      </c>
      <c r="H103" s="550">
        <v>8896</v>
      </c>
      <c r="I103" s="550">
        <v>10664</v>
      </c>
      <c r="J103" s="550">
        <v>11862</v>
      </c>
      <c r="K103" s="550">
        <v>13060</v>
      </c>
      <c r="L103" s="550">
        <v>14219</v>
      </c>
      <c r="M103" s="550">
        <v>15417</v>
      </c>
      <c r="N103" s="550">
        <v>16576</v>
      </c>
      <c r="O103" s="550">
        <v>17774</v>
      </c>
      <c r="Q103" s="633" t="str">
        <f t="shared" si="154"/>
        <v>ULP Leok</v>
      </c>
      <c r="R103" s="549" t="s">
        <v>195</v>
      </c>
      <c r="S103" s="561">
        <v>1054</v>
      </c>
      <c r="T103" s="550">
        <v>1117</v>
      </c>
      <c r="U103" s="550">
        <v>3018</v>
      </c>
      <c r="V103" s="550">
        <v>2434</v>
      </c>
      <c r="W103" s="550">
        <v>2576</v>
      </c>
      <c r="X103" s="550">
        <v>2432</v>
      </c>
      <c r="Y103" s="550">
        <v>2646</v>
      </c>
      <c r="Z103" s="550">
        <v>1661</v>
      </c>
      <c r="AA103" s="550">
        <v>1615</v>
      </c>
      <c r="AB103" s="550"/>
      <c r="AC103" s="550"/>
      <c r="AD103" s="550"/>
      <c r="AF103" s="633" t="str">
        <f t="shared" si="155"/>
        <v>ULP Leok</v>
      </c>
      <c r="AG103" s="549" t="s">
        <v>195</v>
      </c>
      <c r="AH103" s="561">
        <f t="shared" si="156"/>
        <v>1054</v>
      </c>
      <c r="AI103" s="562">
        <f t="shared" si="157"/>
        <v>2171</v>
      </c>
      <c r="AJ103" s="562">
        <f t="shared" si="157"/>
        <v>5189</v>
      </c>
      <c r="AK103" s="562">
        <f t="shared" si="157"/>
        <v>7623</v>
      </c>
      <c r="AL103" s="562">
        <f t="shared" si="157"/>
        <v>10199</v>
      </c>
      <c r="AM103" s="562">
        <f t="shared" si="157"/>
        <v>12631</v>
      </c>
      <c r="AN103" s="562">
        <f t="shared" si="157"/>
        <v>15277</v>
      </c>
      <c r="AO103" s="562">
        <f t="shared" si="157"/>
        <v>16938</v>
      </c>
      <c r="AP103" s="562">
        <f t="shared" si="157"/>
        <v>18553</v>
      </c>
      <c r="AQ103" s="562">
        <f t="shared" si="157"/>
        <v>0</v>
      </c>
      <c r="AR103" s="562">
        <f t="shared" si="157"/>
        <v>0</v>
      </c>
      <c r="AS103" s="562">
        <f t="shared" si="157"/>
        <v>0</v>
      </c>
    </row>
    <row r="104" spans="1:47">
      <c r="B104" s="633" t="s">
        <v>88</v>
      </c>
      <c r="C104" s="549" t="s">
        <v>195</v>
      </c>
      <c r="D104" s="550">
        <v>841</v>
      </c>
      <c r="E104" s="550">
        <v>1601</v>
      </c>
      <c r="F104" s="550">
        <v>2442</v>
      </c>
      <c r="G104" s="550">
        <v>3257</v>
      </c>
      <c r="H104" s="550">
        <v>4098</v>
      </c>
      <c r="I104" s="550">
        <v>4912</v>
      </c>
      <c r="J104" s="550">
        <v>5740</v>
      </c>
      <c r="K104" s="550">
        <v>6567</v>
      </c>
      <c r="L104" s="550">
        <v>7368</v>
      </c>
      <c r="M104" s="550">
        <v>8196</v>
      </c>
      <c r="N104" s="550">
        <v>8996</v>
      </c>
      <c r="O104" s="550">
        <v>9824</v>
      </c>
      <c r="Q104" s="633" t="str">
        <f t="shared" si="154"/>
        <v>ULP Bangkir</v>
      </c>
      <c r="R104" s="549" t="s">
        <v>195</v>
      </c>
      <c r="S104" s="561">
        <v>293</v>
      </c>
      <c r="T104" s="550">
        <v>222</v>
      </c>
      <c r="U104" s="550">
        <v>1609</v>
      </c>
      <c r="V104" s="550">
        <v>1844</v>
      </c>
      <c r="W104" s="550">
        <v>1467</v>
      </c>
      <c r="X104" s="550">
        <v>830</v>
      </c>
      <c r="Y104" s="550">
        <v>976</v>
      </c>
      <c r="Z104" s="550">
        <v>873</v>
      </c>
      <c r="AA104" s="550">
        <v>1374</v>
      </c>
      <c r="AB104" s="550"/>
      <c r="AC104" s="550"/>
      <c r="AD104" s="550"/>
      <c r="AF104" s="633" t="str">
        <f t="shared" si="155"/>
        <v>ULP Bangkir</v>
      </c>
      <c r="AG104" s="549" t="s">
        <v>195</v>
      </c>
      <c r="AH104" s="561">
        <f t="shared" si="156"/>
        <v>293</v>
      </c>
      <c r="AI104" s="562">
        <f t="shared" si="157"/>
        <v>515</v>
      </c>
      <c r="AJ104" s="562">
        <f t="shared" si="157"/>
        <v>2124</v>
      </c>
      <c r="AK104" s="562">
        <f t="shared" si="157"/>
        <v>3968</v>
      </c>
      <c r="AL104" s="562">
        <f t="shared" si="157"/>
        <v>5435</v>
      </c>
      <c r="AM104" s="562">
        <f t="shared" si="157"/>
        <v>6265</v>
      </c>
      <c r="AN104" s="562">
        <f t="shared" si="157"/>
        <v>7241</v>
      </c>
      <c r="AO104" s="562">
        <f t="shared" si="157"/>
        <v>8114</v>
      </c>
      <c r="AP104" s="562">
        <f t="shared" si="157"/>
        <v>9488</v>
      </c>
      <c r="AQ104" s="562">
        <f t="shared" si="157"/>
        <v>0</v>
      </c>
      <c r="AR104" s="562">
        <f t="shared" si="157"/>
        <v>0</v>
      </c>
      <c r="AS104" s="562">
        <f t="shared" si="157"/>
        <v>0</v>
      </c>
    </row>
    <row r="105" spans="1:47">
      <c r="B105" s="633" t="s">
        <v>121</v>
      </c>
      <c r="C105" s="549" t="s">
        <v>195</v>
      </c>
      <c r="D105" s="550">
        <v>987</v>
      </c>
      <c r="E105" s="550">
        <v>1878</v>
      </c>
      <c r="F105" s="550">
        <v>2865</v>
      </c>
      <c r="G105" s="550">
        <v>3820</v>
      </c>
      <c r="H105" s="550">
        <v>4807</v>
      </c>
      <c r="I105" s="550">
        <v>5762</v>
      </c>
      <c r="J105" s="550">
        <v>6409</v>
      </c>
      <c r="K105" s="550">
        <v>7056</v>
      </c>
      <c r="L105" s="550">
        <v>7683</v>
      </c>
      <c r="M105" s="550">
        <v>8330</v>
      </c>
      <c r="N105" s="550">
        <v>8956</v>
      </c>
      <c r="O105" s="550">
        <v>9603</v>
      </c>
      <c r="Q105" s="633" t="str">
        <f t="shared" si="154"/>
        <v>ULP Moutong</v>
      </c>
      <c r="R105" s="549" t="s">
        <v>195</v>
      </c>
      <c r="S105" s="561">
        <v>239</v>
      </c>
      <c r="T105" s="550">
        <v>388</v>
      </c>
      <c r="U105" s="550">
        <v>1743</v>
      </c>
      <c r="V105" s="550">
        <v>1778</v>
      </c>
      <c r="W105" s="550">
        <v>2124</v>
      </c>
      <c r="X105" s="550">
        <v>2399</v>
      </c>
      <c r="Y105" s="550">
        <v>2001</v>
      </c>
      <c r="Z105" s="550">
        <v>1572</v>
      </c>
      <c r="AA105" s="550">
        <v>1058</v>
      </c>
      <c r="AB105" s="550"/>
      <c r="AC105" s="550"/>
      <c r="AD105" s="550"/>
      <c r="AF105" s="633" t="str">
        <f t="shared" si="155"/>
        <v>ULP Moutong</v>
      </c>
      <c r="AG105" s="549" t="s">
        <v>195</v>
      </c>
      <c r="AH105" s="561">
        <f t="shared" si="156"/>
        <v>239</v>
      </c>
      <c r="AI105" s="562">
        <f t="shared" si="157"/>
        <v>627</v>
      </c>
      <c r="AJ105" s="562">
        <f t="shared" si="157"/>
        <v>2370</v>
      </c>
      <c r="AK105" s="562">
        <f t="shared" si="157"/>
        <v>4148</v>
      </c>
      <c r="AL105" s="562">
        <f t="shared" si="157"/>
        <v>6272</v>
      </c>
      <c r="AM105" s="562">
        <f t="shared" si="157"/>
        <v>8671</v>
      </c>
      <c r="AN105" s="562">
        <f t="shared" si="157"/>
        <v>10672</v>
      </c>
      <c r="AO105" s="562">
        <f t="shared" si="157"/>
        <v>12244</v>
      </c>
      <c r="AP105" s="562">
        <f t="shared" si="157"/>
        <v>13302</v>
      </c>
      <c r="AQ105" s="562">
        <f t="shared" si="157"/>
        <v>0</v>
      </c>
      <c r="AR105" s="562">
        <f t="shared" si="157"/>
        <v>0</v>
      </c>
      <c r="AS105" s="562">
        <f t="shared" si="157"/>
        <v>0</v>
      </c>
    </row>
    <row r="106" spans="1:47">
      <c r="B106" s="633" t="s">
        <v>89</v>
      </c>
      <c r="C106" s="549" t="s">
        <v>195</v>
      </c>
      <c r="D106" s="550">
        <v>1043</v>
      </c>
      <c r="E106" s="550">
        <v>1985</v>
      </c>
      <c r="F106" s="550">
        <v>3029</v>
      </c>
      <c r="G106" s="550">
        <v>4038</v>
      </c>
      <c r="H106" s="550">
        <v>5081</v>
      </c>
      <c r="I106" s="550">
        <v>6091</v>
      </c>
      <c r="J106" s="550">
        <v>6775</v>
      </c>
      <c r="K106" s="550">
        <v>7459</v>
      </c>
      <c r="L106" s="550">
        <v>8122</v>
      </c>
      <c r="M106" s="550">
        <v>8806</v>
      </c>
      <c r="N106" s="550">
        <v>9468</v>
      </c>
      <c r="O106" s="550">
        <v>10152</v>
      </c>
      <c r="Q106" s="633" t="str">
        <f t="shared" si="154"/>
        <v>ULP Kotaraya</v>
      </c>
      <c r="R106" s="549" t="s">
        <v>195</v>
      </c>
      <c r="S106" s="561">
        <v>336</v>
      </c>
      <c r="T106" s="550">
        <v>500</v>
      </c>
      <c r="U106" s="550">
        <v>1984</v>
      </c>
      <c r="V106" s="550">
        <v>1752</v>
      </c>
      <c r="W106" s="550">
        <v>1469</v>
      </c>
      <c r="X106" s="550">
        <v>1147</v>
      </c>
      <c r="Y106" s="550">
        <v>917</v>
      </c>
      <c r="Z106" s="550">
        <v>1060</v>
      </c>
      <c r="AA106" s="550">
        <v>1473</v>
      </c>
      <c r="AB106" s="550"/>
      <c r="AC106" s="550"/>
      <c r="AD106" s="550"/>
      <c r="AF106" s="633" t="str">
        <f t="shared" si="155"/>
        <v>ULP Kotaraya</v>
      </c>
      <c r="AG106" s="549" t="s">
        <v>195</v>
      </c>
      <c r="AH106" s="561">
        <f t="shared" si="156"/>
        <v>336</v>
      </c>
      <c r="AI106" s="562">
        <f t="shared" si="157"/>
        <v>836</v>
      </c>
      <c r="AJ106" s="562">
        <f t="shared" si="157"/>
        <v>2820</v>
      </c>
      <c r="AK106" s="562">
        <f t="shared" si="157"/>
        <v>4572</v>
      </c>
      <c r="AL106" s="562">
        <f t="shared" si="157"/>
        <v>6041</v>
      </c>
      <c r="AM106" s="562">
        <f t="shared" si="157"/>
        <v>7188</v>
      </c>
      <c r="AN106" s="562">
        <f t="shared" si="157"/>
        <v>8105</v>
      </c>
      <c r="AO106" s="562">
        <f t="shared" si="157"/>
        <v>9165</v>
      </c>
      <c r="AP106" s="562">
        <f t="shared" si="157"/>
        <v>10638</v>
      </c>
      <c r="AQ106" s="562">
        <f t="shared" si="157"/>
        <v>0</v>
      </c>
      <c r="AR106" s="562">
        <f t="shared" si="157"/>
        <v>0</v>
      </c>
      <c r="AS106" s="562">
        <f t="shared" si="157"/>
        <v>0</v>
      </c>
    </row>
    <row r="107" spans="1:47">
      <c r="B107" s="633" t="s">
        <v>90</v>
      </c>
      <c r="C107" s="549" t="s">
        <v>195</v>
      </c>
      <c r="D107" s="550">
        <v>5386</v>
      </c>
      <c r="E107" s="550">
        <v>10253</v>
      </c>
      <c r="F107" s="550">
        <v>15641</v>
      </c>
      <c r="G107" s="550">
        <v>20855</v>
      </c>
      <c r="H107" s="550">
        <v>26242</v>
      </c>
      <c r="I107" s="550">
        <v>31455</v>
      </c>
      <c r="J107" s="550">
        <v>36754</v>
      </c>
      <c r="K107" s="550">
        <v>42054</v>
      </c>
      <c r="L107" s="550">
        <v>47183</v>
      </c>
      <c r="M107" s="550">
        <v>52481</v>
      </c>
      <c r="N107" s="550">
        <v>57609</v>
      </c>
      <c r="O107" s="550">
        <v>62908</v>
      </c>
      <c r="Q107" s="633" t="str">
        <f t="shared" si="154"/>
        <v>UP3 Tolitoli</v>
      </c>
      <c r="R107" s="549" t="s">
        <v>195</v>
      </c>
      <c r="S107" s="561">
        <f t="shared" ref="S107:AD107" si="158">SUM(S102:S106)</f>
        <v>2781</v>
      </c>
      <c r="T107" s="561">
        <f t="shared" si="158"/>
        <v>3382</v>
      </c>
      <c r="U107" s="561">
        <f t="shared" si="158"/>
        <v>10186</v>
      </c>
      <c r="V107" s="561">
        <f t="shared" si="158"/>
        <v>10318</v>
      </c>
      <c r="W107" s="561">
        <f t="shared" si="158"/>
        <v>9882</v>
      </c>
      <c r="X107" s="561">
        <f t="shared" si="158"/>
        <v>8512</v>
      </c>
      <c r="Y107" s="561">
        <f t="shared" si="158"/>
        <v>8505</v>
      </c>
      <c r="Z107" s="561">
        <f t="shared" si="158"/>
        <v>7106</v>
      </c>
      <c r="AA107" s="561">
        <f t="shared" si="158"/>
        <v>7418</v>
      </c>
      <c r="AB107" s="561">
        <f t="shared" si="158"/>
        <v>0</v>
      </c>
      <c r="AC107" s="561">
        <f t="shared" si="158"/>
        <v>0</v>
      </c>
      <c r="AD107" s="561">
        <f t="shared" si="158"/>
        <v>0</v>
      </c>
      <c r="AF107" s="633" t="str">
        <f t="shared" si="155"/>
        <v>UP3 Tolitoli</v>
      </c>
      <c r="AG107" s="549" t="s">
        <v>195</v>
      </c>
      <c r="AH107" s="561">
        <f t="shared" si="156"/>
        <v>2781</v>
      </c>
      <c r="AI107" s="562">
        <f t="shared" si="157"/>
        <v>6163</v>
      </c>
      <c r="AJ107" s="562">
        <f t="shared" si="157"/>
        <v>16349</v>
      </c>
      <c r="AK107" s="562">
        <f t="shared" si="157"/>
        <v>26667</v>
      </c>
      <c r="AL107" s="562">
        <f t="shared" si="157"/>
        <v>36549</v>
      </c>
      <c r="AM107" s="562">
        <f t="shared" si="157"/>
        <v>45061</v>
      </c>
      <c r="AN107" s="562">
        <f t="shared" si="157"/>
        <v>53566</v>
      </c>
      <c r="AO107" s="562">
        <f t="shared" si="157"/>
        <v>60672</v>
      </c>
      <c r="AP107" s="562">
        <f t="shared" si="157"/>
        <v>68090</v>
      </c>
      <c r="AQ107" s="562">
        <f t="shared" si="157"/>
        <v>0</v>
      </c>
      <c r="AR107" s="562">
        <f t="shared" si="157"/>
        <v>0</v>
      </c>
      <c r="AS107" s="562">
        <f t="shared" si="157"/>
        <v>0</v>
      </c>
    </row>
    <row r="108" spans="1:47"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H108" s="166"/>
      <c r="AI108" s="166"/>
      <c r="AJ108" s="166"/>
      <c r="AK108" s="166"/>
      <c r="AL108" s="166"/>
      <c r="AM108" s="166"/>
      <c r="AN108" s="166"/>
      <c r="AO108" s="166"/>
      <c r="AP108" s="166"/>
      <c r="AQ108" s="166"/>
      <c r="AR108" s="166"/>
      <c r="AS108" s="166"/>
    </row>
    <row r="109" spans="1:47">
      <c r="B109" s="301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S109" s="166"/>
      <c r="T109" s="166"/>
      <c r="U109" s="166"/>
      <c r="V109" s="166"/>
      <c r="W109" s="166"/>
      <c r="X109" s="166"/>
      <c r="Y109" s="166"/>
      <c r="Z109" s="166"/>
      <c r="AA109" s="166"/>
      <c r="AB109" s="166"/>
      <c r="AC109" s="166"/>
      <c r="AD109" s="166"/>
      <c r="AH109" s="105"/>
      <c r="AI109" s="105"/>
      <c r="AJ109" s="105"/>
      <c r="AK109" s="105"/>
      <c r="AL109" s="105"/>
      <c r="AM109" s="105"/>
      <c r="AN109" s="105"/>
      <c r="AO109" s="105"/>
      <c r="AP109" s="105"/>
      <c r="AQ109" s="105"/>
      <c r="AR109" s="166"/>
      <c r="AS109" s="105"/>
    </row>
    <row r="110" spans="1:47" s="105" customFormat="1">
      <c r="A110" s="105">
        <v>5</v>
      </c>
      <c r="B110" s="21" t="s">
        <v>196</v>
      </c>
      <c r="C110"/>
      <c r="Q110" t="str">
        <f>B110</f>
        <v>RCT DAN RPT GANGGUAN (MENIT)</v>
      </c>
      <c r="R110"/>
      <c r="AE110"/>
      <c r="AF110" t="str">
        <f>B110</f>
        <v>RCT DAN RPT GANGGUAN (MENIT)</v>
      </c>
      <c r="AG110"/>
      <c r="AU110" s="143"/>
    </row>
    <row r="111" spans="1:47" s="105" customFormat="1">
      <c r="B111" s="21" t="s">
        <v>100</v>
      </c>
      <c r="C111"/>
      <c r="Q111" t="s">
        <v>126</v>
      </c>
      <c r="R111"/>
      <c r="AE111"/>
      <c r="AF111" t="s">
        <v>127</v>
      </c>
      <c r="AG111"/>
      <c r="AU111" s="143"/>
    </row>
    <row r="112" spans="1:47">
      <c r="B112" s="681" t="s">
        <v>72</v>
      </c>
      <c r="C112" s="682"/>
      <c r="D112" s="638" t="s">
        <v>74</v>
      </c>
      <c r="E112" s="638" t="s">
        <v>75</v>
      </c>
      <c r="F112" s="638" t="s">
        <v>76</v>
      </c>
      <c r="G112" s="638" t="s">
        <v>77</v>
      </c>
      <c r="H112" s="638" t="s">
        <v>78</v>
      </c>
      <c r="I112" s="638" t="s">
        <v>79</v>
      </c>
      <c r="J112" s="638" t="s">
        <v>80</v>
      </c>
      <c r="K112" s="638" t="s">
        <v>81</v>
      </c>
      <c r="L112" s="638" t="s">
        <v>82</v>
      </c>
      <c r="M112" s="638" t="s">
        <v>83</v>
      </c>
      <c r="N112" s="638" t="s">
        <v>84</v>
      </c>
      <c r="O112" s="638" t="s">
        <v>85</v>
      </c>
      <c r="Q112" s="681" t="s">
        <v>72</v>
      </c>
      <c r="R112" s="682"/>
      <c r="S112" s="638" t="s">
        <v>74</v>
      </c>
      <c r="T112" s="638" t="s">
        <v>75</v>
      </c>
      <c r="U112" s="638" t="s">
        <v>76</v>
      </c>
      <c r="V112" s="638" t="s">
        <v>77</v>
      </c>
      <c r="W112" s="638" t="s">
        <v>78</v>
      </c>
      <c r="X112" s="638" t="s">
        <v>79</v>
      </c>
      <c r="Y112" s="638" t="s">
        <v>80</v>
      </c>
      <c r="Z112" s="638" t="s">
        <v>81</v>
      </c>
      <c r="AA112" s="638" t="s">
        <v>82</v>
      </c>
      <c r="AB112" s="638" t="s">
        <v>83</v>
      </c>
      <c r="AC112" s="638" t="s">
        <v>84</v>
      </c>
      <c r="AD112" s="638" t="s">
        <v>85</v>
      </c>
      <c r="AF112" s="681" t="s">
        <v>72</v>
      </c>
      <c r="AG112" s="682"/>
      <c r="AH112" s="638" t="s">
        <v>74</v>
      </c>
      <c r="AI112" s="638" t="s">
        <v>75</v>
      </c>
      <c r="AJ112" s="638" t="s">
        <v>76</v>
      </c>
      <c r="AK112" s="638" t="s">
        <v>77</v>
      </c>
      <c r="AL112" s="638" t="s">
        <v>78</v>
      </c>
      <c r="AM112" s="638" t="s">
        <v>79</v>
      </c>
      <c r="AN112" s="638" t="s">
        <v>80</v>
      </c>
      <c r="AO112" s="638" t="s">
        <v>81</v>
      </c>
      <c r="AP112" s="638" t="s">
        <v>82</v>
      </c>
      <c r="AQ112" s="638" t="s">
        <v>83</v>
      </c>
      <c r="AR112" s="638" t="s">
        <v>84</v>
      </c>
      <c r="AS112" s="638" t="s">
        <v>85</v>
      </c>
    </row>
    <row r="113" spans="1:47" s="105" customFormat="1">
      <c r="B113" s="680" t="s">
        <v>128</v>
      </c>
      <c r="C113" s="563" t="s">
        <v>197</v>
      </c>
      <c r="D113" s="564">
        <v>30</v>
      </c>
      <c r="E113" s="564">
        <v>30</v>
      </c>
      <c r="F113" s="564">
        <v>30</v>
      </c>
      <c r="G113" s="564">
        <v>30</v>
      </c>
      <c r="H113" s="564">
        <v>30</v>
      </c>
      <c r="I113" s="564">
        <v>30</v>
      </c>
      <c r="J113" s="564">
        <v>30</v>
      </c>
      <c r="K113" s="564">
        <v>30</v>
      </c>
      <c r="L113" s="564">
        <v>30</v>
      </c>
      <c r="M113" s="564">
        <v>30</v>
      </c>
      <c r="N113" s="564">
        <v>30</v>
      </c>
      <c r="O113" s="564">
        <v>30</v>
      </c>
      <c r="Q113" s="679" t="s">
        <v>128</v>
      </c>
      <c r="R113" s="515" t="s">
        <v>197</v>
      </c>
      <c r="S113" s="523">
        <v>11.477160493827162</v>
      </c>
      <c r="T113" s="513">
        <v>11.274999999999997</v>
      </c>
      <c r="U113" s="513">
        <v>11.162053571428572</v>
      </c>
      <c r="V113" s="513">
        <v>11.401995305164318</v>
      </c>
      <c r="W113" s="513">
        <v>14.48</v>
      </c>
      <c r="X113" s="565">
        <v>13.317889908256882</v>
      </c>
      <c r="Y113" s="565">
        <v>13.317889908256882</v>
      </c>
      <c r="Z113" s="523">
        <v>14.690740740740743</v>
      </c>
      <c r="AA113" s="523">
        <v>14.942133726647004</v>
      </c>
      <c r="AB113" s="526"/>
      <c r="AC113" s="513"/>
      <c r="AD113" s="513"/>
      <c r="AE113"/>
      <c r="AF113" s="679" t="s">
        <v>128</v>
      </c>
      <c r="AG113" s="515" t="s">
        <v>197</v>
      </c>
      <c r="AH113" s="526">
        <f>S113</f>
        <v>11.477160493827162</v>
      </c>
      <c r="AI113" s="513">
        <f>AVERAGE($S$113:T113)</f>
        <v>11.376080246913579</v>
      </c>
      <c r="AJ113" s="513">
        <f>AVERAGE($S$113:U113)</f>
        <v>11.304738021751911</v>
      </c>
      <c r="AK113" s="513">
        <f>AVERAGE($S$113:V113)</f>
        <v>11.329052342605014</v>
      </c>
      <c r="AL113" s="513">
        <f>AVERAGE($S$113:W113)</f>
        <v>11.959241874084011</v>
      </c>
      <c r="AM113" s="513">
        <f>AVERAGE($S$113:X113)</f>
        <v>12.185683213112824</v>
      </c>
      <c r="AN113" s="523">
        <f>AVERAGE($S$113:Y113)</f>
        <v>12.347427026704834</v>
      </c>
      <c r="AO113" s="513">
        <f>AVERAGE($S$113:Z113)</f>
        <v>12.640341240959323</v>
      </c>
      <c r="AP113" s="513">
        <f>AVERAGE($S$113:AA113)</f>
        <v>12.896095961591287</v>
      </c>
      <c r="AQ113" s="526">
        <f>AVERAGE($S$113:AB113)</f>
        <v>12.896095961591287</v>
      </c>
      <c r="AR113" s="526">
        <f>AVERAGE($S$113:AC113)</f>
        <v>12.896095961591287</v>
      </c>
      <c r="AS113" s="513">
        <f>AVERAGE($S$113:AD113)</f>
        <v>12.896095961591287</v>
      </c>
      <c r="AU113" s="143"/>
    </row>
    <row r="114" spans="1:47">
      <c r="B114" s="680"/>
      <c r="C114" s="516" t="s">
        <v>198</v>
      </c>
      <c r="D114" s="566"/>
      <c r="E114" s="566"/>
      <c r="F114" s="566"/>
      <c r="G114" s="566"/>
      <c r="H114" s="566"/>
      <c r="I114" s="566"/>
      <c r="J114" s="566"/>
      <c r="K114" s="566"/>
      <c r="L114" s="566"/>
      <c r="M114" s="566"/>
      <c r="N114" s="566"/>
      <c r="O114" s="566"/>
      <c r="Q114" s="679"/>
      <c r="R114" s="516" t="s">
        <v>198</v>
      </c>
      <c r="S114" s="519"/>
      <c r="T114" s="517"/>
      <c r="U114" s="517"/>
      <c r="V114" s="517"/>
      <c r="W114" s="517"/>
      <c r="X114" s="567"/>
      <c r="Y114" s="567"/>
      <c r="Z114" s="519"/>
      <c r="AA114" s="519"/>
      <c r="AB114" s="518"/>
      <c r="AC114" s="517"/>
      <c r="AD114" s="517"/>
      <c r="AF114" s="679"/>
      <c r="AG114" s="516" t="s">
        <v>198</v>
      </c>
      <c r="AH114" s="518"/>
      <c r="AI114" s="517"/>
      <c r="AJ114" s="517"/>
      <c r="AK114" s="517"/>
      <c r="AL114" s="517"/>
      <c r="AM114" s="517"/>
      <c r="AN114" s="519"/>
      <c r="AO114" s="517"/>
      <c r="AP114" s="517"/>
      <c r="AQ114" s="517"/>
      <c r="AR114" s="518"/>
      <c r="AS114" s="517"/>
    </row>
    <row r="115" spans="1:47">
      <c r="B115" s="680" t="s">
        <v>87</v>
      </c>
      <c r="C115" s="490" t="s">
        <v>197</v>
      </c>
      <c r="D115" s="568">
        <v>30</v>
      </c>
      <c r="E115" s="568">
        <v>30</v>
      </c>
      <c r="F115" s="568">
        <v>30</v>
      </c>
      <c r="G115" s="568">
        <v>30</v>
      </c>
      <c r="H115" s="568">
        <v>30</v>
      </c>
      <c r="I115" s="568">
        <v>30</v>
      </c>
      <c r="J115" s="568">
        <v>30</v>
      </c>
      <c r="K115" s="568">
        <v>30</v>
      </c>
      <c r="L115" s="568">
        <v>30</v>
      </c>
      <c r="M115" s="568">
        <v>30</v>
      </c>
      <c r="N115" s="568">
        <v>30</v>
      </c>
      <c r="O115" s="568">
        <v>30</v>
      </c>
      <c r="Q115" s="679" t="s">
        <v>87</v>
      </c>
      <c r="R115" s="489" t="s">
        <v>197</v>
      </c>
      <c r="S115" s="523">
        <v>6.2834097859327196</v>
      </c>
      <c r="T115" s="513">
        <v>6.4696969696969688</v>
      </c>
      <c r="U115" s="513">
        <v>6.6301084990958419</v>
      </c>
      <c r="V115" s="513">
        <v>6.6203516377649327</v>
      </c>
      <c r="W115" s="513">
        <v>13.1</v>
      </c>
      <c r="X115" s="569">
        <v>8.6159428157799507</v>
      </c>
      <c r="Y115" s="569">
        <v>8.6159428157799507</v>
      </c>
      <c r="Z115" s="523">
        <v>10.588201383551114</v>
      </c>
      <c r="AA115" s="523">
        <v>11.401224226804125</v>
      </c>
      <c r="AB115" s="526"/>
      <c r="AC115" s="513"/>
      <c r="AD115" s="513"/>
      <c r="AF115" s="679" t="s">
        <v>87</v>
      </c>
      <c r="AG115" s="489" t="s">
        <v>197</v>
      </c>
      <c r="AH115" s="526">
        <f>S115</f>
        <v>6.2834097859327196</v>
      </c>
      <c r="AI115" s="513">
        <f>AVERAGE($S$115:T115)</f>
        <v>6.3765533778148438</v>
      </c>
      <c r="AJ115" s="513">
        <f>AVERAGE($S$115:U115)</f>
        <v>6.4610717515751759</v>
      </c>
      <c r="AK115" s="513">
        <f>AVERAGE($S$115:V115)</f>
        <v>6.5008917231226153</v>
      </c>
      <c r="AL115" s="513">
        <f>AVERAGE($S$115:W115)</f>
        <v>7.8207133784980929</v>
      </c>
      <c r="AM115" s="513">
        <f>AVERAGE($S$115:X115)</f>
        <v>7.9532516180450692</v>
      </c>
      <c r="AN115" s="523">
        <f>AVERAGE($S$115:Y115)</f>
        <v>8.0479217891500525</v>
      </c>
      <c r="AO115" s="513">
        <f>AVERAGE($S$115:Z115)</f>
        <v>8.3654567384501846</v>
      </c>
      <c r="AP115" s="513">
        <f>AVERAGE($S$115:AA115)</f>
        <v>8.7027642371561775</v>
      </c>
      <c r="AQ115" s="513">
        <f>AVERAGE($S$115:AB115)</f>
        <v>8.7027642371561775</v>
      </c>
      <c r="AR115" s="526">
        <f>AVERAGE($S$115:AC115)</f>
        <v>8.7027642371561775</v>
      </c>
      <c r="AS115" s="513">
        <f>AVERAGE($S$115:AD115)</f>
        <v>8.7027642371561775</v>
      </c>
    </row>
    <row r="116" spans="1:47">
      <c r="B116" s="680"/>
      <c r="C116" s="516" t="s">
        <v>198</v>
      </c>
      <c r="D116" s="570"/>
      <c r="E116" s="570"/>
      <c r="F116" s="570"/>
      <c r="G116" s="570"/>
      <c r="H116" s="570"/>
      <c r="I116" s="570"/>
      <c r="J116" s="570"/>
      <c r="K116" s="570"/>
      <c r="L116" s="570"/>
      <c r="M116" s="570"/>
      <c r="N116" s="570"/>
      <c r="O116" s="570"/>
      <c r="Q116" s="679"/>
      <c r="R116" s="516" t="s">
        <v>198</v>
      </c>
      <c r="S116" s="519"/>
      <c r="U116" s="517"/>
      <c r="V116" s="517"/>
      <c r="W116" s="517"/>
      <c r="X116" s="567"/>
      <c r="Y116" s="567"/>
      <c r="Z116" s="519"/>
      <c r="AA116" s="519"/>
      <c r="AB116" s="518"/>
      <c r="AC116" s="517"/>
      <c r="AD116" s="517"/>
      <c r="AF116" s="679"/>
      <c r="AG116" s="516" t="s">
        <v>198</v>
      </c>
      <c r="AH116" s="518"/>
      <c r="AI116" s="517"/>
      <c r="AJ116" s="517"/>
      <c r="AK116" s="517"/>
      <c r="AL116" s="517"/>
      <c r="AM116" s="517"/>
      <c r="AN116" s="519"/>
      <c r="AO116" s="517"/>
      <c r="AP116" s="517"/>
      <c r="AQ116" s="517"/>
      <c r="AR116" s="518"/>
      <c r="AS116" s="517"/>
    </row>
    <row r="117" spans="1:47">
      <c r="B117" s="680" t="s">
        <v>88</v>
      </c>
      <c r="C117" s="490" t="s">
        <v>197</v>
      </c>
      <c r="D117" s="568">
        <v>30</v>
      </c>
      <c r="E117" s="568">
        <v>30</v>
      </c>
      <c r="F117" s="568">
        <v>30</v>
      </c>
      <c r="G117" s="568">
        <v>30</v>
      </c>
      <c r="H117" s="568">
        <v>30</v>
      </c>
      <c r="I117" s="568">
        <v>30</v>
      </c>
      <c r="J117" s="568">
        <v>30</v>
      </c>
      <c r="K117" s="568">
        <v>30</v>
      </c>
      <c r="L117" s="568">
        <v>30</v>
      </c>
      <c r="M117" s="568">
        <v>30</v>
      </c>
      <c r="N117" s="568">
        <v>30</v>
      </c>
      <c r="O117" s="568">
        <v>30</v>
      </c>
      <c r="Q117" s="679" t="s">
        <v>88</v>
      </c>
      <c r="R117" s="489" t="s">
        <v>197</v>
      </c>
      <c r="S117" s="523">
        <v>5.9774038461538472</v>
      </c>
      <c r="T117" s="517">
        <v>5.974621212121213</v>
      </c>
      <c r="U117" s="513">
        <v>6.0921744324970151</v>
      </c>
      <c r="V117" s="513">
        <v>5.9948260073260089</v>
      </c>
      <c r="W117" s="513">
        <v>13.29</v>
      </c>
      <c r="X117" s="569">
        <v>8.1517687074829936</v>
      </c>
      <c r="Y117" s="569">
        <v>8.1517687074829936</v>
      </c>
      <c r="Z117" s="523">
        <v>9.6373509590461399</v>
      </c>
      <c r="AA117" s="523">
        <v>11.975003226222741</v>
      </c>
      <c r="AB117" s="526"/>
      <c r="AC117" s="513"/>
      <c r="AD117" s="513"/>
      <c r="AF117" s="679" t="s">
        <v>88</v>
      </c>
      <c r="AG117" s="489" t="s">
        <v>197</v>
      </c>
      <c r="AH117" s="526">
        <f>S117</f>
        <v>5.9774038461538472</v>
      </c>
      <c r="AI117" s="513">
        <f>AVERAGE($S$117:T117)</f>
        <v>5.9760125291375301</v>
      </c>
      <c r="AJ117" s="513">
        <f>AVERAGE($S$117:U117)</f>
        <v>6.0147331635906918</v>
      </c>
      <c r="AK117" s="513">
        <f>AVERAGE($S$117:V117)</f>
        <v>6.009756374524521</v>
      </c>
      <c r="AL117" s="513">
        <f>AVERAGE($S$117:W117)</f>
        <v>7.465805099619617</v>
      </c>
      <c r="AM117" s="513">
        <f>AVERAGE($S$117:X117)</f>
        <v>7.5801323675968462</v>
      </c>
      <c r="AN117" s="523">
        <f>AVERAGE($S$117:Y117)</f>
        <v>7.6617947018662962</v>
      </c>
      <c r="AO117" s="513">
        <f>AVERAGE($S$117:Z117)</f>
        <v>7.9087392340137761</v>
      </c>
      <c r="AP117" s="513">
        <f>AVERAGE($S$117:AA117)</f>
        <v>8.3605463442592161</v>
      </c>
      <c r="AQ117" s="513">
        <f>AVERAGE($S$117:AB117)</f>
        <v>8.3605463442592161</v>
      </c>
      <c r="AR117" s="526">
        <f>AVERAGE($S$117:AC117)</f>
        <v>8.3605463442592161</v>
      </c>
      <c r="AS117" s="513">
        <f>AVERAGE($S$117:AD117)</f>
        <v>8.3605463442592161</v>
      </c>
    </row>
    <row r="118" spans="1:47">
      <c r="B118" s="680"/>
      <c r="C118" s="516" t="s">
        <v>198</v>
      </c>
      <c r="D118" s="570"/>
      <c r="E118" s="570"/>
      <c r="F118" s="570"/>
      <c r="G118" s="570"/>
      <c r="H118" s="570"/>
      <c r="I118" s="570"/>
      <c r="J118" s="570"/>
      <c r="K118" s="570"/>
      <c r="L118" s="570"/>
      <c r="M118" s="570"/>
      <c r="N118" s="570"/>
      <c r="O118" s="570"/>
      <c r="Q118" s="679"/>
      <c r="R118" s="516" t="s">
        <v>198</v>
      </c>
      <c r="S118" s="519"/>
      <c r="T118" s="517"/>
      <c r="U118" s="517"/>
      <c r="V118" s="517"/>
      <c r="W118" s="517"/>
      <c r="X118" s="517"/>
      <c r="Y118" s="517"/>
      <c r="Z118" s="519"/>
      <c r="AA118" s="519"/>
      <c r="AB118" s="518"/>
      <c r="AC118" s="517"/>
      <c r="AD118" s="517"/>
      <c r="AF118" s="679"/>
      <c r="AG118" s="516" t="s">
        <v>198</v>
      </c>
      <c r="AH118" s="518"/>
      <c r="AI118" s="517"/>
      <c r="AJ118" s="517"/>
      <c r="AK118" s="517"/>
      <c r="AL118" s="517"/>
      <c r="AM118" s="517"/>
      <c r="AN118" s="519"/>
      <c r="AO118" s="517"/>
      <c r="AP118" s="517"/>
      <c r="AQ118" s="517"/>
      <c r="AR118" s="518"/>
      <c r="AS118" s="517"/>
    </row>
    <row r="119" spans="1:47">
      <c r="B119" s="680" t="s">
        <v>121</v>
      </c>
      <c r="C119" s="490" t="s">
        <v>197</v>
      </c>
      <c r="D119" s="568">
        <v>30</v>
      </c>
      <c r="E119" s="568">
        <v>30</v>
      </c>
      <c r="F119" s="568">
        <v>30</v>
      </c>
      <c r="G119" s="568">
        <v>30</v>
      </c>
      <c r="H119" s="568">
        <v>30</v>
      </c>
      <c r="I119" s="568">
        <v>30</v>
      </c>
      <c r="J119" s="568">
        <v>30</v>
      </c>
      <c r="K119" s="568">
        <v>30</v>
      </c>
      <c r="L119" s="568">
        <v>30</v>
      </c>
      <c r="M119" s="568">
        <v>30</v>
      </c>
      <c r="N119" s="568">
        <v>30</v>
      </c>
      <c r="O119" s="568">
        <v>30</v>
      </c>
      <c r="Q119" s="679" t="s">
        <v>121</v>
      </c>
      <c r="R119" s="489" t="s">
        <v>197</v>
      </c>
      <c r="S119" s="523">
        <v>8.5426282051281994</v>
      </c>
      <c r="T119" s="513">
        <v>7.6664621676891596</v>
      </c>
      <c r="U119" s="513">
        <v>7.5857753357753355</v>
      </c>
      <c r="V119" s="513">
        <v>7.8081384015594555</v>
      </c>
      <c r="W119" s="513">
        <v>14.02</v>
      </c>
      <c r="X119" s="513">
        <v>8.9999170812603655</v>
      </c>
      <c r="Y119" s="513">
        <v>8.9999170812603655</v>
      </c>
      <c r="Z119" s="523">
        <v>9.7691973969631238</v>
      </c>
      <c r="AA119" s="523">
        <v>9.9535062439961592</v>
      </c>
      <c r="AB119" s="526"/>
      <c r="AC119" s="513"/>
      <c r="AD119" s="513"/>
      <c r="AF119" s="679" t="s">
        <v>121</v>
      </c>
      <c r="AG119" s="489" t="s">
        <v>197</v>
      </c>
      <c r="AH119" s="526">
        <f>S119</f>
        <v>8.5426282051281994</v>
      </c>
      <c r="AI119" s="513">
        <f>AVERAGE($S$119:T119)</f>
        <v>8.1045451864086786</v>
      </c>
      <c r="AJ119" s="513">
        <f>AVERAGE($S$119:U119)</f>
        <v>7.9316219028642303</v>
      </c>
      <c r="AK119" s="513">
        <f>AVERAGE($S$119:V119)</f>
        <v>7.9007510275380373</v>
      </c>
      <c r="AL119" s="513">
        <f>AVERAGE($S$119:W119)</f>
        <v>9.1246008220304304</v>
      </c>
      <c r="AM119" s="513">
        <f>AVERAGE($S$119:X119)</f>
        <v>9.1038201985687532</v>
      </c>
      <c r="AN119" s="523">
        <f>AVERAGE($S$119:Y119)</f>
        <v>9.0889768960961259</v>
      </c>
      <c r="AO119" s="513">
        <f>AVERAGE($S$119:Z119)</f>
        <v>9.1740044587045002</v>
      </c>
      <c r="AP119" s="513">
        <f>AVERAGE($S$119:AA119)</f>
        <v>9.260615768181351</v>
      </c>
      <c r="AQ119" s="513">
        <f>AVERAGE($S$119:AB119)</f>
        <v>9.260615768181351</v>
      </c>
      <c r="AR119" s="526">
        <f>AVERAGE($S$119:AC119)</f>
        <v>9.260615768181351</v>
      </c>
      <c r="AS119" s="513">
        <f>AVERAGE($S$119:AD119)</f>
        <v>9.260615768181351</v>
      </c>
    </row>
    <row r="120" spans="1:47">
      <c r="B120" s="680"/>
      <c r="C120" s="516" t="s">
        <v>198</v>
      </c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0"/>
      <c r="Q120" s="679"/>
      <c r="R120" s="516" t="s">
        <v>198</v>
      </c>
      <c r="S120" s="519"/>
      <c r="T120" s="517"/>
      <c r="U120" s="517"/>
      <c r="V120" s="517"/>
      <c r="W120" s="517"/>
      <c r="X120" s="517"/>
      <c r="Y120" s="517"/>
      <c r="Z120" s="519"/>
      <c r="AA120" s="519"/>
      <c r="AB120" s="518"/>
      <c r="AC120" s="517"/>
      <c r="AD120" s="517"/>
      <c r="AF120" s="679"/>
      <c r="AG120" s="516" t="s">
        <v>198</v>
      </c>
      <c r="AH120" s="518"/>
      <c r="AI120" s="517"/>
      <c r="AJ120" s="517"/>
      <c r="AK120" s="517"/>
      <c r="AL120" s="517"/>
      <c r="AM120" s="517"/>
      <c r="AN120" s="519"/>
      <c r="AO120" s="517"/>
      <c r="AP120" s="517"/>
      <c r="AQ120" s="517"/>
      <c r="AR120" s="518"/>
      <c r="AS120" s="517"/>
    </row>
    <row r="121" spans="1:47">
      <c r="B121" s="680" t="s">
        <v>89</v>
      </c>
      <c r="C121" s="490" t="s">
        <v>197</v>
      </c>
      <c r="D121" s="568">
        <v>30</v>
      </c>
      <c r="E121" s="568">
        <v>30</v>
      </c>
      <c r="F121" s="568">
        <v>30</v>
      </c>
      <c r="G121" s="568">
        <v>30</v>
      </c>
      <c r="H121" s="568">
        <v>30</v>
      </c>
      <c r="I121" s="568">
        <v>30</v>
      </c>
      <c r="J121" s="568">
        <v>30</v>
      </c>
      <c r="K121" s="568">
        <v>30</v>
      </c>
      <c r="L121" s="568">
        <v>30</v>
      </c>
      <c r="M121" s="568">
        <v>30</v>
      </c>
      <c r="N121" s="568">
        <v>30</v>
      </c>
      <c r="O121" s="568">
        <v>30</v>
      </c>
      <c r="Q121" s="679" t="s">
        <v>89</v>
      </c>
      <c r="R121" s="489" t="s">
        <v>197</v>
      </c>
      <c r="S121" s="523">
        <v>11.382941176470585</v>
      </c>
      <c r="T121" s="513">
        <v>10.381023864511164</v>
      </c>
      <c r="U121" s="513">
        <v>9.5081346716854895</v>
      </c>
      <c r="V121" s="513">
        <v>9.1937881308929583</v>
      </c>
      <c r="W121" s="513">
        <v>13.35</v>
      </c>
      <c r="X121" s="513">
        <v>11.27453490356716</v>
      </c>
      <c r="Y121" s="513">
        <v>11.27453490356716</v>
      </c>
      <c r="Z121" s="523">
        <v>11.981792880258903</v>
      </c>
      <c r="AA121" s="523">
        <v>10.042837465564739</v>
      </c>
      <c r="AB121" s="526"/>
      <c r="AC121" s="513"/>
      <c r="AD121" s="513"/>
      <c r="AF121" s="679" t="s">
        <v>89</v>
      </c>
      <c r="AG121" s="489" t="s">
        <v>197</v>
      </c>
      <c r="AH121" s="526">
        <f>S121</f>
        <v>11.382941176470585</v>
      </c>
      <c r="AI121" s="513">
        <f>AVERAGE($S$121:T121)</f>
        <v>10.881982520490874</v>
      </c>
      <c r="AJ121" s="513">
        <f>AVERAGE($S$121:U121)</f>
        <v>10.424033237555745</v>
      </c>
      <c r="AK121" s="513">
        <f>AVERAGE($S$121:V121)</f>
        <v>10.116471960890049</v>
      </c>
      <c r="AL121" s="513">
        <f>AVERAGE($S$121:W121)</f>
        <v>10.76317756871204</v>
      </c>
      <c r="AM121" s="513">
        <f>AVERAGE($S$121:X121)</f>
        <v>10.848403791187893</v>
      </c>
      <c r="AN121" s="523">
        <f>AVERAGE($S$121:Y121)</f>
        <v>10.909279664384931</v>
      </c>
      <c r="AO121" s="513">
        <f>AVERAGE($S$121:Z121)</f>
        <v>11.043343816369179</v>
      </c>
      <c r="AP121" s="513">
        <f>AVERAGE($S$121:AA121)</f>
        <v>10.932176444057575</v>
      </c>
      <c r="AQ121" s="513">
        <f>AVERAGE($S$121:AB121)</f>
        <v>10.932176444057575</v>
      </c>
      <c r="AR121" s="526">
        <f>AVERAGE($S$121:AC121)</f>
        <v>10.932176444057575</v>
      </c>
      <c r="AS121" s="513">
        <f>AVERAGE($S$121:AD121)</f>
        <v>10.932176444057575</v>
      </c>
    </row>
    <row r="122" spans="1:47">
      <c r="B122" s="680"/>
      <c r="C122" s="516" t="s">
        <v>198</v>
      </c>
      <c r="D122" s="570"/>
      <c r="E122" s="570"/>
      <c r="F122" s="570"/>
      <c r="G122" s="570"/>
      <c r="H122" s="570"/>
      <c r="I122" s="570"/>
      <c r="J122" s="570"/>
      <c r="K122" s="570"/>
      <c r="L122" s="570"/>
      <c r="M122" s="570"/>
      <c r="N122" s="570"/>
      <c r="O122" s="570"/>
      <c r="Q122" s="679"/>
      <c r="R122" s="516" t="s">
        <v>198</v>
      </c>
      <c r="S122" s="519"/>
      <c r="T122" s="517"/>
      <c r="U122" s="517"/>
      <c r="V122" s="517"/>
      <c r="W122" s="517"/>
      <c r="X122" s="517"/>
      <c r="Y122" s="517"/>
      <c r="Z122" s="519"/>
      <c r="AA122" s="519"/>
      <c r="AB122" s="518"/>
      <c r="AC122" s="517"/>
      <c r="AD122" s="517"/>
      <c r="AF122" s="679"/>
      <c r="AG122" s="516" t="s">
        <v>198</v>
      </c>
      <c r="AH122" s="518"/>
      <c r="AI122" s="517"/>
      <c r="AJ122" s="517"/>
      <c r="AK122" s="517"/>
      <c r="AL122" s="517"/>
      <c r="AM122" s="517"/>
      <c r="AN122" s="517"/>
      <c r="AO122" s="517"/>
      <c r="AP122" s="517"/>
      <c r="AQ122" s="517"/>
      <c r="AR122" s="518"/>
      <c r="AS122" s="517"/>
    </row>
    <row r="123" spans="1:47">
      <c r="B123" s="680" t="s">
        <v>90</v>
      </c>
      <c r="C123" s="490" t="s">
        <v>197</v>
      </c>
      <c r="D123" s="568">
        <v>30</v>
      </c>
      <c r="E123" s="568">
        <v>30</v>
      </c>
      <c r="F123" s="568">
        <v>30</v>
      </c>
      <c r="G123" s="568">
        <v>30</v>
      </c>
      <c r="H123" s="568">
        <v>30</v>
      </c>
      <c r="I123" s="568">
        <v>30</v>
      </c>
      <c r="J123" s="568">
        <v>30</v>
      </c>
      <c r="K123" s="568">
        <v>30</v>
      </c>
      <c r="L123" s="568">
        <v>30</v>
      </c>
      <c r="M123" s="568">
        <v>30</v>
      </c>
      <c r="N123" s="568">
        <v>30</v>
      </c>
      <c r="O123" s="568">
        <v>30</v>
      </c>
      <c r="Q123" s="679" t="s">
        <v>90</v>
      </c>
      <c r="R123" s="489" t="s">
        <v>197</v>
      </c>
      <c r="S123" s="523">
        <v>8.1972562755399867</v>
      </c>
      <c r="T123" s="513">
        <v>8.1818381344307269</v>
      </c>
      <c r="U123" s="513">
        <v>8.0760758027143336</v>
      </c>
      <c r="V123" s="513">
        <v>8.0611962071480683</v>
      </c>
      <c r="W123" s="513">
        <v>13.55</v>
      </c>
      <c r="X123" s="513">
        <v>10.158153447121819</v>
      </c>
      <c r="Y123" s="513">
        <v>10.158153447121819</v>
      </c>
      <c r="Z123" s="523">
        <v>11.323204280768021</v>
      </c>
      <c r="AA123" s="523">
        <v>11.975003226222741</v>
      </c>
      <c r="AB123" s="526"/>
      <c r="AC123" s="513"/>
      <c r="AD123" s="513"/>
      <c r="AF123" s="679" t="s">
        <v>90</v>
      </c>
      <c r="AG123" s="489" t="s">
        <v>197</v>
      </c>
      <c r="AH123" s="526">
        <f>S123</f>
        <v>8.1972562755399867</v>
      </c>
      <c r="AI123" s="523">
        <f>AVERAGE($S$123:T123)</f>
        <v>8.1895472049853559</v>
      </c>
      <c r="AJ123" s="523">
        <f>AVERAGE($S$123:U123)</f>
        <v>8.1517234042283491</v>
      </c>
      <c r="AK123" s="523">
        <f>AVERAGE($S$123:V123)</f>
        <v>8.1290916049582798</v>
      </c>
      <c r="AL123" s="523">
        <f>AVERAGE($S$123:W123)</f>
        <v>9.2132732839666236</v>
      </c>
      <c r="AM123" s="523">
        <f>AVERAGE($S$123:X123)</f>
        <v>9.3707533111591559</v>
      </c>
      <c r="AN123" s="523">
        <f>AVERAGE($S$123:Y123)</f>
        <v>9.4832390448681085</v>
      </c>
      <c r="AO123" s="523">
        <f>AVERAGE($S$123:Z123)</f>
        <v>9.7132346993555974</v>
      </c>
      <c r="AP123" s="523">
        <f>AVERAGE($S$123:AA123)</f>
        <v>9.9645423134519469</v>
      </c>
      <c r="AQ123" s="523">
        <f>AVERAGE($S$123:AB123)</f>
        <v>9.9645423134519469</v>
      </c>
      <c r="AR123" s="526">
        <f>AVERAGE($S$123:AC123)</f>
        <v>9.9645423134519469</v>
      </c>
      <c r="AS123" s="523">
        <f>AVERAGE($S$123:AD123)</f>
        <v>9.9645423134519469</v>
      </c>
    </row>
    <row r="124" spans="1:47">
      <c r="B124" s="680"/>
      <c r="C124" s="516" t="s">
        <v>198</v>
      </c>
      <c r="D124" s="519"/>
      <c r="E124" s="519"/>
      <c r="F124" s="519"/>
      <c r="G124" s="519"/>
      <c r="H124" s="519"/>
      <c r="I124" s="519"/>
      <c r="J124" s="519"/>
      <c r="K124" s="519"/>
      <c r="L124" s="519"/>
      <c r="M124" s="519"/>
      <c r="N124" s="519"/>
      <c r="O124" s="519"/>
      <c r="Q124" s="679"/>
      <c r="R124" s="516" t="s">
        <v>198</v>
      </c>
      <c r="S124" s="519"/>
      <c r="T124" s="517"/>
      <c r="U124" s="517"/>
      <c r="V124" s="517"/>
      <c r="W124" s="517"/>
      <c r="X124" s="517"/>
      <c r="Y124" s="517"/>
      <c r="Z124" s="519"/>
      <c r="AA124" s="519"/>
      <c r="AB124" s="518"/>
      <c r="AC124" s="517"/>
      <c r="AD124" s="517"/>
      <c r="AF124" s="679"/>
      <c r="AG124" s="516" t="s">
        <v>198</v>
      </c>
      <c r="AH124" s="518"/>
      <c r="AI124" s="517"/>
      <c r="AJ124" s="517"/>
      <c r="AK124" s="517"/>
      <c r="AL124" s="517"/>
      <c r="AM124" s="517"/>
      <c r="AN124" s="517"/>
      <c r="AO124" s="517"/>
      <c r="AP124" s="517"/>
      <c r="AQ124" s="517"/>
      <c r="AR124" s="517"/>
      <c r="AS124" s="517"/>
    </row>
    <row r="125" spans="1:47">
      <c r="B125" s="125"/>
      <c r="C125" s="294"/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Q125" s="125"/>
      <c r="R125" s="294"/>
      <c r="S125" s="164"/>
      <c r="T125" s="164"/>
      <c r="U125" s="164"/>
      <c r="V125" s="164"/>
      <c r="W125" s="164"/>
      <c r="X125" s="164"/>
      <c r="Y125" s="164"/>
      <c r="Z125" s="164"/>
      <c r="AA125" s="164"/>
      <c r="AB125" s="164"/>
      <c r="AC125" s="164"/>
      <c r="AD125" s="164"/>
      <c r="AF125" s="125"/>
      <c r="AG125" s="294"/>
      <c r="AH125" s="164"/>
      <c r="AI125" s="164"/>
      <c r="AJ125" s="164"/>
      <c r="AK125" s="164"/>
      <c r="AL125" s="164"/>
      <c r="AM125" s="164"/>
      <c r="AN125" s="164"/>
      <c r="AO125" s="164"/>
      <c r="AP125" s="164"/>
      <c r="AQ125" s="164"/>
      <c r="AR125" s="164"/>
      <c r="AS125" s="164"/>
    </row>
    <row r="126" spans="1:47" s="105" customFormat="1">
      <c r="A126" s="105">
        <v>5</v>
      </c>
      <c r="B126" s="21" t="s">
        <v>199</v>
      </c>
      <c r="C126"/>
      <c r="Q126" t="str">
        <f>B126</f>
        <v>SUCCESS RATE AUTO DISPATCH GANGGUAN INDIVIDUAL (DILUAR CLEAR TAMPER)</v>
      </c>
      <c r="R126"/>
      <c r="AE126"/>
      <c r="AF126" t="str">
        <f>B126</f>
        <v>SUCCESS RATE AUTO DISPATCH GANGGUAN INDIVIDUAL (DILUAR CLEAR TAMPER)</v>
      </c>
      <c r="AG126"/>
      <c r="AU126" s="143"/>
    </row>
    <row r="127" spans="1:47" s="105" customFormat="1">
      <c r="B127" s="21" t="s">
        <v>100</v>
      </c>
      <c r="C127"/>
      <c r="Q127" t="s">
        <v>126</v>
      </c>
      <c r="R127"/>
      <c r="AE127"/>
      <c r="AF127" t="s">
        <v>127</v>
      </c>
      <c r="AG127"/>
      <c r="AU127" s="143"/>
    </row>
    <row r="128" spans="1:47">
      <c r="B128" s="681" t="s">
        <v>72</v>
      </c>
      <c r="C128" s="682"/>
      <c r="D128" s="638" t="s">
        <v>74</v>
      </c>
      <c r="E128" s="638" t="s">
        <v>75</v>
      </c>
      <c r="F128" s="638" t="s">
        <v>76</v>
      </c>
      <c r="G128" s="638" t="s">
        <v>77</v>
      </c>
      <c r="H128" s="638" t="s">
        <v>78</v>
      </c>
      <c r="I128" s="638" t="s">
        <v>79</v>
      </c>
      <c r="J128" s="638" t="s">
        <v>80</v>
      </c>
      <c r="K128" s="638" t="s">
        <v>81</v>
      </c>
      <c r="L128" s="638" t="s">
        <v>82</v>
      </c>
      <c r="M128" s="638" t="s">
        <v>83</v>
      </c>
      <c r="N128" s="638" t="s">
        <v>84</v>
      </c>
      <c r="O128" s="638" t="s">
        <v>85</v>
      </c>
      <c r="Q128" s="681" t="s">
        <v>72</v>
      </c>
      <c r="R128" s="682"/>
      <c r="S128" s="638" t="s">
        <v>74</v>
      </c>
      <c r="T128" s="638" t="s">
        <v>75</v>
      </c>
      <c r="U128" s="638" t="s">
        <v>76</v>
      </c>
      <c r="V128" s="638" t="s">
        <v>77</v>
      </c>
      <c r="W128" s="638" t="s">
        <v>78</v>
      </c>
      <c r="X128" s="638" t="s">
        <v>79</v>
      </c>
      <c r="Y128" s="638" t="s">
        <v>80</v>
      </c>
      <c r="Z128" s="638" t="s">
        <v>81</v>
      </c>
      <c r="AA128" s="638" t="s">
        <v>82</v>
      </c>
      <c r="AB128" s="638" t="s">
        <v>83</v>
      </c>
      <c r="AC128" s="638" t="s">
        <v>84</v>
      </c>
      <c r="AD128" s="638" t="s">
        <v>85</v>
      </c>
      <c r="AF128" s="681" t="s">
        <v>72</v>
      </c>
      <c r="AG128" s="682"/>
      <c r="AH128" s="638" t="s">
        <v>74</v>
      </c>
      <c r="AI128" s="638" t="s">
        <v>75</v>
      </c>
      <c r="AJ128" s="638" t="s">
        <v>76</v>
      </c>
      <c r="AK128" s="638" t="s">
        <v>77</v>
      </c>
      <c r="AL128" s="638" t="s">
        <v>78</v>
      </c>
      <c r="AM128" s="638" t="s">
        <v>79</v>
      </c>
      <c r="AN128" s="638" t="s">
        <v>80</v>
      </c>
      <c r="AO128" s="638" t="s">
        <v>81</v>
      </c>
      <c r="AP128" s="638" t="s">
        <v>82</v>
      </c>
      <c r="AQ128" s="638" t="s">
        <v>83</v>
      </c>
      <c r="AR128" s="638" t="s">
        <v>84</v>
      </c>
      <c r="AS128" s="638" t="s">
        <v>85</v>
      </c>
    </row>
    <row r="129" spans="2:47" s="105" customFormat="1">
      <c r="B129" s="680" t="s">
        <v>128</v>
      </c>
      <c r="C129" s="563" t="s">
        <v>200</v>
      </c>
      <c r="D129" s="564">
        <v>0</v>
      </c>
      <c r="E129" s="564">
        <v>0</v>
      </c>
      <c r="F129" s="564">
        <v>0</v>
      </c>
      <c r="G129" s="564">
        <v>0</v>
      </c>
      <c r="H129" s="564">
        <v>0</v>
      </c>
      <c r="I129" s="564">
        <v>0</v>
      </c>
      <c r="J129" s="564">
        <v>0</v>
      </c>
      <c r="K129" s="564">
        <v>0</v>
      </c>
      <c r="L129" s="564">
        <v>0</v>
      </c>
      <c r="M129" s="564">
        <v>0</v>
      </c>
      <c r="N129" s="564">
        <v>0</v>
      </c>
      <c r="O129" s="564">
        <v>0</v>
      </c>
      <c r="Q129" s="679" t="s">
        <v>128</v>
      </c>
      <c r="R129" s="515" t="str">
        <f>C129</f>
        <v>Success Rate Auto Dispatch Gangguan Individual (Diluar Clear Tamper)</v>
      </c>
      <c r="S129" s="571">
        <v>0</v>
      </c>
      <c r="T129" s="571">
        <v>0</v>
      </c>
      <c r="U129" s="571">
        <v>0</v>
      </c>
      <c r="V129" s="571">
        <v>0</v>
      </c>
      <c r="W129" s="571">
        <v>0</v>
      </c>
      <c r="X129" s="571">
        <v>0</v>
      </c>
      <c r="Y129" s="571">
        <v>0</v>
      </c>
      <c r="Z129" s="571">
        <v>0</v>
      </c>
      <c r="AA129" s="571">
        <v>0</v>
      </c>
      <c r="AB129" s="526"/>
      <c r="AC129" s="513"/>
      <c r="AD129" s="513"/>
      <c r="AE129"/>
      <c r="AF129" s="679" t="s">
        <v>128</v>
      </c>
      <c r="AG129" s="515" t="str">
        <f>R129</f>
        <v>Success Rate Auto Dispatch Gangguan Individual (Diluar Clear Tamper)</v>
      </c>
      <c r="AH129" s="571">
        <f>S129</f>
        <v>0</v>
      </c>
      <c r="AI129" s="571">
        <f>AVERAGE($S129:T129)</f>
        <v>0</v>
      </c>
      <c r="AJ129" s="571">
        <f>AVERAGE($S129:U129)</f>
        <v>0</v>
      </c>
      <c r="AK129" s="571">
        <f>AVERAGE($S129:V129)</f>
        <v>0</v>
      </c>
      <c r="AL129" s="571">
        <f>AVERAGE($S129:W129)</f>
        <v>0</v>
      </c>
      <c r="AM129" s="571">
        <f>AVERAGE($S129:X129)</f>
        <v>0</v>
      </c>
      <c r="AN129" s="571">
        <f>AVERAGE($S129:Y129)</f>
        <v>0</v>
      </c>
      <c r="AO129" s="571">
        <f>AVERAGE($S129:Z129)</f>
        <v>0</v>
      </c>
      <c r="AP129" s="571">
        <f>AVERAGE($S129:AA129)</f>
        <v>0</v>
      </c>
      <c r="AQ129" s="571">
        <f>AVERAGE($S129:AB129)</f>
        <v>0</v>
      </c>
      <c r="AR129" s="571">
        <f>AVERAGE($S129:AC129)</f>
        <v>0</v>
      </c>
      <c r="AS129" s="571">
        <f>AVERAGE($S129:AD129)</f>
        <v>0</v>
      </c>
      <c r="AU129" s="143"/>
    </row>
    <row r="130" spans="2:47">
      <c r="B130" s="680"/>
      <c r="C130" s="516"/>
      <c r="D130" s="566"/>
      <c r="E130" s="566"/>
      <c r="F130" s="566"/>
      <c r="G130" s="566"/>
      <c r="H130" s="566"/>
      <c r="I130" s="566"/>
      <c r="J130" s="566"/>
      <c r="K130" s="566"/>
      <c r="L130" s="566"/>
      <c r="M130" s="566"/>
      <c r="N130" s="566"/>
      <c r="O130" s="566"/>
      <c r="Q130" s="679"/>
      <c r="R130" s="516"/>
      <c r="S130" s="519"/>
      <c r="T130" s="519"/>
      <c r="U130" s="519"/>
      <c r="V130" s="519"/>
      <c r="W130" s="519"/>
      <c r="X130" s="519"/>
      <c r="Y130" s="519"/>
      <c r="Z130" s="519"/>
      <c r="AA130" s="519"/>
      <c r="AB130" s="526"/>
      <c r="AC130" s="517"/>
      <c r="AD130" s="517"/>
      <c r="AF130" s="679"/>
      <c r="AG130" s="516"/>
      <c r="AH130" s="572"/>
      <c r="AI130" s="572"/>
      <c r="AJ130" s="572"/>
      <c r="AK130" s="572"/>
      <c r="AL130" s="572"/>
      <c r="AM130" s="572"/>
      <c r="AN130" s="572"/>
      <c r="AO130" s="572"/>
      <c r="AP130" s="572"/>
      <c r="AQ130" s="572"/>
      <c r="AR130" s="572"/>
      <c r="AS130" s="572"/>
    </row>
    <row r="131" spans="2:47">
      <c r="B131" s="680" t="s">
        <v>87</v>
      </c>
      <c r="C131" s="490" t="s">
        <v>200</v>
      </c>
      <c r="D131" s="568">
        <v>0</v>
      </c>
      <c r="E131" s="568">
        <v>0</v>
      </c>
      <c r="F131" s="568">
        <v>0</v>
      </c>
      <c r="G131" s="568">
        <v>0</v>
      </c>
      <c r="H131" s="568">
        <v>0</v>
      </c>
      <c r="I131" s="568">
        <v>0</v>
      </c>
      <c r="J131" s="568">
        <v>0</v>
      </c>
      <c r="K131" s="568">
        <v>0</v>
      </c>
      <c r="L131" s="568">
        <v>0</v>
      </c>
      <c r="M131" s="568">
        <v>0</v>
      </c>
      <c r="N131" s="568">
        <v>0</v>
      </c>
      <c r="O131" s="568">
        <v>0</v>
      </c>
      <c r="Q131" s="679" t="s">
        <v>87</v>
      </c>
      <c r="R131" s="489" t="str">
        <f t="shared" ref="R131:R139" si="159">C131</f>
        <v>Success Rate Auto Dispatch Gangguan Individual (Diluar Clear Tamper)</v>
      </c>
      <c r="S131" s="571">
        <v>0</v>
      </c>
      <c r="T131" s="571">
        <v>0</v>
      </c>
      <c r="U131" s="571">
        <v>0</v>
      </c>
      <c r="V131" s="571">
        <v>0</v>
      </c>
      <c r="W131" s="571">
        <v>0</v>
      </c>
      <c r="X131" s="571">
        <v>0</v>
      </c>
      <c r="Y131" s="571">
        <v>0</v>
      </c>
      <c r="Z131" s="571">
        <v>0</v>
      </c>
      <c r="AA131" s="571">
        <v>0</v>
      </c>
      <c r="AC131" s="513"/>
      <c r="AD131" s="513"/>
      <c r="AF131" s="679" t="s">
        <v>87</v>
      </c>
      <c r="AG131" s="489" t="str">
        <f t="shared" ref="AG131:AG139" si="160">R131</f>
        <v>Success Rate Auto Dispatch Gangguan Individual (Diluar Clear Tamper)</v>
      </c>
      <c r="AH131" s="571">
        <f>S131</f>
        <v>0</v>
      </c>
      <c r="AI131" s="571">
        <f>AVERAGE($S131:T131)</f>
        <v>0</v>
      </c>
      <c r="AJ131" s="571">
        <f>AVERAGE($S131:U131)</f>
        <v>0</v>
      </c>
      <c r="AK131" s="571">
        <f>AVERAGE($S131:V131)</f>
        <v>0</v>
      </c>
      <c r="AL131" s="571">
        <f>AVERAGE($S131:W131)</f>
        <v>0</v>
      </c>
      <c r="AM131" s="571">
        <f>AVERAGE($S131:X131)</f>
        <v>0</v>
      </c>
      <c r="AN131" s="571">
        <f>AVERAGE($S131:Y131)</f>
        <v>0</v>
      </c>
      <c r="AO131" s="571">
        <f>AVERAGE($S131:Z131)</f>
        <v>0</v>
      </c>
      <c r="AP131" s="571">
        <f>AVERAGE($S131:AA131)</f>
        <v>0</v>
      </c>
      <c r="AQ131" s="571">
        <f>AVERAGE($S131:AB131)</f>
        <v>0</v>
      </c>
      <c r="AR131" s="571">
        <f>AVERAGE($S131:AC131)</f>
        <v>0</v>
      </c>
      <c r="AS131" s="571">
        <f>AVERAGE($S131:AD131)</f>
        <v>0</v>
      </c>
    </row>
    <row r="132" spans="2:47">
      <c r="B132" s="680"/>
      <c r="C132" s="516"/>
      <c r="D132" s="570"/>
      <c r="E132" s="570"/>
      <c r="F132" s="570"/>
      <c r="G132" s="570"/>
      <c r="H132" s="570"/>
      <c r="I132" s="570"/>
      <c r="J132" s="570"/>
      <c r="K132" s="570"/>
      <c r="L132" s="570"/>
      <c r="M132" s="570"/>
      <c r="N132" s="570"/>
      <c r="O132" s="570"/>
      <c r="Q132" s="679"/>
      <c r="R132" s="516"/>
      <c r="S132" s="519"/>
      <c r="T132" s="519"/>
      <c r="U132" s="519"/>
      <c r="V132" s="519"/>
      <c r="W132" s="519"/>
      <c r="X132" s="519"/>
      <c r="Y132" s="519"/>
      <c r="Z132" s="519"/>
      <c r="AA132" s="519"/>
      <c r="AB132" s="518"/>
      <c r="AC132" s="517"/>
      <c r="AD132" s="517"/>
      <c r="AF132" s="679"/>
      <c r="AG132" s="516"/>
      <c r="AH132" s="572"/>
      <c r="AI132" s="572"/>
      <c r="AJ132" s="572"/>
      <c r="AK132" s="572"/>
      <c r="AL132" s="572"/>
      <c r="AM132" s="572"/>
      <c r="AN132" s="572"/>
      <c r="AO132" s="572"/>
      <c r="AP132" s="572"/>
      <c r="AQ132" s="572"/>
      <c r="AR132" s="572"/>
      <c r="AS132" s="572"/>
    </row>
    <row r="133" spans="2:47">
      <c r="B133" s="680" t="s">
        <v>88</v>
      </c>
      <c r="C133" s="490" t="s">
        <v>200</v>
      </c>
      <c r="D133" s="568">
        <v>0</v>
      </c>
      <c r="E133" s="568">
        <v>0</v>
      </c>
      <c r="F133" s="568">
        <v>0</v>
      </c>
      <c r="G133" s="568">
        <v>0</v>
      </c>
      <c r="H133" s="568">
        <v>0</v>
      </c>
      <c r="I133" s="568">
        <v>0</v>
      </c>
      <c r="J133" s="568">
        <v>0</v>
      </c>
      <c r="K133" s="568">
        <v>0</v>
      </c>
      <c r="L133" s="568">
        <v>0</v>
      </c>
      <c r="M133" s="568">
        <v>0</v>
      </c>
      <c r="N133" s="568">
        <v>0</v>
      </c>
      <c r="O133" s="568">
        <v>0</v>
      </c>
      <c r="Q133" s="679" t="s">
        <v>88</v>
      </c>
      <c r="R133" s="489" t="str">
        <f t="shared" si="159"/>
        <v>Success Rate Auto Dispatch Gangguan Individual (Diluar Clear Tamper)</v>
      </c>
      <c r="S133" s="571">
        <v>0</v>
      </c>
      <c r="T133" s="571">
        <v>0</v>
      </c>
      <c r="U133" s="571">
        <v>0</v>
      </c>
      <c r="V133" s="571">
        <v>0</v>
      </c>
      <c r="W133" s="571">
        <v>0</v>
      </c>
      <c r="X133" s="571">
        <v>0</v>
      </c>
      <c r="Y133" s="571">
        <v>0</v>
      </c>
      <c r="Z133" s="571">
        <v>0</v>
      </c>
      <c r="AA133" s="571">
        <v>0</v>
      </c>
      <c r="AB133" s="526"/>
      <c r="AC133" s="513"/>
      <c r="AD133" s="513"/>
      <c r="AF133" s="679" t="s">
        <v>88</v>
      </c>
      <c r="AG133" s="489" t="str">
        <f t="shared" si="160"/>
        <v>Success Rate Auto Dispatch Gangguan Individual (Diluar Clear Tamper)</v>
      </c>
      <c r="AH133" s="571">
        <f>S133</f>
        <v>0</v>
      </c>
      <c r="AI133" s="571">
        <f>AVERAGE($S133:T133)</f>
        <v>0</v>
      </c>
      <c r="AJ133" s="571">
        <f>AVERAGE($S133:U133)</f>
        <v>0</v>
      </c>
      <c r="AK133" s="571">
        <f>AVERAGE($S133:V133)</f>
        <v>0</v>
      </c>
      <c r="AL133" s="571">
        <f>AVERAGE($S133:W133)</f>
        <v>0</v>
      </c>
      <c r="AM133" s="571">
        <f>AVERAGE($S133:X133)</f>
        <v>0</v>
      </c>
      <c r="AN133" s="571">
        <f>AVERAGE($S133:Y133)</f>
        <v>0</v>
      </c>
      <c r="AO133" s="571">
        <f>AVERAGE($S133:Z133)</f>
        <v>0</v>
      </c>
      <c r="AP133" s="571">
        <f>AVERAGE($S133:AA133)</f>
        <v>0</v>
      </c>
      <c r="AQ133" s="571">
        <f>AVERAGE($S133:AB133)</f>
        <v>0</v>
      </c>
      <c r="AR133" s="571">
        <f>AVERAGE($S133:AC133)</f>
        <v>0</v>
      </c>
      <c r="AS133" s="571">
        <f>AVERAGE($S133:AD133)</f>
        <v>0</v>
      </c>
    </row>
    <row r="134" spans="2:47">
      <c r="B134" s="680"/>
      <c r="C134" s="516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0"/>
      <c r="Q134" s="679"/>
      <c r="R134" s="516"/>
      <c r="S134" s="519"/>
      <c r="T134" s="519"/>
      <c r="U134" s="519"/>
      <c r="V134" s="519"/>
      <c r="W134" s="519"/>
      <c r="X134" s="519"/>
      <c r="Y134" s="519"/>
      <c r="Z134" s="519"/>
      <c r="AA134" s="519"/>
      <c r="AB134" s="518"/>
      <c r="AC134" s="517"/>
      <c r="AD134" s="517"/>
      <c r="AF134" s="679"/>
      <c r="AG134" s="516"/>
      <c r="AH134" s="572"/>
      <c r="AI134" s="572"/>
      <c r="AJ134" s="572"/>
      <c r="AK134" s="572"/>
      <c r="AL134" s="572"/>
      <c r="AM134" s="572"/>
      <c r="AN134" s="572"/>
      <c r="AO134" s="572"/>
      <c r="AP134" s="572"/>
      <c r="AQ134" s="572"/>
      <c r="AR134" s="572"/>
      <c r="AS134" s="572"/>
    </row>
    <row r="135" spans="2:47">
      <c r="B135" s="680" t="s">
        <v>121</v>
      </c>
      <c r="C135" s="490" t="s">
        <v>200</v>
      </c>
      <c r="D135" s="568">
        <v>0</v>
      </c>
      <c r="E135" s="568">
        <v>0</v>
      </c>
      <c r="F135" s="568">
        <v>0</v>
      </c>
      <c r="G135" s="568">
        <v>0</v>
      </c>
      <c r="H135" s="568">
        <v>0</v>
      </c>
      <c r="I135" s="568">
        <v>0</v>
      </c>
      <c r="J135" s="568">
        <v>0</v>
      </c>
      <c r="K135" s="568">
        <v>0</v>
      </c>
      <c r="L135" s="568">
        <v>0</v>
      </c>
      <c r="M135" s="568">
        <v>0</v>
      </c>
      <c r="N135" s="568">
        <v>0</v>
      </c>
      <c r="O135" s="568">
        <v>0</v>
      </c>
      <c r="Q135" s="679" t="s">
        <v>121</v>
      </c>
      <c r="R135" s="489" t="str">
        <f t="shared" si="159"/>
        <v>Success Rate Auto Dispatch Gangguan Individual (Diluar Clear Tamper)</v>
      </c>
      <c r="S135" s="571">
        <v>0</v>
      </c>
      <c r="T135" s="571">
        <v>0</v>
      </c>
      <c r="U135" s="571">
        <v>0</v>
      </c>
      <c r="V135" s="571">
        <v>0</v>
      </c>
      <c r="W135" s="571">
        <v>0</v>
      </c>
      <c r="X135" s="571">
        <v>0</v>
      </c>
      <c r="Y135" s="571">
        <v>0</v>
      </c>
      <c r="Z135" s="571">
        <v>0</v>
      </c>
      <c r="AA135" s="571">
        <v>0</v>
      </c>
      <c r="AB135" s="526"/>
      <c r="AC135" s="513"/>
      <c r="AD135" s="513"/>
      <c r="AF135" s="679" t="s">
        <v>121</v>
      </c>
      <c r="AG135" s="489" t="str">
        <f t="shared" si="160"/>
        <v>Success Rate Auto Dispatch Gangguan Individual (Diluar Clear Tamper)</v>
      </c>
      <c r="AH135" s="571">
        <f>S135</f>
        <v>0</v>
      </c>
      <c r="AI135" s="571">
        <f>AVERAGE($S135:T135)</f>
        <v>0</v>
      </c>
      <c r="AJ135" s="571">
        <f>AVERAGE($S135:U135)</f>
        <v>0</v>
      </c>
      <c r="AK135" s="571">
        <f>AVERAGE($S135:V135)</f>
        <v>0</v>
      </c>
      <c r="AL135" s="571">
        <f>AVERAGE($S135:W135)</f>
        <v>0</v>
      </c>
      <c r="AM135" s="571">
        <f>AVERAGE($S135:X135)</f>
        <v>0</v>
      </c>
      <c r="AN135" s="571">
        <f>AVERAGE($S135:Y135)</f>
        <v>0</v>
      </c>
      <c r="AO135" s="571">
        <f>AVERAGE($S135:Z135)</f>
        <v>0</v>
      </c>
      <c r="AP135" s="571">
        <f>AVERAGE($S135:AA135)</f>
        <v>0</v>
      </c>
      <c r="AQ135" s="571">
        <f>AVERAGE($S135:AB135)</f>
        <v>0</v>
      </c>
      <c r="AR135" s="571">
        <f>AVERAGE($S135:AC135)</f>
        <v>0</v>
      </c>
      <c r="AS135" s="571">
        <f>AVERAGE($S135:AD135)</f>
        <v>0</v>
      </c>
    </row>
    <row r="136" spans="2:47">
      <c r="B136" s="680"/>
      <c r="C136" s="516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Q136" s="679"/>
      <c r="R136" s="516"/>
      <c r="S136" s="519"/>
      <c r="T136" s="519"/>
      <c r="U136" s="519"/>
      <c r="V136" s="519"/>
      <c r="W136" s="519"/>
      <c r="X136" s="519"/>
      <c r="Y136" s="519"/>
      <c r="Z136" s="519"/>
      <c r="AA136" s="519"/>
      <c r="AB136" s="518"/>
      <c r="AC136" s="517"/>
      <c r="AD136" s="517"/>
      <c r="AF136" s="679"/>
      <c r="AG136" s="516"/>
      <c r="AH136" s="572"/>
      <c r="AI136" s="572"/>
      <c r="AJ136" s="572"/>
      <c r="AK136" s="572"/>
      <c r="AL136" s="572"/>
      <c r="AM136" s="572"/>
      <c r="AN136" s="572"/>
      <c r="AO136" s="572"/>
      <c r="AP136" s="572"/>
      <c r="AQ136" s="572"/>
      <c r="AR136" s="572"/>
      <c r="AS136" s="572"/>
    </row>
    <row r="137" spans="2:47">
      <c r="B137" s="680" t="s">
        <v>89</v>
      </c>
      <c r="C137" s="490" t="s">
        <v>200</v>
      </c>
      <c r="D137" s="568">
        <v>0</v>
      </c>
      <c r="E137" s="568">
        <v>0</v>
      </c>
      <c r="F137" s="568">
        <v>0</v>
      </c>
      <c r="G137" s="568">
        <v>0</v>
      </c>
      <c r="H137" s="568">
        <v>0</v>
      </c>
      <c r="I137" s="568">
        <v>0</v>
      </c>
      <c r="J137" s="568">
        <v>0</v>
      </c>
      <c r="K137" s="568">
        <v>0</v>
      </c>
      <c r="L137" s="568">
        <v>0</v>
      </c>
      <c r="M137" s="568">
        <v>0</v>
      </c>
      <c r="N137" s="568">
        <v>0</v>
      </c>
      <c r="O137" s="568">
        <v>0</v>
      </c>
      <c r="Q137" s="679" t="s">
        <v>89</v>
      </c>
      <c r="R137" s="489" t="str">
        <f t="shared" si="159"/>
        <v>Success Rate Auto Dispatch Gangguan Individual (Diluar Clear Tamper)</v>
      </c>
      <c r="S137" s="571">
        <v>0</v>
      </c>
      <c r="T137" s="571">
        <v>0</v>
      </c>
      <c r="U137" s="571">
        <v>0</v>
      </c>
      <c r="V137" s="571">
        <v>0</v>
      </c>
      <c r="W137" s="571">
        <v>0</v>
      </c>
      <c r="X137" s="571">
        <v>0</v>
      </c>
      <c r="Y137" s="571">
        <v>0</v>
      </c>
      <c r="Z137" s="571">
        <v>0</v>
      </c>
      <c r="AA137" s="571">
        <v>0</v>
      </c>
      <c r="AB137" s="526"/>
      <c r="AC137" s="513"/>
      <c r="AD137" s="513"/>
      <c r="AF137" s="679" t="s">
        <v>89</v>
      </c>
      <c r="AG137" s="489" t="str">
        <f t="shared" si="160"/>
        <v>Success Rate Auto Dispatch Gangguan Individual (Diluar Clear Tamper)</v>
      </c>
      <c r="AH137" s="571">
        <f>S137</f>
        <v>0</v>
      </c>
      <c r="AI137" s="571">
        <f>AVERAGE($S137:T137)</f>
        <v>0</v>
      </c>
      <c r="AJ137" s="571">
        <f>AVERAGE($S137:U137)</f>
        <v>0</v>
      </c>
      <c r="AK137" s="571">
        <f>AVERAGE($S137:V137)</f>
        <v>0</v>
      </c>
      <c r="AL137" s="571">
        <f>AVERAGE($S137:W137)</f>
        <v>0</v>
      </c>
      <c r="AM137" s="571">
        <f>AVERAGE($S137:X137)</f>
        <v>0</v>
      </c>
      <c r="AN137" s="571">
        <f>AVERAGE($S137:Y137)</f>
        <v>0</v>
      </c>
      <c r="AO137" s="571">
        <f>AVERAGE($S137:Z137)</f>
        <v>0</v>
      </c>
      <c r="AP137" s="571">
        <f>AVERAGE($S137:AA137)</f>
        <v>0</v>
      </c>
      <c r="AQ137" s="571">
        <f>AVERAGE($S137:AB137)</f>
        <v>0</v>
      </c>
      <c r="AR137" s="571">
        <f>AVERAGE($S137:AC137)</f>
        <v>0</v>
      </c>
      <c r="AS137" s="571">
        <f>AVERAGE($S137:AD137)</f>
        <v>0</v>
      </c>
    </row>
    <row r="138" spans="2:47">
      <c r="B138" s="680"/>
      <c r="C138" s="516"/>
      <c r="D138" s="570"/>
      <c r="E138" s="570"/>
      <c r="F138" s="570"/>
      <c r="G138" s="570"/>
      <c r="H138" s="570"/>
      <c r="I138" s="570"/>
      <c r="J138" s="570"/>
      <c r="K138" s="570"/>
      <c r="L138" s="570"/>
      <c r="M138" s="570"/>
      <c r="N138" s="570"/>
      <c r="O138" s="570"/>
      <c r="Q138" s="679"/>
      <c r="R138" s="516"/>
      <c r="S138" s="519"/>
      <c r="T138" s="519"/>
      <c r="U138" s="519"/>
      <c r="V138" s="519"/>
      <c r="W138" s="519"/>
      <c r="X138" s="519"/>
      <c r="Y138" s="519"/>
      <c r="Z138" s="519"/>
      <c r="AA138" s="519"/>
      <c r="AB138" s="518"/>
      <c r="AC138" s="517"/>
      <c r="AD138" s="517"/>
      <c r="AF138" s="679"/>
      <c r="AG138" s="516"/>
      <c r="AH138" s="572"/>
      <c r="AI138" s="572"/>
      <c r="AJ138" s="572"/>
      <c r="AK138" s="572"/>
      <c r="AL138" s="572"/>
      <c r="AM138" s="572"/>
      <c r="AN138" s="572"/>
      <c r="AO138" s="572"/>
      <c r="AP138" s="572"/>
      <c r="AQ138" s="572"/>
      <c r="AR138" s="572"/>
      <c r="AS138" s="572"/>
    </row>
    <row r="139" spans="2:47">
      <c r="B139" s="680" t="s">
        <v>90</v>
      </c>
      <c r="C139" s="490" t="s">
        <v>200</v>
      </c>
      <c r="D139" s="568">
        <v>0</v>
      </c>
      <c r="E139" s="568">
        <v>0</v>
      </c>
      <c r="F139" s="568">
        <v>0</v>
      </c>
      <c r="G139" s="568">
        <v>0</v>
      </c>
      <c r="H139" s="568">
        <v>0</v>
      </c>
      <c r="I139" s="568">
        <v>0</v>
      </c>
      <c r="J139" s="568">
        <v>0</v>
      </c>
      <c r="K139" s="568">
        <v>0</v>
      </c>
      <c r="L139" s="568">
        <v>0</v>
      </c>
      <c r="M139" s="568">
        <v>0</v>
      </c>
      <c r="N139" s="568">
        <v>0</v>
      </c>
      <c r="O139" s="568">
        <v>0</v>
      </c>
      <c r="Q139" s="679" t="s">
        <v>90</v>
      </c>
      <c r="R139" s="489" t="str">
        <f t="shared" si="159"/>
        <v>Success Rate Auto Dispatch Gangguan Individual (Diluar Clear Tamper)</v>
      </c>
      <c r="S139" s="571">
        <v>0</v>
      </c>
      <c r="T139" s="571">
        <v>0</v>
      </c>
      <c r="U139" s="571">
        <v>0</v>
      </c>
      <c r="V139" s="571">
        <v>0</v>
      </c>
      <c r="W139" s="571">
        <v>0</v>
      </c>
      <c r="X139" s="571">
        <v>0</v>
      </c>
      <c r="Y139" s="571">
        <v>0</v>
      </c>
      <c r="Z139" s="571">
        <v>0</v>
      </c>
      <c r="AA139" s="571">
        <v>0</v>
      </c>
      <c r="AB139" s="526"/>
      <c r="AC139" s="513"/>
      <c r="AD139" s="513"/>
      <c r="AF139" s="679" t="s">
        <v>90</v>
      </c>
      <c r="AG139" s="489" t="str">
        <f t="shared" si="160"/>
        <v>Success Rate Auto Dispatch Gangguan Individual (Diluar Clear Tamper)</v>
      </c>
      <c r="AH139" s="571">
        <f>S139</f>
        <v>0</v>
      </c>
      <c r="AI139" s="571">
        <f>AVERAGE($S139:T139)</f>
        <v>0</v>
      </c>
      <c r="AJ139" s="571">
        <f>AVERAGE($S139:U139)</f>
        <v>0</v>
      </c>
      <c r="AK139" s="571">
        <f>AVERAGE($S139:V139)</f>
        <v>0</v>
      </c>
      <c r="AL139" s="571">
        <f>AVERAGE($S139:W139)</f>
        <v>0</v>
      </c>
      <c r="AM139" s="571">
        <f>AVERAGE($S139:X139)</f>
        <v>0</v>
      </c>
      <c r="AN139" s="571">
        <f>AVERAGE($S139:Y139)</f>
        <v>0</v>
      </c>
      <c r="AO139" s="571">
        <f>AVERAGE($S139:Z139)</f>
        <v>0</v>
      </c>
      <c r="AP139" s="571">
        <f>AVERAGE($S139:AA139)</f>
        <v>0</v>
      </c>
      <c r="AQ139" s="571">
        <f>AVERAGE($S139:AB139)</f>
        <v>0</v>
      </c>
      <c r="AR139" s="571">
        <f>AVERAGE($S139:AC139)</f>
        <v>0</v>
      </c>
      <c r="AS139" s="571">
        <f>AVERAGE($S139:AD139)</f>
        <v>0</v>
      </c>
    </row>
    <row r="140" spans="2:47">
      <c r="B140" s="680"/>
      <c r="C140" s="516"/>
      <c r="D140" s="519"/>
      <c r="E140" s="519"/>
      <c r="F140" s="519"/>
      <c r="G140" s="519"/>
      <c r="H140" s="519"/>
      <c r="I140" s="519"/>
      <c r="J140" s="519"/>
      <c r="K140" s="519"/>
      <c r="L140" s="519"/>
      <c r="M140" s="519"/>
      <c r="N140" s="519"/>
      <c r="O140" s="519"/>
      <c r="Q140" s="679"/>
      <c r="R140" s="516"/>
      <c r="S140" s="519"/>
      <c r="T140" s="517"/>
      <c r="U140" s="517"/>
      <c r="V140" s="517"/>
      <c r="W140" s="517"/>
      <c r="X140" s="517"/>
      <c r="Y140" s="517"/>
      <c r="Z140" s="519"/>
      <c r="AA140" s="519"/>
      <c r="AB140" s="518"/>
      <c r="AC140" s="517"/>
      <c r="AD140" s="517"/>
      <c r="AF140" s="679"/>
      <c r="AG140" s="516"/>
      <c r="AH140" s="572"/>
      <c r="AI140" s="572"/>
      <c r="AJ140" s="572"/>
      <c r="AK140" s="572"/>
      <c r="AL140" s="572"/>
      <c r="AM140" s="572"/>
      <c r="AN140" s="572"/>
      <c r="AO140" s="572"/>
      <c r="AP140" s="572"/>
      <c r="AQ140" s="572"/>
      <c r="AR140" s="572"/>
      <c r="AS140" s="572"/>
    </row>
    <row r="141" spans="2:47">
      <c r="B141" s="301"/>
      <c r="C141" s="390"/>
      <c r="D141" s="391"/>
      <c r="E141" s="391"/>
      <c r="F141" s="391"/>
      <c r="G141" s="391"/>
      <c r="H141" s="391"/>
      <c r="I141" s="391"/>
      <c r="J141" s="391"/>
      <c r="K141" s="391"/>
      <c r="L141" s="391"/>
      <c r="M141" s="391"/>
      <c r="N141" s="391"/>
      <c r="O141" s="391"/>
      <c r="Q141" s="125"/>
      <c r="R141" s="390"/>
      <c r="S141" s="391"/>
      <c r="T141" s="392"/>
      <c r="U141" s="392"/>
      <c r="V141" s="392"/>
      <c r="W141" s="392"/>
      <c r="X141" s="392"/>
      <c r="Y141" s="392"/>
      <c r="Z141" s="391"/>
      <c r="AA141" s="391"/>
      <c r="AB141" s="393"/>
      <c r="AC141" s="392"/>
      <c r="AD141" s="392"/>
      <c r="AF141" s="125"/>
      <c r="AG141" s="390"/>
      <c r="AH141" s="393"/>
      <c r="AI141" s="392"/>
      <c r="AJ141" s="392"/>
      <c r="AK141" s="392"/>
      <c r="AL141" s="392"/>
      <c r="AM141" s="392"/>
      <c r="AN141" s="392"/>
      <c r="AO141" s="392"/>
      <c r="AP141" s="392"/>
      <c r="AQ141" s="392"/>
      <c r="AR141" s="392"/>
      <c r="AS141" s="392"/>
    </row>
    <row r="142" spans="2:47">
      <c r="B142" s="371" t="s">
        <v>201</v>
      </c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Q142" s="194" t="str">
        <f>B142</f>
        <v>RECOVERY TIME GANGGUAN MELUAS TM</v>
      </c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  <c r="AD142" s="105"/>
      <c r="AF142" s="194" t="str">
        <f>B142</f>
        <v>RECOVERY TIME GANGGUAN MELUAS TM</v>
      </c>
      <c r="AH142" s="105"/>
      <c r="AI142" s="105"/>
      <c r="AJ142" s="105"/>
      <c r="AK142" s="105"/>
      <c r="AL142" s="105"/>
      <c r="AM142" s="105"/>
      <c r="AN142" s="105"/>
      <c r="AO142" s="105"/>
      <c r="AP142" s="105"/>
      <c r="AQ142" s="105"/>
      <c r="AR142" s="105"/>
      <c r="AS142" s="105"/>
    </row>
    <row r="143" spans="2:47">
      <c r="B143" s="21" t="s">
        <v>100</v>
      </c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Q143" t="s">
        <v>126</v>
      </c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  <c r="AD143" s="105"/>
      <c r="AF143" t="s">
        <v>181</v>
      </c>
      <c r="AH143" s="105"/>
      <c r="AI143" s="105"/>
      <c r="AJ143" s="105"/>
      <c r="AK143" s="105"/>
      <c r="AL143" s="105"/>
      <c r="AM143" s="105"/>
      <c r="AN143" s="105"/>
      <c r="AO143" s="105"/>
      <c r="AP143" s="105"/>
      <c r="AQ143" s="105"/>
      <c r="AR143" s="105"/>
      <c r="AS143" s="105"/>
    </row>
    <row r="144" spans="2:47">
      <c r="B144" s="686" t="s">
        <v>72</v>
      </c>
      <c r="C144" s="686"/>
      <c r="D144" s="638" t="s">
        <v>74</v>
      </c>
      <c r="E144" s="638" t="s">
        <v>75</v>
      </c>
      <c r="F144" s="638" t="s">
        <v>76</v>
      </c>
      <c r="G144" s="638" t="s">
        <v>77</v>
      </c>
      <c r="H144" s="638" t="s">
        <v>78</v>
      </c>
      <c r="I144" s="638" t="s">
        <v>79</v>
      </c>
      <c r="J144" s="638" t="s">
        <v>80</v>
      </c>
      <c r="K144" s="638" t="s">
        <v>81</v>
      </c>
      <c r="L144" s="638" t="s">
        <v>82</v>
      </c>
      <c r="M144" s="638" t="s">
        <v>83</v>
      </c>
      <c r="N144" s="638" t="s">
        <v>84</v>
      </c>
      <c r="O144" s="638" t="s">
        <v>85</v>
      </c>
      <c r="Q144" s="686" t="s">
        <v>72</v>
      </c>
      <c r="R144" s="686"/>
      <c r="S144" s="638" t="s">
        <v>74</v>
      </c>
      <c r="T144" s="638" t="s">
        <v>75</v>
      </c>
      <c r="U144" s="638" t="s">
        <v>76</v>
      </c>
      <c r="V144" s="638" t="s">
        <v>77</v>
      </c>
      <c r="W144" s="638" t="s">
        <v>78</v>
      </c>
      <c r="X144" s="638" t="s">
        <v>79</v>
      </c>
      <c r="Y144" s="638" t="s">
        <v>80</v>
      </c>
      <c r="Z144" s="638" t="s">
        <v>81</v>
      </c>
      <c r="AA144" s="638" t="s">
        <v>82</v>
      </c>
      <c r="AB144" s="638" t="s">
        <v>83</v>
      </c>
      <c r="AC144" s="638" t="s">
        <v>84</v>
      </c>
      <c r="AD144" s="638" t="s">
        <v>85</v>
      </c>
      <c r="AF144" s="686" t="s">
        <v>72</v>
      </c>
      <c r="AG144" s="686"/>
      <c r="AH144" s="638" t="s">
        <v>74</v>
      </c>
      <c r="AI144" s="638" t="s">
        <v>75</v>
      </c>
      <c r="AJ144" s="638" t="s">
        <v>76</v>
      </c>
      <c r="AK144" s="638" t="s">
        <v>77</v>
      </c>
      <c r="AL144" s="638" t="s">
        <v>78</v>
      </c>
      <c r="AM144" s="638" t="s">
        <v>79</v>
      </c>
      <c r="AN144" s="638" t="s">
        <v>80</v>
      </c>
      <c r="AO144" s="638" t="s">
        <v>81</v>
      </c>
      <c r="AP144" s="638" t="s">
        <v>82</v>
      </c>
      <c r="AQ144" s="638" t="s">
        <v>83</v>
      </c>
      <c r="AR144" s="638" t="s">
        <v>84</v>
      </c>
      <c r="AS144" s="638" t="s">
        <v>85</v>
      </c>
    </row>
    <row r="145" spans="2:45">
      <c r="B145" s="633" t="s">
        <v>128</v>
      </c>
      <c r="C145" s="549" t="s">
        <v>202</v>
      </c>
      <c r="D145" s="552">
        <v>100</v>
      </c>
      <c r="E145" s="552">
        <v>100</v>
      </c>
      <c r="F145" s="552">
        <v>100</v>
      </c>
      <c r="G145" s="552">
        <v>100</v>
      </c>
      <c r="H145" s="552">
        <v>100</v>
      </c>
      <c r="I145" s="552">
        <v>100</v>
      </c>
      <c r="J145" s="552">
        <v>100</v>
      </c>
      <c r="K145" s="552">
        <v>100</v>
      </c>
      <c r="L145" s="552">
        <v>100</v>
      </c>
      <c r="M145" s="552">
        <v>100</v>
      </c>
      <c r="N145" s="552">
        <v>100</v>
      </c>
      <c r="O145" s="552">
        <v>100</v>
      </c>
      <c r="Q145" s="633" t="str">
        <f>B145</f>
        <v>ULP Tolitoli</v>
      </c>
      <c r="R145" s="549" t="str">
        <f>C145</f>
        <v>Recovery JTM</v>
      </c>
      <c r="S145" s="561">
        <v>60.75</v>
      </c>
      <c r="T145" s="550">
        <v>76.5</v>
      </c>
      <c r="U145" s="550">
        <v>107.25</v>
      </c>
      <c r="V145" s="550">
        <v>109.25</v>
      </c>
      <c r="W145" s="550">
        <v>110</v>
      </c>
      <c r="X145" s="550">
        <v>110</v>
      </c>
      <c r="Y145" s="550">
        <v>110</v>
      </c>
      <c r="Z145" s="550">
        <v>110</v>
      </c>
      <c r="AA145" s="550">
        <v>110</v>
      </c>
      <c r="AB145" s="550"/>
      <c r="AC145" s="550"/>
      <c r="AD145" s="550"/>
      <c r="AF145" s="633" t="str">
        <f t="shared" ref="AF145:AS145" si="161">Q145</f>
        <v>ULP Tolitoli</v>
      </c>
      <c r="AG145" s="549" t="str">
        <f t="shared" si="161"/>
        <v>Recovery JTM</v>
      </c>
      <c r="AH145" s="561">
        <f t="shared" si="161"/>
        <v>60.75</v>
      </c>
      <c r="AI145" s="561">
        <f t="shared" si="161"/>
        <v>76.5</v>
      </c>
      <c r="AJ145" s="561">
        <f t="shared" si="161"/>
        <v>107.25</v>
      </c>
      <c r="AK145" s="561">
        <f t="shared" si="161"/>
        <v>109.25</v>
      </c>
      <c r="AL145" s="561">
        <f t="shared" si="161"/>
        <v>110</v>
      </c>
      <c r="AM145" s="561">
        <f t="shared" si="161"/>
        <v>110</v>
      </c>
      <c r="AN145" s="561">
        <f t="shared" si="161"/>
        <v>110</v>
      </c>
      <c r="AO145" s="561">
        <f t="shared" si="161"/>
        <v>110</v>
      </c>
      <c r="AP145" s="561">
        <f t="shared" si="161"/>
        <v>110</v>
      </c>
      <c r="AQ145" s="561">
        <f t="shared" si="161"/>
        <v>0</v>
      </c>
      <c r="AR145" s="561">
        <f t="shared" si="161"/>
        <v>0</v>
      </c>
      <c r="AS145" s="561">
        <f t="shared" si="161"/>
        <v>0</v>
      </c>
    </row>
    <row r="146" spans="2:45">
      <c r="B146" s="633"/>
      <c r="C146" s="549"/>
      <c r="D146" s="552"/>
      <c r="E146" s="552"/>
      <c r="F146" s="552"/>
      <c r="G146" s="552"/>
      <c r="H146" s="552"/>
      <c r="I146" s="552"/>
      <c r="J146" s="552"/>
      <c r="K146" s="552"/>
      <c r="L146" s="552"/>
      <c r="M146" s="552"/>
      <c r="N146" s="552"/>
      <c r="O146" s="552"/>
      <c r="Q146" s="633"/>
      <c r="R146" s="549"/>
      <c r="S146" s="561"/>
      <c r="T146" s="550"/>
      <c r="U146" s="550"/>
      <c r="V146" s="550"/>
      <c r="W146" s="550"/>
      <c r="X146" s="550"/>
      <c r="Y146" s="550"/>
      <c r="Z146" s="550"/>
      <c r="AA146" s="550"/>
      <c r="AB146" s="550"/>
      <c r="AC146" s="550"/>
      <c r="AD146" s="550"/>
      <c r="AF146" s="633"/>
      <c r="AG146" s="549"/>
      <c r="AH146" s="561"/>
      <c r="AI146" s="561"/>
      <c r="AJ146" s="561"/>
      <c r="AK146" s="561"/>
      <c r="AL146" s="561"/>
      <c r="AM146" s="561"/>
      <c r="AN146" s="561"/>
      <c r="AO146" s="561"/>
      <c r="AP146" s="561"/>
      <c r="AQ146" s="561"/>
      <c r="AR146" s="561"/>
      <c r="AS146" s="561"/>
    </row>
    <row r="147" spans="2:45">
      <c r="B147" s="633"/>
      <c r="C147" s="549"/>
      <c r="D147" s="552"/>
      <c r="E147" s="552"/>
      <c r="F147" s="552"/>
      <c r="G147" s="552"/>
      <c r="H147" s="552"/>
      <c r="I147" s="552"/>
      <c r="J147" s="552"/>
      <c r="K147" s="552"/>
      <c r="L147" s="552"/>
      <c r="M147" s="552"/>
      <c r="N147" s="552"/>
      <c r="O147" s="552"/>
      <c r="Q147" s="633"/>
      <c r="R147" s="549"/>
      <c r="S147" s="554"/>
      <c r="T147" s="552"/>
      <c r="U147" s="552"/>
      <c r="V147" s="552"/>
      <c r="W147" s="552"/>
      <c r="X147" s="552"/>
      <c r="Y147" s="552"/>
      <c r="Z147" s="552"/>
      <c r="AA147" s="552"/>
      <c r="AB147" s="552"/>
      <c r="AC147" s="552"/>
      <c r="AD147" s="552"/>
      <c r="AF147" s="633"/>
      <c r="AG147" s="549"/>
      <c r="AH147" s="561"/>
      <c r="AI147" s="561"/>
      <c r="AJ147" s="561"/>
      <c r="AK147" s="561"/>
      <c r="AL147" s="561"/>
      <c r="AM147" s="561"/>
      <c r="AN147" s="561"/>
      <c r="AO147" s="561"/>
      <c r="AP147" s="561"/>
      <c r="AQ147" s="561"/>
      <c r="AR147" s="561"/>
      <c r="AS147" s="561"/>
    </row>
    <row r="148" spans="2:45">
      <c r="B148" s="633" t="s">
        <v>87</v>
      </c>
      <c r="C148" s="549" t="s">
        <v>202</v>
      </c>
      <c r="D148" s="552">
        <v>100</v>
      </c>
      <c r="E148" s="552">
        <v>100</v>
      </c>
      <c r="F148" s="552">
        <v>100</v>
      </c>
      <c r="G148" s="552">
        <v>100</v>
      </c>
      <c r="H148" s="552">
        <v>100</v>
      </c>
      <c r="I148" s="552">
        <v>100</v>
      </c>
      <c r="J148" s="552">
        <v>100</v>
      </c>
      <c r="K148" s="552">
        <v>100</v>
      </c>
      <c r="L148" s="552">
        <v>100</v>
      </c>
      <c r="M148" s="552">
        <v>100</v>
      </c>
      <c r="N148" s="552">
        <v>100</v>
      </c>
      <c r="O148" s="552">
        <v>100</v>
      </c>
      <c r="Q148" s="633" t="str">
        <f>B148</f>
        <v>ULP Leok</v>
      </c>
      <c r="R148" s="549" t="str">
        <f t="shared" ref="R148:R160" si="162">C148</f>
        <v>Recovery JTM</v>
      </c>
      <c r="S148" s="561">
        <v>108.25</v>
      </c>
      <c r="T148" s="550">
        <v>84.25</v>
      </c>
      <c r="U148" s="550">
        <v>101.25</v>
      </c>
      <c r="V148" s="550">
        <v>107</v>
      </c>
      <c r="W148" s="550">
        <v>109.5</v>
      </c>
      <c r="X148" s="550">
        <v>109.5</v>
      </c>
      <c r="Y148" s="550">
        <v>109.5</v>
      </c>
      <c r="Z148" s="550">
        <v>110</v>
      </c>
      <c r="AA148" s="550">
        <v>110</v>
      </c>
      <c r="AB148" s="550"/>
      <c r="AC148" s="550"/>
      <c r="AD148" s="550"/>
      <c r="AF148" s="633" t="str">
        <f>Q148</f>
        <v>ULP Leok</v>
      </c>
      <c r="AG148" s="549" t="str">
        <f t="shared" ref="AG148:AG160" si="163">R148</f>
        <v>Recovery JTM</v>
      </c>
      <c r="AH148" s="561">
        <f t="shared" ref="AH148:AH160" si="164">S148</f>
        <v>108.25</v>
      </c>
      <c r="AI148" s="561">
        <f t="shared" ref="AI148:AI160" si="165">T148</f>
        <v>84.25</v>
      </c>
      <c r="AJ148" s="561">
        <f t="shared" ref="AJ148:AJ160" si="166">U148</f>
        <v>101.25</v>
      </c>
      <c r="AK148" s="561">
        <f t="shared" ref="AK148:AK160" si="167">V148</f>
        <v>107</v>
      </c>
      <c r="AL148" s="561">
        <f t="shared" ref="AL148:AL160" si="168">W148</f>
        <v>109.5</v>
      </c>
      <c r="AM148" s="561">
        <f t="shared" ref="AM148:AM160" si="169">X148</f>
        <v>109.5</v>
      </c>
      <c r="AN148" s="561">
        <f t="shared" ref="AN148:AN160" si="170">Y148</f>
        <v>109.5</v>
      </c>
      <c r="AO148" s="561">
        <f t="shared" ref="AO148:AO160" si="171">Z148</f>
        <v>110</v>
      </c>
      <c r="AP148" s="561">
        <f t="shared" ref="AP148:AP160" si="172">AA148</f>
        <v>110</v>
      </c>
      <c r="AQ148" s="561">
        <f t="shared" ref="AQ148:AQ160" si="173">AB148</f>
        <v>0</v>
      </c>
      <c r="AR148" s="561">
        <f t="shared" ref="AR148:AR160" si="174">AC148</f>
        <v>0</v>
      </c>
      <c r="AS148" s="561">
        <f t="shared" ref="AS148:AS160" si="175">AD148</f>
        <v>0</v>
      </c>
    </row>
    <row r="149" spans="2:45">
      <c r="B149" s="633"/>
      <c r="C149" s="549"/>
      <c r="D149" s="552"/>
      <c r="E149" s="552"/>
      <c r="F149" s="552"/>
      <c r="G149" s="552"/>
      <c r="H149" s="552"/>
      <c r="I149" s="552"/>
      <c r="J149" s="552"/>
      <c r="K149" s="552"/>
      <c r="L149" s="552"/>
      <c r="M149" s="552"/>
      <c r="N149" s="552"/>
      <c r="O149" s="552"/>
      <c r="Q149" s="633"/>
      <c r="R149" s="549"/>
      <c r="S149" s="561"/>
      <c r="T149" s="550"/>
      <c r="U149" s="550"/>
      <c r="V149" s="550"/>
      <c r="W149" s="550"/>
      <c r="X149" s="550"/>
      <c r="Y149" s="550"/>
      <c r="Z149" s="550"/>
      <c r="AA149" s="550"/>
      <c r="AB149" s="550"/>
      <c r="AC149" s="550"/>
      <c r="AD149" s="550"/>
      <c r="AF149" s="633"/>
      <c r="AG149" s="549"/>
      <c r="AH149" s="561"/>
      <c r="AI149" s="561"/>
      <c r="AJ149" s="561"/>
      <c r="AK149" s="561"/>
      <c r="AL149" s="561"/>
      <c r="AM149" s="561"/>
      <c r="AN149" s="561"/>
      <c r="AO149" s="561"/>
      <c r="AP149" s="561"/>
      <c r="AQ149" s="561"/>
      <c r="AR149" s="561"/>
      <c r="AS149" s="561"/>
    </row>
    <row r="150" spans="2:45">
      <c r="B150" s="633"/>
      <c r="C150" s="549"/>
      <c r="D150" s="552"/>
      <c r="E150" s="552"/>
      <c r="F150" s="552"/>
      <c r="G150" s="552"/>
      <c r="H150" s="552"/>
      <c r="I150" s="552"/>
      <c r="J150" s="552"/>
      <c r="K150" s="552"/>
      <c r="L150" s="552"/>
      <c r="M150" s="552"/>
      <c r="N150" s="552"/>
      <c r="O150" s="552"/>
      <c r="Q150" s="633"/>
      <c r="R150" s="549"/>
      <c r="S150" s="554"/>
      <c r="T150" s="552"/>
      <c r="U150" s="552"/>
      <c r="V150" s="552"/>
      <c r="W150" s="552"/>
      <c r="X150" s="552"/>
      <c r="Y150" s="552"/>
      <c r="Z150" s="552"/>
      <c r="AA150" s="552"/>
      <c r="AB150" s="552"/>
      <c r="AC150" s="552"/>
      <c r="AD150" s="552"/>
      <c r="AF150" s="633"/>
      <c r="AG150" s="549"/>
      <c r="AH150" s="561"/>
      <c r="AI150" s="561"/>
      <c r="AJ150" s="561"/>
      <c r="AK150" s="561"/>
      <c r="AL150" s="561"/>
      <c r="AM150" s="561"/>
      <c r="AN150" s="561"/>
      <c r="AO150" s="561"/>
      <c r="AP150" s="561"/>
      <c r="AQ150" s="561"/>
      <c r="AR150" s="561"/>
      <c r="AS150" s="561"/>
    </row>
    <row r="151" spans="2:45">
      <c r="B151" s="633" t="s">
        <v>88</v>
      </c>
      <c r="C151" s="549" t="s">
        <v>202</v>
      </c>
      <c r="D151" s="552">
        <v>100</v>
      </c>
      <c r="E151" s="552">
        <v>100</v>
      </c>
      <c r="F151" s="552">
        <v>100</v>
      </c>
      <c r="G151" s="552">
        <v>100</v>
      </c>
      <c r="H151" s="552">
        <v>100</v>
      </c>
      <c r="I151" s="552">
        <v>100</v>
      </c>
      <c r="J151" s="552">
        <v>100</v>
      </c>
      <c r="K151" s="552">
        <v>100</v>
      </c>
      <c r="L151" s="552">
        <v>100</v>
      </c>
      <c r="M151" s="552">
        <v>100</v>
      </c>
      <c r="N151" s="552">
        <v>100</v>
      </c>
      <c r="O151" s="552">
        <v>100</v>
      </c>
      <c r="Q151" s="633" t="str">
        <f>B151</f>
        <v>ULP Bangkir</v>
      </c>
      <c r="R151" s="549" t="str">
        <f t="shared" si="162"/>
        <v>Recovery JTM</v>
      </c>
      <c r="S151" s="561">
        <v>110</v>
      </c>
      <c r="T151" s="550">
        <v>110</v>
      </c>
      <c r="U151" s="550">
        <v>110</v>
      </c>
      <c r="V151" s="550">
        <v>110</v>
      </c>
      <c r="W151" s="550">
        <v>110</v>
      </c>
      <c r="X151" s="550">
        <v>110</v>
      </c>
      <c r="Y151" s="550">
        <v>110</v>
      </c>
      <c r="Z151" s="550">
        <v>110</v>
      </c>
      <c r="AA151" s="550">
        <v>110</v>
      </c>
      <c r="AB151" s="550"/>
      <c r="AC151" s="550"/>
      <c r="AD151" s="550"/>
      <c r="AF151" s="633" t="str">
        <f>Q151</f>
        <v>ULP Bangkir</v>
      </c>
      <c r="AG151" s="549" t="str">
        <f t="shared" si="163"/>
        <v>Recovery JTM</v>
      </c>
      <c r="AH151" s="561">
        <f t="shared" si="164"/>
        <v>110</v>
      </c>
      <c r="AI151" s="561">
        <f t="shared" si="165"/>
        <v>110</v>
      </c>
      <c r="AJ151" s="561">
        <f t="shared" si="166"/>
        <v>110</v>
      </c>
      <c r="AK151" s="561">
        <f t="shared" si="167"/>
        <v>110</v>
      </c>
      <c r="AL151" s="561">
        <f t="shared" si="168"/>
        <v>110</v>
      </c>
      <c r="AM151" s="561">
        <f t="shared" si="169"/>
        <v>110</v>
      </c>
      <c r="AN151" s="561">
        <f t="shared" si="170"/>
        <v>110</v>
      </c>
      <c r="AO151" s="561">
        <f t="shared" si="171"/>
        <v>110</v>
      </c>
      <c r="AP151" s="561">
        <f t="shared" si="172"/>
        <v>110</v>
      </c>
      <c r="AQ151" s="561">
        <f t="shared" si="173"/>
        <v>0</v>
      </c>
      <c r="AR151" s="561">
        <f t="shared" si="174"/>
        <v>0</v>
      </c>
      <c r="AS151" s="561">
        <f t="shared" si="175"/>
        <v>0</v>
      </c>
    </row>
    <row r="152" spans="2:45">
      <c r="B152" s="633"/>
      <c r="C152" s="549"/>
      <c r="D152" s="552"/>
      <c r="E152" s="552"/>
      <c r="F152" s="552"/>
      <c r="G152" s="552"/>
      <c r="H152" s="552"/>
      <c r="I152" s="552"/>
      <c r="J152" s="552"/>
      <c r="K152" s="552"/>
      <c r="L152" s="552"/>
      <c r="M152" s="552"/>
      <c r="N152" s="552"/>
      <c r="O152" s="552"/>
      <c r="Q152" s="633"/>
      <c r="R152" s="549"/>
      <c r="S152" s="561"/>
      <c r="T152" s="550"/>
      <c r="U152" s="550"/>
      <c r="V152" s="550"/>
      <c r="W152" s="550"/>
      <c r="X152" s="550"/>
      <c r="Y152" s="550"/>
      <c r="Z152" s="550"/>
      <c r="AA152" s="550"/>
      <c r="AB152" s="550"/>
      <c r="AC152" s="550"/>
      <c r="AD152" s="550"/>
      <c r="AF152" s="633"/>
      <c r="AG152" s="549"/>
      <c r="AH152" s="561"/>
      <c r="AI152" s="561"/>
      <c r="AJ152" s="561"/>
      <c r="AK152" s="561"/>
      <c r="AL152" s="561"/>
      <c r="AM152" s="561"/>
      <c r="AN152" s="561"/>
      <c r="AO152" s="561"/>
      <c r="AP152" s="561"/>
      <c r="AQ152" s="561"/>
      <c r="AR152" s="561"/>
      <c r="AS152" s="561"/>
    </row>
    <row r="153" spans="2:45">
      <c r="B153" s="633"/>
      <c r="C153" s="549"/>
      <c r="D153" s="552"/>
      <c r="E153" s="552"/>
      <c r="F153" s="552"/>
      <c r="G153" s="552"/>
      <c r="H153" s="552"/>
      <c r="I153" s="552"/>
      <c r="J153" s="552"/>
      <c r="K153" s="552"/>
      <c r="L153" s="552"/>
      <c r="M153" s="552"/>
      <c r="N153" s="552"/>
      <c r="O153" s="552"/>
      <c r="Q153" s="633"/>
      <c r="R153" s="549"/>
      <c r="S153" s="554"/>
      <c r="T153" s="552"/>
      <c r="U153" s="552"/>
      <c r="V153" s="552"/>
      <c r="W153" s="552"/>
      <c r="X153" s="552"/>
      <c r="Y153" s="552"/>
      <c r="Z153" s="552"/>
      <c r="AA153" s="552"/>
      <c r="AB153" s="552"/>
      <c r="AC153" s="552"/>
      <c r="AD153" s="552"/>
      <c r="AF153" s="633"/>
      <c r="AG153" s="549"/>
      <c r="AH153" s="561"/>
      <c r="AI153" s="561"/>
      <c r="AJ153" s="561"/>
      <c r="AK153" s="561"/>
      <c r="AL153" s="561"/>
      <c r="AM153" s="561"/>
      <c r="AN153" s="561"/>
      <c r="AO153" s="561"/>
      <c r="AP153" s="561"/>
      <c r="AQ153" s="561"/>
      <c r="AR153" s="561"/>
      <c r="AS153" s="561"/>
    </row>
    <row r="154" spans="2:45">
      <c r="B154" s="633" t="s">
        <v>121</v>
      </c>
      <c r="C154" s="549" t="s">
        <v>202</v>
      </c>
      <c r="D154" s="552">
        <v>100</v>
      </c>
      <c r="E154" s="552">
        <v>100</v>
      </c>
      <c r="F154" s="552">
        <v>100</v>
      </c>
      <c r="G154" s="552">
        <v>100</v>
      </c>
      <c r="H154" s="552">
        <v>100</v>
      </c>
      <c r="I154" s="552">
        <v>100</v>
      </c>
      <c r="J154" s="552">
        <v>100</v>
      </c>
      <c r="K154" s="552">
        <v>100</v>
      </c>
      <c r="L154" s="552">
        <v>100</v>
      </c>
      <c r="M154" s="552">
        <v>100</v>
      </c>
      <c r="N154" s="552">
        <v>100</v>
      </c>
      <c r="O154" s="552">
        <v>100</v>
      </c>
      <c r="Q154" s="633" t="str">
        <f>B154</f>
        <v>ULP Moutong</v>
      </c>
      <c r="R154" s="549" t="str">
        <f t="shared" si="162"/>
        <v>Recovery JTM</v>
      </c>
      <c r="S154" s="561">
        <v>110</v>
      </c>
      <c r="T154" s="550">
        <v>110</v>
      </c>
      <c r="U154" s="550">
        <v>110</v>
      </c>
      <c r="V154" s="550">
        <v>110</v>
      </c>
      <c r="W154" s="550">
        <v>110</v>
      </c>
      <c r="X154" s="550">
        <v>110</v>
      </c>
      <c r="Y154" s="550">
        <v>110</v>
      </c>
      <c r="Z154" s="550">
        <v>110</v>
      </c>
      <c r="AA154" s="550">
        <v>110</v>
      </c>
      <c r="AB154" s="550"/>
      <c r="AC154" s="550"/>
      <c r="AD154" s="550"/>
      <c r="AF154" s="633" t="str">
        <f>Q154</f>
        <v>ULP Moutong</v>
      </c>
      <c r="AG154" s="549" t="str">
        <f t="shared" si="163"/>
        <v>Recovery JTM</v>
      </c>
      <c r="AH154" s="561">
        <f t="shared" si="164"/>
        <v>110</v>
      </c>
      <c r="AI154" s="561">
        <f t="shared" si="165"/>
        <v>110</v>
      </c>
      <c r="AJ154" s="561">
        <f t="shared" si="166"/>
        <v>110</v>
      </c>
      <c r="AK154" s="561">
        <f t="shared" si="167"/>
        <v>110</v>
      </c>
      <c r="AL154" s="561">
        <f t="shared" si="168"/>
        <v>110</v>
      </c>
      <c r="AM154" s="561">
        <f t="shared" si="169"/>
        <v>110</v>
      </c>
      <c r="AN154" s="561">
        <f t="shared" si="170"/>
        <v>110</v>
      </c>
      <c r="AO154" s="561">
        <f t="shared" si="171"/>
        <v>110</v>
      </c>
      <c r="AP154" s="561">
        <f t="shared" si="172"/>
        <v>110</v>
      </c>
      <c r="AQ154" s="561">
        <f t="shared" si="173"/>
        <v>0</v>
      </c>
      <c r="AR154" s="561">
        <f t="shared" si="174"/>
        <v>0</v>
      </c>
      <c r="AS154" s="561">
        <f t="shared" si="175"/>
        <v>0</v>
      </c>
    </row>
    <row r="155" spans="2:45">
      <c r="B155" s="633"/>
      <c r="C155" s="549"/>
      <c r="D155" s="552"/>
      <c r="E155" s="552"/>
      <c r="F155" s="552"/>
      <c r="G155" s="552"/>
      <c r="H155" s="552"/>
      <c r="I155" s="552"/>
      <c r="J155" s="552"/>
      <c r="K155" s="552"/>
      <c r="L155" s="552"/>
      <c r="M155" s="552"/>
      <c r="N155" s="552"/>
      <c r="O155" s="552"/>
      <c r="Q155" s="633"/>
      <c r="R155" s="549"/>
      <c r="S155" s="561"/>
      <c r="T155" s="550"/>
      <c r="U155" s="550"/>
      <c r="V155" s="550"/>
      <c r="W155" s="550"/>
      <c r="X155" s="550"/>
      <c r="Y155" s="550"/>
      <c r="Z155" s="550"/>
      <c r="AA155" s="550"/>
      <c r="AB155" s="550"/>
      <c r="AC155" s="550"/>
      <c r="AD155" s="550"/>
      <c r="AF155" s="633"/>
      <c r="AG155" s="549"/>
      <c r="AH155" s="561"/>
      <c r="AI155" s="561"/>
      <c r="AJ155" s="561"/>
      <c r="AK155" s="561"/>
      <c r="AL155" s="561"/>
      <c r="AM155" s="561"/>
      <c r="AN155" s="561"/>
      <c r="AO155" s="561"/>
      <c r="AP155" s="561"/>
      <c r="AQ155" s="561"/>
      <c r="AR155" s="561"/>
      <c r="AS155" s="561"/>
    </row>
    <row r="156" spans="2:45">
      <c r="B156" s="633"/>
      <c r="C156" s="549"/>
      <c r="D156" s="552"/>
      <c r="E156" s="552"/>
      <c r="F156" s="552"/>
      <c r="G156" s="552"/>
      <c r="H156" s="552"/>
      <c r="I156" s="552"/>
      <c r="J156" s="552"/>
      <c r="K156" s="552"/>
      <c r="L156" s="552"/>
      <c r="M156" s="552"/>
      <c r="N156" s="552"/>
      <c r="O156" s="552"/>
      <c r="Q156" s="633"/>
      <c r="R156" s="549"/>
      <c r="S156" s="554"/>
      <c r="T156" s="552"/>
      <c r="U156" s="552"/>
      <c r="V156" s="552"/>
      <c r="W156" s="552"/>
      <c r="X156" s="552"/>
      <c r="Y156" s="552"/>
      <c r="Z156" s="552"/>
      <c r="AA156" s="552"/>
      <c r="AB156" s="552"/>
      <c r="AC156" s="552"/>
      <c r="AD156" s="552"/>
      <c r="AF156" s="633"/>
      <c r="AG156" s="549"/>
      <c r="AH156" s="561"/>
      <c r="AI156" s="561"/>
      <c r="AJ156" s="561"/>
      <c r="AK156" s="561"/>
      <c r="AL156" s="561"/>
      <c r="AM156" s="561"/>
      <c r="AN156" s="561"/>
      <c r="AO156" s="561"/>
      <c r="AP156" s="561"/>
      <c r="AQ156" s="561"/>
      <c r="AR156" s="561"/>
      <c r="AS156" s="561"/>
    </row>
    <row r="157" spans="2:45">
      <c r="B157" s="633" t="s">
        <v>89</v>
      </c>
      <c r="C157" s="549" t="s">
        <v>202</v>
      </c>
      <c r="D157" s="552">
        <v>100</v>
      </c>
      <c r="E157" s="552">
        <v>100</v>
      </c>
      <c r="F157" s="552">
        <v>100</v>
      </c>
      <c r="G157" s="552">
        <v>100</v>
      </c>
      <c r="H157" s="552">
        <v>100</v>
      </c>
      <c r="I157" s="552">
        <v>100</v>
      </c>
      <c r="J157" s="552">
        <v>100</v>
      </c>
      <c r="K157" s="552">
        <v>100</v>
      </c>
      <c r="L157" s="552">
        <v>100</v>
      </c>
      <c r="M157" s="552">
        <v>100</v>
      </c>
      <c r="N157" s="552">
        <v>100</v>
      </c>
      <c r="O157" s="552">
        <v>100</v>
      </c>
      <c r="Q157" s="633" t="str">
        <f>B157</f>
        <v>ULP Kotaraya</v>
      </c>
      <c r="R157" s="549" t="str">
        <f t="shared" si="162"/>
        <v>Recovery JTM</v>
      </c>
      <c r="S157" s="561">
        <v>110</v>
      </c>
      <c r="T157" s="550">
        <v>110</v>
      </c>
      <c r="U157" s="550">
        <v>110</v>
      </c>
      <c r="V157" s="550">
        <v>110</v>
      </c>
      <c r="W157" s="550">
        <v>110</v>
      </c>
      <c r="X157" s="550">
        <v>110</v>
      </c>
      <c r="Y157" s="550">
        <v>110</v>
      </c>
      <c r="Z157" s="550">
        <v>110</v>
      </c>
      <c r="AA157" s="550">
        <v>110</v>
      </c>
      <c r="AB157" s="550"/>
      <c r="AC157" s="550"/>
      <c r="AD157" s="550"/>
      <c r="AF157" s="633" t="str">
        <f>Q157</f>
        <v>ULP Kotaraya</v>
      </c>
      <c r="AG157" s="549" t="str">
        <f t="shared" si="163"/>
        <v>Recovery JTM</v>
      </c>
      <c r="AH157" s="561">
        <f t="shared" si="164"/>
        <v>110</v>
      </c>
      <c r="AI157" s="561">
        <f t="shared" si="165"/>
        <v>110</v>
      </c>
      <c r="AJ157" s="561">
        <f t="shared" si="166"/>
        <v>110</v>
      </c>
      <c r="AK157" s="561">
        <f t="shared" si="167"/>
        <v>110</v>
      </c>
      <c r="AL157" s="561">
        <f t="shared" si="168"/>
        <v>110</v>
      </c>
      <c r="AM157" s="561">
        <f t="shared" si="169"/>
        <v>110</v>
      </c>
      <c r="AN157" s="561">
        <f t="shared" si="170"/>
        <v>110</v>
      </c>
      <c r="AO157" s="561">
        <f t="shared" si="171"/>
        <v>110</v>
      </c>
      <c r="AP157" s="561">
        <f t="shared" si="172"/>
        <v>110</v>
      </c>
      <c r="AQ157" s="561">
        <f t="shared" si="173"/>
        <v>0</v>
      </c>
      <c r="AR157" s="561">
        <f t="shared" si="174"/>
        <v>0</v>
      </c>
      <c r="AS157" s="561">
        <f t="shared" si="175"/>
        <v>0</v>
      </c>
    </row>
    <row r="158" spans="2:45">
      <c r="B158" s="633"/>
      <c r="C158" s="549"/>
      <c r="D158" s="552"/>
      <c r="E158" s="552"/>
      <c r="F158" s="552"/>
      <c r="G158" s="552"/>
      <c r="H158" s="552"/>
      <c r="I158" s="552"/>
      <c r="J158" s="552"/>
      <c r="K158" s="552"/>
      <c r="L158" s="552"/>
      <c r="M158" s="552"/>
      <c r="N158" s="552"/>
      <c r="O158" s="552"/>
      <c r="Q158" s="633"/>
      <c r="R158" s="549"/>
      <c r="S158" s="561"/>
      <c r="T158" s="550"/>
      <c r="U158" s="550"/>
      <c r="V158" s="550"/>
      <c r="W158" s="550"/>
      <c r="X158" s="550"/>
      <c r="Y158" s="550"/>
      <c r="Z158" s="550"/>
      <c r="AA158" s="550"/>
      <c r="AB158" s="550"/>
      <c r="AC158" s="550"/>
      <c r="AD158" s="550"/>
      <c r="AF158" s="633"/>
      <c r="AG158" s="549"/>
      <c r="AH158" s="561"/>
      <c r="AI158" s="561"/>
      <c r="AJ158" s="561"/>
      <c r="AK158" s="561"/>
      <c r="AL158" s="561"/>
      <c r="AM158" s="561"/>
      <c r="AN158" s="561"/>
      <c r="AO158" s="561"/>
      <c r="AP158" s="561"/>
      <c r="AQ158" s="561"/>
      <c r="AR158" s="561"/>
      <c r="AS158" s="561"/>
    </row>
    <row r="159" spans="2:45">
      <c r="B159" s="633"/>
      <c r="C159" s="549"/>
      <c r="D159" s="552"/>
      <c r="E159" s="552"/>
      <c r="F159" s="552"/>
      <c r="G159" s="552"/>
      <c r="H159" s="552"/>
      <c r="I159" s="552"/>
      <c r="J159" s="552"/>
      <c r="K159" s="552"/>
      <c r="L159" s="552"/>
      <c r="M159" s="552"/>
      <c r="N159" s="552"/>
      <c r="O159" s="552"/>
      <c r="Q159" s="633"/>
      <c r="R159" s="549"/>
      <c r="S159" s="554"/>
      <c r="T159" s="552"/>
      <c r="U159" s="552"/>
      <c r="V159" s="552"/>
      <c r="W159" s="552"/>
      <c r="X159" s="552"/>
      <c r="Y159" s="552"/>
      <c r="Z159" s="552"/>
      <c r="AA159" s="552"/>
      <c r="AB159" s="552"/>
      <c r="AC159" s="552"/>
      <c r="AD159" s="552"/>
      <c r="AF159" s="633"/>
      <c r="AG159" s="549"/>
      <c r="AH159" s="561"/>
      <c r="AI159" s="561"/>
      <c r="AJ159" s="561"/>
      <c r="AK159" s="561"/>
      <c r="AL159" s="561"/>
      <c r="AM159" s="561"/>
      <c r="AN159" s="561"/>
      <c r="AO159" s="561"/>
      <c r="AP159" s="561"/>
      <c r="AQ159" s="561"/>
      <c r="AR159" s="561"/>
      <c r="AS159" s="561"/>
    </row>
    <row r="160" spans="2:45">
      <c r="B160" s="633" t="s">
        <v>90</v>
      </c>
      <c r="C160" s="549" t="s">
        <v>202</v>
      </c>
      <c r="D160" s="552">
        <v>100</v>
      </c>
      <c r="E160" s="552">
        <v>100</v>
      </c>
      <c r="F160" s="552">
        <v>100</v>
      </c>
      <c r="G160" s="552">
        <v>100</v>
      </c>
      <c r="H160" s="552">
        <v>100</v>
      </c>
      <c r="I160" s="552">
        <v>100</v>
      </c>
      <c r="J160" s="552">
        <v>100</v>
      </c>
      <c r="K160" s="552">
        <v>100</v>
      </c>
      <c r="L160" s="552">
        <v>100</v>
      </c>
      <c r="M160" s="552">
        <v>100</v>
      </c>
      <c r="N160" s="552">
        <v>100</v>
      </c>
      <c r="O160" s="552">
        <v>100</v>
      </c>
      <c r="Q160" s="633" t="str">
        <f>B160</f>
        <v>UP3 Tolitoli</v>
      </c>
      <c r="R160" s="549" t="str">
        <f t="shared" si="162"/>
        <v>Recovery JTM</v>
      </c>
      <c r="S160" s="561">
        <v>92.25</v>
      </c>
      <c r="T160" s="550">
        <v>90.5</v>
      </c>
      <c r="U160" s="550">
        <v>110</v>
      </c>
      <c r="V160" s="550">
        <v>110</v>
      </c>
      <c r="W160" s="550">
        <v>110</v>
      </c>
      <c r="X160" s="550">
        <v>110</v>
      </c>
      <c r="Y160" s="550">
        <v>110</v>
      </c>
      <c r="Z160" s="550">
        <v>110</v>
      </c>
      <c r="AA160" s="550">
        <v>110</v>
      </c>
      <c r="AB160" s="550"/>
      <c r="AC160" s="550"/>
      <c r="AD160" s="550"/>
      <c r="AF160" s="633" t="str">
        <f>Q160</f>
        <v>UP3 Tolitoli</v>
      </c>
      <c r="AG160" s="549" t="str">
        <f t="shared" si="163"/>
        <v>Recovery JTM</v>
      </c>
      <c r="AH160" s="561">
        <f t="shared" si="164"/>
        <v>92.25</v>
      </c>
      <c r="AI160" s="561">
        <f t="shared" si="165"/>
        <v>90.5</v>
      </c>
      <c r="AJ160" s="561">
        <f t="shared" si="166"/>
        <v>110</v>
      </c>
      <c r="AK160" s="561">
        <f t="shared" si="167"/>
        <v>110</v>
      </c>
      <c r="AL160" s="561">
        <f t="shared" si="168"/>
        <v>110</v>
      </c>
      <c r="AM160" s="561">
        <f t="shared" si="169"/>
        <v>110</v>
      </c>
      <c r="AN160" s="561">
        <f t="shared" si="170"/>
        <v>110</v>
      </c>
      <c r="AO160" s="561">
        <f t="shared" si="171"/>
        <v>110</v>
      </c>
      <c r="AP160" s="561">
        <f t="shared" si="172"/>
        <v>110</v>
      </c>
      <c r="AQ160" s="561">
        <f t="shared" si="173"/>
        <v>0</v>
      </c>
      <c r="AR160" s="561">
        <f t="shared" si="174"/>
        <v>0</v>
      </c>
      <c r="AS160" s="561">
        <f t="shared" si="175"/>
        <v>0</v>
      </c>
    </row>
    <row r="161" spans="2:47">
      <c r="B161" s="633"/>
      <c r="C161" s="549"/>
      <c r="D161" s="552"/>
      <c r="E161" s="552"/>
      <c r="F161" s="552"/>
      <c r="G161" s="552"/>
      <c r="H161" s="552"/>
      <c r="I161" s="552"/>
      <c r="J161" s="552"/>
      <c r="K161" s="552"/>
      <c r="L161" s="552"/>
      <c r="M161" s="552"/>
      <c r="N161" s="552"/>
      <c r="O161" s="552"/>
      <c r="Q161" s="633"/>
      <c r="R161" s="549"/>
      <c r="S161" s="561"/>
      <c r="T161" s="550"/>
      <c r="U161" s="550"/>
      <c r="V161" s="550"/>
      <c r="W161" s="550"/>
      <c r="X161" s="550"/>
      <c r="Y161" s="550"/>
      <c r="Z161" s="550"/>
      <c r="AA161" s="550"/>
      <c r="AB161" s="550"/>
      <c r="AC161" s="550"/>
      <c r="AD161" s="550"/>
      <c r="AF161" s="633"/>
      <c r="AG161" s="549"/>
      <c r="AH161" s="561"/>
      <c r="AI161" s="561"/>
      <c r="AJ161" s="561"/>
      <c r="AK161" s="561"/>
      <c r="AL161" s="561"/>
      <c r="AM161" s="561"/>
      <c r="AN161" s="561"/>
      <c r="AO161" s="561"/>
      <c r="AP161" s="561"/>
      <c r="AQ161" s="561"/>
      <c r="AR161" s="561"/>
      <c r="AS161" s="561"/>
    </row>
    <row r="162" spans="2:47">
      <c r="B162" s="633"/>
      <c r="C162" s="549"/>
      <c r="D162" s="552"/>
      <c r="E162" s="552"/>
      <c r="F162" s="552"/>
      <c r="G162" s="552"/>
      <c r="H162" s="552"/>
      <c r="I162" s="552"/>
      <c r="J162" s="552"/>
      <c r="K162" s="552"/>
      <c r="L162" s="552"/>
      <c r="M162" s="552"/>
      <c r="N162" s="552"/>
      <c r="O162" s="552"/>
      <c r="Q162" s="633"/>
      <c r="R162" s="549"/>
      <c r="S162" s="554"/>
      <c r="T162" s="552"/>
      <c r="U162" s="552"/>
      <c r="V162" s="552"/>
      <c r="W162" s="552"/>
      <c r="X162" s="552"/>
      <c r="Y162" s="552"/>
      <c r="Z162" s="552"/>
      <c r="AA162" s="552"/>
      <c r="AB162" s="552"/>
      <c r="AC162" s="552"/>
      <c r="AD162" s="552"/>
      <c r="AF162" s="633"/>
      <c r="AG162" s="549"/>
      <c r="AH162" s="561"/>
      <c r="AI162" s="561"/>
      <c r="AJ162" s="561"/>
      <c r="AK162" s="561"/>
      <c r="AL162" s="561"/>
      <c r="AM162" s="561"/>
      <c r="AN162" s="561"/>
      <c r="AO162" s="561"/>
      <c r="AP162" s="561"/>
      <c r="AQ162" s="561"/>
      <c r="AR162" s="561"/>
      <c r="AS162" s="561"/>
    </row>
    <row r="163" spans="2:47">
      <c r="B163" s="125"/>
      <c r="C163" s="294"/>
      <c r="D163" s="296"/>
      <c r="E163" s="296"/>
      <c r="F163" s="296"/>
      <c r="G163" s="296"/>
      <c r="H163" s="296"/>
      <c r="I163" s="296"/>
      <c r="J163" s="296"/>
      <c r="K163" s="296"/>
      <c r="L163" s="296"/>
      <c r="M163" s="296"/>
      <c r="N163" s="296"/>
      <c r="O163" s="296"/>
      <c r="Q163" s="125"/>
      <c r="R163" s="294"/>
      <c r="S163" s="164"/>
      <c r="T163" s="164"/>
      <c r="U163" s="164"/>
      <c r="V163" s="164"/>
      <c r="W163" s="164"/>
      <c r="X163" s="164"/>
      <c r="Y163" s="164"/>
      <c r="Z163" s="164"/>
      <c r="AA163" s="164"/>
      <c r="AB163" s="164"/>
      <c r="AC163" s="164"/>
      <c r="AD163" s="164"/>
      <c r="AF163" s="125"/>
      <c r="AG163" s="294"/>
      <c r="AH163" s="164"/>
      <c r="AI163" s="164"/>
      <c r="AJ163" s="164"/>
      <c r="AK163" s="164"/>
      <c r="AL163" s="164"/>
      <c r="AM163" s="164"/>
      <c r="AN163" s="164"/>
      <c r="AO163" s="164"/>
      <c r="AP163" s="164"/>
      <c r="AQ163" s="164"/>
      <c r="AR163" s="164"/>
      <c r="AS163" s="164"/>
      <c r="AU163"/>
    </row>
    <row r="164" spans="2:47">
      <c r="B164" s="371" t="s">
        <v>203</v>
      </c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Q164" s="194" t="str">
        <f>B164</f>
        <v>PENORMALAN SIAGA 1 GANGUAN TM</v>
      </c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  <c r="AD164" s="105"/>
      <c r="AF164" s="194" t="str">
        <f>B164</f>
        <v>PENORMALAN SIAGA 1 GANGUAN TM</v>
      </c>
      <c r="AH164" s="105"/>
      <c r="AI164" s="105"/>
      <c r="AJ164" s="105"/>
      <c r="AK164" s="105"/>
      <c r="AL164" s="105"/>
      <c r="AM164" s="105"/>
      <c r="AN164" s="105"/>
      <c r="AO164" s="105"/>
      <c r="AP164" s="105"/>
      <c r="AQ164" s="105"/>
      <c r="AR164" s="105"/>
      <c r="AS164" s="105"/>
    </row>
    <row r="165" spans="2:47">
      <c r="B165" t="s">
        <v>100</v>
      </c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Q165" t="s">
        <v>126</v>
      </c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  <c r="AD165" s="105"/>
      <c r="AF165" t="s">
        <v>181</v>
      </c>
      <c r="AH165" s="105"/>
      <c r="AI165" s="105"/>
      <c r="AJ165" s="105"/>
      <c r="AK165" s="105"/>
      <c r="AL165" s="105"/>
      <c r="AM165" s="105"/>
      <c r="AN165" s="105"/>
      <c r="AO165" s="105"/>
      <c r="AP165" s="105"/>
      <c r="AQ165" s="105"/>
      <c r="AR165" s="105"/>
      <c r="AS165" s="105"/>
    </row>
    <row r="166" spans="2:47">
      <c r="B166" s="686" t="s">
        <v>72</v>
      </c>
      <c r="C166" s="686"/>
      <c r="D166" s="638" t="s">
        <v>74</v>
      </c>
      <c r="E166" s="638" t="s">
        <v>75</v>
      </c>
      <c r="F166" s="638" t="s">
        <v>76</v>
      </c>
      <c r="G166" s="638" t="s">
        <v>77</v>
      </c>
      <c r="H166" s="638" t="s">
        <v>78</v>
      </c>
      <c r="I166" s="638" t="s">
        <v>79</v>
      </c>
      <c r="J166" s="638" t="s">
        <v>80</v>
      </c>
      <c r="K166" s="638" t="s">
        <v>81</v>
      </c>
      <c r="L166" s="638" t="s">
        <v>82</v>
      </c>
      <c r="M166" s="638" t="s">
        <v>83</v>
      </c>
      <c r="N166" s="638" t="s">
        <v>84</v>
      </c>
      <c r="O166" s="638" t="s">
        <v>85</v>
      </c>
      <c r="Q166" s="686" t="s">
        <v>72</v>
      </c>
      <c r="R166" s="686"/>
      <c r="S166" s="638" t="s">
        <v>74</v>
      </c>
      <c r="T166" s="638" t="s">
        <v>75</v>
      </c>
      <c r="U166" s="638" t="s">
        <v>76</v>
      </c>
      <c r="V166" s="638" t="s">
        <v>77</v>
      </c>
      <c r="W166" s="638" t="s">
        <v>78</v>
      </c>
      <c r="X166" s="638" t="s">
        <v>79</v>
      </c>
      <c r="Y166" s="638" t="s">
        <v>80</v>
      </c>
      <c r="Z166" s="638" t="s">
        <v>81</v>
      </c>
      <c r="AA166" s="638" t="s">
        <v>82</v>
      </c>
      <c r="AB166" s="638" t="s">
        <v>83</v>
      </c>
      <c r="AC166" s="638" t="s">
        <v>84</v>
      </c>
      <c r="AD166" s="638" t="s">
        <v>85</v>
      </c>
      <c r="AF166" s="686" t="s">
        <v>72</v>
      </c>
      <c r="AG166" s="686"/>
      <c r="AH166" s="638" t="s">
        <v>74</v>
      </c>
      <c r="AI166" s="638" t="s">
        <v>75</v>
      </c>
      <c r="AJ166" s="638" t="s">
        <v>76</v>
      </c>
      <c r="AK166" s="638" t="s">
        <v>77</v>
      </c>
      <c r="AL166" s="638" t="s">
        <v>78</v>
      </c>
      <c r="AM166" s="638" t="s">
        <v>79</v>
      </c>
      <c r="AN166" s="638" t="s">
        <v>80</v>
      </c>
      <c r="AO166" s="638" t="s">
        <v>81</v>
      </c>
      <c r="AP166" s="638" t="s">
        <v>82</v>
      </c>
      <c r="AQ166" s="638" t="s">
        <v>83</v>
      </c>
      <c r="AR166" s="638" t="s">
        <v>84</v>
      </c>
      <c r="AS166" s="638" t="s">
        <v>85</v>
      </c>
    </row>
    <row r="167" spans="2:47">
      <c r="B167" s="633" t="s">
        <v>128</v>
      </c>
      <c r="C167" s="549" t="s">
        <v>204</v>
      </c>
      <c r="D167" s="552">
        <v>100</v>
      </c>
      <c r="E167" s="552">
        <v>100</v>
      </c>
      <c r="F167" s="552">
        <v>100</v>
      </c>
      <c r="G167" s="552">
        <v>100</v>
      </c>
      <c r="H167" s="552">
        <v>100</v>
      </c>
      <c r="I167" s="552">
        <v>100</v>
      </c>
      <c r="J167" s="552">
        <v>100</v>
      </c>
      <c r="K167" s="552">
        <v>100</v>
      </c>
      <c r="L167" s="552">
        <v>100</v>
      </c>
      <c r="M167" s="552">
        <v>100</v>
      </c>
      <c r="N167" s="552">
        <v>100</v>
      </c>
      <c r="O167" s="552">
        <v>100</v>
      </c>
      <c r="Q167" s="633" t="str">
        <f>B167</f>
        <v>ULP Tolitoli</v>
      </c>
      <c r="R167" s="549" t="str">
        <f>C167</f>
        <v>Penormalan Siaga 1 Ganguan TM</v>
      </c>
      <c r="S167" s="561">
        <v>110</v>
      </c>
      <c r="T167" s="561">
        <v>110</v>
      </c>
      <c r="U167" s="561">
        <v>110</v>
      </c>
      <c r="V167" s="561">
        <v>110</v>
      </c>
      <c r="W167" s="561">
        <v>110</v>
      </c>
      <c r="X167" s="561">
        <v>110</v>
      </c>
      <c r="Y167" s="561">
        <v>110</v>
      </c>
      <c r="Z167" s="561">
        <v>110</v>
      </c>
      <c r="AA167" s="561">
        <v>110</v>
      </c>
      <c r="AB167" s="550"/>
      <c r="AC167" s="550"/>
      <c r="AD167" s="550"/>
      <c r="AF167" s="633" t="str">
        <f>Q167</f>
        <v>ULP Tolitoli</v>
      </c>
      <c r="AG167" s="549" t="str">
        <f>C167</f>
        <v>Penormalan Siaga 1 Ganguan TM</v>
      </c>
      <c r="AH167" s="561">
        <f>S167</f>
        <v>110</v>
      </c>
      <c r="AI167" s="561">
        <f t="shared" ref="AI167" si="176">T167</f>
        <v>110</v>
      </c>
      <c r="AJ167" s="561">
        <f t="shared" ref="AJ167" si="177">U167</f>
        <v>110</v>
      </c>
      <c r="AK167" s="561">
        <f t="shared" ref="AK167" si="178">V167</f>
        <v>110</v>
      </c>
      <c r="AL167" s="561">
        <f t="shared" ref="AL167" si="179">W167</f>
        <v>110</v>
      </c>
      <c r="AM167" s="561">
        <f t="shared" ref="AM167" si="180">X167</f>
        <v>110</v>
      </c>
      <c r="AN167" s="561">
        <f t="shared" ref="AN167" si="181">Y167</f>
        <v>110</v>
      </c>
      <c r="AO167" s="561">
        <f t="shared" ref="AO167" si="182">Z167</f>
        <v>110</v>
      </c>
      <c r="AP167" s="561">
        <f t="shared" ref="AP167" si="183">AA167</f>
        <v>110</v>
      </c>
      <c r="AQ167" s="561">
        <f t="shared" ref="AQ167" si="184">AB167</f>
        <v>0</v>
      </c>
      <c r="AR167" s="561">
        <f t="shared" ref="AR167" si="185">AC167</f>
        <v>0</v>
      </c>
      <c r="AS167" s="561">
        <f t="shared" ref="AS167" si="186">AD167</f>
        <v>0</v>
      </c>
    </row>
    <row r="168" spans="2:47">
      <c r="B168" s="633"/>
      <c r="C168" s="549"/>
      <c r="D168" s="552"/>
      <c r="E168" s="552"/>
      <c r="F168" s="552"/>
      <c r="G168" s="552"/>
      <c r="H168" s="552"/>
      <c r="I168" s="552"/>
      <c r="J168" s="552"/>
      <c r="K168" s="552"/>
      <c r="L168" s="552"/>
      <c r="M168" s="552"/>
      <c r="N168" s="552"/>
      <c r="O168" s="552"/>
      <c r="Q168" s="633"/>
      <c r="R168" s="549"/>
      <c r="S168" s="561"/>
      <c r="T168" s="550"/>
      <c r="U168" s="550"/>
      <c r="V168" s="550"/>
      <c r="W168" s="550"/>
      <c r="X168" s="550"/>
      <c r="Y168" s="550"/>
      <c r="Z168" s="550"/>
      <c r="AA168" s="550"/>
      <c r="AB168" s="550"/>
      <c r="AC168" s="550"/>
      <c r="AD168" s="550"/>
      <c r="AF168" s="633"/>
      <c r="AG168" s="549"/>
      <c r="AH168" s="561"/>
      <c r="AI168" s="561"/>
      <c r="AJ168" s="561"/>
      <c r="AK168" s="561"/>
      <c r="AL168" s="561"/>
      <c r="AM168" s="561"/>
      <c r="AN168" s="561"/>
      <c r="AO168" s="561"/>
      <c r="AP168" s="561"/>
      <c r="AQ168" s="561"/>
      <c r="AR168" s="561"/>
      <c r="AS168" s="561"/>
    </row>
    <row r="169" spans="2:47">
      <c r="B169" s="633"/>
      <c r="C169" s="549"/>
      <c r="D169" s="552"/>
      <c r="E169" s="552"/>
      <c r="F169" s="552"/>
      <c r="G169" s="552"/>
      <c r="H169" s="552"/>
      <c r="I169" s="552"/>
      <c r="J169" s="552"/>
      <c r="K169" s="552"/>
      <c r="L169" s="552"/>
      <c r="M169" s="552"/>
      <c r="N169" s="552"/>
      <c r="O169" s="552"/>
      <c r="Q169" s="633"/>
      <c r="R169" s="549"/>
      <c r="S169" s="554"/>
      <c r="T169" s="552"/>
      <c r="U169" s="552"/>
      <c r="V169" s="552"/>
      <c r="W169" s="552"/>
      <c r="X169" s="552"/>
      <c r="Y169" s="552"/>
      <c r="Z169" s="552"/>
      <c r="AA169" s="552"/>
      <c r="AB169" s="552"/>
      <c r="AC169" s="552"/>
      <c r="AD169" s="552"/>
      <c r="AF169" s="633"/>
      <c r="AG169" s="549"/>
      <c r="AH169" s="554"/>
      <c r="AI169" s="554"/>
      <c r="AJ169" s="554"/>
      <c r="AK169" s="554"/>
      <c r="AL169" s="554"/>
      <c r="AM169" s="554"/>
      <c r="AN169" s="554"/>
      <c r="AO169" s="554"/>
      <c r="AP169" s="554"/>
      <c r="AQ169" s="554"/>
      <c r="AR169" s="554"/>
      <c r="AS169" s="554"/>
    </row>
    <row r="170" spans="2:47">
      <c r="B170" s="633" t="s">
        <v>87</v>
      </c>
      <c r="C170" s="549" t="s">
        <v>204</v>
      </c>
      <c r="D170" s="552">
        <v>100</v>
      </c>
      <c r="E170" s="552">
        <v>100</v>
      </c>
      <c r="F170" s="552">
        <v>100</v>
      </c>
      <c r="G170" s="552">
        <v>100</v>
      </c>
      <c r="H170" s="552">
        <v>100</v>
      </c>
      <c r="I170" s="552">
        <v>100</v>
      </c>
      <c r="J170" s="552">
        <v>100</v>
      </c>
      <c r="K170" s="552">
        <v>100</v>
      </c>
      <c r="L170" s="552">
        <v>100</v>
      </c>
      <c r="M170" s="552">
        <v>100</v>
      </c>
      <c r="N170" s="552">
        <v>100</v>
      </c>
      <c r="O170" s="552">
        <v>100</v>
      </c>
      <c r="Q170" s="633" t="str">
        <f>B170</f>
        <v>ULP Leok</v>
      </c>
      <c r="R170" s="549" t="str">
        <f>C170</f>
        <v>Penormalan Siaga 1 Ganguan TM</v>
      </c>
      <c r="S170" s="561">
        <v>110</v>
      </c>
      <c r="T170" s="561">
        <v>110</v>
      </c>
      <c r="U170" s="561">
        <v>110</v>
      </c>
      <c r="V170" s="561">
        <v>110</v>
      </c>
      <c r="W170" s="561">
        <v>110</v>
      </c>
      <c r="X170" s="561">
        <v>110</v>
      </c>
      <c r="Y170" s="561">
        <v>110</v>
      </c>
      <c r="Z170" s="561">
        <v>110</v>
      </c>
      <c r="AA170" s="561">
        <v>110</v>
      </c>
      <c r="AB170" s="550"/>
      <c r="AC170" s="550"/>
      <c r="AD170" s="550"/>
      <c r="AF170" s="633" t="str">
        <f>Q170</f>
        <v>ULP Leok</v>
      </c>
      <c r="AG170" s="549" t="str">
        <f>C170</f>
        <v>Penormalan Siaga 1 Ganguan TM</v>
      </c>
      <c r="AH170" s="561">
        <f t="shared" ref="AH170" si="187">S170</f>
        <v>110</v>
      </c>
      <c r="AI170" s="561">
        <f t="shared" ref="AI170" si="188">T170</f>
        <v>110</v>
      </c>
      <c r="AJ170" s="561">
        <f t="shared" ref="AJ170" si="189">U170</f>
        <v>110</v>
      </c>
      <c r="AK170" s="561">
        <f t="shared" ref="AK170" si="190">V170</f>
        <v>110</v>
      </c>
      <c r="AL170" s="561">
        <f t="shared" ref="AL170" si="191">W170</f>
        <v>110</v>
      </c>
      <c r="AM170" s="561">
        <f t="shared" ref="AM170" si="192">X170</f>
        <v>110</v>
      </c>
      <c r="AN170" s="561">
        <f t="shared" ref="AN170" si="193">Y170</f>
        <v>110</v>
      </c>
      <c r="AO170" s="561">
        <f t="shared" ref="AO170" si="194">Z170</f>
        <v>110</v>
      </c>
      <c r="AP170" s="561">
        <f t="shared" ref="AP170" si="195">AA170</f>
        <v>110</v>
      </c>
      <c r="AQ170" s="561">
        <f t="shared" ref="AQ170" si="196">AB170</f>
        <v>0</v>
      </c>
      <c r="AR170" s="561">
        <f t="shared" ref="AR170" si="197">AC170</f>
        <v>0</v>
      </c>
      <c r="AS170" s="561">
        <f t="shared" ref="AS170" si="198">AD170</f>
        <v>0</v>
      </c>
    </row>
    <row r="171" spans="2:47">
      <c r="B171" s="633"/>
      <c r="C171" s="549"/>
      <c r="D171" s="552"/>
      <c r="E171" s="552"/>
      <c r="F171" s="552"/>
      <c r="G171" s="552"/>
      <c r="H171" s="552"/>
      <c r="I171" s="552"/>
      <c r="J171" s="552"/>
      <c r="K171" s="552"/>
      <c r="L171" s="552"/>
      <c r="M171" s="552"/>
      <c r="N171" s="552"/>
      <c r="O171" s="552"/>
      <c r="Q171" s="633"/>
      <c r="R171" s="549"/>
      <c r="S171" s="561"/>
      <c r="T171" s="550"/>
      <c r="U171" s="550"/>
      <c r="V171" s="550"/>
      <c r="W171" s="550"/>
      <c r="X171" s="550"/>
      <c r="Y171" s="550"/>
      <c r="Z171" s="550"/>
      <c r="AA171" s="550"/>
      <c r="AB171" s="550"/>
      <c r="AC171" s="550"/>
      <c r="AD171" s="550"/>
      <c r="AF171" s="633"/>
      <c r="AG171" s="549"/>
      <c r="AH171" s="561"/>
      <c r="AI171" s="561"/>
      <c r="AJ171" s="561"/>
      <c r="AK171" s="561"/>
      <c r="AL171" s="561"/>
      <c r="AM171" s="561"/>
      <c r="AN171" s="561"/>
      <c r="AO171" s="561"/>
      <c r="AP171" s="561"/>
      <c r="AQ171" s="561"/>
      <c r="AR171" s="561"/>
      <c r="AS171" s="561"/>
    </row>
    <row r="172" spans="2:47">
      <c r="B172" s="633"/>
      <c r="C172" s="549"/>
      <c r="D172" s="552"/>
      <c r="E172" s="552"/>
      <c r="F172" s="552"/>
      <c r="G172" s="552"/>
      <c r="H172" s="552"/>
      <c r="I172" s="552"/>
      <c r="J172" s="552"/>
      <c r="K172" s="552"/>
      <c r="L172" s="552"/>
      <c r="M172" s="552"/>
      <c r="N172" s="552"/>
      <c r="O172" s="552"/>
      <c r="Q172" s="633"/>
      <c r="R172" s="549"/>
      <c r="S172" s="554"/>
      <c r="T172" s="552"/>
      <c r="U172" s="552"/>
      <c r="V172" s="552"/>
      <c r="W172" s="552"/>
      <c r="X172" s="552"/>
      <c r="Y172" s="552"/>
      <c r="Z172" s="552"/>
      <c r="AA172" s="552"/>
      <c r="AB172" s="552"/>
      <c r="AC172" s="552"/>
      <c r="AD172" s="552"/>
      <c r="AF172" s="633"/>
      <c r="AG172" s="549"/>
      <c r="AH172" s="554"/>
      <c r="AI172" s="554"/>
      <c r="AJ172" s="554"/>
      <c r="AK172" s="554"/>
      <c r="AL172" s="554"/>
      <c r="AM172" s="554"/>
      <c r="AN172" s="554"/>
      <c r="AO172" s="554"/>
      <c r="AP172" s="554"/>
      <c r="AQ172" s="554"/>
      <c r="AR172" s="554"/>
      <c r="AS172" s="554"/>
    </row>
    <row r="173" spans="2:47">
      <c r="B173" s="633" t="s">
        <v>88</v>
      </c>
      <c r="C173" s="549" t="s">
        <v>204</v>
      </c>
      <c r="D173" s="552">
        <v>100</v>
      </c>
      <c r="E173" s="552">
        <v>100</v>
      </c>
      <c r="F173" s="552">
        <v>100</v>
      </c>
      <c r="G173" s="552">
        <v>100</v>
      </c>
      <c r="H173" s="552">
        <v>100</v>
      </c>
      <c r="I173" s="552">
        <v>100</v>
      </c>
      <c r="J173" s="552">
        <v>100</v>
      </c>
      <c r="K173" s="552">
        <v>100</v>
      </c>
      <c r="L173" s="552">
        <v>100</v>
      </c>
      <c r="M173" s="552">
        <v>100</v>
      </c>
      <c r="N173" s="552">
        <v>100</v>
      </c>
      <c r="O173" s="552">
        <v>100</v>
      </c>
      <c r="Q173" s="633" t="str">
        <f>B173</f>
        <v>ULP Bangkir</v>
      </c>
      <c r="R173" s="549" t="str">
        <f>C173</f>
        <v>Penormalan Siaga 1 Ganguan TM</v>
      </c>
      <c r="S173" s="561">
        <v>110</v>
      </c>
      <c r="T173" s="550">
        <v>110</v>
      </c>
      <c r="U173" s="550">
        <v>110</v>
      </c>
      <c r="V173" s="550">
        <v>110</v>
      </c>
      <c r="W173" s="550">
        <v>110</v>
      </c>
      <c r="X173" s="550">
        <v>110</v>
      </c>
      <c r="Y173" s="550">
        <v>110</v>
      </c>
      <c r="Z173" s="550">
        <v>110</v>
      </c>
      <c r="AA173" s="550">
        <v>110</v>
      </c>
      <c r="AB173" s="550"/>
      <c r="AC173" s="550"/>
      <c r="AD173" s="550"/>
      <c r="AF173" s="633" t="str">
        <f>Q173</f>
        <v>ULP Bangkir</v>
      </c>
      <c r="AG173" s="549" t="str">
        <f>C173</f>
        <v>Penormalan Siaga 1 Ganguan TM</v>
      </c>
      <c r="AH173" s="561">
        <f t="shared" ref="AH173" si="199">S173</f>
        <v>110</v>
      </c>
      <c r="AI173" s="561">
        <f t="shared" ref="AI173" si="200">T173</f>
        <v>110</v>
      </c>
      <c r="AJ173" s="561">
        <f t="shared" ref="AJ173" si="201">U173</f>
        <v>110</v>
      </c>
      <c r="AK173" s="561">
        <f t="shared" ref="AK173" si="202">V173</f>
        <v>110</v>
      </c>
      <c r="AL173" s="561">
        <f t="shared" ref="AL173" si="203">W173</f>
        <v>110</v>
      </c>
      <c r="AM173" s="561">
        <f t="shared" ref="AM173" si="204">X173</f>
        <v>110</v>
      </c>
      <c r="AN173" s="561">
        <f t="shared" ref="AN173" si="205">Y173</f>
        <v>110</v>
      </c>
      <c r="AO173" s="561">
        <f t="shared" ref="AO173" si="206">Z173</f>
        <v>110</v>
      </c>
      <c r="AP173" s="561">
        <f t="shared" ref="AP173" si="207">AA173</f>
        <v>110</v>
      </c>
      <c r="AQ173" s="561">
        <f t="shared" ref="AQ173" si="208">AB173</f>
        <v>0</v>
      </c>
      <c r="AR173" s="561">
        <f t="shared" ref="AR173" si="209">AC173</f>
        <v>0</v>
      </c>
      <c r="AS173" s="561">
        <f t="shared" ref="AS173" si="210">AD173</f>
        <v>0</v>
      </c>
    </row>
    <row r="174" spans="2:47">
      <c r="B174" s="633"/>
      <c r="C174" s="549"/>
      <c r="D174" s="552"/>
      <c r="E174" s="552"/>
      <c r="F174" s="552"/>
      <c r="G174" s="552"/>
      <c r="H174" s="552"/>
      <c r="I174" s="552"/>
      <c r="J174" s="552"/>
      <c r="K174" s="552"/>
      <c r="L174" s="552"/>
      <c r="M174" s="552"/>
      <c r="N174" s="552"/>
      <c r="O174" s="552"/>
      <c r="Q174" s="633"/>
      <c r="R174" s="549"/>
      <c r="S174" s="561"/>
      <c r="T174" s="550"/>
      <c r="U174" s="550"/>
      <c r="V174" s="550"/>
      <c r="W174" s="550"/>
      <c r="X174" s="550"/>
      <c r="Y174" s="550"/>
      <c r="Z174" s="550"/>
      <c r="AA174" s="550"/>
      <c r="AB174" s="550"/>
      <c r="AC174" s="550"/>
      <c r="AD174" s="550"/>
      <c r="AF174" s="633"/>
      <c r="AG174" s="549"/>
      <c r="AH174" s="561"/>
      <c r="AI174" s="561"/>
      <c r="AJ174" s="561"/>
      <c r="AK174" s="561"/>
      <c r="AL174" s="561"/>
      <c r="AM174" s="561"/>
      <c r="AN174" s="561"/>
      <c r="AO174" s="561"/>
      <c r="AP174" s="561"/>
      <c r="AQ174" s="561"/>
      <c r="AR174" s="561"/>
      <c r="AS174" s="561"/>
    </row>
    <row r="175" spans="2:47">
      <c r="B175" s="633"/>
      <c r="C175" s="549"/>
      <c r="D175" s="552"/>
      <c r="E175" s="552"/>
      <c r="F175" s="552"/>
      <c r="G175" s="552"/>
      <c r="H175" s="552"/>
      <c r="I175" s="552"/>
      <c r="J175" s="552"/>
      <c r="K175" s="552"/>
      <c r="L175" s="552"/>
      <c r="M175" s="552"/>
      <c r="N175" s="552"/>
      <c r="O175" s="552"/>
      <c r="Q175" s="633"/>
      <c r="R175" s="549"/>
      <c r="S175" s="554"/>
      <c r="T175" s="552"/>
      <c r="U175" s="552"/>
      <c r="V175" s="552"/>
      <c r="W175" s="552"/>
      <c r="X175" s="552"/>
      <c r="Y175" s="552"/>
      <c r="Z175" s="552"/>
      <c r="AA175" s="552"/>
      <c r="AB175" s="552"/>
      <c r="AC175" s="552"/>
      <c r="AD175" s="552"/>
      <c r="AF175" s="633"/>
      <c r="AG175" s="549"/>
      <c r="AH175" s="554"/>
      <c r="AI175" s="554"/>
      <c r="AJ175" s="554"/>
      <c r="AK175" s="554"/>
      <c r="AL175" s="554"/>
      <c r="AM175" s="554"/>
      <c r="AN175" s="554"/>
      <c r="AO175" s="554"/>
      <c r="AP175" s="554"/>
      <c r="AQ175" s="554"/>
      <c r="AR175" s="554"/>
      <c r="AS175" s="554"/>
    </row>
    <row r="176" spans="2:47">
      <c r="B176" s="633" t="s">
        <v>121</v>
      </c>
      <c r="C176" s="549" t="s">
        <v>204</v>
      </c>
      <c r="D176" s="552">
        <v>100</v>
      </c>
      <c r="E176" s="552">
        <v>100</v>
      </c>
      <c r="F176" s="552">
        <v>100</v>
      </c>
      <c r="G176" s="552">
        <v>100</v>
      </c>
      <c r="H176" s="552">
        <v>100</v>
      </c>
      <c r="I176" s="552">
        <v>100</v>
      </c>
      <c r="J176" s="552">
        <v>100</v>
      </c>
      <c r="K176" s="552">
        <v>100</v>
      </c>
      <c r="L176" s="552">
        <v>100</v>
      </c>
      <c r="M176" s="552">
        <v>100</v>
      </c>
      <c r="N176" s="552">
        <v>100</v>
      </c>
      <c r="O176" s="552">
        <v>100</v>
      </c>
      <c r="Q176" s="633" t="str">
        <f>B176</f>
        <v>ULP Moutong</v>
      </c>
      <c r="R176" s="549" t="str">
        <f>C176</f>
        <v>Penormalan Siaga 1 Ganguan TM</v>
      </c>
      <c r="S176" s="561">
        <v>110</v>
      </c>
      <c r="T176" s="550">
        <v>110</v>
      </c>
      <c r="U176" s="550">
        <v>110</v>
      </c>
      <c r="V176" s="550">
        <v>110</v>
      </c>
      <c r="W176" s="550">
        <v>110</v>
      </c>
      <c r="X176" s="550">
        <v>110</v>
      </c>
      <c r="Y176" s="550">
        <v>110</v>
      </c>
      <c r="Z176" s="550">
        <v>110</v>
      </c>
      <c r="AA176" s="550">
        <v>110</v>
      </c>
      <c r="AB176" s="550"/>
      <c r="AC176" s="550"/>
      <c r="AD176" s="550"/>
      <c r="AF176" s="633" t="str">
        <f>Q176</f>
        <v>ULP Moutong</v>
      </c>
      <c r="AG176" s="549" t="str">
        <f>C176</f>
        <v>Penormalan Siaga 1 Ganguan TM</v>
      </c>
      <c r="AH176" s="561">
        <f t="shared" ref="AH176" si="211">S176</f>
        <v>110</v>
      </c>
      <c r="AI176" s="561">
        <f t="shared" ref="AI176" si="212">T176</f>
        <v>110</v>
      </c>
      <c r="AJ176" s="561">
        <f t="shared" ref="AJ176" si="213">U176</f>
        <v>110</v>
      </c>
      <c r="AK176" s="561">
        <f t="shared" ref="AK176" si="214">V176</f>
        <v>110</v>
      </c>
      <c r="AL176" s="561">
        <f t="shared" ref="AL176" si="215">W176</f>
        <v>110</v>
      </c>
      <c r="AM176" s="561">
        <f t="shared" ref="AM176" si="216">X176</f>
        <v>110</v>
      </c>
      <c r="AN176" s="561">
        <f t="shared" ref="AN176" si="217">Y176</f>
        <v>110</v>
      </c>
      <c r="AO176" s="561">
        <f t="shared" ref="AO176" si="218">Z176</f>
        <v>110</v>
      </c>
      <c r="AP176" s="561">
        <f t="shared" ref="AP176" si="219">AA176</f>
        <v>110</v>
      </c>
      <c r="AQ176" s="561">
        <f t="shared" ref="AQ176" si="220">AB176</f>
        <v>0</v>
      </c>
      <c r="AR176" s="561">
        <f t="shared" ref="AR176" si="221">AC176</f>
        <v>0</v>
      </c>
      <c r="AS176" s="561">
        <f t="shared" ref="AS176" si="222">AD176</f>
        <v>0</v>
      </c>
    </row>
    <row r="177" spans="1:59">
      <c r="B177" s="633"/>
      <c r="C177" s="549"/>
      <c r="D177" s="552"/>
      <c r="E177" s="552"/>
      <c r="F177" s="552"/>
      <c r="G177" s="552"/>
      <c r="H177" s="552"/>
      <c r="I177" s="552"/>
      <c r="J177" s="552"/>
      <c r="K177" s="552"/>
      <c r="L177" s="552"/>
      <c r="M177" s="552"/>
      <c r="N177" s="552"/>
      <c r="O177" s="552"/>
      <c r="Q177" s="633"/>
      <c r="R177" s="549"/>
      <c r="S177" s="561"/>
      <c r="T177" s="550"/>
      <c r="U177" s="550"/>
      <c r="V177" s="550"/>
      <c r="W177" s="550"/>
      <c r="X177" s="550"/>
      <c r="Y177" s="550"/>
      <c r="Z177" s="550"/>
      <c r="AA177" s="550"/>
      <c r="AB177" s="550"/>
      <c r="AC177" s="550"/>
      <c r="AD177" s="550"/>
      <c r="AF177" s="633"/>
      <c r="AG177" s="549"/>
      <c r="AH177" s="561"/>
      <c r="AI177" s="561"/>
      <c r="AJ177" s="561"/>
      <c r="AK177" s="561"/>
      <c r="AL177" s="561"/>
      <c r="AM177" s="561"/>
      <c r="AN177" s="561"/>
      <c r="AO177" s="561"/>
      <c r="AP177" s="561"/>
      <c r="AQ177" s="561"/>
      <c r="AR177" s="561"/>
      <c r="AS177" s="561"/>
    </row>
    <row r="178" spans="1:59">
      <c r="B178" s="633"/>
      <c r="C178" s="549"/>
      <c r="D178" s="552"/>
      <c r="E178" s="552"/>
      <c r="F178" s="552"/>
      <c r="G178" s="552"/>
      <c r="H178" s="552"/>
      <c r="I178" s="552"/>
      <c r="J178" s="552"/>
      <c r="K178" s="552"/>
      <c r="L178" s="552"/>
      <c r="M178" s="552"/>
      <c r="N178" s="552"/>
      <c r="O178" s="552"/>
      <c r="Q178" s="633"/>
      <c r="R178" s="549"/>
      <c r="S178" s="554"/>
      <c r="T178" s="552"/>
      <c r="U178" s="552"/>
      <c r="V178" s="552"/>
      <c r="W178" s="552"/>
      <c r="X178" s="552"/>
      <c r="Y178" s="552"/>
      <c r="Z178" s="552"/>
      <c r="AA178" s="552"/>
      <c r="AB178" s="552"/>
      <c r="AC178" s="552"/>
      <c r="AD178" s="552"/>
      <c r="AF178" s="633"/>
      <c r="AG178" s="549"/>
      <c r="AH178" s="554"/>
      <c r="AI178" s="554"/>
      <c r="AJ178" s="554"/>
      <c r="AK178" s="554"/>
      <c r="AL178" s="554"/>
      <c r="AM178" s="554"/>
      <c r="AN178" s="554"/>
      <c r="AO178" s="554"/>
      <c r="AP178" s="554"/>
      <c r="AQ178" s="554"/>
      <c r="AR178" s="554"/>
      <c r="AS178" s="554"/>
    </row>
    <row r="179" spans="1:59">
      <c r="B179" s="633" t="s">
        <v>89</v>
      </c>
      <c r="C179" s="549" t="s">
        <v>204</v>
      </c>
      <c r="D179" s="552">
        <v>100</v>
      </c>
      <c r="E179" s="552">
        <v>100</v>
      </c>
      <c r="F179" s="552">
        <v>100</v>
      </c>
      <c r="G179" s="552">
        <v>100</v>
      </c>
      <c r="H179" s="552">
        <v>100</v>
      </c>
      <c r="I179" s="552">
        <v>100</v>
      </c>
      <c r="J179" s="552">
        <v>100</v>
      </c>
      <c r="K179" s="552">
        <v>100</v>
      </c>
      <c r="L179" s="552">
        <v>100</v>
      </c>
      <c r="M179" s="552">
        <v>100</v>
      </c>
      <c r="N179" s="552">
        <v>100</v>
      </c>
      <c r="O179" s="552">
        <v>100</v>
      </c>
      <c r="Q179" s="633" t="str">
        <f>B179</f>
        <v>ULP Kotaraya</v>
      </c>
      <c r="R179" s="549" t="str">
        <f>C179</f>
        <v>Penormalan Siaga 1 Ganguan TM</v>
      </c>
      <c r="S179" s="561">
        <v>110</v>
      </c>
      <c r="T179" s="550">
        <v>110</v>
      </c>
      <c r="U179" s="550">
        <v>110</v>
      </c>
      <c r="V179" s="550">
        <v>110</v>
      </c>
      <c r="W179" s="550">
        <v>110</v>
      </c>
      <c r="X179" s="550">
        <v>110</v>
      </c>
      <c r="Y179" s="550">
        <v>110</v>
      </c>
      <c r="Z179" s="550">
        <v>110</v>
      </c>
      <c r="AA179" s="550">
        <v>110</v>
      </c>
      <c r="AB179" s="550"/>
      <c r="AC179" s="550"/>
      <c r="AD179" s="550"/>
      <c r="AF179" s="633" t="str">
        <f>Q179</f>
        <v>ULP Kotaraya</v>
      </c>
      <c r="AG179" s="549" t="str">
        <f>C179</f>
        <v>Penormalan Siaga 1 Ganguan TM</v>
      </c>
      <c r="AH179" s="561">
        <f t="shared" ref="AH179" si="223">S179</f>
        <v>110</v>
      </c>
      <c r="AI179" s="561">
        <f t="shared" ref="AI179" si="224">T179</f>
        <v>110</v>
      </c>
      <c r="AJ179" s="561">
        <f t="shared" ref="AJ179" si="225">U179</f>
        <v>110</v>
      </c>
      <c r="AK179" s="561">
        <f t="shared" ref="AK179" si="226">V179</f>
        <v>110</v>
      </c>
      <c r="AL179" s="561">
        <f t="shared" ref="AL179" si="227">W179</f>
        <v>110</v>
      </c>
      <c r="AM179" s="561">
        <f t="shared" ref="AM179" si="228">X179</f>
        <v>110</v>
      </c>
      <c r="AN179" s="561">
        <f t="shared" ref="AN179" si="229">Y179</f>
        <v>110</v>
      </c>
      <c r="AO179" s="561">
        <f t="shared" ref="AO179" si="230">Z179</f>
        <v>110</v>
      </c>
      <c r="AP179" s="561">
        <f t="shared" ref="AP179" si="231">AA179</f>
        <v>110</v>
      </c>
      <c r="AQ179" s="561">
        <f t="shared" ref="AQ179" si="232">AB179</f>
        <v>0</v>
      </c>
      <c r="AR179" s="561">
        <f t="shared" ref="AR179" si="233">AC179</f>
        <v>0</v>
      </c>
      <c r="AS179" s="561">
        <f t="shared" ref="AS179" si="234">AD179</f>
        <v>0</v>
      </c>
    </row>
    <row r="180" spans="1:59">
      <c r="B180" s="633"/>
      <c r="C180" s="549"/>
      <c r="D180" s="552"/>
      <c r="E180" s="552"/>
      <c r="F180" s="552"/>
      <c r="G180" s="552"/>
      <c r="H180" s="552"/>
      <c r="I180" s="552"/>
      <c r="J180" s="552"/>
      <c r="K180" s="552"/>
      <c r="L180" s="552"/>
      <c r="M180" s="552"/>
      <c r="N180" s="552"/>
      <c r="O180" s="552"/>
      <c r="Q180" s="633"/>
      <c r="R180" s="549"/>
      <c r="S180" s="561"/>
      <c r="T180" s="550"/>
      <c r="U180" s="550"/>
      <c r="V180" s="550"/>
      <c r="W180" s="550"/>
      <c r="X180" s="550"/>
      <c r="Y180" s="550"/>
      <c r="Z180" s="550"/>
      <c r="AA180" s="550"/>
      <c r="AB180" s="550"/>
      <c r="AC180" s="550"/>
      <c r="AD180" s="550"/>
      <c r="AF180" s="633"/>
      <c r="AG180" s="549"/>
      <c r="AH180" s="561"/>
      <c r="AI180" s="561"/>
      <c r="AJ180" s="561"/>
      <c r="AK180" s="561"/>
      <c r="AL180" s="561"/>
      <c r="AM180" s="561"/>
      <c r="AN180" s="561"/>
      <c r="AO180" s="561"/>
      <c r="AP180" s="561"/>
      <c r="AQ180" s="561"/>
      <c r="AR180" s="561"/>
      <c r="AS180" s="561"/>
    </row>
    <row r="181" spans="1:59">
      <c r="B181" s="633"/>
      <c r="C181" s="549"/>
      <c r="D181" s="552"/>
      <c r="E181" s="552"/>
      <c r="F181" s="552"/>
      <c r="G181" s="552"/>
      <c r="H181" s="552"/>
      <c r="I181" s="552"/>
      <c r="J181" s="552"/>
      <c r="K181" s="552"/>
      <c r="L181" s="552"/>
      <c r="M181" s="552"/>
      <c r="N181" s="552"/>
      <c r="O181" s="552"/>
      <c r="Q181" s="633"/>
      <c r="R181" s="549"/>
      <c r="S181" s="554"/>
      <c r="T181" s="552"/>
      <c r="U181" s="552"/>
      <c r="V181" s="552"/>
      <c r="W181" s="552"/>
      <c r="X181" s="552"/>
      <c r="Y181" s="552"/>
      <c r="Z181" s="552"/>
      <c r="AA181" s="552"/>
      <c r="AB181" s="552"/>
      <c r="AC181" s="552"/>
      <c r="AD181" s="552"/>
      <c r="AF181" s="633"/>
      <c r="AG181" s="549"/>
      <c r="AH181" s="554"/>
      <c r="AI181" s="554"/>
      <c r="AJ181" s="554"/>
      <c r="AK181" s="554"/>
      <c r="AL181" s="554"/>
      <c r="AM181" s="554"/>
      <c r="AN181" s="554"/>
      <c r="AO181" s="554"/>
      <c r="AP181" s="554"/>
      <c r="AQ181" s="554"/>
      <c r="AR181" s="554"/>
      <c r="AS181" s="554"/>
    </row>
    <row r="182" spans="1:59">
      <c r="B182" s="633" t="s">
        <v>90</v>
      </c>
      <c r="C182" s="549" t="s">
        <v>204</v>
      </c>
      <c r="D182" s="552">
        <v>100</v>
      </c>
      <c r="E182" s="552">
        <v>100</v>
      </c>
      <c r="F182" s="552">
        <v>100</v>
      </c>
      <c r="G182" s="552">
        <v>100</v>
      </c>
      <c r="H182" s="552">
        <v>100</v>
      </c>
      <c r="I182" s="552">
        <v>100</v>
      </c>
      <c r="J182" s="552">
        <v>100</v>
      </c>
      <c r="K182" s="552">
        <v>100</v>
      </c>
      <c r="L182" s="552">
        <v>100</v>
      </c>
      <c r="M182" s="552">
        <v>100</v>
      </c>
      <c r="N182" s="552">
        <v>100</v>
      </c>
      <c r="O182" s="552">
        <v>100</v>
      </c>
      <c r="Q182" s="633" t="str">
        <f>B182</f>
        <v>UP3 Tolitoli</v>
      </c>
      <c r="R182" s="549" t="str">
        <f>C182</f>
        <v>Penormalan Siaga 1 Ganguan TM</v>
      </c>
      <c r="S182" s="561">
        <v>110</v>
      </c>
      <c r="T182" s="550">
        <v>110</v>
      </c>
      <c r="U182" s="550">
        <v>110</v>
      </c>
      <c r="V182" s="550">
        <v>110</v>
      </c>
      <c r="W182" s="550">
        <v>110</v>
      </c>
      <c r="X182" s="550">
        <v>110</v>
      </c>
      <c r="Y182" s="550">
        <v>110</v>
      </c>
      <c r="Z182" s="550">
        <v>110</v>
      </c>
      <c r="AA182" s="550">
        <v>110</v>
      </c>
      <c r="AB182" s="550"/>
      <c r="AC182" s="550"/>
      <c r="AD182" s="550"/>
      <c r="AF182" s="633" t="str">
        <f>Q182</f>
        <v>UP3 Tolitoli</v>
      </c>
      <c r="AG182" s="549" t="str">
        <f>C182</f>
        <v>Penormalan Siaga 1 Ganguan TM</v>
      </c>
      <c r="AH182" s="561">
        <f t="shared" ref="AH182" si="235">S182</f>
        <v>110</v>
      </c>
      <c r="AI182" s="561">
        <f t="shared" ref="AI182" si="236">T182</f>
        <v>110</v>
      </c>
      <c r="AJ182" s="561">
        <f t="shared" ref="AJ182" si="237">U182</f>
        <v>110</v>
      </c>
      <c r="AK182" s="561">
        <f t="shared" ref="AK182" si="238">V182</f>
        <v>110</v>
      </c>
      <c r="AL182" s="561">
        <f t="shared" ref="AL182" si="239">W182</f>
        <v>110</v>
      </c>
      <c r="AM182" s="561">
        <f t="shared" ref="AM182" si="240">X182</f>
        <v>110</v>
      </c>
      <c r="AN182" s="561">
        <f t="shared" ref="AN182" si="241">Y182</f>
        <v>110</v>
      </c>
      <c r="AO182" s="561">
        <f t="shared" ref="AO182" si="242">Z182</f>
        <v>110</v>
      </c>
      <c r="AP182" s="561">
        <f t="shared" ref="AP182" si="243">AA182</f>
        <v>110</v>
      </c>
      <c r="AQ182" s="561">
        <f t="shared" ref="AQ182" si="244">AB182</f>
        <v>0</v>
      </c>
      <c r="AR182" s="561">
        <f t="shared" ref="AR182" si="245">AC182</f>
        <v>0</v>
      </c>
      <c r="AS182" s="561">
        <f t="shared" ref="AS182" si="246">AD182</f>
        <v>0</v>
      </c>
    </row>
    <row r="183" spans="1:59">
      <c r="B183" s="633"/>
      <c r="C183" s="549"/>
      <c r="D183" s="552"/>
      <c r="E183" s="552"/>
      <c r="F183" s="552"/>
      <c r="G183" s="552"/>
      <c r="H183" s="552"/>
      <c r="I183" s="552"/>
      <c r="J183" s="552"/>
      <c r="K183" s="552"/>
      <c r="L183" s="552"/>
      <c r="M183" s="552"/>
      <c r="N183" s="552"/>
      <c r="O183" s="552"/>
      <c r="Q183" s="633"/>
      <c r="R183" s="549"/>
      <c r="S183" s="561"/>
      <c r="T183" s="550"/>
      <c r="U183" s="550"/>
      <c r="V183" s="550"/>
      <c r="W183" s="550"/>
      <c r="X183" s="550"/>
      <c r="Y183" s="550"/>
      <c r="Z183" s="550"/>
      <c r="AA183" s="550"/>
      <c r="AB183" s="550"/>
      <c r="AC183" s="550"/>
      <c r="AD183" s="550"/>
      <c r="AF183" s="633"/>
      <c r="AG183" s="549"/>
      <c r="AH183" s="561"/>
      <c r="AI183" s="561"/>
      <c r="AJ183" s="561"/>
      <c r="AK183" s="561"/>
      <c r="AL183" s="561"/>
      <c r="AM183" s="561"/>
      <c r="AN183" s="561"/>
      <c r="AO183" s="561"/>
      <c r="AP183" s="561"/>
      <c r="AQ183" s="561"/>
      <c r="AR183" s="561"/>
      <c r="AS183" s="561"/>
    </row>
    <row r="184" spans="1:59">
      <c r="B184" s="633"/>
      <c r="C184" s="549"/>
      <c r="D184" s="552"/>
      <c r="E184" s="552"/>
      <c r="F184" s="552"/>
      <c r="G184" s="552"/>
      <c r="H184" s="552"/>
      <c r="I184" s="552"/>
      <c r="J184" s="552"/>
      <c r="K184" s="552"/>
      <c r="L184" s="552"/>
      <c r="M184" s="552"/>
      <c r="N184" s="552"/>
      <c r="O184" s="552"/>
      <c r="Q184" s="633"/>
      <c r="R184" s="549"/>
      <c r="S184" s="554"/>
      <c r="T184" s="552"/>
      <c r="U184" s="552"/>
      <c r="V184" s="552"/>
      <c r="W184" s="552"/>
      <c r="X184" s="552"/>
      <c r="Y184" s="552"/>
      <c r="Z184" s="552"/>
      <c r="AA184" s="552"/>
      <c r="AB184" s="552"/>
      <c r="AC184" s="552"/>
      <c r="AD184" s="552"/>
      <c r="AF184" s="633"/>
      <c r="AG184" s="549"/>
      <c r="AH184" s="554"/>
      <c r="AI184" s="554"/>
      <c r="AJ184" s="554"/>
      <c r="AK184" s="554"/>
      <c r="AL184" s="554"/>
      <c r="AM184" s="554"/>
      <c r="AN184" s="554"/>
      <c r="AO184" s="554"/>
      <c r="AP184" s="554"/>
      <c r="AQ184" s="554"/>
      <c r="AR184" s="554"/>
      <c r="AS184" s="554"/>
    </row>
    <row r="185" spans="1:59">
      <c r="B185" s="125"/>
      <c r="C185" s="294"/>
      <c r="D185" s="296"/>
      <c r="E185" s="296"/>
      <c r="F185" s="296"/>
      <c r="G185" s="296"/>
      <c r="H185" s="296"/>
      <c r="I185" s="296"/>
      <c r="J185" s="296"/>
      <c r="K185" s="296"/>
      <c r="L185" s="296"/>
      <c r="M185" s="296"/>
      <c r="N185" s="296"/>
      <c r="O185" s="296"/>
      <c r="Q185" s="125"/>
      <c r="R185" s="29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  <c r="AF185" s="125"/>
      <c r="AG185" s="294"/>
      <c r="AH185" s="164"/>
      <c r="AI185" s="164"/>
      <c r="AJ185" s="164"/>
      <c r="AK185" s="164"/>
      <c r="AL185" s="164"/>
      <c r="AM185" s="164"/>
      <c r="AN185" s="164"/>
      <c r="AO185" s="164"/>
      <c r="AP185" s="164"/>
      <c r="AQ185" s="164"/>
      <c r="AR185" s="164"/>
      <c r="AS185" s="164"/>
      <c r="AU185"/>
    </row>
    <row r="186" spans="1:59">
      <c r="A186" s="105">
        <v>6</v>
      </c>
      <c r="B186" s="371" t="s">
        <v>205</v>
      </c>
      <c r="C186" s="294"/>
      <c r="D186" s="164"/>
      <c r="E186" s="164"/>
      <c r="F186" s="164"/>
      <c r="G186" s="164"/>
      <c r="H186" s="164"/>
      <c r="I186" s="164"/>
      <c r="J186" s="164"/>
      <c r="K186" s="164"/>
      <c r="L186" s="164"/>
      <c r="M186" s="164"/>
      <c r="N186" s="164"/>
      <c r="O186" s="164"/>
      <c r="Q186" s="372" t="str">
        <f>B186</f>
        <v>PENGEMBANGAN APLIKASI KORPORAT</v>
      </c>
      <c r="R186" s="29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  <c r="AF186" s="302" t="str">
        <f>B186</f>
        <v>PENGEMBANGAN APLIKASI KORPORAT</v>
      </c>
      <c r="AG186" s="294"/>
      <c r="AH186" s="164"/>
      <c r="AI186" s="164"/>
      <c r="AJ186" s="164"/>
      <c r="AK186" s="164"/>
      <c r="AL186" s="164"/>
      <c r="AM186" s="164"/>
      <c r="AN186" s="164"/>
      <c r="AO186" s="164"/>
      <c r="AP186" s="164"/>
      <c r="AQ186" s="164"/>
      <c r="AR186" s="164"/>
      <c r="AS186" s="164"/>
    </row>
    <row r="187" spans="1:59">
      <c r="B187" s="371" t="s">
        <v>100</v>
      </c>
      <c r="C187" s="294"/>
      <c r="D187" s="164"/>
      <c r="E187" s="164"/>
      <c r="F187" s="164"/>
      <c r="G187" s="164"/>
      <c r="H187" s="164"/>
      <c r="I187" s="164"/>
      <c r="J187" s="164"/>
      <c r="K187" s="164"/>
      <c r="L187" s="164"/>
      <c r="M187" s="164"/>
      <c r="N187" s="164"/>
      <c r="O187" s="164"/>
      <c r="Q187" s="21" t="s">
        <v>126</v>
      </c>
      <c r="R187" s="294"/>
      <c r="S187" s="164"/>
      <c r="T187" s="164"/>
      <c r="U187" s="164"/>
      <c r="V187" s="164"/>
      <c r="W187" s="164"/>
      <c r="X187" s="164"/>
      <c r="Y187" s="164"/>
      <c r="Z187" s="164"/>
      <c r="AA187" s="164"/>
      <c r="AB187" s="164"/>
      <c r="AC187" s="164"/>
      <c r="AD187" s="164"/>
      <c r="AF187" t="s">
        <v>127</v>
      </c>
      <c r="AG187" s="294"/>
      <c r="AH187" s="164"/>
      <c r="AI187" s="164"/>
      <c r="AJ187" s="164"/>
      <c r="AK187" s="164"/>
      <c r="AL187" s="164"/>
      <c r="AM187" s="164"/>
      <c r="AN187" s="164"/>
      <c r="AO187" s="164"/>
      <c r="AP187" s="164"/>
      <c r="AQ187" s="164"/>
      <c r="AR187" s="164"/>
      <c r="AS187" s="164"/>
    </row>
    <row r="188" spans="1:59">
      <c r="B188" s="681" t="s">
        <v>72</v>
      </c>
      <c r="C188" s="682"/>
      <c r="D188" s="638" t="s">
        <v>74</v>
      </c>
      <c r="E188" s="638" t="s">
        <v>75</v>
      </c>
      <c r="F188" s="638" t="s">
        <v>76</v>
      </c>
      <c r="G188" s="638" t="s">
        <v>77</v>
      </c>
      <c r="H188" s="638" t="s">
        <v>78</v>
      </c>
      <c r="I188" s="638" t="s">
        <v>79</v>
      </c>
      <c r="J188" s="638" t="s">
        <v>80</v>
      </c>
      <c r="K188" s="638" t="s">
        <v>81</v>
      </c>
      <c r="L188" s="638" t="s">
        <v>82</v>
      </c>
      <c r="M188" s="638" t="s">
        <v>83</v>
      </c>
      <c r="N188" s="638" t="s">
        <v>84</v>
      </c>
      <c r="O188" s="638" t="s">
        <v>85</v>
      </c>
      <c r="Q188" s="681" t="s">
        <v>72</v>
      </c>
      <c r="R188" s="682"/>
      <c r="S188" s="638" t="s">
        <v>74</v>
      </c>
      <c r="T188" s="638" t="s">
        <v>75</v>
      </c>
      <c r="U188" s="638" t="s">
        <v>76</v>
      </c>
      <c r="V188" s="638" t="s">
        <v>77</v>
      </c>
      <c r="W188" s="638" t="s">
        <v>78</v>
      </c>
      <c r="X188" s="638" t="s">
        <v>79</v>
      </c>
      <c r="Y188" s="638" t="s">
        <v>80</v>
      </c>
      <c r="Z188" s="638" t="s">
        <v>81</v>
      </c>
      <c r="AA188" s="638" t="s">
        <v>82</v>
      </c>
      <c r="AB188" s="638" t="s">
        <v>83</v>
      </c>
      <c r="AC188" s="638" t="s">
        <v>84</v>
      </c>
      <c r="AD188" s="638" t="s">
        <v>85</v>
      </c>
      <c r="AF188" s="681" t="s">
        <v>72</v>
      </c>
      <c r="AG188" s="682"/>
      <c r="AH188" s="638" t="s">
        <v>74</v>
      </c>
      <c r="AI188" s="638" t="s">
        <v>75</v>
      </c>
      <c r="AJ188" s="638" t="s">
        <v>76</v>
      </c>
      <c r="AK188" s="638" t="s">
        <v>77</v>
      </c>
      <c r="AL188" s="638" t="s">
        <v>78</v>
      </c>
      <c r="AM188" s="638" t="s">
        <v>79</v>
      </c>
      <c r="AN188" s="638" t="s">
        <v>80</v>
      </c>
      <c r="AO188" s="638" t="s">
        <v>81</v>
      </c>
      <c r="AP188" s="638" t="s">
        <v>82</v>
      </c>
      <c r="AQ188" s="638" t="s">
        <v>83</v>
      </c>
      <c r="AR188" s="638" t="s">
        <v>84</v>
      </c>
      <c r="AS188" s="638" t="s">
        <v>85</v>
      </c>
    </row>
    <row r="189" spans="1:59" ht="23.45" customHeight="1">
      <c r="B189" s="374" t="s">
        <v>90</v>
      </c>
      <c r="C189" s="332" t="s">
        <v>206</v>
      </c>
      <c r="D189" s="633">
        <v>100</v>
      </c>
      <c r="E189" s="633">
        <v>100</v>
      </c>
      <c r="F189" s="633">
        <v>100</v>
      </c>
      <c r="G189" s="633">
        <v>100</v>
      </c>
      <c r="H189" s="633">
        <v>100</v>
      </c>
      <c r="I189" s="633">
        <v>100</v>
      </c>
      <c r="J189" s="633">
        <v>100</v>
      </c>
      <c r="K189" s="633">
        <v>100</v>
      </c>
      <c r="L189" s="633">
        <v>100</v>
      </c>
      <c r="M189" s="633">
        <v>100</v>
      </c>
      <c r="N189" s="633">
        <v>100</v>
      </c>
      <c r="O189" s="633">
        <v>100</v>
      </c>
      <c r="Q189" s="573" t="str">
        <f>B189</f>
        <v>UP3 Tolitoli</v>
      </c>
      <c r="R189" s="332" t="str">
        <f>C189</f>
        <v>Pengembangan EAM Distribusi</v>
      </c>
      <c r="S189" s="633">
        <v>99.06</v>
      </c>
      <c r="T189" s="633">
        <v>116.19</v>
      </c>
      <c r="U189" s="633">
        <v>118.81</v>
      </c>
      <c r="V189" s="633">
        <v>120.77</v>
      </c>
      <c r="W189" s="633">
        <v>121.31</v>
      </c>
      <c r="X189" s="633">
        <v>121.31</v>
      </c>
      <c r="Y189" s="633">
        <v>98.6</v>
      </c>
      <c r="Z189" s="633">
        <v>101.98</v>
      </c>
      <c r="AA189" s="633">
        <v>101.95</v>
      </c>
      <c r="AB189" s="633"/>
      <c r="AC189" s="633"/>
      <c r="AD189" s="633"/>
      <c r="AE189" s="124"/>
      <c r="AF189" s="574" t="str">
        <f>B189</f>
        <v>UP3 Tolitoli</v>
      </c>
      <c r="AG189" s="351" t="str">
        <f>C189</f>
        <v>Pengembangan EAM Distribusi</v>
      </c>
      <c r="AH189" s="633">
        <f>S189</f>
        <v>99.06</v>
      </c>
      <c r="AI189" s="633">
        <f t="shared" ref="AI189:AS189" si="247">T189</f>
        <v>116.19</v>
      </c>
      <c r="AJ189" s="633">
        <f t="shared" si="247"/>
        <v>118.81</v>
      </c>
      <c r="AK189" s="633">
        <f t="shared" si="247"/>
        <v>120.77</v>
      </c>
      <c r="AL189" s="633">
        <f t="shared" si="247"/>
        <v>121.31</v>
      </c>
      <c r="AM189" s="633">
        <f t="shared" si="247"/>
        <v>121.31</v>
      </c>
      <c r="AN189" s="633">
        <f t="shared" si="247"/>
        <v>98.6</v>
      </c>
      <c r="AO189" s="633">
        <f t="shared" si="247"/>
        <v>101.98</v>
      </c>
      <c r="AP189" s="633">
        <f t="shared" si="247"/>
        <v>101.95</v>
      </c>
      <c r="AQ189" s="633">
        <f t="shared" si="247"/>
        <v>0</v>
      </c>
      <c r="AR189" s="633">
        <f t="shared" si="247"/>
        <v>0</v>
      </c>
      <c r="AS189" s="633">
        <f t="shared" si="247"/>
        <v>0</v>
      </c>
      <c r="AU189"/>
    </row>
    <row r="190" spans="1:59">
      <c r="B190" s="125"/>
      <c r="C190" s="294"/>
      <c r="D190" s="296"/>
      <c r="E190" s="296"/>
      <c r="F190" s="296"/>
      <c r="G190" s="296"/>
      <c r="H190" s="296"/>
      <c r="I190" s="296"/>
      <c r="J190" s="296"/>
      <c r="K190" s="296"/>
      <c r="L190" s="296"/>
      <c r="M190" s="296"/>
      <c r="N190" s="296"/>
      <c r="O190" s="296"/>
      <c r="Q190" s="125"/>
      <c r="R190" s="294"/>
      <c r="S190" s="164"/>
      <c r="T190" s="164"/>
      <c r="U190" s="164"/>
      <c r="V190" s="164"/>
      <c r="W190" s="164"/>
      <c r="X190" s="164"/>
      <c r="Y190" s="164"/>
      <c r="Z190" s="164"/>
      <c r="AA190" s="164"/>
      <c r="AB190" s="164"/>
      <c r="AC190" s="164"/>
      <c r="AD190" s="164"/>
      <c r="AF190" s="125"/>
      <c r="AG190" s="294"/>
      <c r="AH190" s="164"/>
      <c r="AI190" s="164"/>
      <c r="AJ190" s="164"/>
      <c r="AK190" s="164"/>
      <c r="AL190" s="164"/>
      <c r="AM190" s="164"/>
      <c r="AN190" s="164"/>
      <c r="AO190" s="164"/>
      <c r="AP190" s="164"/>
      <c r="AQ190" s="164"/>
      <c r="AR190" s="164"/>
      <c r="AS190" s="164"/>
      <c r="AU190"/>
      <c r="BE190">
        <v>0.22434999999999999</v>
      </c>
      <c r="BF190">
        <v>0.16520000000000001</v>
      </c>
      <c r="BG190">
        <v>0.17175000000000001</v>
      </c>
    </row>
    <row r="191" spans="1:59">
      <c r="A191" s="105">
        <v>7</v>
      </c>
      <c r="B191" s="372" t="s">
        <v>207</v>
      </c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Q191" s="178" t="str">
        <f>B191</f>
        <v>PERCEPATAN PENYAMBUNGAN PELANGGAN</v>
      </c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  <c r="AD191" s="105"/>
      <c r="AF191" s="302" t="str">
        <f>B191</f>
        <v>PERCEPATAN PENYAMBUNGAN PELANGGAN</v>
      </c>
      <c r="AH191" s="105"/>
      <c r="AI191" s="105"/>
      <c r="AJ191" s="105"/>
      <c r="AK191" s="105"/>
      <c r="AL191" s="105"/>
      <c r="AM191" s="105"/>
      <c r="AN191" s="105"/>
      <c r="AO191" s="105"/>
      <c r="AP191" s="105"/>
      <c r="AQ191" s="105"/>
      <c r="AR191" s="105"/>
      <c r="AS191" s="105"/>
      <c r="BE191">
        <v>0.11225</v>
      </c>
      <c r="BF191">
        <v>0.1226</v>
      </c>
      <c r="BG191">
        <v>0.11175</v>
      </c>
    </row>
    <row r="192" spans="1:59">
      <c r="B192" s="21" t="s">
        <v>100</v>
      </c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Q192" t="s">
        <v>126</v>
      </c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  <c r="AD192" s="105"/>
      <c r="AF192" t="s">
        <v>127</v>
      </c>
      <c r="AH192" s="105"/>
      <c r="AI192" s="105"/>
      <c r="AJ192" s="105"/>
      <c r="AK192" s="105"/>
      <c r="AL192" s="105"/>
      <c r="AM192" s="105"/>
      <c r="AN192" s="105"/>
      <c r="AO192" s="105"/>
      <c r="AP192" s="105"/>
      <c r="AQ192" s="105"/>
      <c r="AR192" s="105"/>
      <c r="AS192" s="105"/>
      <c r="BE192">
        <v>0.23050000000000001</v>
      </c>
      <c r="BF192">
        <v>4.3150000000000001E-2</v>
      </c>
      <c r="BG192">
        <v>7.0150000000000004E-2</v>
      </c>
    </row>
    <row r="193" spans="2:59">
      <c r="B193" s="681" t="s">
        <v>72</v>
      </c>
      <c r="C193" s="682"/>
      <c r="D193" s="638" t="s">
        <v>74</v>
      </c>
      <c r="E193" s="638" t="s">
        <v>75</v>
      </c>
      <c r="F193" s="638" t="s">
        <v>76</v>
      </c>
      <c r="G193" s="638" t="s">
        <v>77</v>
      </c>
      <c r="H193" s="638" t="s">
        <v>78</v>
      </c>
      <c r="I193" s="638" t="s">
        <v>79</v>
      </c>
      <c r="J193" s="638" t="s">
        <v>80</v>
      </c>
      <c r="K193" s="638" t="s">
        <v>81</v>
      </c>
      <c r="L193" s="638" t="s">
        <v>82</v>
      </c>
      <c r="M193" s="638" t="s">
        <v>83</v>
      </c>
      <c r="N193" s="638" t="s">
        <v>84</v>
      </c>
      <c r="O193" s="638" t="s">
        <v>85</v>
      </c>
      <c r="Q193" s="681" t="s">
        <v>72</v>
      </c>
      <c r="R193" s="682"/>
      <c r="S193" s="638" t="s">
        <v>74</v>
      </c>
      <c r="T193" s="638" t="s">
        <v>75</v>
      </c>
      <c r="U193" s="638" t="s">
        <v>76</v>
      </c>
      <c r="V193" s="638" t="s">
        <v>77</v>
      </c>
      <c r="W193" s="638" t="s">
        <v>78</v>
      </c>
      <c r="X193" s="638" t="s">
        <v>79</v>
      </c>
      <c r="Y193" s="638" t="s">
        <v>80</v>
      </c>
      <c r="Z193" s="638" t="s">
        <v>81</v>
      </c>
      <c r="AA193" s="638" t="s">
        <v>82</v>
      </c>
      <c r="AB193" s="638" t="s">
        <v>83</v>
      </c>
      <c r="AC193" s="638" t="s">
        <v>84</v>
      </c>
      <c r="AD193" s="638" t="s">
        <v>85</v>
      </c>
      <c r="AF193" s="681" t="s">
        <v>72</v>
      </c>
      <c r="AG193" s="682"/>
      <c r="AH193" s="638" t="s">
        <v>74</v>
      </c>
      <c r="AI193" s="638" t="s">
        <v>75</v>
      </c>
      <c r="AJ193" s="638" t="s">
        <v>76</v>
      </c>
      <c r="AK193" s="638" t="s">
        <v>77</v>
      </c>
      <c r="AL193" s="638" t="s">
        <v>78</v>
      </c>
      <c r="AM193" s="638" t="s">
        <v>79</v>
      </c>
      <c r="AN193" s="638" t="s">
        <v>80</v>
      </c>
      <c r="AO193" s="638" t="s">
        <v>81</v>
      </c>
      <c r="AP193" s="638" t="s">
        <v>82</v>
      </c>
      <c r="AQ193" s="638" t="s">
        <v>83</v>
      </c>
      <c r="AR193" s="638" t="s">
        <v>84</v>
      </c>
      <c r="AS193" s="638" t="s">
        <v>85</v>
      </c>
      <c r="BE193">
        <v>5.4449999999999998E-2</v>
      </c>
      <c r="BF193">
        <v>7.7450000000000005E-2</v>
      </c>
      <c r="BG193">
        <v>5.8000000000000003E-2</v>
      </c>
    </row>
    <row r="194" spans="2:59" ht="14.45" customHeight="1">
      <c r="B194" s="700" t="s">
        <v>208</v>
      </c>
      <c r="C194" s="328" t="s">
        <v>128</v>
      </c>
      <c r="D194" s="575">
        <v>0.25</v>
      </c>
      <c r="E194" s="575">
        <v>0.51</v>
      </c>
      <c r="F194" s="575">
        <v>0.78</v>
      </c>
      <c r="G194" s="575">
        <v>1.04</v>
      </c>
      <c r="H194" s="575">
        <v>1.43</v>
      </c>
      <c r="I194" s="575">
        <v>1.82</v>
      </c>
      <c r="J194" s="509">
        <v>2.2200000000000002</v>
      </c>
      <c r="K194" s="509">
        <v>2.62</v>
      </c>
      <c r="L194" s="509">
        <v>3.01</v>
      </c>
      <c r="M194" s="509">
        <v>3.4</v>
      </c>
      <c r="N194" s="509">
        <v>3.79</v>
      </c>
      <c r="O194" s="509">
        <v>4.59</v>
      </c>
      <c r="Q194" s="700" t="str">
        <f>B194</f>
        <v>Penambahan Daya Tersambung</v>
      </c>
      <c r="R194" s="328" t="s">
        <v>128</v>
      </c>
      <c r="S194" s="576">
        <v>0.22434999999999999</v>
      </c>
      <c r="T194" s="576">
        <v>0.16520000000000001</v>
      </c>
      <c r="U194" s="576">
        <v>0.17175000000000001</v>
      </c>
      <c r="V194" s="540">
        <v>6.9499999999999996E-3</v>
      </c>
      <c r="W194" s="576">
        <v>-0.24360000000000001</v>
      </c>
      <c r="X194" s="291">
        <v>0.106</v>
      </c>
      <c r="Y194" s="577">
        <v>0.1507</v>
      </c>
      <c r="Z194" s="577">
        <v>0.18809999999999999</v>
      </c>
      <c r="AA194" s="577">
        <v>1.0502</v>
      </c>
      <c r="AB194" s="577"/>
      <c r="AC194" s="577"/>
      <c r="AD194" s="577"/>
      <c r="AF194" s="700" t="str">
        <f>Q194</f>
        <v>Penambahan Daya Tersambung</v>
      </c>
      <c r="AG194" s="328" t="s">
        <v>128</v>
      </c>
      <c r="AH194" s="576">
        <f t="shared" ref="AH194:AH205" si="248">S194</f>
        <v>0.22434999999999999</v>
      </c>
      <c r="AI194" s="576">
        <f t="shared" ref="AI194:AS205" si="249">IF(T194=0,0,AH194+T194)</f>
        <v>0.38955000000000001</v>
      </c>
      <c r="AJ194" s="576">
        <f t="shared" si="249"/>
        <v>0.56130000000000002</v>
      </c>
      <c r="AK194" s="576">
        <f t="shared" si="249"/>
        <v>0.56825000000000003</v>
      </c>
      <c r="AL194" s="576">
        <f t="shared" si="249"/>
        <v>0.32464999999999999</v>
      </c>
      <c r="AM194" s="576">
        <f t="shared" si="249"/>
        <v>0.43064999999999998</v>
      </c>
      <c r="AN194" s="576">
        <f t="shared" si="249"/>
        <v>0.58135000000000003</v>
      </c>
      <c r="AO194" s="576">
        <f t="shared" si="249"/>
        <v>0.76944999999999997</v>
      </c>
      <c r="AP194" s="576">
        <f t="shared" si="249"/>
        <v>1.81965</v>
      </c>
      <c r="AQ194" s="576">
        <f t="shared" si="249"/>
        <v>0</v>
      </c>
      <c r="AR194" s="576">
        <f t="shared" si="249"/>
        <v>0</v>
      </c>
      <c r="AS194" s="576">
        <f t="shared" si="249"/>
        <v>0</v>
      </c>
      <c r="BE194">
        <v>0.13285</v>
      </c>
      <c r="BF194">
        <v>0.11119999999999999</v>
      </c>
      <c r="BG194">
        <v>0.13750000000000001</v>
      </c>
    </row>
    <row r="195" spans="2:59" ht="16.5">
      <c r="B195" s="701"/>
      <c r="C195" s="328" t="s">
        <v>87</v>
      </c>
      <c r="D195" s="575">
        <v>0.19</v>
      </c>
      <c r="E195" s="575">
        <v>0.38</v>
      </c>
      <c r="F195" s="575">
        <v>0.59</v>
      </c>
      <c r="G195" s="575">
        <v>0.79</v>
      </c>
      <c r="H195" s="575">
        <v>1.0900000000000001</v>
      </c>
      <c r="I195" s="575">
        <v>1.38</v>
      </c>
      <c r="J195" s="509">
        <v>1.69</v>
      </c>
      <c r="K195" s="509">
        <v>1.99</v>
      </c>
      <c r="L195" s="509">
        <v>2.2799999999999998</v>
      </c>
      <c r="M195" s="509">
        <v>2.59</v>
      </c>
      <c r="N195" s="509">
        <v>2.88</v>
      </c>
      <c r="O195" s="509">
        <v>3.49</v>
      </c>
      <c r="Q195" s="701"/>
      <c r="R195" s="328" t="s">
        <v>87</v>
      </c>
      <c r="S195" s="576">
        <v>0.11225</v>
      </c>
      <c r="T195" s="576">
        <v>0.1226</v>
      </c>
      <c r="U195" s="576">
        <v>0.11175</v>
      </c>
      <c r="V195" s="540">
        <v>0.11553333333333334</v>
      </c>
      <c r="W195" s="576">
        <v>0.1258</v>
      </c>
      <c r="X195" s="576">
        <v>0.11</v>
      </c>
      <c r="Y195" s="577">
        <v>0.1159</v>
      </c>
      <c r="Z195" s="577">
        <v>0.2084</v>
      </c>
      <c r="AA195" s="577">
        <v>0.16209999999999999</v>
      </c>
      <c r="AB195" s="577"/>
      <c r="AC195" s="577"/>
      <c r="AD195" s="577"/>
      <c r="AF195" s="701"/>
      <c r="AG195" s="328" t="s">
        <v>87</v>
      </c>
      <c r="AH195" s="576">
        <f t="shared" si="248"/>
        <v>0.11225</v>
      </c>
      <c r="AI195" s="576">
        <f t="shared" si="249"/>
        <v>0.23485</v>
      </c>
      <c r="AJ195" s="576">
        <f t="shared" si="249"/>
        <v>0.34660000000000002</v>
      </c>
      <c r="AK195" s="576">
        <f t="shared" si="249"/>
        <v>0.46213333333333334</v>
      </c>
      <c r="AL195" s="576">
        <f t="shared" si="249"/>
        <v>0.58793333333333331</v>
      </c>
      <c r="AM195" s="576">
        <f t="shared" si="249"/>
        <v>0.69793333333333329</v>
      </c>
      <c r="AN195" s="576">
        <f t="shared" si="249"/>
        <v>0.8138333333333333</v>
      </c>
      <c r="AO195" s="576">
        <f t="shared" si="249"/>
        <v>1.0222333333333333</v>
      </c>
      <c r="AP195" s="576">
        <f t="shared" si="249"/>
        <v>1.1843333333333332</v>
      </c>
      <c r="AQ195" s="576">
        <f t="shared" si="249"/>
        <v>0</v>
      </c>
      <c r="AR195" s="576">
        <f t="shared" si="249"/>
        <v>0</v>
      </c>
      <c r="AS195" s="576">
        <f t="shared" si="249"/>
        <v>0</v>
      </c>
    </row>
    <row r="196" spans="2:59" ht="16.5">
      <c r="B196" s="701"/>
      <c r="C196" s="328" t="s">
        <v>88</v>
      </c>
      <c r="D196" s="575">
        <v>0.08</v>
      </c>
      <c r="E196" s="575">
        <v>0.17</v>
      </c>
      <c r="F196" s="575">
        <v>0.26</v>
      </c>
      <c r="G196" s="575">
        <v>0.35</v>
      </c>
      <c r="H196" s="575">
        <v>0.49</v>
      </c>
      <c r="I196" s="575">
        <v>0.62</v>
      </c>
      <c r="J196" s="509">
        <v>0.76</v>
      </c>
      <c r="K196" s="509">
        <v>0.89</v>
      </c>
      <c r="L196" s="509">
        <v>1.03</v>
      </c>
      <c r="M196" s="509">
        <v>1.1599999999999999</v>
      </c>
      <c r="N196" s="509">
        <v>1.29</v>
      </c>
      <c r="O196" s="509">
        <v>1.57</v>
      </c>
      <c r="Q196" s="701"/>
      <c r="R196" s="328" t="s">
        <v>88</v>
      </c>
      <c r="S196" s="576">
        <v>0.23050000000000001</v>
      </c>
      <c r="T196" s="576">
        <v>4.3150000000000001E-2</v>
      </c>
      <c r="U196" s="576">
        <v>7.0150000000000004E-2</v>
      </c>
      <c r="V196" s="540">
        <v>0.11459999999999999</v>
      </c>
      <c r="W196" s="576">
        <v>6.565E-2</v>
      </c>
      <c r="X196" s="576">
        <v>5.96E-2</v>
      </c>
      <c r="Y196" s="577">
        <v>7.4550000000000005E-2</v>
      </c>
      <c r="Z196" s="577">
        <v>0.1113</v>
      </c>
      <c r="AA196" s="577">
        <v>9.35E-2</v>
      </c>
      <c r="AB196" s="577"/>
      <c r="AC196" s="577"/>
      <c r="AD196" s="577"/>
      <c r="AF196" s="701"/>
      <c r="AG196" s="328" t="s">
        <v>88</v>
      </c>
      <c r="AH196" s="576">
        <f t="shared" si="248"/>
        <v>0.23050000000000001</v>
      </c>
      <c r="AI196" s="576">
        <f t="shared" si="249"/>
        <v>0.27365</v>
      </c>
      <c r="AJ196" s="576">
        <f t="shared" si="249"/>
        <v>0.34379999999999999</v>
      </c>
      <c r="AK196" s="576">
        <f t="shared" si="249"/>
        <v>0.45839999999999997</v>
      </c>
      <c r="AL196" s="576">
        <f t="shared" si="249"/>
        <v>0.52405000000000002</v>
      </c>
      <c r="AM196" s="576">
        <f t="shared" si="249"/>
        <v>0.58365</v>
      </c>
      <c r="AN196" s="576">
        <f t="shared" si="249"/>
        <v>0.65820000000000001</v>
      </c>
      <c r="AO196" s="576">
        <f t="shared" si="249"/>
        <v>0.76949999999999996</v>
      </c>
      <c r="AP196" s="576">
        <f t="shared" si="249"/>
        <v>0.86299999999999999</v>
      </c>
      <c r="AQ196" s="576">
        <f t="shared" si="249"/>
        <v>0</v>
      </c>
      <c r="AR196" s="576">
        <f t="shared" si="249"/>
        <v>0</v>
      </c>
      <c r="AS196" s="576">
        <f t="shared" si="249"/>
        <v>0</v>
      </c>
    </row>
    <row r="197" spans="2:59" ht="16.5">
      <c r="B197" s="701"/>
      <c r="C197" s="328" t="s">
        <v>121</v>
      </c>
      <c r="D197" s="575">
        <v>7.0000000000000007E-2</v>
      </c>
      <c r="E197" s="575">
        <v>0.14000000000000001</v>
      </c>
      <c r="F197" s="575">
        <v>0.21</v>
      </c>
      <c r="G197" s="575">
        <v>0.28000000000000003</v>
      </c>
      <c r="H197" s="575">
        <v>0.39</v>
      </c>
      <c r="I197" s="575">
        <v>0.5</v>
      </c>
      <c r="J197" s="509">
        <v>0.61</v>
      </c>
      <c r="K197" s="509">
        <v>0.72</v>
      </c>
      <c r="L197" s="509">
        <v>0.82</v>
      </c>
      <c r="M197" s="509">
        <v>0.93</v>
      </c>
      <c r="N197" s="509">
        <v>1.04</v>
      </c>
      <c r="O197" s="509">
        <v>1.26</v>
      </c>
      <c r="Q197" s="701"/>
      <c r="R197" s="328" t="s">
        <v>121</v>
      </c>
      <c r="S197" s="576">
        <v>5.4449999999999998E-2</v>
      </c>
      <c r="T197" s="576">
        <v>7.7450000000000005E-2</v>
      </c>
      <c r="U197" s="576">
        <v>5.8000000000000003E-2</v>
      </c>
      <c r="V197" s="540">
        <v>6.3299999999999995E-2</v>
      </c>
      <c r="W197" s="576">
        <v>4.215E-2</v>
      </c>
      <c r="X197" s="576">
        <v>5.645E-2</v>
      </c>
      <c r="Y197" s="577">
        <v>4.385E-2</v>
      </c>
      <c r="Z197" s="577">
        <v>5.1950000000000003E-2</v>
      </c>
      <c r="AA197" s="577">
        <v>8.2650000000000001E-2</v>
      </c>
      <c r="AB197" s="577"/>
      <c r="AC197" s="577"/>
      <c r="AD197" s="577"/>
      <c r="AF197" s="701"/>
      <c r="AG197" s="328" t="s">
        <v>121</v>
      </c>
      <c r="AH197" s="576">
        <f t="shared" si="248"/>
        <v>5.4449999999999998E-2</v>
      </c>
      <c r="AI197" s="576">
        <f t="shared" si="249"/>
        <v>0.13190000000000002</v>
      </c>
      <c r="AJ197" s="576">
        <f t="shared" si="249"/>
        <v>0.18990000000000001</v>
      </c>
      <c r="AK197" s="576">
        <f t="shared" si="249"/>
        <v>0.25319999999999998</v>
      </c>
      <c r="AL197" s="576">
        <f t="shared" si="249"/>
        <v>0.29535</v>
      </c>
      <c r="AM197" s="576">
        <f t="shared" si="249"/>
        <v>0.3518</v>
      </c>
      <c r="AN197" s="576">
        <f t="shared" si="249"/>
        <v>0.39565</v>
      </c>
      <c r="AO197" s="576">
        <f t="shared" si="249"/>
        <v>0.4476</v>
      </c>
      <c r="AP197" s="576">
        <f t="shared" si="249"/>
        <v>0.53025</v>
      </c>
      <c r="AQ197" s="576">
        <f t="shared" si="249"/>
        <v>0</v>
      </c>
      <c r="AR197" s="576">
        <f t="shared" si="249"/>
        <v>0</v>
      </c>
      <c r="AS197" s="576">
        <f t="shared" si="249"/>
        <v>0</v>
      </c>
    </row>
    <row r="198" spans="2:59" ht="16.5">
      <c r="B198" s="701"/>
      <c r="C198" s="328" t="s">
        <v>89</v>
      </c>
      <c r="D198" s="575">
        <v>0.13</v>
      </c>
      <c r="E198" s="575">
        <v>0.27</v>
      </c>
      <c r="F198" s="575">
        <v>0.42</v>
      </c>
      <c r="G198" s="575">
        <v>0.55000000000000004</v>
      </c>
      <c r="H198" s="575">
        <v>0.77</v>
      </c>
      <c r="I198" s="575">
        <v>0.97</v>
      </c>
      <c r="J198" s="509">
        <v>1.19</v>
      </c>
      <c r="K198" s="509">
        <v>1.4</v>
      </c>
      <c r="L198" s="509">
        <v>1.61</v>
      </c>
      <c r="M198" s="509">
        <v>1.82</v>
      </c>
      <c r="N198" s="509">
        <v>2.0299999999999998</v>
      </c>
      <c r="O198" s="509">
        <v>2.46</v>
      </c>
      <c r="Q198" s="701"/>
      <c r="R198" s="328" t="s">
        <v>89</v>
      </c>
      <c r="S198" s="576">
        <v>0.13285</v>
      </c>
      <c r="T198" s="576">
        <v>0.11119999999999999</v>
      </c>
      <c r="U198" s="576">
        <v>0.13750000000000001</v>
      </c>
      <c r="V198" s="540">
        <f>196550/1000000</f>
        <v>0.19655</v>
      </c>
      <c r="W198" s="576">
        <v>0.14810000000000001</v>
      </c>
      <c r="X198" s="576">
        <v>0.1512</v>
      </c>
      <c r="Y198" s="577">
        <v>0.20230000000000001</v>
      </c>
      <c r="Z198" s="577">
        <v>0.12765000000000001</v>
      </c>
      <c r="AA198" s="577">
        <v>0.17985000000000001</v>
      </c>
      <c r="AB198" s="577"/>
      <c r="AC198" s="577"/>
      <c r="AD198" s="577"/>
      <c r="AF198" s="701"/>
      <c r="AG198" s="328" t="s">
        <v>89</v>
      </c>
      <c r="AH198" s="576">
        <f t="shared" si="248"/>
        <v>0.13285</v>
      </c>
      <c r="AI198" s="576">
        <f t="shared" si="249"/>
        <v>0.24404999999999999</v>
      </c>
      <c r="AJ198" s="576">
        <f t="shared" si="249"/>
        <v>0.38155</v>
      </c>
      <c r="AK198" s="576">
        <f t="shared" si="249"/>
        <v>0.57810000000000006</v>
      </c>
      <c r="AL198" s="576">
        <f t="shared" si="249"/>
        <v>0.72620000000000007</v>
      </c>
      <c r="AM198" s="576">
        <f>IF(X198=0,0,AL198+X198)</f>
        <v>0.87740000000000007</v>
      </c>
      <c r="AN198" s="576">
        <f t="shared" si="249"/>
        <v>1.0797000000000001</v>
      </c>
      <c r="AO198" s="576">
        <f t="shared" si="249"/>
        <v>1.2073500000000001</v>
      </c>
      <c r="AP198" s="576">
        <f t="shared" si="249"/>
        <v>1.3872000000000002</v>
      </c>
      <c r="AQ198" s="576">
        <f t="shared" si="249"/>
        <v>0</v>
      </c>
      <c r="AR198" s="576">
        <f t="shared" si="249"/>
        <v>0</v>
      </c>
      <c r="AS198" s="576">
        <f t="shared" si="249"/>
        <v>0</v>
      </c>
    </row>
    <row r="199" spans="2:59" ht="16.5">
      <c r="B199" s="702"/>
      <c r="C199" s="329" t="s">
        <v>90</v>
      </c>
      <c r="D199" s="578">
        <v>0.72</v>
      </c>
      <c r="E199" s="578">
        <v>1.47</v>
      </c>
      <c r="F199" s="578">
        <v>2.2599999999999998</v>
      </c>
      <c r="G199" s="578">
        <v>3.01</v>
      </c>
      <c r="H199" s="578">
        <v>4.18</v>
      </c>
      <c r="I199" s="578">
        <v>5.3</v>
      </c>
      <c r="J199" s="579">
        <v>6.46</v>
      </c>
      <c r="K199" s="579">
        <v>7.62</v>
      </c>
      <c r="L199" s="579">
        <v>8.75</v>
      </c>
      <c r="M199" s="579">
        <v>9.91</v>
      </c>
      <c r="N199" s="579">
        <v>11.03</v>
      </c>
      <c r="O199" s="579">
        <v>13.36</v>
      </c>
      <c r="Q199" s="702"/>
      <c r="R199" s="329" t="s">
        <v>90</v>
      </c>
      <c r="S199" s="580">
        <f t="shared" ref="S199:AD199" si="250">SUM(S194:S198)</f>
        <v>0.75440000000000007</v>
      </c>
      <c r="T199" s="580">
        <f t="shared" si="250"/>
        <v>0.51960000000000006</v>
      </c>
      <c r="U199" s="580">
        <f t="shared" si="250"/>
        <v>0.54915000000000003</v>
      </c>
      <c r="V199" s="580">
        <f t="shared" si="250"/>
        <v>0.49693333333333334</v>
      </c>
      <c r="W199" s="580">
        <f t="shared" si="250"/>
        <v>0.1381</v>
      </c>
      <c r="X199" s="580">
        <f t="shared" si="250"/>
        <v>0.48325000000000001</v>
      </c>
      <c r="Y199" s="580">
        <f t="shared" si="250"/>
        <v>0.58730000000000004</v>
      </c>
      <c r="Z199" s="580">
        <f t="shared" si="250"/>
        <v>0.68740000000000001</v>
      </c>
      <c r="AA199" s="580">
        <f t="shared" si="250"/>
        <v>1.5682999999999998</v>
      </c>
      <c r="AB199" s="580">
        <f t="shared" si="250"/>
        <v>0</v>
      </c>
      <c r="AC199" s="580">
        <f t="shared" si="250"/>
        <v>0</v>
      </c>
      <c r="AD199" s="580">
        <f t="shared" si="250"/>
        <v>0</v>
      </c>
      <c r="AF199" s="702"/>
      <c r="AG199" s="329" t="s">
        <v>90</v>
      </c>
      <c r="AH199" s="580">
        <f t="shared" si="248"/>
        <v>0.75440000000000007</v>
      </c>
      <c r="AI199" s="580">
        <f t="shared" si="249"/>
        <v>1.274</v>
      </c>
      <c r="AJ199" s="580">
        <f t="shared" ref="AJ199:AS199" si="251">SUM(AJ194:AJ198)</f>
        <v>1.82315</v>
      </c>
      <c r="AK199" s="580">
        <f t="shared" si="251"/>
        <v>2.3200833333333333</v>
      </c>
      <c r="AL199" s="580">
        <f t="shared" si="251"/>
        <v>2.4581833333333334</v>
      </c>
      <c r="AM199" s="580">
        <f t="shared" si="251"/>
        <v>2.9414333333333333</v>
      </c>
      <c r="AN199" s="580">
        <f t="shared" si="251"/>
        <v>3.5287333333333333</v>
      </c>
      <c r="AO199" s="580">
        <f t="shared" si="251"/>
        <v>4.2161333333333335</v>
      </c>
      <c r="AP199" s="580">
        <f t="shared" si="251"/>
        <v>5.7844333333333333</v>
      </c>
      <c r="AQ199" s="580">
        <f t="shared" si="251"/>
        <v>0</v>
      </c>
      <c r="AR199" s="580">
        <f t="shared" si="251"/>
        <v>0</v>
      </c>
      <c r="AS199" s="580">
        <f t="shared" si="251"/>
        <v>0</v>
      </c>
    </row>
    <row r="200" spans="2:59" ht="15.6" customHeight="1">
      <c r="B200" s="700" t="s">
        <v>209</v>
      </c>
      <c r="C200" s="328" t="s">
        <v>128</v>
      </c>
      <c r="D200" s="576">
        <v>150</v>
      </c>
      <c r="E200" s="576">
        <v>304</v>
      </c>
      <c r="F200" s="576">
        <v>467</v>
      </c>
      <c r="G200" s="576">
        <v>623</v>
      </c>
      <c r="H200" s="576">
        <v>863</v>
      </c>
      <c r="I200" s="576">
        <v>1095</v>
      </c>
      <c r="J200" s="508">
        <v>1335</v>
      </c>
      <c r="K200" s="508">
        <v>1575</v>
      </c>
      <c r="L200" s="508">
        <v>1808</v>
      </c>
      <c r="M200" s="508">
        <v>2048</v>
      </c>
      <c r="N200" s="508">
        <v>2280</v>
      </c>
      <c r="O200" s="508">
        <v>2521</v>
      </c>
      <c r="Q200" s="700" t="str">
        <f>B200</f>
        <v>Penambahan Jumlah Pelanggan</v>
      </c>
      <c r="R200" s="328" t="s">
        <v>128</v>
      </c>
      <c r="S200" s="576">
        <v>70</v>
      </c>
      <c r="T200" s="576">
        <v>126</v>
      </c>
      <c r="U200" s="576">
        <v>107</v>
      </c>
      <c r="V200" s="576">
        <v>93</v>
      </c>
      <c r="W200" s="576">
        <v>92</v>
      </c>
      <c r="X200" s="575">
        <v>95</v>
      </c>
      <c r="Y200" s="508">
        <v>96</v>
      </c>
      <c r="Z200" s="508">
        <v>100</v>
      </c>
      <c r="AA200" s="508">
        <v>106</v>
      </c>
      <c r="AB200" s="508"/>
      <c r="AC200" s="508"/>
      <c r="AD200" s="508"/>
      <c r="AE200" s="385"/>
      <c r="AF200" s="700" t="str">
        <f>B200</f>
        <v>Penambahan Jumlah Pelanggan</v>
      </c>
      <c r="AG200" s="328" t="s">
        <v>128</v>
      </c>
      <c r="AH200" s="576">
        <f t="shared" ref="AH200:AH204" si="252">S200</f>
        <v>70</v>
      </c>
      <c r="AI200" s="576">
        <f t="shared" ref="AI200:AI204" si="253">IF(T200=0,0,AH200+T200)</f>
        <v>196</v>
      </c>
      <c r="AJ200" s="576">
        <f t="shared" ref="AJ200:AJ204" si="254">IF(U200=0,0,AI200+U200)</f>
        <v>303</v>
      </c>
      <c r="AK200" s="576">
        <f t="shared" ref="AK200:AK204" si="255">IF(V200=0,0,AJ200+V200)</f>
        <v>396</v>
      </c>
      <c r="AL200" s="576">
        <f t="shared" ref="AL200:AL204" si="256">IF(W200=0,0,AK200+W200)</f>
        <v>488</v>
      </c>
      <c r="AM200" s="576">
        <f t="shared" ref="AM200:AM204" si="257">IF(X200=0,0,AL200+X200)</f>
        <v>583</v>
      </c>
      <c r="AN200" s="576">
        <f t="shared" ref="AN200:AN204" si="258">IF(Y200=0,0,AM200+Y200)</f>
        <v>679</v>
      </c>
      <c r="AO200" s="576">
        <f t="shared" ref="AO200:AO204" si="259">IF(Z200=0,0,AN200+Z200)</f>
        <v>779</v>
      </c>
      <c r="AP200" s="576">
        <f t="shared" ref="AP200:AP204" si="260">IF(AA200=0,0,AO200+AA200)</f>
        <v>885</v>
      </c>
      <c r="AQ200" s="576">
        <f t="shared" ref="AQ200:AQ204" si="261">IF(AB200=0,0,AP200+AB200)</f>
        <v>0</v>
      </c>
      <c r="AR200" s="576">
        <f t="shared" ref="AR200:AR204" si="262">IF(AC200=0,0,AQ200+AC200)</f>
        <v>0</v>
      </c>
      <c r="AS200" s="576">
        <f t="shared" ref="AS200:AS204" si="263">IF(AD200=0,0,AR200+AD200)</f>
        <v>0</v>
      </c>
    </row>
    <row r="201" spans="2:59" ht="16.5">
      <c r="B201" s="701"/>
      <c r="C201" s="328" t="s">
        <v>87</v>
      </c>
      <c r="D201" s="576">
        <v>154</v>
      </c>
      <c r="E201" s="576">
        <v>313</v>
      </c>
      <c r="F201" s="576">
        <v>480</v>
      </c>
      <c r="G201" s="576">
        <v>641</v>
      </c>
      <c r="H201" s="576">
        <v>888</v>
      </c>
      <c r="I201" s="576">
        <v>1127</v>
      </c>
      <c r="J201" s="508">
        <v>1374</v>
      </c>
      <c r="K201" s="508">
        <v>1621</v>
      </c>
      <c r="L201" s="508">
        <v>1860</v>
      </c>
      <c r="M201" s="508">
        <v>2107</v>
      </c>
      <c r="N201" s="508">
        <v>2346</v>
      </c>
      <c r="O201" s="508">
        <v>2594</v>
      </c>
      <c r="Q201" s="701"/>
      <c r="R201" s="328" t="s">
        <v>87</v>
      </c>
      <c r="S201" s="576">
        <v>62</v>
      </c>
      <c r="T201" s="576">
        <v>108</v>
      </c>
      <c r="U201" s="576">
        <v>93</v>
      </c>
      <c r="V201" s="576">
        <v>103</v>
      </c>
      <c r="W201" s="576">
        <v>81</v>
      </c>
      <c r="X201" s="575">
        <v>107</v>
      </c>
      <c r="Y201" s="508">
        <v>85</v>
      </c>
      <c r="Z201" s="508">
        <v>136</v>
      </c>
      <c r="AA201" s="508">
        <v>123</v>
      </c>
      <c r="AB201" s="508"/>
      <c r="AC201" s="508"/>
      <c r="AD201" s="508"/>
      <c r="AF201" s="701"/>
      <c r="AG201" s="328" t="s">
        <v>87</v>
      </c>
      <c r="AH201" s="576">
        <f t="shared" si="252"/>
        <v>62</v>
      </c>
      <c r="AI201" s="576">
        <f t="shared" si="253"/>
        <v>170</v>
      </c>
      <c r="AJ201" s="576">
        <f t="shared" si="254"/>
        <v>263</v>
      </c>
      <c r="AK201" s="576">
        <f t="shared" si="255"/>
        <v>366</v>
      </c>
      <c r="AL201" s="576">
        <f t="shared" si="256"/>
        <v>447</v>
      </c>
      <c r="AM201" s="576">
        <f t="shared" si="257"/>
        <v>554</v>
      </c>
      <c r="AN201" s="576">
        <f t="shared" si="258"/>
        <v>639</v>
      </c>
      <c r="AO201" s="576">
        <f t="shared" si="259"/>
        <v>775</v>
      </c>
      <c r="AP201" s="576">
        <f t="shared" si="260"/>
        <v>898</v>
      </c>
      <c r="AQ201" s="576">
        <f t="shared" si="261"/>
        <v>0</v>
      </c>
      <c r="AR201" s="576">
        <f t="shared" si="262"/>
        <v>0</v>
      </c>
      <c r="AS201" s="576">
        <f t="shared" si="263"/>
        <v>0</v>
      </c>
    </row>
    <row r="202" spans="2:59" ht="16.5">
      <c r="B202" s="701"/>
      <c r="C202" s="328" t="s">
        <v>88</v>
      </c>
      <c r="D202" s="576">
        <v>76</v>
      </c>
      <c r="E202" s="576">
        <v>154</v>
      </c>
      <c r="F202" s="576">
        <v>237</v>
      </c>
      <c r="G202" s="576">
        <v>316</v>
      </c>
      <c r="H202" s="576">
        <v>438</v>
      </c>
      <c r="I202" s="576">
        <v>556</v>
      </c>
      <c r="J202" s="508">
        <v>678</v>
      </c>
      <c r="K202" s="508">
        <v>800</v>
      </c>
      <c r="L202" s="508">
        <v>918</v>
      </c>
      <c r="M202" s="508">
        <v>1040</v>
      </c>
      <c r="N202" s="508">
        <v>1158</v>
      </c>
      <c r="O202" s="508">
        <v>1280</v>
      </c>
      <c r="Q202" s="701"/>
      <c r="R202" s="328" t="s">
        <v>88</v>
      </c>
      <c r="S202" s="576">
        <v>168</v>
      </c>
      <c r="T202" s="576">
        <v>46</v>
      </c>
      <c r="U202" s="576">
        <v>47</v>
      </c>
      <c r="V202" s="576">
        <v>51</v>
      </c>
      <c r="W202" s="576">
        <v>53</v>
      </c>
      <c r="X202" s="575">
        <v>59</v>
      </c>
      <c r="Y202" s="508">
        <v>38</v>
      </c>
      <c r="Z202" s="508">
        <v>38</v>
      </c>
      <c r="AA202" s="508">
        <v>57</v>
      </c>
      <c r="AB202" s="508"/>
      <c r="AC202" s="508"/>
      <c r="AD202" s="508"/>
      <c r="AF202" s="701"/>
      <c r="AG202" s="328" t="s">
        <v>88</v>
      </c>
      <c r="AH202" s="576">
        <f t="shared" si="252"/>
        <v>168</v>
      </c>
      <c r="AI202" s="576">
        <f t="shared" si="253"/>
        <v>214</v>
      </c>
      <c r="AJ202" s="576">
        <f t="shared" si="254"/>
        <v>261</v>
      </c>
      <c r="AK202" s="576">
        <f t="shared" si="255"/>
        <v>312</v>
      </c>
      <c r="AL202" s="576">
        <f t="shared" si="256"/>
        <v>365</v>
      </c>
      <c r="AM202" s="576">
        <f t="shared" si="257"/>
        <v>424</v>
      </c>
      <c r="AN202" s="576">
        <f t="shared" si="258"/>
        <v>462</v>
      </c>
      <c r="AO202" s="576">
        <f t="shared" si="259"/>
        <v>500</v>
      </c>
      <c r="AP202" s="576">
        <f t="shared" si="260"/>
        <v>557</v>
      </c>
      <c r="AQ202" s="576">
        <f t="shared" si="261"/>
        <v>0</v>
      </c>
      <c r="AR202" s="576">
        <f t="shared" si="262"/>
        <v>0</v>
      </c>
      <c r="AS202" s="576">
        <f t="shared" si="263"/>
        <v>0</v>
      </c>
    </row>
    <row r="203" spans="2:59" ht="16.5">
      <c r="B203" s="701"/>
      <c r="C203" s="328" t="s">
        <v>121</v>
      </c>
      <c r="D203" s="576">
        <v>102</v>
      </c>
      <c r="E203" s="576">
        <v>208</v>
      </c>
      <c r="F203" s="576">
        <v>319</v>
      </c>
      <c r="G203" s="576">
        <v>425</v>
      </c>
      <c r="H203" s="576">
        <v>589</v>
      </c>
      <c r="I203" s="576">
        <v>748</v>
      </c>
      <c r="J203" s="508">
        <v>912</v>
      </c>
      <c r="K203" s="508">
        <v>1076</v>
      </c>
      <c r="L203" s="508">
        <v>1234</v>
      </c>
      <c r="M203" s="508">
        <v>1398</v>
      </c>
      <c r="N203" s="508">
        <v>1557</v>
      </c>
      <c r="O203" s="508">
        <v>1721</v>
      </c>
      <c r="Q203" s="701"/>
      <c r="R203" s="328" t="s">
        <v>121</v>
      </c>
      <c r="S203" s="576">
        <v>84</v>
      </c>
      <c r="T203" s="576">
        <v>88</v>
      </c>
      <c r="U203" s="576">
        <v>43</v>
      </c>
      <c r="V203" s="576">
        <v>39</v>
      </c>
      <c r="W203" s="576">
        <v>40</v>
      </c>
      <c r="X203" s="575">
        <v>52</v>
      </c>
      <c r="Y203" s="508">
        <v>47</v>
      </c>
      <c r="Z203" s="508">
        <v>20</v>
      </c>
      <c r="AA203" s="508">
        <v>44</v>
      </c>
      <c r="AB203" s="508"/>
      <c r="AC203" s="508"/>
      <c r="AD203" s="508"/>
      <c r="AF203" s="701"/>
      <c r="AG203" s="328" t="s">
        <v>121</v>
      </c>
      <c r="AH203" s="576">
        <f t="shared" si="252"/>
        <v>84</v>
      </c>
      <c r="AI203" s="576">
        <f t="shared" si="253"/>
        <v>172</v>
      </c>
      <c r="AJ203" s="576">
        <f t="shared" si="254"/>
        <v>215</v>
      </c>
      <c r="AK203" s="576">
        <f t="shared" si="255"/>
        <v>254</v>
      </c>
      <c r="AL203" s="576">
        <f t="shared" si="256"/>
        <v>294</v>
      </c>
      <c r="AM203" s="576">
        <f t="shared" si="257"/>
        <v>346</v>
      </c>
      <c r="AN203" s="576">
        <f t="shared" si="258"/>
        <v>393</v>
      </c>
      <c r="AO203" s="576">
        <f t="shared" si="259"/>
        <v>413</v>
      </c>
      <c r="AP203" s="576">
        <f t="shared" si="260"/>
        <v>457</v>
      </c>
      <c r="AQ203" s="576">
        <f t="shared" si="261"/>
        <v>0</v>
      </c>
      <c r="AR203" s="576">
        <f t="shared" si="262"/>
        <v>0</v>
      </c>
      <c r="AS203" s="576">
        <f t="shared" si="263"/>
        <v>0</v>
      </c>
    </row>
    <row r="204" spans="2:59" ht="16.5">
      <c r="B204" s="701"/>
      <c r="C204" s="328" t="s">
        <v>89</v>
      </c>
      <c r="D204" s="576">
        <v>149</v>
      </c>
      <c r="E204" s="576">
        <v>304</v>
      </c>
      <c r="F204" s="576">
        <v>466</v>
      </c>
      <c r="G204" s="576">
        <v>622</v>
      </c>
      <c r="H204" s="576">
        <v>861</v>
      </c>
      <c r="I204" s="576">
        <v>1093</v>
      </c>
      <c r="J204" s="508">
        <v>1333</v>
      </c>
      <c r="K204" s="508">
        <v>1573</v>
      </c>
      <c r="L204" s="508">
        <v>1805</v>
      </c>
      <c r="M204" s="508">
        <v>2045</v>
      </c>
      <c r="N204" s="508">
        <v>2277</v>
      </c>
      <c r="O204" s="508">
        <v>2517</v>
      </c>
      <c r="Q204" s="701"/>
      <c r="R204" s="328" t="s">
        <v>89</v>
      </c>
      <c r="S204" s="576">
        <v>114</v>
      </c>
      <c r="T204" s="576">
        <v>99</v>
      </c>
      <c r="U204" s="576">
        <v>109</v>
      </c>
      <c r="V204" s="576">
        <v>142</v>
      </c>
      <c r="W204" s="576">
        <v>95</v>
      </c>
      <c r="X204" s="575">
        <v>95</v>
      </c>
      <c r="Y204" s="508">
        <v>103</v>
      </c>
      <c r="Z204" s="508">
        <v>69</v>
      </c>
      <c r="AA204" s="508">
        <v>138</v>
      </c>
      <c r="AB204" s="508"/>
      <c r="AC204" s="508"/>
      <c r="AD204" s="508"/>
      <c r="AF204" s="701"/>
      <c r="AG204" s="328" t="s">
        <v>89</v>
      </c>
      <c r="AH204" s="576">
        <f t="shared" si="252"/>
        <v>114</v>
      </c>
      <c r="AI204" s="576">
        <f t="shared" si="253"/>
        <v>213</v>
      </c>
      <c r="AJ204" s="576">
        <f t="shared" si="254"/>
        <v>322</v>
      </c>
      <c r="AK204" s="576">
        <f t="shared" si="255"/>
        <v>464</v>
      </c>
      <c r="AL204" s="576">
        <f t="shared" si="256"/>
        <v>559</v>
      </c>
      <c r="AM204" s="576">
        <f t="shared" si="257"/>
        <v>654</v>
      </c>
      <c r="AN204" s="576">
        <f t="shared" si="258"/>
        <v>757</v>
      </c>
      <c r="AO204" s="576">
        <f t="shared" si="259"/>
        <v>826</v>
      </c>
      <c r="AP204" s="576">
        <f t="shared" si="260"/>
        <v>964</v>
      </c>
      <c r="AQ204" s="576">
        <f t="shared" si="261"/>
        <v>0</v>
      </c>
      <c r="AR204" s="576">
        <f t="shared" si="262"/>
        <v>0</v>
      </c>
      <c r="AS204" s="576">
        <f t="shared" si="263"/>
        <v>0</v>
      </c>
    </row>
    <row r="205" spans="2:59" ht="16.5">
      <c r="B205" s="702"/>
      <c r="C205" s="329" t="s">
        <v>90</v>
      </c>
      <c r="D205" s="580">
        <v>631</v>
      </c>
      <c r="E205" s="580">
        <v>1283</v>
      </c>
      <c r="F205" s="580">
        <v>1968</v>
      </c>
      <c r="G205" s="580">
        <v>2626</v>
      </c>
      <c r="H205" s="580">
        <v>3639</v>
      </c>
      <c r="I205" s="580">
        <v>4619</v>
      </c>
      <c r="J205" s="530">
        <v>5632</v>
      </c>
      <c r="K205" s="530">
        <v>6645</v>
      </c>
      <c r="L205" s="530">
        <v>7625</v>
      </c>
      <c r="M205" s="530">
        <v>8638</v>
      </c>
      <c r="N205" s="530">
        <v>9618</v>
      </c>
      <c r="O205" s="530">
        <v>10632</v>
      </c>
      <c r="Q205" s="702"/>
      <c r="R205" s="329" t="s">
        <v>90</v>
      </c>
      <c r="S205" s="580">
        <f t="shared" ref="S205:AD205" si="264">SUM(S200:S204)</f>
        <v>498</v>
      </c>
      <c r="T205" s="580">
        <f t="shared" si="264"/>
        <v>467</v>
      </c>
      <c r="U205" s="580">
        <f t="shared" si="264"/>
        <v>399</v>
      </c>
      <c r="V205" s="580">
        <f t="shared" si="264"/>
        <v>428</v>
      </c>
      <c r="W205" s="580">
        <f t="shared" si="264"/>
        <v>361</v>
      </c>
      <c r="X205" s="578">
        <f t="shared" si="264"/>
        <v>408</v>
      </c>
      <c r="Y205" s="581">
        <f t="shared" si="264"/>
        <v>369</v>
      </c>
      <c r="Z205" s="581">
        <f t="shared" si="264"/>
        <v>363</v>
      </c>
      <c r="AA205" s="581">
        <f t="shared" si="264"/>
        <v>468</v>
      </c>
      <c r="AB205" s="581">
        <f t="shared" si="264"/>
        <v>0</v>
      </c>
      <c r="AC205" s="581">
        <f t="shared" si="264"/>
        <v>0</v>
      </c>
      <c r="AD205" s="581">
        <f t="shared" si="264"/>
        <v>0</v>
      </c>
      <c r="AF205" s="702"/>
      <c r="AG205" s="329" t="s">
        <v>90</v>
      </c>
      <c r="AH205" s="580">
        <f t="shared" si="248"/>
        <v>498</v>
      </c>
      <c r="AI205" s="580">
        <f t="shared" si="249"/>
        <v>965</v>
      </c>
      <c r="AJ205" s="580">
        <f t="shared" ref="AJ205:AS205" si="265">SUM(AJ200:AJ204)</f>
        <v>1364</v>
      </c>
      <c r="AK205" s="580">
        <f t="shared" si="265"/>
        <v>1792</v>
      </c>
      <c r="AL205" s="580">
        <f t="shared" si="265"/>
        <v>2153</v>
      </c>
      <c r="AM205" s="580">
        <f t="shared" si="265"/>
        <v>2561</v>
      </c>
      <c r="AN205" s="580">
        <f t="shared" si="265"/>
        <v>2930</v>
      </c>
      <c r="AO205" s="580">
        <f t="shared" si="265"/>
        <v>3293</v>
      </c>
      <c r="AP205" s="580">
        <f t="shared" si="265"/>
        <v>3761</v>
      </c>
      <c r="AQ205" s="580">
        <f t="shared" si="265"/>
        <v>0</v>
      </c>
      <c r="AR205" s="580">
        <f t="shared" si="265"/>
        <v>0</v>
      </c>
      <c r="AS205" s="580">
        <f t="shared" si="265"/>
        <v>0</v>
      </c>
    </row>
    <row r="206" spans="2:59" ht="14.45" customHeight="1">
      <c r="B206" s="700" t="s">
        <v>210</v>
      </c>
      <c r="C206" s="328" t="s">
        <v>128</v>
      </c>
      <c r="D206" s="576">
        <v>28</v>
      </c>
      <c r="E206" s="576">
        <v>56</v>
      </c>
      <c r="F206" s="576">
        <v>84</v>
      </c>
      <c r="G206" s="576">
        <v>112</v>
      </c>
      <c r="H206" s="576">
        <v>140</v>
      </c>
      <c r="I206" s="576">
        <v>168</v>
      </c>
      <c r="J206" s="508">
        <v>186</v>
      </c>
      <c r="K206" s="508">
        <v>204</v>
      </c>
      <c r="L206" s="508">
        <v>222</v>
      </c>
      <c r="M206" s="508">
        <v>240</v>
      </c>
      <c r="N206" s="508">
        <v>258</v>
      </c>
      <c r="O206" s="508">
        <v>276</v>
      </c>
      <c r="Q206" s="700" t="str">
        <f>B206</f>
        <v>Jumlah Penambahan Pelanggan Produk Tematik</v>
      </c>
      <c r="R206" s="328" t="s">
        <v>128</v>
      </c>
      <c r="S206" s="576">
        <v>54</v>
      </c>
      <c r="T206" s="576">
        <v>8</v>
      </c>
      <c r="U206" s="576">
        <v>16</v>
      </c>
      <c r="V206" s="576">
        <v>0</v>
      </c>
      <c r="W206" s="576">
        <v>22</v>
      </c>
      <c r="X206" s="576">
        <v>60</v>
      </c>
      <c r="Y206" s="508">
        <v>70</v>
      </c>
      <c r="Z206" s="508">
        <v>30</v>
      </c>
      <c r="AA206" s="508">
        <v>22</v>
      </c>
      <c r="AB206" s="508"/>
      <c r="AC206" s="508"/>
      <c r="AD206" s="508"/>
      <c r="AF206" s="700" t="str">
        <f>B206</f>
        <v>Jumlah Penambahan Pelanggan Produk Tematik</v>
      </c>
      <c r="AG206" s="328" t="s">
        <v>128</v>
      </c>
      <c r="AH206" s="576">
        <f t="shared" ref="AH206:AH210" si="266">S206</f>
        <v>54</v>
      </c>
      <c r="AI206" s="576">
        <f t="shared" ref="AI206:AI210" si="267">IF(T206=0,0,AH206+T206)</f>
        <v>62</v>
      </c>
      <c r="AJ206" s="576">
        <f t="shared" ref="AJ206:AJ210" si="268">IF(U206=0,0,AI206+U206)</f>
        <v>78</v>
      </c>
      <c r="AK206" s="576">
        <f>IF(V206&gt;0,0,AJ206+V206)</f>
        <v>78</v>
      </c>
      <c r="AL206" s="576">
        <f t="shared" ref="AL206:AL210" si="269">IF(W206=0,0,AK206+W206)</f>
        <v>100</v>
      </c>
      <c r="AM206" s="576">
        <f t="shared" ref="AM206:AM210" si="270">IF(X206=0,0,AL206+X206)</f>
        <v>160</v>
      </c>
      <c r="AN206" s="508">
        <f t="shared" ref="AN206:AN210" si="271">IF(Y206=0,0,AM206+Y206)</f>
        <v>230</v>
      </c>
      <c r="AO206" s="508">
        <f t="shared" ref="AO206:AO210" si="272">IF(Z206=0,0,AN206+Z206)</f>
        <v>260</v>
      </c>
      <c r="AP206" s="508">
        <f t="shared" ref="AP206:AP210" si="273">IF(AA206=0,0,AO206+AA206)</f>
        <v>282</v>
      </c>
      <c r="AQ206" s="508">
        <f t="shared" ref="AQ206:AQ210" si="274">IF(AB206=0,0,AP206+AB206)</f>
        <v>0</v>
      </c>
      <c r="AR206" s="508">
        <f t="shared" ref="AR206:AR210" si="275">IF(AC206=0,0,AQ206+AC206)</f>
        <v>0</v>
      </c>
      <c r="AS206" s="508">
        <f t="shared" ref="AS206:AS210" si="276">IF(AD206=0,0,AR206+AD206)</f>
        <v>0</v>
      </c>
    </row>
    <row r="207" spans="2:59" ht="16.5">
      <c r="B207" s="701"/>
      <c r="C207" s="328" t="s">
        <v>87</v>
      </c>
      <c r="D207" s="576">
        <v>22</v>
      </c>
      <c r="E207" s="576">
        <v>44</v>
      </c>
      <c r="F207" s="576">
        <v>66</v>
      </c>
      <c r="G207" s="576">
        <v>88</v>
      </c>
      <c r="H207" s="576">
        <v>110</v>
      </c>
      <c r="I207" s="576">
        <v>132</v>
      </c>
      <c r="J207" s="508">
        <v>147</v>
      </c>
      <c r="K207" s="508">
        <v>162</v>
      </c>
      <c r="L207" s="508">
        <v>177</v>
      </c>
      <c r="M207" s="508">
        <v>192</v>
      </c>
      <c r="N207" s="508">
        <v>207</v>
      </c>
      <c r="O207" s="508">
        <v>222</v>
      </c>
      <c r="Q207" s="701"/>
      <c r="R207" s="328" t="s">
        <v>87</v>
      </c>
      <c r="S207" s="576">
        <v>19</v>
      </c>
      <c r="T207" s="576">
        <v>20</v>
      </c>
      <c r="U207" s="576">
        <v>3</v>
      </c>
      <c r="V207" s="576">
        <v>0</v>
      </c>
      <c r="W207" s="576">
        <v>16</v>
      </c>
      <c r="X207" s="576">
        <v>10</v>
      </c>
      <c r="Y207" s="508">
        <v>16</v>
      </c>
      <c r="Z207" s="508">
        <v>24</v>
      </c>
      <c r="AA207" s="508">
        <v>10</v>
      </c>
      <c r="AB207" s="508"/>
      <c r="AC207" s="508"/>
      <c r="AD207" s="508"/>
      <c r="AF207" s="701"/>
      <c r="AG207" s="328" t="s">
        <v>87</v>
      </c>
      <c r="AH207" s="576">
        <f t="shared" si="266"/>
        <v>19</v>
      </c>
      <c r="AI207" s="576">
        <f t="shared" si="267"/>
        <v>39</v>
      </c>
      <c r="AJ207" s="576">
        <f t="shared" si="268"/>
        <v>42</v>
      </c>
      <c r="AK207" s="576">
        <f t="shared" ref="AK207:AK210" si="277">IF(V207&gt;0,0,AJ207+V207)</f>
        <v>42</v>
      </c>
      <c r="AL207" s="576">
        <f t="shared" si="269"/>
        <v>58</v>
      </c>
      <c r="AM207" s="576">
        <f t="shared" si="270"/>
        <v>68</v>
      </c>
      <c r="AN207" s="508">
        <f t="shared" si="271"/>
        <v>84</v>
      </c>
      <c r="AO207" s="508">
        <f t="shared" si="272"/>
        <v>108</v>
      </c>
      <c r="AP207" s="508">
        <f t="shared" si="273"/>
        <v>118</v>
      </c>
      <c r="AQ207" s="508">
        <f t="shared" si="274"/>
        <v>0</v>
      </c>
      <c r="AR207" s="508">
        <f t="shared" si="275"/>
        <v>0</v>
      </c>
      <c r="AS207" s="508">
        <f t="shared" si="276"/>
        <v>0</v>
      </c>
    </row>
    <row r="208" spans="2:59" ht="16.5">
      <c r="B208" s="701"/>
      <c r="C208" s="328" t="s">
        <v>88</v>
      </c>
      <c r="D208" s="576">
        <v>15</v>
      </c>
      <c r="E208" s="576">
        <v>30</v>
      </c>
      <c r="F208" s="576">
        <v>45</v>
      </c>
      <c r="G208" s="576">
        <v>60</v>
      </c>
      <c r="H208" s="576">
        <v>75</v>
      </c>
      <c r="I208" s="576">
        <v>90</v>
      </c>
      <c r="J208" s="508">
        <v>100</v>
      </c>
      <c r="K208" s="508">
        <v>110</v>
      </c>
      <c r="L208" s="508">
        <v>120</v>
      </c>
      <c r="M208" s="508">
        <v>130</v>
      </c>
      <c r="N208" s="508">
        <v>140</v>
      </c>
      <c r="O208" s="508">
        <v>150</v>
      </c>
      <c r="Q208" s="701"/>
      <c r="R208" s="328" t="s">
        <v>88</v>
      </c>
      <c r="S208" s="576">
        <v>17</v>
      </c>
      <c r="T208" s="576">
        <v>1</v>
      </c>
      <c r="U208" s="576">
        <v>16</v>
      </c>
      <c r="V208" s="576">
        <v>0</v>
      </c>
      <c r="W208" s="576">
        <v>16</v>
      </c>
      <c r="X208" s="576">
        <v>49</v>
      </c>
      <c r="Y208" s="508">
        <v>0</v>
      </c>
      <c r="Z208" s="508">
        <v>34</v>
      </c>
      <c r="AA208" s="508">
        <v>5</v>
      </c>
      <c r="AB208" s="508"/>
      <c r="AC208" s="508"/>
      <c r="AD208" s="508"/>
      <c r="AF208" s="701"/>
      <c r="AG208" s="328" t="s">
        <v>88</v>
      </c>
      <c r="AH208" s="576">
        <f t="shared" si="266"/>
        <v>17</v>
      </c>
      <c r="AI208" s="576">
        <f t="shared" si="267"/>
        <v>18</v>
      </c>
      <c r="AJ208" s="576">
        <f t="shared" si="268"/>
        <v>34</v>
      </c>
      <c r="AK208" s="576">
        <f t="shared" si="277"/>
        <v>34</v>
      </c>
      <c r="AL208" s="576">
        <f t="shared" si="269"/>
        <v>50</v>
      </c>
      <c r="AM208" s="576">
        <f t="shared" si="270"/>
        <v>99</v>
      </c>
      <c r="AN208" s="508">
        <f>IF(Y208&gt;0,0,AM208+Y208)</f>
        <v>99</v>
      </c>
      <c r="AO208" s="508">
        <f t="shared" si="272"/>
        <v>133</v>
      </c>
      <c r="AP208" s="508">
        <f t="shared" si="273"/>
        <v>138</v>
      </c>
      <c r="AQ208" s="508">
        <f t="shared" si="274"/>
        <v>0</v>
      </c>
      <c r="AR208" s="508">
        <f t="shared" si="275"/>
        <v>0</v>
      </c>
      <c r="AS208" s="508">
        <f t="shared" si="276"/>
        <v>0</v>
      </c>
    </row>
    <row r="209" spans="2:45" ht="16.5">
      <c r="B209" s="701"/>
      <c r="C209" s="328" t="s">
        <v>121</v>
      </c>
      <c r="D209" s="576">
        <v>15</v>
      </c>
      <c r="E209" s="576">
        <v>30</v>
      </c>
      <c r="F209" s="576">
        <v>45</v>
      </c>
      <c r="G209" s="576">
        <v>60</v>
      </c>
      <c r="H209" s="576">
        <v>75</v>
      </c>
      <c r="I209" s="576">
        <v>90</v>
      </c>
      <c r="J209" s="508">
        <v>100</v>
      </c>
      <c r="K209" s="508">
        <v>110</v>
      </c>
      <c r="L209" s="508">
        <v>120</v>
      </c>
      <c r="M209" s="508">
        <v>130</v>
      </c>
      <c r="N209" s="508">
        <v>140</v>
      </c>
      <c r="O209" s="508">
        <v>150</v>
      </c>
      <c r="Q209" s="701"/>
      <c r="R209" s="328" t="s">
        <v>121</v>
      </c>
      <c r="S209" s="576">
        <v>8</v>
      </c>
      <c r="T209" s="576">
        <v>4</v>
      </c>
      <c r="U209" s="576">
        <v>21</v>
      </c>
      <c r="V209" s="576">
        <v>0</v>
      </c>
      <c r="W209" s="576">
        <v>9</v>
      </c>
      <c r="X209" s="576">
        <v>0</v>
      </c>
      <c r="Y209" s="508">
        <v>0</v>
      </c>
      <c r="Z209" s="508">
        <v>26</v>
      </c>
      <c r="AA209" s="508">
        <v>10</v>
      </c>
      <c r="AB209" s="508"/>
      <c r="AC209" s="105"/>
      <c r="AD209" s="508"/>
      <c r="AF209" s="701"/>
      <c r="AG209" s="328" t="s">
        <v>121</v>
      </c>
      <c r="AH209" s="576">
        <f t="shared" si="266"/>
        <v>8</v>
      </c>
      <c r="AI209" s="576">
        <f t="shared" si="267"/>
        <v>12</v>
      </c>
      <c r="AJ209" s="576">
        <f t="shared" si="268"/>
        <v>33</v>
      </c>
      <c r="AK209" s="576">
        <f t="shared" si="277"/>
        <v>33</v>
      </c>
      <c r="AL209" s="576">
        <f t="shared" si="269"/>
        <v>42</v>
      </c>
      <c r="AM209" s="576">
        <f>IF(X209&gt;0,0,AL209+X209)</f>
        <v>42</v>
      </c>
      <c r="AN209" s="508">
        <f>IF(Y209&gt;0,0,AM209+Y209)</f>
        <v>42</v>
      </c>
      <c r="AO209" s="508">
        <f t="shared" si="272"/>
        <v>68</v>
      </c>
      <c r="AP209" s="508">
        <f t="shared" si="273"/>
        <v>78</v>
      </c>
      <c r="AQ209" s="508">
        <f t="shared" si="274"/>
        <v>0</v>
      </c>
      <c r="AR209" s="508">
        <f t="shared" si="275"/>
        <v>0</v>
      </c>
      <c r="AS209" s="508">
        <f t="shared" si="276"/>
        <v>0</v>
      </c>
    </row>
    <row r="210" spans="2:45" ht="16.5">
      <c r="B210" s="701"/>
      <c r="C210" s="328" t="s">
        <v>89</v>
      </c>
      <c r="D210" s="576">
        <v>20</v>
      </c>
      <c r="E210" s="576">
        <v>40</v>
      </c>
      <c r="F210" s="576">
        <v>60</v>
      </c>
      <c r="G210" s="576">
        <v>80</v>
      </c>
      <c r="H210" s="576">
        <v>100</v>
      </c>
      <c r="I210" s="576">
        <v>120</v>
      </c>
      <c r="J210" s="508">
        <v>133</v>
      </c>
      <c r="K210" s="508">
        <v>146</v>
      </c>
      <c r="L210" s="508">
        <v>159</v>
      </c>
      <c r="M210" s="508">
        <v>172</v>
      </c>
      <c r="N210" s="508">
        <v>185</v>
      </c>
      <c r="O210" s="508">
        <v>198</v>
      </c>
      <c r="Q210" s="701"/>
      <c r="R210" s="328" t="s">
        <v>89</v>
      </c>
      <c r="S210" s="576">
        <v>28</v>
      </c>
      <c r="T210" s="576">
        <v>12</v>
      </c>
      <c r="U210" s="576">
        <v>24</v>
      </c>
      <c r="V210" s="576">
        <v>0</v>
      </c>
      <c r="W210" s="576">
        <v>33</v>
      </c>
      <c r="X210" s="576">
        <v>41</v>
      </c>
      <c r="Y210" s="508">
        <v>6</v>
      </c>
      <c r="Z210" s="508">
        <v>31</v>
      </c>
      <c r="AA210" s="508">
        <v>23</v>
      </c>
      <c r="AB210" s="508"/>
      <c r="AC210" s="508"/>
      <c r="AD210" s="508"/>
      <c r="AF210" s="701"/>
      <c r="AG210" s="328" t="s">
        <v>89</v>
      </c>
      <c r="AH210" s="576">
        <f t="shared" si="266"/>
        <v>28</v>
      </c>
      <c r="AI210" s="576">
        <f t="shared" si="267"/>
        <v>40</v>
      </c>
      <c r="AJ210" s="576">
        <f t="shared" si="268"/>
        <v>64</v>
      </c>
      <c r="AK210" s="576">
        <f t="shared" si="277"/>
        <v>64</v>
      </c>
      <c r="AL210" s="576">
        <f t="shared" si="269"/>
        <v>97</v>
      </c>
      <c r="AM210" s="576">
        <f t="shared" si="270"/>
        <v>138</v>
      </c>
      <c r="AN210" s="508">
        <f t="shared" si="271"/>
        <v>144</v>
      </c>
      <c r="AO210" s="508">
        <f t="shared" si="272"/>
        <v>175</v>
      </c>
      <c r="AP210" s="508">
        <f t="shared" si="273"/>
        <v>198</v>
      </c>
      <c r="AQ210" s="508">
        <f t="shared" si="274"/>
        <v>0</v>
      </c>
      <c r="AR210" s="508">
        <f t="shared" si="275"/>
        <v>0</v>
      </c>
      <c r="AS210" s="508">
        <f t="shared" si="276"/>
        <v>0</v>
      </c>
    </row>
    <row r="211" spans="2:45" ht="16.5">
      <c r="B211" s="702"/>
      <c r="C211" s="329" t="s">
        <v>90</v>
      </c>
      <c r="D211" s="580">
        <v>100</v>
      </c>
      <c r="E211" s="580">
        <v>200</v>
      </c>
      <c r="F211" s="580">
        <v>300</v>
      </c>
      <c r="G211" s="580">
        <v>400</v>
      </c>
      <c r="H211" s="580">
        <v>500</v>
      </c>
      <c r="I211" s="580">
        <v>600</v>
      </c>
      <c r="J211" s="580">
        <v>666</v>
      </c>
      <c r="K211" s="580">
        <v>732</v>
      </c>
      <c r="L211" s="580">
        <v>798</v>
      </c>
      <c r="M211" s="580">
        <v>864</v>
      </c>
      <c r="N211" s="580">
        <v>930</v>
      </c>
      <c r="O211" s="580">
        <v>996</v>
      </c>
      <c r="Q211" s="702"/>
      <c r="R211" s="329" t="s">
        <v>90</v>
      </c>
      <c r="S211" s="580">
        <f>SUM(S206:S210)</f>
        <v>126</v>
      </c>
      <c r="T211" s="580">
        <f t="shared" ref="T211:AD211" si="278">SUM(T206:T210)</f>
        <v>45</v>
      </c>
      <c r="U211" s="580">
        <f t="shared" si="278"/>
        <v>80</v>
      </c>
      <c r="V211" s="580">
        <f t="shared" si="278"/>
        <v>0</v>
      </c>
      <c r="W211" s="580">
        <f t="shared" si="278"/>
        <v>96</v>
      </c>
      <c r="X211" s="580">
        <f t="shared" si="278"/>
        <v>160</v>
      </c>
      <c r="Y211" s="580">
        <f>SUM(Y206:Y210)</f>
        <v>92</v>
      </c>
      <c r="Z211" s="580">
        <f t="shared" si="278"/>
        <v>145</v>
      </c>
      <c r="AA211" s="580">
        <f t="shared" si="278"/>
        <v>70</v>
      </c>
      <c r="AB211" s="580">
        <f t="shared" si="278"/>
        <v>0</v>
      </c>
      <c r="AC211" s="580">
        <f>SUM(AC206:AC210)</f>
        <v>0</v>
      </c>
      <c r="AD211" s="580">
        <f t="shared" si="278"/>
        <v>0</v>
      </c>
      <c r="AF211" s="702"/>
      <c r="AG211" s="329" t="s">
        <v>90</v>
      </c>
      <c r="AH211" s="580">
        <f>SUM(AH206:AH210)</f>
        <v>126</v>
      </c>
      <c r="AI211" s="580">
        <f t="shared" ref="AI211:AS211" si="279">SUM(AI206:AI210)</f>
        <v>171</v>
      </c>
      <c r="AJ211" s="580">
        <f t="shared" si="279"/>
        <v>251</v>
      </c>
      <c r="AK211" s="580">
        <f t="shared" si="279"/>
        <v>251</v>
      </c>
      <c r="AL211" s="580">
        <f t="shared" si="279"/>
        <v>347</v>
      </c>
      <c r="AM211" s="580">
        <f t="shared" si="279"/>
        <v>507</v>
      </c>
      <c r="AN211" s="580">
        <f t="shared" si="279"/>
        <v>599</v>
      </c>
      <c r="AO211" s="580">
        <f t="shared" si="279"/>
        <v>744</v>
      </c>
      <c r="AP211" s="580">
        <f t="shared" si="279"/>
        <v>814</v>
      </c>
      <c r="AQ211" s="580">
        <f t="shared" si="279"/>
        <v>0</v>
      </c>
      <c r="AR211" s="580">
        <f t="shared" si="279"/>
        <v>0</v>
      </c>
      <c r="AS211" s="580">
        <f t="shared" si="279"/>
        <v>0</v>
      </c>
    </row>
    <row r="212" spans="2:45" ht="14.45" customHeight="1">
      <c r="B212" s="700" t="s">
        <v>211</v>
      </c>
      <c r="C212" s="328" t="s">
        <v>128</v>
      </c>
      <c r="D212" s="576">
        <v>0</v>
      </c>
      <c r="E212" s="576">
        <v>0</v>
      </c>
      <c r="F212" s="576">
        <v>0</v>
      </c>
      <c r="G212" s="576">
        <v>4</v>
      </c>
      <c r="H212" s="576">
        <v>4</v>
      </c>
      <c r="I212" s="576">
        <v>4</v>
      </c>
      <c r="J212" s="508">
        <v>5</v>
      </c>
      <c r="K212" s="508">
        <v>5</v>
      </c>
      <c r="L212" s="508">
        <v>5</v>
      </c>
      <c r="M212" s="508">
        <v>5</v>
      </c>
      <c r="N212" s="508">
        <v>5</v>
      </c>
      <c r="O212" s="508">
        <v>5</v>
      </c>
      <c r="Q212" s="700" t="str">
        <f>B212</f>
        <v>Implementasi Kesesuaian Sektor Bisnis sesuai KBLI 2020</v>
      </c>
      <c r="R212" s="328" t="s">
        <v>128</v>
      </c>
      <c r="S212" s="576">
        <v>0</v>
      </c>
      <c r="T212" s="576">
        <v>0</v>
      </c>
      <c r="U212" s="576">
        <v>0</v>
      </c>
      <c r="V212" s="576">
        <v>5</v>
      </c>
      <c r="W212" s="576">
        <v>0</v>
      </c>
      <c r="X212" s="576">
        <v>0</v>
      </c>
      <c r="Y212" s="508">
        <v>1</v>
      </c>
      <c r="Z212" s="508">
        <v>0</v>
      </c>
      <c r="AA212" s="508">
        <v>0</v>
      </c>
      <c r="AB212" s="508"/>
      <c r="AC212" s="508"/>
      <c r="AD212" s="508"/>
      <c r="AF212" s="700" t="str">
        <f>B212</f>
        <v>Implementasi Kesesuaian Sektor Bisnis sesuai KBLI 2020</v>
      </c>
      <c r="AG212" s="328" t="s">
        <v>128</v>
      </c>
      <c r="AH212" s="576">
        <f t="shared" ref="AH212:AH216" si="280">S212</f>
        <v>0</v>
      </c>
      <c r="AI212" s="576">
        <f t="shared" ref="AI212:AI228" si="281">IF(T212=0,0,AH212+T212)</f>
        <v>0</v>
      </c>
      <c r="AJ212" s="576">
        <f t="shared" ref="AJ212:AJ216" si="282">IF(U212=0,0,AI212+U212)</f>
        <v>0</v>
      </c>
      <c r="AK212" s="576">
        <f t="shared" ref="AK212:AK216" si="283">IF(V212=0,0,AJ212+V212)</f>
        <v>5</v>
      </c>
      <c r="AL212" s="576">
        <f>IF(W212&gt;0,0,AK212+W212)</f>
        <v>5</v>
      </c>
      <c r="AM212" s="576">
        <f>IF(X212&gt;0,0,AL212+X212)</f>
        <v>5</v>
      </c>
      <c r="AN212" s="576">
        <f>IF(Y212=0,0,AM212+Y212)</f>
        <v>6</v>
      </c>
      <c r="AO212" s="576">
        <f>IF(Z212&gt;0,0,AN212+Z212)</f>
        <v>6</v>
      </c>
      <c r="AP212" s="576">
        <f>IF(AA212&gt;0,0,AO212+AA212)</f>
        <v>6</v>
      </c>
      <c r="AQ212" s="508">
        <f t="shared" ref="AQ212:AQ216" si="284">IF(AB212=0,0,AP212+AB212)</f>
        <v>0</v>
      </c>
      <c r="AR212" s="508">
        <f t="shared" ref="AR212:AR216" si="285">IF(AC212=0,0,AQ212+AC212)</f>
        <v>0</v>
      </c>
      <c r="AS212" s="508">
        <f t="shared" ref="AS212:AS216" si="286">IF(AD212=0,0,AR212+AD212)</f>
        <v>0</v>
      </c>
    </row>
    <row r="213" spans="2:45" ht="16.5">
      <c r="B213" s="701"/>
      <c r="C213" s="328" t="s">
        <v>87</v>
      </c>
      <c r="D213" s="576">
        <v>0</v>
      </c>
      <c r="E213" s="576">
        <v>0</v>
      </c>
      <c r="F213" s="576">
        <v>0</v>
      </c>
      <c r="G213" s="576">
        <v>0</v>
      </c>
      <c r="H213" s="576">
        <v>0</v>
      </c>
      <c r="I213" s="576">
        <v>0</v>
      </c>
      <c r="J213" s="508">
        <v>0</v>
      </c>
      <c r="K213" s="508">
        <v>0</v>
      </c>
      <c r="L213" s="508">
        <v>0</v>
      </c>
      <c r="M213" s="508">
        <v>0</v>
      </c>
      <c r="N213" s="508">
        <v>0</v>
      </c>
      <c r="O213" s="508">
        <v>0</v>
      </c>
      <c r="Q213" s="701"/>
      <c r="R213" s="328" t="s">
        <v>87</v>
      </c>
      <c r="S213" s="576">
        <v>0</v>
      </c>
      <c r="T213" s="576">
        <v>0</v>
      </c>
      <c r="U213" s="576">
        <v>0</v>
      </c>
      <c r="V213" s="576">
        <v>0</v>
      </c>
      <c r="W213" s="576">
        <v>0</v>
      </c>
      <c r="X213" s="576">
        <v>0</v>
      </c>
      <c r="Y213" s="508">
        <v>0</v>
      </c>
      <c r="Z213" s="508">
        <v>0</v>
      </c>
      <c r="AA213" s="508">
        <v>0</v>
      </c>
      <c r="AB213" s="508"/>
      <c r="AC213" s="508"/>
      <c r="AD213" s="508"/>
      <c r="AF213" s="701"/>
      <c r="AG213" s="328" t="s">
        <v>87</v>
      </c>
      <c r="AH213" s="576">
        <f t="shared" si="280"/>
        <v>0</v>
      </c>
      <c r="AI213" s="576">
        <f t="shared" si="281"/>
        <v>0</v>
      </c>
      <c r="AJ213" s="576">
        <f t="shared" si="282"/>
        <v>0</v>
      </c>
      <c r="AK213" s="576">
        <f t="shared" si="283"/>
        <v>0</v>
      </c>
      <c r="AL213" s="576">
        <f t="shared" ref="AL213:AN213" si="287">IF(W213&gt;0,0,AK213+W213)</f>
        <v>0</v>
      </c>
      <c r="AM213" s="576">
        <f t="shared" si="287"/>
        <v>0</v>
      </c>
      <c r="AN213" s="576">
        <f t="shared" si="287"/>
        <v>0</v>
      </c>
      <c r="AO213" s="508">
        <f t="shared" ref="AO213:AP216" si="288">IF(Z213=0,0,AN213+Z213)</f>
        <v>0</v>
      </c>
      <c r="AP213" s="508">
        <f t="shared" si="288"/>
        <v>0</v>
      </c>
      <c r="AQ213" s="508">
        <f t="shared" si="284"/>
        <v>0</v>
      </c>
      <c r="AR213" s="508">
        <f t="shared" si="285"/>
        <v>0</v>
      </c>
      <c r="AS213" s="508">
        <f t="shared" si="286"/>
        <v>0</v>
      </c>
    </row>
    <row r="214" spans="2:45" ht="16.5">
      <c r="B214" s="701"/>
      <c r="C214" s="328" t="s">
        <v>88</v>
      </c>
      <c r="D214" s="576">
        <v>0</v>
      </c>
      <c r="E214" s="576">
        <v>0</v>
      </c>
      <c r="F214" s="576">
        <v>0</v>
      </c>
      <c r="G214" s="576">
        <v>1</v>
      </c>
      <c r="H214" s="576">
        <v>1</v>
      </c>
      <c r="I214" s="576">
        <v>1</v>
      </c>
      <c r="J214" s="576">
        <v>1</v>
      </c>
      <c r="K214" s="576">
        <v>1</v>
      </c>
      <c r="L214" s="576">
        <v>1</v>
      </c>
      <c r="M214" s="576">
        <v>1</v>
      </c>
      <c r="N214" s="576">
        <v>1</v>
      </c>
      <c r="O214" s="576">
        <v>1</v>
      </c>
      <c r="Q214" s="701"/>
      <c r="R214" s="328" t="s">
        <v>88</v>
      </c>
      <c r="S214" s="576">
        <v>0</v>
      </c>
      <c r="T214" s="576">
        <v>0</v>
      </c>
      <c r="U214" s="576">
        <v>0</v>
      </c>
      <c r="V214" s="576">
        <v>0</v>
      </c>
      <c r="W214" s="576">
        <v>0</v>
      </c>
      <c r="X214" s="576">
        <v>0</v>
      </c>
      <c r="Y214" s="508">
        <v>0</v>
      </c>
      <c r="Z214" s="508">
        <v>0</v>
      </c>
      <c r="AA214" s="508">
        <v>0</v>
      </c>
      <c r="AB214" s="508"/>
      <c r="AC214" s="508"/>
      <c r="AD214" s="508"/>
      <c r="AF214" s="701"/>
      <c r="AG214" s="328" t="s">
        <v>88</v>
      </c>
      <c r="AH214" s="576">
        <f t="shared" si="280"/>
        <v>0</v>
      </c>
      <c r="AI214" s="576">
        <f t="shared" si="281"/>
        <v>0</v>
      </c>
      <c r="AJ214" s="576">
        <f t="shared" si="282"/>
        <v>0</v>
      </c>
      <c r="AK214" s="576">
        <f t="shared" si="283"/>
        <v>0</v>
      </c>
      <c r="AL214" s="576">
        <f t="shared" ref="AL214:AN214" si="289">IF(W214&gt;0,0,AK214+W214)</f>
        <v>0</v>
      </c>
      <c r="AM214" s="576">
        <f t="shared" si="289"/>
        <v>0</v>
      </c>
      <c r="AN214" s="576">
        <f t="shared" si="289"/>
        <v>0</v>
      </c>
      <c r="AO214" s="508">
        <f t="shared" si="288"/>
        <v>0</v>
      </c>
      <c r="AP214" s="508">
        <f t="shared" si="288"/>
        <v>0</v>
      </c>
      <c r="AQ214" s="508">
        <f t="shared" si="284"/>
        <v>0</v>
      </c>
      <c r="AR214" s="508">
        <f t="shared" si="285"/>
        <v>0</v>
      </c>
      <c r="AS214" s="508">
        <f t="shared" si="286"/>
        <v>0</v>
      </c>
    </row>
    <row r="215" spans="2:45" ht="16.5">
      <c r="B215" s="701"/>
      <c r="C215" s="328" t="s">
        <v>121</v>
      </c>
      <c r="D215" s="576">
        <v>0</v>
      </c>
      <c r="E215" s="576">
        <v>0</v>
      </c>
      <c r="F215" s="576">
        <v>0</v>
      </c>
      <c r="G215" s="576">
        <v>2</v>
      </c>
      <c r="H215" s="576">
        <v>2</v>
      </c>
      <c r="I215" s="576">
        <v>2</v>
      </c>
      <c r="J215" s="508">
        <v>2</v>
      </c>
      <c r="K215" s="508">
        <v>2</v>
      </c>
      <c r="L215" s="508">
        <v>2</v>
      </c>
      <c r="M215" s="508">
        <v>2</v>
      </c>
      <c r="N215" s="508">
        <v>2</v>
      </c>
      <c r="O215" s="508">
        <v>2</v>
      </c>
      <c r="Q215" s="701"/>
      <c r="R215" s="328" t="s">
        <v>121</v>
      </c>
      <c r="S215" s="576">
        <v>0</v>
      </c>
      <c r="T215" s="576">
        <v>0</v>
      </c>
      <c r="U215" s="576">
        <v>0</v>
      </c>
      <c r="V215" s="576">
        <v>2</v>
      </c>
      <c r="W215" s="576">
        <v>0</v>
      </c>
      <c r="X215" s="576">
        <v>0</v>
      </c>
      <c r="Y215" s="508">
        <v>0</v>
      </c>
      <c r="Z215" s="508">
        <v>0</v>
      </c>
      <c r="AA215" s="508">
        <v>0</v>
      </c>
      <c r="AB215" s="508"/>
      <c r="AC215" s="508"/>
      <c r="AD215" s="508"/>
      <c r="AF215" s="701"/>
      <c r="AG215" s="328" t="s">
        <v>121</v>
      </c>
      <c r="AH215" s="576">
        <f t="shared" si="280"/>
        <v>0</v>
      </c>
      <c r="AI215" s="576">
        <f t="shared" si="281"/>
        <v>0</v>
      </c>
      <c r="AJ215" s="576">
        <f t="shared" si="282"/>
        <v>0</v>
      </c>
      <c r="AK215" s="576">
        <f t="shared" si="283"/>
        <v>2</v>
      </c>
      <c r="AL215" s="576">
        <f t="shared" ref="AL215:AP215" si="290">IF(W215&gt;0,0,AK215+W215)</f>
        <v>2</v>
      </c>
      <c r="AM215" s="576">
        <f t="shared" si="290"/>
        <v>2</v>
      </c>
      <c r="AN215" s="576">
        <f t="shared" si="290"/>
        <v>2</v>
      </c>
      <c r="AO215" s="576">
        <f t="shared" si="290"/>
        <v>2</v>
      </c>
      <c r="AP215" s="576">
        <f t="shared" si="290"/>
        <v>2</v>
      </c>
      <c r="AQ215" s="508">
        <f t="shared" si="284"/>
        <v>0</v>
      </c>
      <c r="AR215" s="508">
        <f t="shared" si="285"/>
        <v>0</v>
      </c>
      <c r="AS215" s="508">
        <f t="shared" si="286"/>
        <v>0</v>
      </c>
    </row>
    <row r="216" spans="2:45" ht="16.5">
      <c r="B216" s="701"/>
      <c r="C216" s="328" t="s">
        <v>89</v>
      </c>
      <c r="D216" s="576">
        <v>0</v>
      </c>
      <c r="E216" s="576">
        <v>0</v>
      </c>
      <c r="F216" s="576">
        <v>0</v>
      </c>
      <c r="G216" s="576">
        <v>0</v>
      </c>
      <c r="H216" s="576">
        <v>0</v>
      </c>
      <c r="I216" s="576">
        <v>0</v>
      </c>
      <c r="J216" s="508">
        <v>0</v>
      </c>
      <c r="K216" s="508">
        <v>0</v>
      </c>
      <c r="L216" s="508">
        <v>0</v>
      </c>
      <c r="M216" s="508">
        <v>0</v>
      </c>
      <c r="N216" s="508">
        <v>0</v>
      </c>
      <c r="O216" s="508">
        <v>0</v>
      </c>
      <c r="Q216" s="701"/>
      <c r="R216" s="328" t="s">
        <v>89</v>
      </c>
      <c r="S216" s="576">
        <v>0</v>
      </c>
      <c r="T216" s="576">
        <v>0</v>
      </c>
      <c r="U216" s="576">
        <v>0</v>
      </c>
      <c r="V216" s="576">
        <v>0</v>
      </c>
      <c r="W216" s="576">
        <v>0</v>
      </c>
      <c r="X216" s="576">
        <v>0</v>
      </c>
      <c r="Y216" s="508">
        <v>0</v>
      </c>
      <c r="Z216" s="508">
        <v>0</v>
      </c>
      <c r="AA216" s="508">
        <v>0</v>
      </c>
      <c r="AB216" s="508"/>
      <c r="AC216" s="508"/>
      <c r="AD216" s="508"/>
      <c r="AF216" s="701"/>
      <c r="AG216" s="328" t="s">
        <v>89</v>
      </c>
      <c r="AH216" s="576">
        <f t="shared" si="280"/>
        <v>0</v>
      </c>
      <c r="AI216" s="576">
        <f t="shared" si="281"/>
        <v>0</v>
      </c>
      <c r="AJ216" s="576">
        <f t="shared" si="282"/>
        <v>0</v>
      </c>
      <c r="AK216" s="576">
        <f t="shared" si="283"/>
        <v>0</v>
      </c>
      <c r="AL216" s="576">
        <f t="shared" ref="AL216:AN216" si="291">IF(W216&gt;0,0,AK216+W216)</f>
        <v>0</v>
      </c>
      <c r="AM216" s="576">
        <f t="shared" si="291"/>
        <v>0</v>
      </c>
      <c r="AN216" s="576">
        <f t="shared" si="291"/>
        <v>0</v>
      </c>
      <c r="AO216" s="508">
        <f t="shared" si="288"/>
        <v>0</v>
      </c>
      <c r="AP216" s="508">
        <f t="shared" si="288"/>
        <v>0</v>
      </c>
      <c r="AQ216" s="508">
        <f t="shared" si="284"/>
        <v>0</v>
      </c>
      <c r="AR216" s="508">
        <f t="shared" si="285"/>
        <v>0</v>
      </c>
      <c r="AS216" s="508">
        <f t="shared" si="286"/>
        <v>0</v>
      </c>
    </row>
    <row r="217" spans="2:45" ht="16.5">
      <c r="B217" s="702"/>
      <c r="C217" s="329" t="s">
        <v>90</v>
      </c>
      <c r="D217" s="580">
        <v>0</v>
      </c>
      <c r="E217" s="580">
        <v>0</v>
      </c>
      <c r="F217" s="580">
        <v>0</v>
      </c>
      <c r="G217" s="580">
        <v>7</v>
      </c>
      <c r="H217" s="580">
        <v>7</v>
      </c>
      <c r="I217" s="580">
        <v>7</v>
      </c>
      <c r="J217" s="580">
        <v>8</v>
      </c>
      <c r="K217" s="580">
        <v>8</v>
      </c>
      <c r="L217" s="580">
        <v>8</v>
      </c>
      <c r="M217" s="580">
        <v>8</v>
      </c>
      <c r="N217" s="580">
        <v>8</v>
      </c>
      <c r="O217" s="580">
        <v>8</v>
      </c>
      <c r="Q217" s="702"/>
      <c r="R217" s="329" t="s">
        <v>90</v>
      </c>
      <c r="S217" s="580">
        <f>SUM(S212:S216)</f>
        <v>0</v>
      </c>
      <c r="T217" s="580">
        <f t="shared" ref="T217:AD217" si="292">SUM(T212:T216)</f>
        <v>0</v>
      </c>
      <c r="U217" s="580">
        <f t="shared" si="292"/>
        <v>0</v>
      </c>
      <c r="V217" s="580">
        <f t="shared" si="292"/>
        <v>7</v>
      </c>
      <c r="W217" s="580">
        <f t="shared" si="292"/>
        <v>0</v>
      </c>
      <c r="X217" s="580">
        <f>SUM(X212:X216)</f>
        <v>0</v>
      </c>
      <c r="Y217" s="580">
        <f t="shared" si="292"/>
        <v>1</v>
      </c>
      <c r="Z217" s="580">
        <f t="shared" si="292"/>
        <v>0</v>
      </c>
      <c r="AA217" s="580">
        <f t="shared" si="292"/>
        <v>0</v>
      </c>
      <c r="AB217" s="580">
        <f t="shared" si="292"/>
        <v>0</v>
      </c>
      <c r="AC217" s="580">
        <f t="shared" si="292"/>
        <v>0</v>
      </c>
      <c r="AD217" s="580">
        <f t="shared" si="292"/>
        <v>0</v>
      </c>
      <c r="AF217" s="702"/>
      <c r="AG217" s="329" t="s">
        <v>90</v>
      </c>
      <c r="AH217" s="580">
        <f>SUM(AH212:AH216)</f>
        <v>0</v>
      </c>
      <c r="AI217" s="580">
        <f t="shared" si="281"/>
        <v>0</v>
      </c>
      <c r="AJ217" s="580">
        <f t="shared" ref="AJ217" si="293">SUM(AJ212:AJ216)</f>
        <v>0</v>
      </c>
      <c r="AK217" s="580">
        <f t="shared" ref="AK217" si="294">SUM(AK212:AK216)</f>
        <v>7</v>
      </c>
      <c r="AL217" s="580">
        <f t="shared" ref="AL217" si="295">SUM(AL212:AL216)</f>
        <v>7</v>
      </c>
      <c r="AM217" s="580">
        <f t="shared" ref="AM217" si="296">SUM(AM212:AM216)</f>
        <v>7</v>
      </c>
      <c r="AN217" s="530">
        <f t="shared" ref="AN217" si="297">SUM(AN212:AN216)</f>
        <v>8</v>
      </c>
      <c r="AO217" s="530">
        <f t="shared" ref="AO217" si="298">SUM(AO212:AO216)</f>
        <v>8</v>
      </c>
      <c r="AP217" s="530">
        <f t="shared" ref="AP217" si="299">SUM(AP212:AP216)</f>
        <v>8</v>
      </c>
      <c r="AQ217" s="530">
        <f t="shared" ref="AQ217" si="300">SUM(AQ212:AQ216)</f>
        <v>0</v>
      </c>
      <c r="AR217" s="530">
        <f t="shared" ref="AR217" si="301">SUM(AR212:AR216)</f>
        <v>0</v>
      </c>
      <c r="AS217" s="530">
        <f t="shared" ref="AS217" si="302">SUM(AS212:AS216)</f>
        <v>0</v>
      </c>
    </row>
    <row r="218" spans="2:45" ht="14.45" customHeight="1">
      <c r="B218" s="700" t="s">
        <v>212</v>
      </c>
      <c r="C218" s="328" t="s">
        <v>128</v>
      </c>
      <c r="D218" s="576">
        <v>1</v>
      </c>
      <c r="E218" s="576">
        <v>1</v>
      </c>
      <c r="F218" s="576">
        <v>1</v>
      </c>
      <c r="G218" s="576">
        <v>1</v>
      </c>
      <c r="H218" s="576">
        <v>2</v>
      </c>
      <c r="I218" s="576">
        <v>4</v>
      </c>
      <c r="J218" s="508">
        <v>13</v>
      </c>
      <c r="K218" s="508">
        <v>21</v>
      </c>
      <c r="L218" s="508">
        <v>35</v>
      </c>
      <c r="M218" s="508">
        <v>57</v>
      </c>
      <c r="N218" s="508">
        <v>95</v>
      </c>
      <c r="O218" s="508">
        <v>157</v>
      </c>
      <c r="Q218" s="700" t="str">
        <f>B218</f>
        <v>Penambahan Jumlah Pelanggan Rumah Tangga Lisdes</v>
      </c>
      <c r="R218" s="328" t="s">
        <v>128</v>
      </c>
      <c r="S218" s="576">
        <v>0</v>
      </c>
      <c r="T218" s="576">
        <v>2</v>
      </c>
      <c r="U218" s="576">
        <v>5</v>
      </c>
      <c r="V218" s="576">
        <v>3</v>
      </c>
      <c r="W218" s="576">
        <v>0</v>
      </c>
      <c r="X218" s="576">
        <v>0</v>
      </c>
      <c r="Y218" s="508">
        <v>0</v>
      </c>
      <c r="Z218" s="508">
        <v>1</v>
      </c>
      <c r="AA218" s="508">
        <v>0</v>
      </c>
      <c r="AB218" s="508"/>
      <c r="AC218" s="508"/>
      <c r="AD218" s="508"/>
      <c r="AF218" s="700" t="str">
        <f>B218</f>
        <v>Penambahan Jumlah Pelanggan Rumah Tangga Lisdes</v>
      </c>
      <c r="AG218" s="328" t="s">
        <v>128</v>
      </c>
      <c r="AH218" s="576">
        <f t="shared" ref="AH218:AH222" si="303">S218</f>
        <v>0</v>
      </c>
      <c r="AI218" s="576">
        <f t="shared" si="281"/>
        <v>2</v>
      </c>
      <c r="AJ218" s="576">
        <f t="shared" ref="AJ218:AJ222" si="304">IF(U218=0,0,AI218+U218)</f>
        <v>7</v>
      </c>
      <c r="AK218" s="576">
        <f t="shared" ref="AK218:AK222" si="305">IF(V218=0,0,AJ218+V218)</f>
        <v>10</v>
      </c>
      <c r="AL218" s="576">
        <f>IF(W218&gt;0,0,AK218+W218)</f>
        <v>10</v>
      </c>
      <c r="AM218" s="576">
        <f>IF(X218&gt;0,0,AL218+X218)</f>
        <v>10</v>
      </c>
      <c r="AN218" s="508">
        <f>IF(Y218&gt;0,0,AM218+Y218)</f>
        <v>10</v>
      </c>
      <c r="AO218" s="508">
        <f t="shared" ref="AO218:AO222" si="306">IF(Z218=0,0,AN218+Z218)</f>
        <v>11</v>
      </c>
      <c r="AP218" s="508">
        <f>IF(AA218&gt;0,0,AO218+AA218)</f>
        <v>11</v>
      </c>
      <c r="AQ218" s="508">
        <f t="shared" ref="AQ218:AQ222" si="307">IF(AB218=0,0,AP218+AB218)</f>
        <v>0</v>
      </c>
      <c r="AR218" s="508">
        <f t="shared" ref="AR218:AR222" si="308">IF(AC218=0,0,AQ218+AC218)</f>
        <v>0</v>
      </c>
      <c r="AS218" s="508">
        <f t="shared" ref="AS218:AS222" si="309">IF(AD218=0,0,AR218+AD218)</f>
        <v>0</v>
      </c>
    </row>
    <row r="219" spans="2:45" ht="16.5">
      <c r="B219" s="701"/>
      <c r="C219" s="328" t="s">
        <v>87</v>
      </c>
      <c r="D219" s="576">
        <v>1</v>
      </c>
      <c r="E219" s="576">
        <v>1</v>
      </c>
      <c r="F219" s="576">
        <v>1</v>
      </c>
      <c r="G219" s="576">
        <v>1</v>
      </c>
      <c r="H219" s="576">
        <v>2</v>
      </c>
      <c r="I219" s="576">
        <v>3</v>
      </c>
      <c r="J219" s="508">
        <v>3</v>
      </c>
      <c r="K219" s="508">
        <v>5</v>
      </c>
      <c r="L219" s="508">
        <v>8</v>
      </c>
      <c r="M219" s="508">
        <v>12</v>
      </c>
      <c r="N219" s="508">
        <v>20</v>
      </c>
      <c r="O219" s="508">
        <v>33</v>
      </c>
      <c r="Q219" s="701"/>
      <c r="R219" s="328" t="s">
        <v>87</v>
      </c>
      <c r="S219" s="576">
        <v>2</v>
      </c>
      <c r="T219" s="576">
        <v>0</v>
      </c>
      <c r="U219" s="576">
        <v>1</v>
      </c>
      <c r="V219" s="576">
        <v>6</v>
      </c>
      <c r="W219" s="576">
        <v>2</v>
      </c>
      <c r="X219" s="576">
        <v>0</v>
      </c>
      <c r="Y219" s="508">
        <v>2</v>
      </c>
      <c r="Z219" s="508">
        <v>1</v>
      </c>
      <c r="AA219" s="508">
        <v>1</v>
      </c>
      <c r="AB219" s="508"/>
      <c r="AC219" s="508"/>
      <c r="AD219" s="508"/>
      <c r="AF219" s="701"/>
      <c r="AG219" s="328" t="s">
        <v>87</v>
      </c>
      <c r="AH219" s="576">
        <f t="shared" si="303"/>
        <v>2</v>
      </c>
      <c r="AI219" s="576">
        <f>IF(T219&gt;0,0,AH219+T219)</f>
        <v>2</v>
      </c>
      <c r="AJ219" s="576">
        <f t="shared" si="304"/>
        <v>3</v>
      </c>
      <c r="AK219" s="576">
        <f t="shared" si="305"/>
        <v>9</v>
      </c>
      <c r="AL219" s="576">
        <f t="shared" ref="AL219:AL222" si="310">IF(W219=0,0,AK219+W219)</f>
        <v>11</v>
      </c>
      <c r="AM219" s="576">
        <f>IF(X219&lt;0,0,AL219+X219)</f>
        <v>11</v>
      </c>
      <c r="AN219" s="508">
        <f>IF(Y219=0,0,AM219+Y219)</f>
        <v>13</v>
      </c>
      <c r="AO219" s="508">
        <f t="shared" si="306"/>
        <v>14</v>
      </c>
      <c r="AP219" s="508">
        <f t="shared" ref="AP219:AP222" si="311">IF(AA219=0,0,AO219+AA219)</f>
        <v>15</v>
      </c>
      <c r="AQ219" s="508">
        <f t="shared" si="307"/>
        <v>0</v>
      </c>
      <c r="AR219" s="508">
        <f t="shared" si="308"/>
        <v>0</v>
      </c>
      <c r="AS219" s="508">
        <f t="shared" si="309"/>
        <v>0</v>
      </c>
    </row>
    <row r="220" spans="2:45" ht="16.5">
      <c r="B220" s="701"/>
      <c r="C220" s="328" t="s">
        <v>88</v>
      </c>
      <c r="D220" s="576">
        <v>0</v>
      </c>
      <c r="E220" s="576">
        <v>1</v>
      </c>
      <c r="F220" s="576">
        <v>1</v>
      </c>
      <c r="G220" s="576">
        <v>1</v>
      </c>
      <c r="H220" s="576">
        <v>2</v>
      </c>
      <c r="I220" s="576">
        <v>4</v>
      </c>
      <c r="J220" s="508">
        <v>11</v>
      </c>
      <c r="K220" s="508">
        <v>18</v>
      </c>
      <c r="L220" s="508">
        <v>29</v>
      </c>
      <c r="M220" s="508">
        <v>47</v>
      </c>
      <c r="N220" s="508">
        <v>77</v>
      </c>
      <c r="O220" s="508">
        <v>128</v>
      </c>
      <c r="Q220" s="701"/>
      <c r="R220" s="328" t="s">
        <v>88</v>
      </c>
      <c r="S220" s="576">
        <v>35</v>
      </c>
      <c r="T220" s="576">
        <v>9</v>
      </c>
      <c r="U220" s="576">
        <v>4</v>
      </c>
      <c r="V220" s="576">
        <v>5</v>
      </c>
      <c r="W220" s="576">
        <v>1</v>
      </c>
      <c r="X220" s="576">
        <v>0</v>
      </c>
      <c r="Y220" s="508">
        <v>0</v>
      </c>
      <c r="Z220" s="508">
        <v>0</v>
      </c>
      <c r="AA220" s="508">
        <v>0</v>
      </c>
      <c r="AB220" s="508"/>
      <c r="AC220" s="508"/>
      <c r="AD220" s="508"/>
      <c r="AF220" s="701"/>
      <c r="AG220" s="328" t="s">
        <v>88</v>
      </c>
      <c r="AH220" s="576">
        <f t="shared" si="303"/>
        <v>35</v>
      </c>
      <c r="AI220" s="576">
        <f t="shared" si="281"/>
        <v>44</v>
      </c>
      <c r="AJ220" s="576">
        <f t="shared" si="304"/>
        <v>48</v>
      </c>
      <c r="AK220" s="576">
        <f t="shared" si="305"/>
        <v>53</v>
      </c>
      <c r="AL220" s="576">
        <f t="shared" si="310"/>
        <v>54</v>
      </c>
      <c r="AM220" s="576">
        <f t="shared" ref="AM220:AM222" si="312">IF(X220&lt;0,0,AL220+X220)</f>
        <v>54</v>
      </c>
      <c r="AN220" s="508">
        <f>IF(Y220&gt;0,0,AM220+Y220)</f>
        <v>54</v>
      </c>
      <c r="AO220" s="508">
        <f>IF(Z220&gt;0,0,AN220+Z220)</f>
        <v>54</v>
      </c>
      <c r="AP220" s="508">
        <f>IF(AA220&gt;0,0,AO220+AA220)</f>
        <v>54</v>
      </c>
      <c r="AQ220" s="508">
        <f t="shared" si="307"/>
        <v>0</v>
      </c>
      <c r="AR220" s="508">
        <f t="shared" si="308"/>
        <v>0</v>
      </c>
      <c r="AS220" s="508">
        <f t="shared" si="309"/>
        <v>0</v>
      </c>
    </row>
    <row r="221" spans="2:45" ht="16.5">
      <c r="B221" s="701"/>
      <c r="C221" s="328" t="s">
        <v>121</v>
      </c>
      <c r="D221" s="576">
        <v>0</v>
      </c>
      <c r="E221" s="576">
        <v>0</v>
      </c>
      <c r="F221" s="576">
        <v>0</v>
      </c>
      <c r="G221" s="576">
        <v>0</v>
      </c>
      <c r="H221" s="576">
        <v>0</v>
      </c>
      <c r="I221" s="576">
        <v>0</v>
      </c>
      <c r="J221" s="508">
        <v>0</v>
      </c>
      <c r="K221" s="508">
        <v>0</v>
      </c>
      <c r="L221" s="508">
        <v>0</v>
      </c>
      <c r="M221" s="508">
        <v>0</v>
      </c>
      <c r="N221" s="508">
        <v>0</v>
      </c>
      <c r="O221" s="508">
        <v>0</v>
      </c>
      <c r="Q221" s="701"/>
      <c r="R221" s="328" t="s">
        <v>121</v>
      </c>
      <c r="S221" s="576">
        <v>1</v>
      </c>
      <c r="T221" s="576">
        <v>1</v>
      </c>
      <c r="U221" s="576">
        <v>1</v>
      </c>
      <c r="V221" s="576">
        <v>0</v>
      </c>
      <c r="W221" s="576">
        <v>0</v>
      </c>
      <c r="X221" s="576">
        <v>0</v>
      </c>
      <c r="Y221" s="508">
        <v>2</v>
      </c>
      <c r="Z221" s="508">
        <v>0</v>
      </c>
      <c r="AA221" s="508">
        <v>1</v>
      </c>
      <c r="AB221" s="508"/>
      <c r="AC221" s="508"/>
      <c r="AD221" s="508"/>
      <c r="AF221" s="701"/>
      <c r="AG221" s="328" t="s">
        <v>121</v>
      </c>
      <c r="AH221" s="576">
        <f t="shared" si="303"/>
        <v>1</v>
      </c>
      <c r="AI221" s="576">
        <f t="shared" si="281"/>
        <v>2</v>
      </c>
      <c r="AJ221" s="576">
        <f t="shared" si="304"/>
        <v>3</v>
      </c>
      <c r="AK221" s="576">
        <f>IF(V221&gt;0,0,AJ221+V221)</f>
        <v>3</v>
      </c>
      <c r="AL221" s="576">
        <f>IF(W221&gt;0,0,AK221+W221)</f>
        <v>3</v>
      </c>
      <c r="AM221" s="576">
        <f t="shared" si="312"/>
        <v>3</v>
      </c>
      <c r="AN221" s="508">
        <f t="shared" ref="AN221:AN222" si="313">IF(Y221=0,0,AM221+Y221)</f>
        <v>5</v>
      </c>
      <c r="AO221" s="508">
        <f>IF(Z221&gt;0,0,AN221+Z221)</f>
        <v>5</v>
      </c>
      <c r="AP221" s="508">
        <f t="shared" si="311"/>
        <v>6</v>
      </c>
      <c r="AQ221" s="508">
        <f t="shared" si="307"/>
        <v>0</v>
      </c>
      <c r="AR221" s="508">
        <f t="shared" si="308"/>
        <v>0</v>
      </c>
      <c r="AS221" s="508">
        <f t="shared" si="309"/>
        <v>0</v>
      </c>
    </row>
    <row r="222" spans="2:45" ht="16.5">
      <c r="B222" s="701"/>
      <c r="C222" s="328" t="s">
        <v>89</v>
      </c>
      <c r="D222" s="576">
        <v>1</v>
      </c>
      <c r="E222" s="576">
        <v>1</v>
      </c>
      <c r="F222" s="576">
        <v>1</v>
      </c>
      <c r="G222" s="576">
        <v>1</v>
      </c>
      <c r="H222" s="576">
        <v>2</v>
      </c>
      <c r="I222" s="576">
        <v>3</v>
      </c>
      <c r="J222" s="508">
        <v>11</v>
      </c>
      <c r="K222" s="508">
        <v>17</v>
      </c>
      <c r="L222" s="508">
        <v>27</v>
      </c>
      <c r="M222" s="508">
        <v>45</v>
      </c>
      <c r="N222" s="508">
        <v>74</v>
      </c>
      <c r="O222" s="508">
        <v>123</v>
      </c>
      <c r="Q222" s="701"/>
      <c r="R222" s="328" t="s">
        <v>89</v>
      </c>
      <c r="S222" s="576">
        <v>12</v>
      </c>
      <c r="T222" s="576">
        <v>9</v>
      </c>
      <c r="U222" s="576">
        <v>5</v>
      </c>
      <c r="V222" s="576">
        <v>12</v>
      </c>
      <c r="W222" s="576">
        <v>18</v>
      </c>
      <c r="X222" s="576">
        <v>8</v>
      </c>
      <c r="Y222" s="508">
        <v>4</v>
      </c>
      <c r="Z222" s="508">
        <v>7</v>
      </c>
      <c r="AA222" s="508">
        <v>8</v>
      </c>
      <c r="AB222" s="508"/>
      <c r="AC222" s="508"/>
      <c r="AD222" s="508"/>
      <c r="AF222" s="701"/>
      <c r="AG222" s="328" t="s">
        <v>89</v>
      </c>
      <c r="AH222" s="576">
        <f t="shared" si="303"/>
        <v>12</v>
      </c>
      <c r="AI222" s="576">
        <f t="shared" si="281"/>
        <v>21</v>
      </c>
      <c r="AJ222" s="576">
        <f t="shared" si="304"/>
        <v>26</v>
      </c>
      <c r="AK222" s="576">
        <f t="shared" si="305"/>
        <v>38</v>
      </c>
      <c r="AL222" s="576">
        <f t="shared" si="310"/>
        <v>56</v>
      </c>
      <c r="AM222" s="576">
        <f t="shared" si="312"/>
        <v>64</v>
      </c>
      <c r="AN222" s="508">
        <f t="shared" si="313"/>
        <v>68</v>
      </c>
      <c r="AO222" s="508">
        <f t="shared" si="306"/>
        <v>75</v>
      </c>
      <c r="AP222" s="508">
        <f t="shared" si="311"/>
        <v>83</v>
      </c>
      <c r="AQ222" s="508">
        <f t="shared" si="307"/>
        <v>0</v>
      </c>
      <c r="AR222" s="508">
        <f t="shared" si="308"/>
        <v>0</v>
      </c>
      <c r="AS222" s="508">
        <f t="shared" si="309"/>
        <v>0</v>
      </c>
    </row>
    <row r="223" spans="2:45" ht="16.5">
      <c r="B223" s="702"/>
      <c r="C223" s="329" t="s">
        <v>90</v>
      </c>
      <c r="D223" s="580">
        <v>3</v>
      </c>
      <c r="E223" s="580">
        <v>4</v>
      </c>
      <c r="F223" s="580">
        <v>4</v>
      </c>
      <c r="G223" s="580">
        <v>4</v>
      </c>
      <c r="H223" s="580">
        <v>8</v>
      </c>
      <c r="I223" s="580">
        <v>14</v>
      </c>
      <c r="J223" s="580">
        <v>38</v>
      </c>
      <c r="K223" s="580">
        <v>61</v>
      </c>
      <c r="L223" s="580">
        <v>99</v>
      </c>
      <c r="M223" s="580">
        <v>161</v>
      </c>
      <c r="N223" s="580">
        <v>266</v>
      </c>
      <c r="O223" s="580">
        <v>441</v>
      </c>
      <c r="Q223" s="702"/>
      <c r="R223" s="329" t="s">
        <v>90</v>
      </c>
      <c r="S223" s="580">
        <f>SUM(S218:S222)</f>
        <v>50</v>
      </c>
      <c r="T223" s="580">
        <f t="shared" ref="T223:AD223" si="314">SUM(T218:T222)</f>
        <v>21</v>
      </c>
      <c r="U223" s="580">
        <f t="shared" si="314"/>
        <v>16</v>
      </c>
      <c r="V223" s="580">
        <f t="shared" si="314"/>
        <v>26</v>
      </c>
      <c r="W223" s="580">
        <f t="shared" si="314"/>
        <v>21</v>
      </c>
      <c r="X223" s="580">
        <f t="shared" si="314"/>
        <v>8</v>
      </c>
      <c r="Y223" s="580">
        <f t="shared" si="314"/>
        <v>8</v>
      </c>
      <c r="Z223" s="580">
        <f t="shared" si="314"/>
        <v>9</v>
      </c>
      <c r="AA223" s="580">
        <f t="shared" si="314"/>
        <v>10</v>
      </c>
      <c r="AB223" s="580">
        <f t="shared" si="314"/>
        <v>0</v>
      </c>
      <c r="AC223" s="580">
        <f t="shared" si="314"/>
        <v>0</v>
      </c>
      <c r="AD223" s="580">
        <f t="shared" si="314"/>
        <v>0</v>
      </c>
      <c r="AF223" s="702"/>
      <c r="AG223" s="329" t="s">
        <v>90</v>
      </c>
      <c r="AH223" s="580">
        <f>SUM(AH218:AH222)</f>
        <v>50</v>
      </c>
      <c r="AI223" s="580">
        <f t="shared" si="281"/>
        <v>71</v>
      </c>
      <c r="AJ223" s="580">
        <f t="shared" ref="AJ223:AS223" si="315">SUM(AJ218:AJ222)</f>
        <v>87</v>
      </c>
      <c r="AK223" s="580">
        <f t="shared" si="315"/>
        <v>113</v>
      </c>
      <c r="AL223" s="580">
        <f t="shared" si="315"/>
        <v>134</v>
      </c>
      <c r="AM223" s="580">
        <f t="shared" si="315"/>
        <v>142</v>
      </c>
      <c r="AN223" s="530">
        <f t="shared" si="315"/>
        <v>150</v>
      </c>
      <c r="AO223" s="530">
        <f t="shared" si="315"/>
        <v>159</v>
      </c>
      <c r="AP223" s="530">
        <f t="shared" si="315"/>
        <v>169</v>
      </c>
      <c r="AQ223" s="530">
        <f t="shared" si="315"/>
        <v>0</v>
      </c>
      <c r="AR223" s="530">
        <f t="shared" si="315"/>
        <v>0</v>
      </c>
      <c r="AS223" s="530">
        <f t="shared" si="315"/>
        <v>0</v>
      </c>
    </row>
    <row r="224" spans="2:45" ht="14.45" customHeight="1">
      <c r="B224" s="700" t="s">
        <v>213</v>
      </c>
      <c r="C224" s="328" t="s">
        <v>128</v>
      </c>
      <c r="D224" s="576">
        <v>40.5</v>
      </c>
      <c r="E224" s="576">
        <v>40.5</v>
      </c>
      <c r="F224" s="576">
        <v>40.5</v>
      </c>
      <c r="G224" s="576">
        <v>40.5</v>
      </c>
      <c r="H224" s="576">
        <v>81</v>
      </c>
      <c r="I224" s="576">
        <v>162</v>
      </c>
      <c r="J224" s="508">
        <v>1737.7840000000001</v>
      </c>
      <c r="K224" s="508">
        <v>2807.19</v>
      </c>
      <c r="L224" s="508">
        <v>4678.6499999999996</v>
      </c>
      <c r="M224" s="508">
        <v>7619.5159999999996</v>
      </c>
      <c r="N224" s="508">
        <v>12699.192999999999</v>
      </c>
      <c r="O224" s="508">
        <v>20987.087</v>
      </c>
      <c r="Q224" s="700" t="str">
        <f>B224</f>
        <v>Peningkatan kWh Penjualan dari Pelanggan Rumah Tangga Lisdes</v>
      </c>
      <c r="R224" s="328" t="s">
        <v>128</v>
      </c>
      <c r="S224" s="576">
        <v>0</v>
      </c>
      <c r="T224" s="576">
        <v>778.1</v>
      </c>
      <c r="U224" s="576">
        <v>388.6</v>
      </c>
      <c r="V224" s="576">
        <v>248.9</v>
      </c>
      <c r="W224" s="576">
        <v>479.90000000000009</v>
      </c>
      <c r="X224" s="576">
        <v>284.49999999999977</v>
      </c>
      <c r="Y224" s="508">
        <v>660.30000000000018</v>
      </c>
      <c r="Z224" s="508">
        <v>727.5</v>
      </c>
      <c r="AA224" s="508">
        <v>351.80000000000018</v>
      </c>
      <c r="AB224" s="508"/>
      <c r="AC224" s="508"/>
      <c r="AD224" s="508"/>
      <c r="AF224" s="700" t="str">
        <f>B224</f>
        <v>Peningkatan kWh Penjualan dari Pelanggan Rumah Tangga Lisdes</v>
      </c>
      <c r="AG224" s="328" t="s">
        <v>128</v>
      </c>
      <c r="AH224" s="576">
        <f t="shared" ref="AH224:AH228" si="316">S224</f>
        <v>0</v>
      </c>
      <c r="AI224" s="576">
        <f t="shared" si="281"/>
        <v>778.1</v>
      </c>
      <c r="AJ224" s="576">
        <f t="shared" ref="AJ224:AJ228" si="317">IF(U224=0,0,AI224+U224)</f>
        <v>1166.7</v>
      </c>
      <c r="AK224" s="576">
        <f t="shared" ref="AK224:AK228" si="318">IF(V224=0,0,AJ224+V224)</f>
        <v>1415.6000000000001</v>
      </c>
      <c r="AL224" s="576">
        <f t="shared" ref="AL224:AL228" si="319">IF(W224=0,0,AK224+W224)</f>
        <v>1895.5000000000002</v>
      </c>
      <c r="AM224" s="576">
        <f t="shared" ref="AM224:AM226" si="320">IF(X224=0,0,AL224+X224)</f>
        <v>2180</v>
      </c>
      <c r="AN224" s="508">
        <f t="shared" ref="AN224:AN228" si="321">IF(Y224=0,0,AM224+Y224)</f>
        <v>2840.3</v>
      </c>
      <c r="AO224" s="508">
        <f t="shared" ref="AO224:AO228" si="322">IF(Z224=0,0,AN224+Z224)</f>
        <v>3567.8</v>
      </c>
      <c r="AP224" s="508">
        <f t="shared" ref="AP224:AP228" si="323">IF(AA224=0,0,AO224+AA224)</f>
        <v>3919.6000000000004</v>
      </c>
      <c r="AQ224" s="508">
        <f t="shared" ref="AQ224:AQ228" si="324">IF(AB224=0,0,AP224+AB224)</f>
        <v>0</v>
      </c>
      <c r="AR224" s="508">
        <f t="shared" ref="AR224:AR228" si="325">IF(AC224=0,0,AQ224+AC224)</f>
        <v>0</v>
      </c>
      <c r="AS224" s="508">
        <f t="shared" ref="AS224:AS228" si="326">IF(AD224=0,0,AR224+AD224)</f>
        <v>0</v>
      </c>
    </row>
    <row r="225" spans="1:45" ht="16.5">
      <c r="B225" s="701"/>
      <c r="C225" s="328" t="s">
        <v>87</v>
      </c>
      <c r="D225" s="576">
        <v>40.5</v>
      </c>
      <c r="E225" s="576">
        <v>40.5</v>
      </c>
      <c r="F225" s="576">
        <v>40.5</v>
      </c>
      <c r="G225" s="576">
        <v>40.5</v>
      </c>
      <c r="H225" s="576">
        <v>81</v>
      </c>
      <c r="I225" s="576">
        <v>121.5</v>
      </c>
      <c r="J225" s="508">
        <v>401.02699999999999</v>
      </c>
      <c r="K225" s="508">
        <v>668.37900000000002</v>
      </c>
      <c r="L225" s="508">
        <v>1069.4059999999999</v>
      </c>
      <c r="M225" s="508">
        <v>1604.1089999999999</v>
      </c>
      <c r="N225" s="508">
        <v>2673.5140000000001</v>
      </c>
      <c r="O225" s="508">
        <v>4411.299</v>
      </c>
      <c r="Q225" s="701"/>
      <c r="R225" s="328" t="s">
        <v>87</v>
      </c>
      <c r="S225" s="576">
        <v>450.9</v>
      </c>
      <c r="T225" s="576">
        <v>511.1</v>
      </c>
      <c r="U225" s="576">
        <v>15.700000000000045</v>
      </c>
      <c r="V225" s="576">
        <v>344.8</v>
      </c>
      <c r="W225" s="576">
        <v>150.40000000000009</v>
      </c>
      <c r="X225" s="576">
        <v>287.20000000000005</v>
      </c>
      <c r="Y225" s="508">
        <v>743.60000000000014</v>
      </c>
      <c r="Z225" s="508">
        <v>344.40000000000009</v>
      </c>
      <c r="AA225" s="508">
        <v>449.40000000000009</v>
      </c>
      <c r="AB225" s="508"/>
      <c r="AC225" s="508"/>
      <c r="AD225" s="508"/>
      <c r="AF225" s="701"/>
      <c r="AG225" s="328" t="s">
        <v>87</v>
      </c>
      <c r="AH225" s="576">
        <f t="shared" si="316"/>
        <v>450.9</v>
      </c>
      <c r="AI225" s="576">
        <f t="shared" si="281"/>
        <v>962</v>
      </c>
      <c r="AJ225" s="576">
        <f t="shared" si="317"/>
        <v>977.7</v>
      </c>
      <c r="AK225" s="576">
        <f t="shared" si="318"/>
        <v>1322.5</v>
      </c>
      <c r="AL225" s="576">
        <f t="shared" si="319"/>
        <v>1472.9</v>
      </c>
      <c r="AM225" s="576">
        <f t="shared" si="320"/>
        <v>1760.1000000000001</v>
      </c>
      <c r="AN225" s="508">
        <f t="shared" si="321"/>
        <v>2503.7000000000003</v>
      </c>
      <c r="AO225" s="508">
        <f t="shared" si="322"/>
        <v>2848.1000000000004</v>
      </c>
      <c r="AP225" s="508">
        <f t="shared" si="323"/>
        <v>3297.5000000000005</v>
      </c>
      <c r="AQ225" s="508">
        <f t="shared" si="324"/>
        <v>0</v>
      </c>
      <c r="AR225" s="508">
        <f t="shared" si="325"/>
        <v>0</v>
      </c>
      <c r="AS225" s="508">
        <f t="shared" si="326"/>
        <v>0</v>
      </c>
    </row>
    <row r="226" spans="1:45" ht="16.5">
      <c r="B226" s="701"/>
      <c r="C226" s="328" t="s">
        <v>88</v>
      </c>
      <c r="D226" s="576">
        <v>0</v>
      </c>
      <c r="E226" s="576">
        <v>40.5</v>
      </c>
      <c r="F226" s="576">
        <v>40.5</v>
      </c>
      <c r="G226" s="576">
        <v>40.5</v>
      </c>
      <c r="H226" s="576">
        <v>81</v>
      </c>
      <c r="I226" s="576">
        <v>162</v>
      </c>
      <c r="J226" s="508">
        <v>1470.433</v>
      </c>
      <c r="K226" s="508">
        <v>2406.163</v>
      </c>
      <c r="L226" s="508">
        <v>3876.596</v>
      </c>
      <c r="M226" s="508">
        <v>6282.759</v>
      </c>
      <c r="N226" s="508">
        <v>10293.030000000001</v>
      </c>
      <c r="O226" s="508">
        <v>17110.491000000002</v>
      </c>
      <c r="Q226" s="701"/>
      <c r="R226" s="328" t="s">
        <v>88</v>
      </c>
      <c r="S226" s="576">
        <v>8530</v>
      </c>
      <c r="T226" s="576">
        <v>5696.8</v>
      </c>
      <c r="U226" s="576">
        <v>573.60000000000218</v>
      </c>
      <c r="V226" s="576">
        <v>932.8</v>
      </c>
      <c r="W226" s="576">
        <v>1947.1000000000022</v>
      </c>
      <c r="X226" s="576">
        <v>1293.5</v>
      </c>
      <c r="Y226" s="508">
        <v>1744.0999999999985</v>
      </c>
      <c r="Z226" s="508">
        <v>1748.2999999999993</v>
      </c>
      <c r="AA226" s="508">
        <v>1943.5999999999985</v>
      </c>
      <c r="AB226" s="508"/>
      <c r="AC226" s="508"/>
      <c r="AD226" s="508"/>
      <c r="AF226" s="701"/>
      <c r="AG226" s="328" t="s">
        <v>88</v>
      </c>
      <c r="AH226" s="576">
        <f t="shared" si="316"/>
        <v>8530</v>
      </c>
      <c r="AI226" s="576">
        <f t="shared" si="281"/>
        <v>14226.8</v>
      </c>
      <c r="AJ226" s="576">
        <f t="shared" si="317"/>
        <v>14800.400000000001</v>
      </c>
      <c r="AK226" s="576">
        <f t="shared" si="318"/>
        <v>15733.2</v>
      </c>
      <c r="AL226" s="576">
        <f t="shared" si="319"/>
        <v>17680.300000000003</v>
      </c>
      <c r="AM226" s="576">
        <f t="shared" si="320"/>
        <v>18973.800000000003</v>
      </c>
      <c r="AN226" s="508">
        <f t="shared" si="321"/>
        <v>20717.900000000001</v>
      </c>
      <c r="AO226" s="508">
        <f t="shared" si="322"/>
        <v>22466.2</v>
      </c>
      <c r="AP226" s="508">
        <f t="shared" si="323"/>
        <v>24409.8</v>
      </c>
      <c r="AQ226" s="508">
        <f t="shared" si="324"/>
        <v>0</v>
      </c>
      <c r="AR226" s="508">
        <f t="shared" si="325"/>
        <v>0</v>
      </c>
      <c r="AS226" s="508">
        <f t="shared" si="326"/>
        <v>0</v>
      </c>
    </row>
    <row r="227" spans="1:45" ht="16.5">
      <c r="B227" s="701"/>
      <c r="C227" s="328" t="s">
        <v>121</v>
      </c>
      <c r="D227" s="576">
        <v>0</v>
      </c>
      <c r="E227" s="576">
        <v>0</v>
      </c>
      <c r="F227" s="576">
        <v>0</v>
      </c>
      <c r="G227" s="576">
        <v>0</v>
      </c>
      <c r="H227" s="576">
        <v>0</v>
      </c>
      <c r="I227" s="576">
        <v>0</v>
      </c>
      <c r="J227" s="508">
        <v>0</v>
      </c>
      <c r="K227" s="508">
        <v>0</v>
      </c>
      <c r="L227" s="508">
        <v>0</v>
      </c>
      <c r="M227" s="508">
        <v>0</v>
      </c>
      <c r="N227" s="508">
        <v>0</v>
      </c>
      <c r="O227" s="508">
        <v>0</v>
      </c>
      <c r="Q227" s="701"/>
      <c r="R227" s="328" t="s">
        <v>121</v>
      </c>
      <c r="S227" s="576">
        <v>219.1</v>
      </c>
      <c r="T227" s="576">
        <v>150.30000000000001</v>
      </c>
      <c r="U227" s="576">
        <v>150.30000000000004</v>
      </c>
      <c r="V227" s="576">
        <v>0</v>
      </c>
      <c r="W227" s="576">
        <v>335.09999999999991</v>
      </c>
      <c r="X227" s="576">
        <v>260</v>
      </c>
      <c r="Y227" s="508">
        <v>799</v>
      </c>
      <c r="Z227" s="508">
        <v>184.79999999999995</v>
      </c>
      <c r="AA227" s="508">
        <v>244.09999999999991</v>
      </c>
      <c r="AB227" s="508"/>
      <c r="AC227" s="508"/>
      <c r="AD227" s="508"/>
      <c r="AF227" s="701"/>
      <c r="AG227" s="328" t="s">
        <v>121</v>
      </c>
      <c r="AH227" s="576">
        <f t="shared" si="316"/>
        <v>219.1</v>
      </c>
      <c r="AI227" s="576">
        <f t="shared" si="281"/>
        <v>369.4</v>
      </c>
      <c r="AJ227" s="576">
        <f t="shared" si="317"/>
        <v>519.70000000000005</v>
      </c>
      <c r="AK227" s="576">
        <f>IF(V227&gt;0,0,AJ227+V227)</f>
        <v>519.70000000000005</v>
      </c>
      <c r="AL227" s="576">
        <f t="shared" si="319"/>
        <v>854.8</v>
      </c>
      <c r="AM227" s="576">
        <f>IF(X227=0,0,AL227+X227)</f>
        <v>1114.8</v>
      </c>
      <c r="AN227" s="508">
        <f t="shared" si="321"/>
        <v>1913.8</v>
      </c>
      <c r="AO227" s="508">
        <f t="shared" si="322"/>
        <v>2098.6</v>
      </c>
      <c r="AP227" s="508">
        <f t="shared" si="323"/>
        <v>2342.6999999999998</v>
      </c>
      <c r="AQ227" s="508">
        <f t="shared" si="324"/>
        <v>0</v>
      </c>
      <c r="AR227" s="508">
        <f t="shared" si="325"/>
        <v>0</v>
      </c>
      <c r="AS227" s="508">
        <f t="shared" si="326"/>
        <v>0</v>
      </c>
    </row>
    <row r="228" spans="1:45" ht="16.5">
      <c r="B228" s="701"/>
      <c r="C228" s="328" t="s">
        <v>89</v>
      </c>
      <c r="D228" s="576">
        <v>40.5</v>
      </c>
      <c r="E228" s="576">
        <v>40.5</v>
      </c>
      <c r="F228" s="576">
        <v>40.5</v>
      </c>
      <c r="G228" s="576">
        <v>40.5</v>
      </c>
      <c r="H228" s="576">
        <v>81</v>
      </c>
      <c r="I228" s="576">
        <v>121.5</v>
      </c>
      <c r="J228" s="508">
        <v>1470.433</v>
      </c>
      <c r="K228" s="508">
        <v>2272.4870000000001</v>
      </c>
      <c r="L228" s="508">
        <v>3609.2440000000001</v>
      </c>
      <c r="M228" s="508">
        <v>6015.4070000000002</v>
      </c>
      <c r="N228" s="508">
        <v>9892.0030000000006</v>
      </c>
      <c r="O228" s="508">
        <v>16442.113000000001</v>
      </c>
      <c r="Q228" s="701"/>
      <c r="R228" s="328" t="s">
        <v>89</v>
      </c>
      <c r="S228" s="576">
        <v>2884.1</v>
      </c>
      <c r="T228" s="576">
        <v>4429.1000000000004</v>
      </c>
      <c r="U228" s="576">
        <v>850.80000000000064</v>
      </c>
      <c r="V228" s="576">
        <v>2440.6999999999998</v>
      </c>
      <c r="W228" s="576">
        <v>3817.5</v>
      </c>
      <c r="X228" s="576">
        <v>3946.8999999999978</v>
      </c>
      <c r="Y228" s="508">
        <v>3446.0999999999985</v>
      </c>
      <c r="Z228" s="508">
        <v>3870.4000000000015</v>
      </c>
      <c r="AA228" s="508">
        <v>4350.5</v>
      </c>
      <c r="AB228" s="508"/>
      <c r="AC228" s="508"/>
      <c r="AD228" s="508"/>
      <c r="AF228" s="701"/>
      <c r="AG228" s="328" t="s">
        <v>89</v>
      </c>
      <c r="AH228" s="576">
        <f t="shared" si="316"/>
        <v>2884.1</v>
      </c>
      <c r="AI228" s="576">
        <f t="shared" si="281"/>
        <v>7313.2000000000007</v>
      </c>
      <c r="AJ228" s="576">
        <f t="shared" si="317"/>
        <v>8164.0000000000018</v>
      </c>
      <c r="AK228" s="576">
        <f t="shared" si="318"/>
        <v>10604.7</v>
      </c>
      <c r="AL228" s="576">
        <f t="shared" si="319"/>
        <v>14422.2</v>
      </c>
      <c r="AM228" s="576">
        <f t="shared" ref="AM228" si="327">IF(X228=0,0,AL228+X228)</f>
        <v>18369.099999999999</v>
      </c>
      <c r="AN228" s="508">
        <f t="shared" si="321"/>
        <v>21815.199999999997</v>
      </c>
      <c r="AO228" s="508">
        <f t="shared" si="322"/>
        <v>25685.599999999999</v>
      </c>
      <c r="AP228" s="508">
        <f t="shared" si="323"/>
        <v>30036.1</v>
      </c>
      <c r="AQ228" s="508">
        <f t="shared" si="324"/>
        <v>0</v>
      </c>
      <c r="AR228" s="508">
        <f t="shared" si="325"/>
        <v>0</v>
      </c>
      <c r="AS228" s="508">
        <f t="shared" si="326"/>
        <v>0</v>
      </c>
    </row>
    <row r="229" spans="1:45" ht="16.5">
      <c r="B229" s="702"/>
      <c r="C229" s="329" t="s">
        <v>90</v>
      </c>
      <c r="D229" s="580">
        <v>121.5</v>
      </c>
      <c r="E229" s="580">
        <v>162</v>
      </c>
      <c r="F229" s="580">
        <v>162</v>
      </c>
      <c r="G229" s="580">
        <v>162</v>
      </c>
      <c r="H229" s="580">
        <v>324</v>
      </c>
      <c r="I229" s="580">
        <v>567</v>
      </c>
      <c r="J229" s="580">
        <v>5079.6769999999997</v>
      </c>
      <c r="K229" s="580">
        <v>8154.2190000000001</v>
      </c>
      <c r="L229" s="580">
        <v>13233.896000000001</v>
      </c>
      <c r="M229" s="580">
        <v>21521.791000000001</v>
      </c>
      <c r="N229" s="580">
        <v>35557.740000000005</v>
      </c>
      <c r="O229" s="580">
        <v>58950.990000000005</v>
      </c>
      <c r="Q229" s="702"/>
      <c r="R229" s="329" t="s">
        <v>90</v>
      </c>
      <c r="S229" s="580">
        <f>SUM(S224:S228)</f>
        <v>12084.1</v>
      </c>
      <c r="T229" s="580">
        <f t="shared" ref="T229:AD229" si="328">SUM(T224:T228)</f>
        <v>11565.400000000001</v>
      </c>
      <c r="U229" s="580">
        <f t="shared" si="328"/>
        <v>1979.000000000003</v>
      </c>
      <c r="V229" s="580">
        <f t="shared" si="328"/>
        <v>3967.2</v>
      </c>
      <c r="W229" s="580">
        <f t="shared" si="328"/>
        <v>6730.0000000000018</v>
      </c>
      <c r="X229" s="580">
        <f t="shared" si="328"/>
        <v>6072.0999999999976</v>
      </c>
      <c r="Y229" s="580">
        <f t="shared" si="328"/>
        <v>7393.0999999999976</v>
      </c>
      <c r="Z229" s="580">
        <f t="shared" si="328"/>
        <v>6875.4000000000005</v>
      </c>
      <c r="AA229" s="580">
        <f t="shared" si="328"/>
        <v>7339.3999999999987</v>
      </c>
      <c r="AB229" s="580">
        <f t="shared" si="328"/>
        <v>0</v>
      </c>
      <c r="AC229" s="580">
        <f t="shared" si="328"/>
        <v>0</v>
      </c>
      <c r="AD229" s="580">
        <f t="shared" si="328"/>
        <v>0</v>
      </c>
      <c r="AF229" s="702"/>
      <c r="AG229" s="329" t="s">
        <v>90</v>
      </c>
      <c r="AH229" s="580">
        <f>SUM(AH224:AH228)</f>
        <v>12084.1</v>
      </c>
      <c r="AI229" s="580">
        <f t="shared" ref="AI229:AS229" si="329">SUM(AI224:AI228)</f>
        <v>23649.5</v>
      </c>
      <c r="AJ229" s="580">
        <f t="shared" si="329"/>
        <v>25628.500000000007</v>
      </c>
      <c r="AK229" s="580">
        <f t="shared" si="329"/>
        <v>29595.700000000004</v>
      </c>
      <c r="AL229" s="580">
        <f t="shared" si="329"/>
        <v>36325.700000000004</v>
      </c>
      <c r="AM229" s="580">
        <f t="shared" si="329"/>
        <v>42397.8</v>
      </c>
      <c r="AN229" s="530">
        <f t="shared" si="329"/>
        <v>49790.899999999994</v>
      </c>
      <c r="AO229" s="530">
        <f t="shared" si="329"/>
        <v>56666.3</v>
      </c>
      <c r="AP229" s="530">
        <f t="shared" si="329"/>
        <v>64005.7</v>
      </c>
      <c r="AQ229" s="530">
        <f t="shared" si="329"/>
        <v>0</v>
      </c>
      <c r="AR229" s="530">
        <f t="shared" si="329"/>
        <v>0</v>
      </c>
      <c r="AS229" s="530">
        <f t="shared" si="329"/>
        <v>0</v>
      </c>
    </row>
    <row r="230" spans="1:45" ht="16.5">
      <c r="B230" s="373"/>
      <c r="C230" s="394"/>
      <c r="D230" s="395"/>
      <c r="E230" s="395"/>
      <c r="F230" s="395"/>
      <c r="G230" s="395"/>
      <c r="H230" s="395"/>
      <c r="I230" s="395"/>
      <c r="J230" s="395"/>
      <c r="K230" s="395"/>
      <c r="L230" s="395"/>
      <c r="M230" s="395"/>
      <c r="N230" s="395"/>
      <c r="O230" s="395"/>
      <c r="Q230" s="373"/>
      <c r="R230" s="394"/>
      <c r="S230" s="395"/>
      <c r="T230" s="395"/>
      <c r="U230" s="395"/>
      <c r="V230" s="395"/>
      <c r="W230" s="395"/>
      <c r="X230" s="395"/>
      <c r="Y230" s="395"/>
      <c r="Z230" s="395"/>
      <c r="AA230" s="395"/>
      <c r="AB230" s="395"/>
      <c r="AC230" s="395"/>
      <c r="AD230" s="395"/>
      <c r="AF230" s="373"/>
      <c r="AG230" s="394"/>
      <c r="AH230" s="395"/>
      <c r="AI230" s="395"/>
      <c r="AJ230" s="395"/>
      <c r="AK230" s="395"/>
      <c r="AL230" s="395"/>
      <c r="AM230" s="395"/>
      <c r="AN230" s="396"/>
      <c r="AO230" s="396"/>
      <c r="AP230" s="396"/>
      <c r="AQ230" s="396"/>
      <c r="AR230" s="396"/>
      <c r="AS230" s="396"/>
    </row>
    <row r="231" spans="1:45" customFormat="1">
      <c r="A231" s="105"/>
      <c r="B231" s="21" t="s">
        <v>214</v>
      </c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S231" s="166"/>
      <c r="T231" s="166"/>
      <c r="U231" s="166"/>
      <c r="V231" s="166"/>
      <c r="W231" s="166"/>
      <c r="X231" s="166"/>
      <c r="Y231" s="166"/>
      <c r="Z231" s="166"/>
      <c r="AA231" s="166"/>
      <c r="AB231" s="166"/>
      <c r="AC231" s="166"/>
      <c r="AD231" s="166"/>
      <c r="AH231" s="166"/>
      <c r="AI231" s="166"/>
      <c r="AJ231" s="166"/>
      <c r="AK231" s="166"/>
      <c r="AL231" s="166"/>
      <c r="AM231" s="166"/>
      <c r="AN231" s="166"/>
      <c r="AO231" s="166"/>
      <c r="AP231" s="166"/>
      <c r="AQ231" s="166"/>
      <c r="AR231" s="166"/>
      <c r="AS231" s="166"/>
    </row>
    <row r="232" spans="1:45" customFormat="1">
      <c r="A232" s="105"/>
      <c r="B232" s="21" t="s">
        <v>100</v>
      </c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Q232" t="s">
        <v>126</v>
      </c>
      <c r="S232" s="166"/>
      <c r="T232" s="166"/>
      <c r="U232" s="166"/>
      <c r="V232" s="166"/>
      <c r="W232" s="166"/>
      <c r="X232" s="166"/>
      <c r="Y232" s="166"/>
      <c r="Z232" s="166"/>
      <c r="AA232" s="166"/>
      <c r="AB232" s="166"/>
      <c r="AC232" s="166"/>
      <c r="AD232" s="166"/>
      <c r="AF232" t="s">
        <v>127</v>
      </c>
      <c r="AH232" s="166"/>
      <c r="AI232" s="166"/>
      <c r="AJ232" s="166"/>
      <c r="AK232" s="166"/>
      <c r="AL232" s="166"/>
      <c r="AM232" s="166"/>
      <c r="AN232" s="166"/>
      <c r="AO232" s="166"/>
      <c r="AP232" s="166"/>
      <c r="AQ232" s="166"/>
      <c r="AR232" s="166"/>
      <c r="AS232" s="166"/>
    </row>
    <row r="233" spans="1:45">
      <c r="B233" s="686" t="s">
        <v>72</v>
      </c>
      <c r="C233" s="686"/>
      <c r="D233" s="638" t="s">
        <v>74</v>
      </c>
      <c r="E233" s="638" t="s">
        <v>75</v>
      </c>
      <c r="F233" s="638" t="s">
        <v>76</v>
      </c>
      <c r="G233" s="638" t="s">
        <v>77</v>
      </c>
      <c r="H233" s="638" t="s">
        <v>78</v>
      </c>
      <c r="I233" s="638" t="s">
        <v>79</v>
      </c>
      <c r="J233" s="638" t="s">
        <v>80</v>
      </c>
      <c r="K233" s="638" t="s">
        <v>81</v>
      </c>
      <c r="L233" s="638" t="s">
        <v>82</v>
      </c>
      <c r="M233" s="638" t="s">
        <v>83</v>
      </c>
      <c r="N233" s="638" t="s">
        <v>84</v>
      </c>
      <c r="O233" s="638" t="s">
        <v>85</v>
      </c>
      <c r="Q233" s="686" t="s">
        <v>72</v>
      </c>
      <c r="R233" s="686"/>
      <c r="S233" s="638" t="s">
        <v>74</v>
      </c>
      <c r="T233" s="638" t="s">
        <v>75</v>
      </c>
      <c r="U233" s="638" t="s">
        <v>76</v>
      </c>
      <c r="V233" s="638" t="s">
        <v>77</v>
      </c>
      <c r="W233" s="638" t="s">
        <v>78</v>
      </c>
      <c r="X233" s="638" t="s">
        <v>79</v>
      </c>
      <c r="Y233" s="638" t="s">
        <v>80</v>
      </c>
      <c r="Z233" s="638" t="s">
        <v>81</v>
      </c>
      <c r="AA233" s="638" t="s">
        <v>82</v>
      </c>
      <c r="AB233" s="638" t="s">
        <v>83</v>
      </c>
      <c r="AC233" s="638" t="s">
        <v>84</v>
      </c>
      <c r="AD233" s="638" t="s">
        <v>85</v>
      </c>
      <c r="AF233" s="686" t="s">
        <v>72</v>
      </c>
      <c r="AG233" s="686"/>
      <c r="AH233" s="638" t="s">
        <v>74</v>
      </c>
      <c r="AI233" s="638" t="s">
        <v>75</v>
      </c>
      <c r="AJ233" s="638" t="s">
        <v>76</v>
      </c>
      <c r="AK233" s="638" t="s">
        <v>77</v>
      </c>
      <c r="AL233" s="638" t="s">
        <v>78</v>
      </c>
      <c r="AM233" s="638" t="s">
        <v>79</v>
      </c>
      <c r="AN233" s="638" t="s">
        <v>80</v>
      </c>
      <c r="AO233" s="638" t="s">
        <v>81</v>
      </c>
      <c r="AP233" s="638" t="s">
        <v>82</v>
      </c>
      <c r="AQ233" s="638" t="s">
        <v>83</v>
      </c>
      <c r="AR233" s="638" t="s">
        <v>84</v>
      </c>
      <c r="AS233" s="638" t="s">
        <v>85</v>
      </c>
    </row>
    <row r="234" spans="1:45">
      <c r="B234" s="633" t="s">
        <v>128</v>
      </c>
      <c r="C234" s="489" t="s">
        <v>215</v>
      </c>
      <c r="D234" s="538">
        <v>2110</v>
      </c>
      <c r="E234" s="538">
        <v>2110</v>
      </c>
      <c r="F234" s="538">
        <v>2110</v>
      </c>
      <c r="G234" s="538">
        <v>2110</v>
      </c>
      <c r="H234" s="538">
        <v>2110</v>
      </c>
      <c r="I234" s="538">
        <v>2110</v>
      </c>
      <c r="J234" s="538">
        <v>2110</v>
      </c>
      <c r="K234" s="538">
        <v>2110</v>
      </c>
      <c r="L234" s="538">
        <v>2110</v>
      </c>
      <c r="M234" s="538">
        <v>2110</v>
      </c>
      <c r="N234" s="538">
        <v>2110</v>
      </c>
      <c r="O234" s="538">
        <v>2110</v>
      </c>
      <c r="Q234" s="633" t="s">
        <v>128</v>
      </c>
      <c r="R234" s="489" t="str">
        <f t="shared" ref="R234:R239" si="330">C234</f>
        <v>Pengguna Swacam</v>
      </c>
      <c r="S234" s="539">
        <v>3556</v>
      </c>
      <c r="T234" s="539">
        <v>2966</v>
      </c>
      <c r="U234" s="539">
        <v>4272</v>
      </c>
      <c r="V234" s="539">
        <v>2474</v>
      </c>
      <c r="W234" s="539">
        <v>2683</v>
      </c>
      <c r="X234" s="539">
        <v>2782</v>
      </c>
      <c r="Y234" s="539">
        <v>2842</v>
      </c>
      <c r="Z234" s="539">
        <v>2842</v>
      </c>
      <c r="AA234" s="539">
        <v>2619</v>
      </c>
      <c r="AB234" s="539"/>
      <c r="AC234" s="539"/>
      <c r="AD234" s="539"/>
      <c r="AF234" s="633" t="s">
        <v>128</v>
      </c>
      <c r="AG234" s="489" t="str">
        <f>R234</f>
        <v>Pengguna Swacam</v>
      </c>
      <c r="AH234" s="539">
        <f t="shared" ref="AH234:AH239" si="331">S234</f>
        <v>3556</v>
      </c>
      <c r="AI234" s="539">
        <f t="shared" ref="AI234:AJ239" si="332">AVERAGE(S234:T234)</f>
        <v>3261</v>
      </c>
      <c r="AJ234" s="539">
        <f t="shared" si="332"/>
        <v>3619</v>
      </c>
      <c r="AK234" s="539">
        <f t="shared" ref="AK234:AK239" si="333">AVERAGE(S234:V234)</f>
        <v>3317</v>
      </c>
      <c r="AL234" s="539">
        <f t="shared" ref="AL234:AL239" si="334">AVERAGE(S234:W234)</f>
        <v>3190.2</v>
      </c>
      <c r="AM234" s="539">
        <f t="shared" ref="AM234:AM239" si="335">AVERAGE(S234:X234)</f>
        <v>3122.1666666666665</v>
      </c>
      <c r="AN234" s="539">
        <f>AVERAGE(S234:Y234)</f>
        <v>3082.1428571428573</v>
      </c>
      <c r="AO234" s="539">
        <f>AVERAGE(S234:Z234)</f>
        <v>3052.125</v>
      </c>
      <c r="AP234" s="539">
        <f>AVERAGE(S234:AA234)</f>
        <v>3004</v>
      </c>
      <c r="AQ234" s="539">
        <f>AVERAGE(S234:AB234)</f>
        <v>3004</v>
      </c>
      <c r="AR234" s="539">
        <f>AVERAGE(S234:AC234)</f>
        <v>3004</v>
      </c>
      <c r="AS234" s="539">
        <f>AVERAGE(S234:AD234)</f>
        <v>3004</v>
      </c>
    </row>
    <row r="235" spans="1:45">
      <c r="B235" s="633" t="s">
        <v>87</v>
      </c>
      <c r="C235" s="489" t="s">
        <v>215</v>
      </c>
      <c r="D235" s="538">
        <v>1449</v>
      </c>
      <c r="E235" s="538">
        <v>1449</v>
      </c>
      <c r="F235" s="538">
        <v>1449</v>
      </c>
      <c r="G235" s="538">
        <v>1449</v>
      </c>
      <c r="H235" s="538">
        <v>1449</v>
      </c>
      <c r="I235" s="538">
        <v>1449</v>
      </c>
      <c r="J235" s="538">
        <v>1449</v>
      </c>
      <c r="K235" s="538">
        <v>1449</v>
      </c>
      <c r="L235" s="538">
        <v>1449</v>
      </c>
      <c r="M235" s="538">
        <v>1449</v>
      </c>
      <c r="N235" s="538">
        <v>1449</v>
      </c>
      <c r="O235" s="538">
        <v>1449</v>
      </c>
      <c r="Q235" s="633" t="s">
        <v>87</v>
      </c>
      <c r="R235" s="489" t="str">
        <f t="shared" si="330"/>
        <v>Pengguna Swacam</v>
      </c>
      <c r="S235" s="538">
        <v>3652</v>
      </c>
      <c r="T235" s="539">
        <v>2120</v>
      </c>
      <c r="U235" s="539">
        <v>3035</v>
      </c>
      <c r="V235" s="539">
        <v>845</v>
      </c>
      <c r="W235" s="539">
        <v>919</v>
      </c>
      <c r="X235" s="539">
        <v>1476</v>
      </c>
      <c r="Y235" s="539">
        <v>1304</v>
      </c>
      <c r="Z235" s="539">
        <v>1229</v>
      </c>
      <c r="AA235" s="539">
        <v>1398</v>
      </c>
      <c r="AB235" s="539"/>
      <c r="AC235" s="539"/>
      <c r="AD235" s="539"/>
      <c r="AF235" s="633" t="s">
        <v>87</v>
      </c>
      <c r="AG235" s="489" t="str">
        <f t="shared" ref="AG235:AG239" si="336">R235</f>
        <v>Pengguna Swacam</v>
      </c>
      <c r="AH235" s="539">
        <f t="shared" si="331"/>
        <v>3652</v>
      </c>
      <c r="AI235" s="539">
        <f t="shared" si="332"/>
        <v>2886</v>
      </c>
      <c r="AJ235" s="539">
        <f t="shared" si="332"/>
        <v>2577.5</v>
      </c>
      <c r="AK235" s="539">
        <f t="shared" si="333"/>
        <v>2413</v>
      </c>
      <c r="AL235" s="539">
        <f t="shared" si="334"/>
        <v>2114.1999999999998</v>
      </c>
      <c r="AM235" s="539">
        <f t="shared" si="335"/>
        <v>2007.8333333333333</v>
      </c>
      <c r="AN235" s="539">
        <f>AVERAGE(S235:Y235)</f>
        <v>1907.2857142857142</v>
      </c>
      <c r="AO235" s="539">
        <f>AVERAGE(S235:Z235)</f>
        <v>1822.5</v>
      </c>
      <c r="AP235" s="539">
        <f>AVERAGE(S235:AA235)</f>
        <v>1775.3333333333333</v>
      </c>
      <c r="AQ235" s="539">
        <f>AVERAGE(S235:AB235)</f>
        <v>1775.3333333333333</v>
      </c>
      <c r="AR235" s="539">
        <f>AVERAGE(S235:AC235)</f>
        <v>1775.3333333333333</v>
      </c>
      <c r="AS235" s="539">
        <f>AVERAGE(S235:AD235)</f>
        <v>1775.3333333333333</v>
      </c>
    </row>
    <row r="236" spans="1:45">
      <c r="B236" s="633" t="s">
        <v>88</v>
      </c>
      <c r="C236" s="489" t="s">
        <v>215</v>
      </c>
      <c r="D236" s="538">
        <v>12</v>
      </c>
      <c r="E236" s="538">
        <v>12</v>
      </c>
      <c r="F236" s="538">
        <v>12</v>
      </c>
      <c r="G236" s="538">
        <v>12</v>
      </c>
      <c r="H236" s="538">
        <v>12</v>
      </c>
      <c r="I236" s="538">
        <v>12</v>
      </c>
      <c r="J236" s="538">
        <v>12</v>
      </c>
      <c r="K236" s="538">
        <v>12</v>
      </c>
      <c r="L236" s="538">
        <v>12</v>
      </c>
      <c r="M236" s="538">
        <v>12</v>
      </c>
      <c r="N236" s="538">
        <v>12</v>
      </c>
      <c r="O236" s="538">
        <v>12</v>
      </c>
      <c r="Q236" s="633" t="s">
        <v>88</v>
      </c>
      <c r="R236" s="489" t="str">
        <f t="shared" si="330"/>
        <v>Pengguna Swacam</v>
      </c>
      <c r="S236" s="540">
        <v>21</v>
      </c>
      <c r="T236" s="538">
        <v>23</v>
      </c>
      <c r="U236" s="538">
        <v>22</v>
      </c>
      <c r="V236" s="538">
        <v>22</v>
      </c>
      <c r="W236" s="538">
        <v>22</v>
      </c>
      <c r="X236" s="538">
        <v>26</v>
      </c>
      <c r="Y236" s="538">
        <v>48</v>
      </c>
      <c r="Z236" s="538">
        <v>74</v>
      </c>
      <c r="AA236" s="538">
        <v>77</v>
      </c>
      <c r="AB236" s="538"/>
      <c r="AC236" s="538"/>
      <c r="AD236" s="538"/>
      <c r="AF236" s="633" t="s">
        <v>88</v>
      </c>
      <c r="AG236" s="489" t="str">
        <f t="shared" si="336"/>
        <v>Pengguna Swacam</v>
      </c>
      <c r="AH236" s="539">
        <f t="shared" si="331"/>
        <v>21</v>
      </c>
      <c r="AI236" s="539">
        <f t="shared" si="332"/>
        <v>22</v>
      </c>
      <c r="AJ236" s="539">
        <f t="shared" si="332"/>
        <v>22.5</v>
      </c>
      <c r="AK236" s="539">
        <f t="shared" si="333"/>
        <v>22</v>
      </c>
      <c r="AL236" s="539">
        <f t="shared" si="334"/>
        <v>22</v>
      </c>
      <c r="AM236" s="539">
        <f t="shared" si="335"/>
        <v>22.666666666666668</v>
      </c>
      <c r="AN236" s="539">
        <f>AVERAGE(S236:Y236)</f>
        <v>26.285714285714285</v>
      </c>
      <c r="AO236" s="539">
        <f>AVERAGE(S236:Z236)</f>
        <v>32.25</v>
      </c>
      <c r="AP236" s="539">
        <f>AVERAGE(S236:AA236)</f>
        <v>37.222222222222221</v>
      </c>
      <c r="AQ236" s="539">
        <f>AVERAGE(S236:AB236)</f>
        <v>37.222222222222221</v>
      </c>
      <c r="AR236" s="539">
        <f>AVERAGE(S236:AC236)</f>
        <v>37.222222222222221</v>
      </c>
      <c r="AS236" s="539">
        <f>AVERAGE(S236:AD236)</f>
        <v>37.222222222222221</v>
      </c>
    </row>
    <row r="237" spans="1:45">
      <c r="B237" s="633" t="s">
        <v>121</v>
      </c>
      <c r="C237" s="489" t="s">
        <v>215</v>
      </c>
      <c r="D237" s="538">
        <v>414</v>
      </c>
      <c r="E237" s="538">
        <v>414</v>
      </c>
      <c r="F237" s="538">
        <v>414</v>
      </c>
      <c r="G237" s="538">
        <v>414</v>
      </c>
      <c r="H237" s="538">
        <v>414</v>
      </c>
      <c r="I237" s="538">
        <v>414</v>
      </c>
      <c r="J237" s="538">
        <v>414</v>
      </c>
      <c r="K237" s="538">
        <v>414</v>
      </c>
      <c r="L237" s="538">
        <v>414</v>
      </c>
      <c r="M237" s="538">
        <v>414</v>
      </c>
      <c r="N237" s="538">
        <v>414</v>
      </c>
      <c r="O237" s="538">
        <v>414</v>
      </c>
      <c r="Q237" s="633" t="s">
        <v>121</v>
      </c>
      <c r="R237" s="489" t="str">
        <f t="shared" si="330"/>
        <v>Pengguna Swacam</v>
      </c>
      <c r="S237" s="538">
        <v>1084</v>
      </c>
      <c r="T237" s="538">
        <v>488</v>
      </c>
      <c r="U237" s="538">
        <v>682</v>
      </c>
      <c r="V237" s="538">
        <v>495</v>
      </c>
      <c r="W237" s="538">
        <v>522</v>
      </c>
      <c r="X237" s="538">
        <v>540</v>
      </c>
      <c r="Y237" s="538">
        <v>513</v>
      </c>
      <c r="Z237" s="538">
        <v>530</v>
      </c>
      <c r="AA237" s="538">
        <v>541</v>
      </c>
      <c r="AB237" s="538"/>
      <c r="AC237" s="538"/>
      <c r="AD237" s="538"/>
      <c r="AF237" s="633" t="s">
        <v>121</v>
      </c>
      <c r="AG237" s="489" t="str">
        <f t="shared" si="336"/>
        <v>Pengguna Swacam</v>
      </c>
      <c r="AH237" s="539">
        <f t="shared" si="331"/>
        <v>1084</v>
      </c>
      <c r="AI237" s="539">
        <f t="shared" si="332"/>
        <v>786</v>
      </c>
      <c r="AJ237" s="539">
        <f t="shared" si="332"/>
        <v>585</v>
      </c>
      <c r="AK237" s="539">
        <f t="shared" si="333"/>
        <v>687.25</v>
      </c>
      <c r="AL237" s="539">
        <f t="shared" si="334"/>
        <v>654.20000000000005</v>
      </c>
      <c r="AM237" s="539">
        <f t="shared" si="335"/>
        <v>635.16666666666663</v>
      </c>
      <c r="AN237" s="539">
        <f>AVERAGE(S237:Y237)</f>
        <v>617.71428571428567</v>
      </c>
      <c r="AO237" s="539">
        <f>AVERAGE(S237:Z237)</f>
        <v>606.75</v>
      </c>
      <c r="AP237" s="539">
        <f>AVERAGE(S237:AA237)</f>
        <v>599.44444444444446</v>
      </c>
      <c r="AQ237" s="539">
        <f>AVERAGE(S237:AB237)</f>
        <v>599.44444444444446</v>
      </c>
      <c r="AR237" s="539">
        <f>AVERAGE(S237:AC237)</f>
        <v>599.44444444444446</v>
      </c>
      <c r="AS237" s="539">
        <f>AVERAGE(S237:AD237)</f>
        <v>599.44444444444446</v>
      </c>
    </row>
    <row r="238" spans="1:45">
      <c r="B238" s="633" t="s">
        <v>89</v>
      </c>
      <c r="C238" s="489" t="s">
        <v>215</v>
      </c>
      <c r="D238" s="538">
        <v>743</v>
      </c>
      <c r="E238" s="538">
        <v>743</v>
      </c>
      <c r="F238" s="538">
        <v>743</v>
      </c>
      <c r="G238" s="538">
        <v>743</v>
      </c>
      <c r="H238" s="538">
        <v>743</v>
      </c>
      <c r="I238" s="538">
        <v>743</v>
      </c>
      <c r="J238" s="538">
        <v>743</v>
      </c>
      <c r="K238" s="538">
        <v>743</v>
      </c>
      <c r="L238" s="538">
        <v>743</v>
      </c>
      <c r="M238" s="538">
        <v>743</v>
      </c>
      <c r="N238" s="538">
        <v>743</v>
      </c>
      <c r="O238" s="538">
        <v>743</v>
      </c>
      <c r="Q238" s="633" t="s">
        <v>89</v>
      </c>
      <c r="R238" s="489" t="str">
        <f t="shared" si="330"/>
        <v>Pengguna Swacam</v>
      </c>
      <c r="S238" s="538">
        <v>2044</v>
      </c>
      <c r="T238" s="538">
        <v>1596</v>
      </c>
      <c r="U238" s="538">
        <v>2918</v>
      </c>
      <c r="V238" s="538">
        <v>526</v>
      </c>
      <c r="W238" s="538">
        <v>974</v>
      </c>
      <c r="X238" s="538">
        <v>1255</v>
      </c>
      <c r="Y238" s="538">
        <v>763</v>
      </c>
      <c r="Z238" s="538">
        <v>701</v>
      </c>
      <c r="AA238" s="538">
        <v>944</v>
      </c>
      <c r="AB238" s="538"/>
      <c r="AC238" s="538"/>
      <c r="AD238" s="538"/>
      <c r="AF238" s="633" t="s">
        <v>89</v>
      </c>
      <c r="AG238" s="489" t="str">
        <f t="shared" si="336"/>
        <v>Pengguna Swacam</v>
      </c>
      <c r="AH238" s="539">
        <f t="shared" si="331"/>
        <v>2044</v>
      </c>
      <c r="AI238" s="539">
        <f t="shared" si="332"/>
        <v>1820</v>
      </c>
      <c r="AJ238" s="539">
        <f t="shared" si="332"/>
        <v>2257</v>
      </c>
      <c r="AK238" s="539">
        <f t="shared" si="333"/>
        <v>1771</v>
      </c>
      <c r="AL238" s="539">
        <f t="shared" si="334"/>
        <v>1611.6</v>
      </c>
      <c r="AM238" s="539">
        <f t="shared" si="335"/>
        <v>1552.1666666666667</v>
      </c>
      <c r="AN238" s="539">
        <f>AVERAGE(S238:Y238)</f>
        <v>1439.4285714285713</v>
      </c>
      <c r="AO238" s="539">
        <f>AVERAGE(S238:Z238)</f>
        <v>1347.125</v>
      </c>
      <c r="AP238" s="539">
        <f>AVERAGE(S238:AA238)</f>
        <v>1302.3333333333333</v>
      </c>
      <c r="AQ238" s="539">
        <f>AVERAGE(S238:AB238)</f>
        <v>1302.3333333333333</v>
      </c>
      <c r="AR238" s="539">
        <f>AVERAGE(S238:AC238)</f>
        <v>1302.3333333333333</v>
      </c>
      <c r="AS238" s="539">
        <f>AVERAGE(S238:AD238)</f>
        <v>1302.3333333333333</v>
      </c>
    </row>
    <row r="239" spans="1:45">
      <c r="B239" s="633" t="s">
        <v>90</v>
      </c>
      <c r="C239" s="489" t="s">
        <v>215</v>
      </c>
      <c r="D239" s="538">
        <v>4728</v>
      </c>
      <c r="E239" s="538">
        <v>4728</v>
      </c>
      <c r="F239" s="538">
        <v>4728</v>
      </c>
      <c r="G239" s="538">
        <v>4728</v>
      </c>
      <c r="H239" s="538">
        <v>4728</v>
      </c>
      <c r="I239" s="538">
        <v>4728</v>
      </c>
      <c r="J239" s="538">
        <v>4728</v>
      </c>
      <c r="K239" s="538">
        <v>4728</v>
      </c>
      <c r="L239" s="538">
        <v>4728</v>
      </c>
      <c r="M239" s="538">
        <v>4728</v>
      </c>
      <c r="N239" s="538">
        <v>4728</v>
      </c>
      <c r="O239" s="538">
        <v>4728</v>
      </c>
      <c r="Q239" s="633" t="s">
        <v>90</v>
      </c>
      <c r="R239" s="489" t="str">
        <f t="shared" si="330"/>
        <v>Pengguna Swacam</v>
      </c>
      <c r="S239" s="538">
        <f t="shared" ref="S239:AD239" si="337">SUM(S234:S238)</f>
        <v>10357</v>
      </c>
      <c r="T239" s="538">
        <f t="shared" si="337"/>
        <v>7193</v>
      </c>
      <c r="U239" s="538">
        <f t="shared" si="337"/>
        <v>10929</v>
      </c>
      <c r="V239" s="538">
        <f t="shared" si="337"/>
        <v>4362</v>
      </c>
      <c r="W239" s="538">
        <f t="shared" si="337"/>
        <v>5120</v>
      </c>
      <c r="X239" s="538">
        <f t="shared" si="337"/>
        <v>6079</v>
      </c>
      <c r="Y239" s="538">
        <f t="shared" si="337"/>
        <v>5470</v>
      </c>
      <c r="Z239" s="538">
        <f t="shared" si="337"/>
        <v>5376</v>
      </c>
      <c r="AA239" s="538">
        <f t="shared" si="337"/>
        <v>5579</v>
      </c>
      <c r="AB239" s="538">
        <f t="shared" si="337"/>
        <v>0</v>
      </c>
      <c r="AC239" s="538">
        <f t="shared" si="337"/>
        <v>0</v>
      </c>
      <c r="AD239" s="538">
        <f t="shared" si="337"/>
        <v>0</v>
      </c>
      <c r="AF239" s="633" t="s">
        <v>90</v>
      </c>
      <c r="AG239" s="489" t="str">
        <f t="shared" si="336"/>
        <v>Pengguna Swacam</v>
      </c>
      <c r="AH239" s="539">
        <f t="shared" si="331"/>
        <v>10357</v>
      </c>
      <c r="AI239" s="539">
        <f t="shared" si="332"/>
        <v>8775</v>
      </c>
      <c r="AJ239" s="539">
        <f t="shared" si="332"/>
        <v>9061</v>
      </c>
      <c r="AK239" s="539">
        <f t="shared" si="333"/>
        <v>8210.25</v>
      </c>
      <c r="AL239" s="539">
        <f t="shared" si="334"/>
        <v>7592.2</v>
      </c>
      <c r="AM239" s="539">
        <f t="shared" si="335"/>
        <v>7340</v>
      </c>
      <c r="AN239" s="539">
        <f t="shared" ref="AN239:AS239" si="338">Y239</f>
        <v>5470</v>
      </c>
      <c r="AO239" s="539">
        <f t="shared" si="338"/>
        <v>5376</v>
      </c>
      <c r="AP239" s="539">
        <f t="shared" si="338"/>
        <v>5579</v>
      </c>
      <c r="AQ239" s="539">
        <f t="shared" si="338"/>
        <v>0</v>
      </c>
      <c r="AR239" s="539">
        <f t="shared" si="338"/>
        <v>0</v>
      </c>
      <c r="AS239" s="539">
        <f t="shared" si="338"/>
        <v>0</v>
      </c>
    </row>
    <row r="240" spans="1:45">
      <c r="B240" s="301"/>
      <c r="D240" s="397"/>
      <c r="E240" s="397"/>
      <c r="F240" s="397"/>
      <c r="G240" s="397"/>
      <c r="H240" s="397"/>
      <c r="I240" s="397"/>
      <c r="J240" s="397"/>
      <c r="K240" s="397"/>
      <c r="L240" s="397"/>
      <c r="M240" s="397"/>
      <c r="N240" s="397"/>
      <c r="O240" s="397"/>
      <c r="Q240" s="301"/>
      <c r="S240" s="269"/>
      <c r="T240" s="269"/>
      <c r="U240" s="269"/>
      <c r="V240" s="269"/>
      <c r="W240" s="269"/>
      <c r="X240" s="269"/>
      <c r="Y240" s="269"/>
      <c r="Z240" s="269"/>
      <c r="AA240" s="269"/>
      <c r="AB240" s="269"/>
      <c r="AC240" s="269"/>
      <c r="AD240" s="269"/>
      <c r="AF240" s="301"/>
      <c r="AH240" s="398"/>
      <c r="AI240" s="398"/>
      <c r="AJ240" s="398"/>
      <c r="AK240" s="398"/>
      <c r="AL240" s="398"/>
      <c r="AM240" s="398"/>
      <c r="AN240" s="398"/>
      <c r="AO240" s="398"/>
      <c r="AP240" s="398"/>
      <c r="AQ240" s="398"/>
      <c r="AR240" s="398"/>
      <c r="AS240" s="398"/>
    </row>
    <row r="241" spans="2:45">
      <c r="B241" s="371" t="s">
        <v>216</v>
      </c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Q241" s="194" t="str">
        <f>B241</f>
        <v>SISA STAND BONGKAR MIGRASI</v>
      </c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  <c r="AD241" s="105"/>
      <c r="AF241" s="194" t="str">
        <f>Q241</f>
        <v>SISA STAND BONGKAR MIGRASI</v>
      </c>
      <c r="AH241" s="105"/>
      <c r="AI241" s="105"/>
      <c r="AJ241" s="105"/>
      <c r="AK241" s="105"/>
      <c r="AL241" s="105"/>
      <c r="AM241" s="105"/>
      <c r="AN241" s="105"/>
      <c r="AO241" s="105"/>
      <c r="AP241" s="105"/>
      <c r="AQ241" s="105"/>
      <c r="AR241" s="105"/>
      <c r="AS241" s="105"/>
    </row>
    <row r="242" spans="2:45">
      <c r="B242" s="21" t="s">
        <v>100</v>
      </c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Q242" t="s">
        <v>126</v>
      </c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  <c r="AD242" s="105"/>
      <c r="AF242" t="s">
        <v>181</v>
      </c>
      <c r="AH242" s="105"/>
      <c r="AI242" s="105"/>
      <c r="AJ242" s="105"/>
      <c r="AK242" s="105"/>
      <c r="AL242" s="105"/>
      <c r="AM242" s="105"/>
      <c r="AN242" s="105"/>
      <c r="AO242" s="105"/>
      <c r="AP242" s="105"/>
      <c r="AQ242" s="105"/>
      <c r="AR242" s="105"/>
      <c r="AS242" s="105"/>
    </row>
    <row r="243" spans="2:45">
      <c r="B243" s="686" t="s">
        <v>72</v>
      </c>
      <c r="C243" s="686"/>
      <c r="D243" s="638" t="s">
        <v>74</v>
      </c>
      <c r="E243" s="638" t="s">
        <v>75</v>
      </c>
      <c r="F243" s="638" t="s">
        <v>76</v>
      </c>
      <c r="G243" s="638" t="s">
        <v>77</v>
      </c>
      <c r="H243" s="638" t="s">
        <v>78</v>
      </c>
      <c r="I243" s="638" t="s">
        <v>79</v>
      </c>
      <c r="J243" s="638" t="s">
        <v>80</v>
      </c>
      <c r="K243" s="638" t="s">
        <v>81</v>
      </c>
      <c r="L243" s="638" t="s">
        <v>82</v>
      </c>
      <c r="M243" s="638" t="s">
        <v>83</v>
      </c>
      <c r="N243" s="638" t="s">
        <v>84</v>
      </c>
      <c r="O243" s="638" t="s">
        <v>85</v>
      </c>
      <c r="Q243" s="686" t="s">
        <v>72</v>
      </c>
      <c r="R243" s="686"/>
      <c r="S243" s="638" t="s">
        <v>74</v>
      </c>
      <c r="T243" s="638" t="s">
        <v>75</v>
      </c>
      <c r="U243" s="638" t="s">
        <v>76</v>
      </c>
      <c r="V243" s="638" t="s">
        <v>77</v>
      </c>
      <c r="W243" s="638" t="s">
        <v>78</v>
      </c>
      <c r="X243" s="638" t="s">
        <v>79</v>
      </c>
      <c r="Y243" s="638" t="s">
        <v>80</v>
      </c>
      <c r="Z243" s="638" t="s">
        <v>81</v>
      </c>
      <c r="AA243" s="638" t="s">
        <v>82</v>
      </c>
      <c r="AB243" s="638" t="s">
        <v>83</v>
      </c>
      <c r="AC243" s="638" t="s">
        <v>84</v>
      </c>
      <c r="AD243" s="638" t="s">
        <v>85</v>
      </c>
      <c r="AF243" s="686" t="s">
        <v>72</v>
      </c>
      <c r="AG243" s="686"/>
      <c r="AH243" s="638" t="s">
        <v>74</v>
      </c>
      <c r="AI243" s="638" t="s">
        <v>75</v>
      </c>
      <c r="AJ243" s="638" t="s">
        <v>76</v>
      </c>
      <c r="AK243" s="638" t="s">
        <v>77</v>
      </c>
      <c r="AL243" s="638" t="s">
        <v>78</v>
      </c>
      <c r="AM243" s="638" t="s">
        <v>79</v>
      </c>
      <c r="AN243" s="638" t="s">
        <v>80</v>
      </c>
      <c r="AO243" s="638" t="s">
        <v>81</v>
      </c>
      <c r="AP243" s="638" t="s">
        <v>82</v>
      </c>
      <c r="AQ243" s="638" t="s">
        <v>83</v>
      </c>
      <c r="AR243" s="638" t="s">
        <v>84</v>
      </c>
      <c r="AS243" s="638" t="s">
        <v>85</v>
      </c>
    </row>
    <row r="244" spans="2:45">
      <c r="B244" s="680" t="s">
        <v>128</v>
      </c>
      <c r="C244" s="489" t="s">
        <v>217</v>
      </c>
      <c r="D244" s="529"/>
      <c r="E244" s="529"/>
      <c r="F244" s="529"/>
      <c r="G244" s="529"/>
      <c r="H244" s="529"/>
      <c r="I244" s="529"/>
      <c r="J244" s="529"/>
      <c r="K244" s="529"/>
      <c r="L244" s="529"/>
      <c r="M244" s="529"/>
      <c r="N244" s="529"/>
      <c r="O244" s="529"/>
      <c r="Q244" s="680" t="s">
        <v>128</v>
      </c>
      <c r="R244" s="489" t="str">
        <f t="shared" ref="R244:R258" si="339">C244</f>
        <v>Jumlah Kompensasi UJL menjadi kWH di AP2T</v>
      </c>
      <c r="S244" s="539"/>
      <c r="T244" s="539"/>
      <c r="U244" s="539"/>
      <c r="V244" s="539"/>
      <c r="W244" s="539"/>
      <c r="X244" s="539"/>
      <c r="Y244" s="539"/>
      <c r="Z244" s="539"/>
      <c r="AA244" s="539"/>
      <c r="AB244" s="539"/>
      <c r="AC244" s="539"/>
      <c r="AD244" s="539"/>
      <c r="AF244" s="680" t="s">
        <v>128</v>
      </c>
      <c r="AG244" s="489" t="str">
        <f t="shared" ref="AG244:AG258" si="340">C244</f>
        <v>Jumlah Kompensasi UJL menjadi kWH di AP2T</v>
      </c>
      <c r="AH244" s="539"/>
      <c r="AI244" s="539"/>
      <c r="AJ244" s="539"/>
      <c r="AK244" s="539"/>
      <c r="AL244" s="539"/>
      <c r="AM244" s="539"/>
      <c r="AN244" s="539"/>
      <c r="AO244" s="539"/>
      <c r="AP244" s="539"/>
      <c r="AQ244" s="539"/>
      <c r="AR244" s="539"/>
      <c r="AS244" s="539"/>
    </row>
    <row r="245" spans="2:45">
      <c r="B245" s="680"/>
      <c r="C245" s="489" t="s">
        <v>218</v>
      </c>
      <c r="D245" s="529"/>
      <c r="E245" s="529"/>
      <c r="F245" s="529"/>
      <c r="G245" s="529"/>
      <c r="H245" s="529"/>
      <c r="I245" s="529"/>
      <c r="J245" s="529"/>
      <c r="K245" s="529"/>
      <c r="L245" s="529"/>
      <c r="M245" s="529"/>
      <c r="N245" s="529"/>
      <c r="O245" s="529"/>
      <c r="Q245" s="680"/>
      <c r="R245" s="489" t="str">
        <f t="shared" si="339"/>
        <v>Total Kompensasi UJL Periode Berjalan</v>
      </c>
      <c r="S245" s="539"/>
      <c r="T245" s="539"/>
      <c r="U245" s="539"/>
      <c r="V245" s="539"/>
      <c r="W245" s="539"/>
      <c r="X245" s="539"/>
      <c r="Y245" s="539"/>
      <c r="Z245" s="539"/>
      <c r="AA245" s="539"/>
      <c r="AB245" s="539"/>
      <c r="AC245" s="539"/>
      <c r="AD245" s="539"/>
      <c r="AF245" s="680"/>
      <c r="AG245" s="489" t="str">
        <f t="shared" si="340"/>
        <v>Total Kompensasi UJL Periode Berjalan</v>
      </c>
      <c r="AH245" s="539"/>
      <c r="AI245" s="539"/>
      <c r="AJ245" s="539"/>
      <c r="AK245" s="539"/>
      <c r="AL245" s="539"/>
      <c r="AM245" s="539"/>
      <c r="AN245" s="539"/>
      <c r="AO245" s="539"/>
      <c r="AP245" s="539"/>
      <c r="AQ245" s="539"/>
      <c r="AR245" s="539"/>
      <c r="AS245" s="539"/>
    </row>
    <row r="246" spans="2:45">
      <c r="B246" s="680"/>
      <c r="C246" s="549" t="s">
        <v>219</v>
      </c>
      <c r="D246" s="550">
        <v>100</v>
      </c>
      <c r="E246" s="550">
        <v>100</v>
      </c>
      <c r="F246" s="550">
        <v>100</v>
      </c>
      <c r="G246" s="550">
        <v>100</v>
      </c>
      <c r="H246" s="550">
        <v>100</v>
      </c>
      <c r="I246" s="550">
        <v>100</v>
      </c>
      <c r="J246" s="550">
        <v>100</v>
      </c>
      <c r="K246" s="550">
        <v>100</v>
      </c>
      <c r="L246" s="550">
        <v>100</v>
      </c>
      <c r="M246" s="550">
        <v>100</v>
      </c>
      <c r="N246" s="550">
        <v>100</v>
      </c>
      <c r="O246" s="550">
        <v>100</v>
      </c>
      <c r="Q246" s="680"/>
      <c r="R246" s="551" t="str">
        <f t="shared" si="339"/>
        <v>Presentase</v>
      </c>
      <c r="S246" s="552"/>
      <c r="T246" s="552"/>
      <c r="U246" s="552"/>
      <c r="V246" s="552"/>
      <c r="W246" s="552"/>
      <c r="X246" s="552"/>
      <c r="Y246" s="552"/>
      <c r="Z246" s="552"/>
      <c r="AA246" s="552"/>
      <c r="AB246" s="552"/>
      <c r="AC246" s="552"/>
      <c r="AD246" s="552"/>
      <c r="AF246" s="680"/>
      <c r="AG246" s="551" t="str">
        <f t="shared" si="340"/>
        <v>Presentase</v>
      </c>
      <c r="AH246" s="552">
        <v>100</v>
      </c>
      <c r="AI246" s="552">
        <v>100</v>
      </c>
      <c r="AJ246" s="553">
        <v>100</v>
      </c>
      <c r="AK246" s="553">
        <v>100</v>
      </c>
      <c r="AL246" s="553">
        <v>100</v>
      </c>
      <c r="AM246" s="553">
        <v>100</v>
      </c>
      <c r="AN246" s="553">
        <v>100</v>
      </c>
      <c r="AO246" s="553">
        <v>100</v>
      </c>
      <c r="AP246" s="553">
        <v>100</v>
      </c>
      <c r="AQ246" s="553">
        <v>100</v>
      </c>
      <c r="AR246" s="553">
        <v>100</v>
      </c>
      <c r="AS246" s="553">
        <v>100</v>
      </c>
    </row>
    <row r="247" spans="2:45">
      <c r="B247" s="680" t="s">
        <v>87</v>
      </c>
      <c r="C247" s="489" t="s">
        <v>217</v>
      </c>
      <c r="D247" s="529"/>
      <c r="E247" s="529"/>
      <c r="F247" s="529"/>
      <c r="G247" s="529"/>
      <c r="H247" s="529"/>
      <c r="I247" s="529"/>
      <c r="J247" s="529"/>
      <c r="K247" s="529"/>
      <c r="L247" s="529"/>
      <c r="M247" s="529"/>
      <c r="N247" s="529"/>
      <c r="O247" s="529"/>
      <c r="Q247" s="680" t="s">
        <v>87</v>
      </c>
      <c r="R247" s="489" t="str">
        <f t="shared" si="339"/>
        <v>Jumlah Kompensasi UJL menjadi kWH di AP2T</v>
      </c>
      <c r="S247" s="529"/>
      <c r="T247" s="529"/>
      <c r="U247" s="529"/>
      <c r="V247" s="529"/>
      <c r="W247" s="529"/>
      <c r="X247" s="529"/>
      <c r="Y247" s="529"/>
      <c r="Z247" s="529"/>
      <c r="AA247" s="529"/>
      <c r="AB247" s="529"/>
      <c r="AC247" s="529"/>
      <c r="AD247" s="529"/>
      <c r="AF247" s="680" t="s">
        <v>87</v>
      </c>
      <c r="AG247" s="489" t="str">
        <f t="shared" si="340"/>
        <v>Jumlah Kompensasi UJL menjadi kWH di AP2T</v>
      </c>
      <c r="AH247" s="529"/>
      <c r="AI247" s="529"/>
      <c r="AJ247" s="539"/>
      <c r="AK247" s="539"/>
      <c r="AL247" s="539"/>
      <c r="AM247" s="539"/>
      <c r="AN247" s="539"/>
      <c r="AO247" s="539"/>
      <c r="AP247" s="539"/>
      <c r="AQ247" s="539"/>
      <c r="AR247" s="539"/>
      <c r="AS247" s="539"/>
    </row>
    <row r="248" spans="2:45">
      <c r="B248" s="680"/>
      <c r="C248" s="489" t="s">
        <v>218</v>
      </c>
      <c r="D248" s="529"/>
      <c r="E248" s="529"/>
      <c r="F248" s="529"/>
      <c r="G248" s="529"/>
      <c r="H248" s="529"/>
      <c r="I248" s="529"/>
      <c r="J248" s="529"/>
      <c r="K248" s="529"/>
      <c r="L248" s="529"/>
      <c r="M248" s="529"/>
      <c r="N248" s="529"/>
      <c r="O248" s="529"/>
      <c r="Q248" s="680"/>
      <c r="R248" s="489" t="str">
        <f t="shared" si="339"/>
        <v>Total Kompensasi UJL Periode Berjalan</v>
      </c>
      <c r="S248" s="529"/>
      <c r="T248" s="529"/>
      <c r="U248" s="529"/>
      <c r="V248" s="529"/>
      <c r="W248" s="529"/>
      <c r="X248" s="529"/>
      <c r="Y248" s="529"/>
      <c r="Z248" s="529"/>
      <c r="AA248" s="529"/>
      <c r="AB248" s="529"/>
      <c r="AC248" s="529"/>
      <c r="AD248" s="529"/>
      <c r="AF248" s="680"/>
      <c r="AG248" s="489" t="str">
        <f t="shared" si="340"/>
        <v>Total Kompensasi UJL Periode Berjalan</v>
      </c>
      <c r="AH248" s="529"/>
      <c r="AI248" s="529"/>
      <c r="AJ248" s="539"/>
      <c r="AK248" s="539"/>
      <c r="AL248" s="539"/>
      <c r="AM248" s="539"/>
      <c r="AN248" s="539"/>
      <c r="AO248" s="539"/>
      <c r="AP248" s="539"/>
      <c r="AQ248" s="539"/>
      <c r="AR248" s="539"/>
      <c r="AS248" s="539"/>
    </row>
    <row r="249" spans="2:45">
      <c r="B249" s="680"/>
      <c r="C249" s="549" t="s">
        <v>219</v>
      </c>
      <c r="D249" s="550">
        <v>100</v>
      </c>
      <c r="E249" s="550">
        <v>100</v>
      </c>
      <c r="F249" s="550">
        <v>100</v>
      </c>
      <c r="G249" s="550">
        <v>100</v>
      </c>
      <c r="H249" s="550">
        <v>100</v>
      </c>
      <c r="I249" s="550">
        <v>100</v>
      </c>
      <c r="J249" s="550">
        <v>100</v>
      </c>
      <c r="K249" s="550">
        <v>100</v>
      </c>
      <c r="L249" s="550">
        <v>100</v>
      </c>
      <c r="M249" s="550">
        <v>100</v>
      </c>
      <c r="N249" s="550">
        <v>100</v>
      </c>
      <c r="O249" s="550">
        <v>100</v>
      </c>
      <c r="Q249" s="680"/>
      <c r="R249" s="551" t="str">
        <f t="shared" si="339"/>
        <v>Presentase</v>
      </c>
      <c r="S249" s="552"/>
      <c r="T249" s="552"/>
      <c r="U249" s="552"/>
      <c r="V249" s="552"/>
      <c r="W249" s="552"/>
      <c r="X249" s="552"/>
      <c r="Y249" s="552"/>
      <c r="Z249" s="552"/>
      <c r="AA249" s="552"/>
      <c r="AB249" s="552"/>
      <c r="AC249" s="552"/>
      <c r="AD249" s="552"/>
      <c r="AF249" s="680"/>
      <c r="AG249" s="551" t="str">
        <f t="shared" si="340"/>
        <v>Presentase</v>
      </c>
      <c r="AH249" s="552">
        <v>100</v>
      </c>
      <c r="AI249" s="552">
        <v>100</v>
      </c>
      <c r="AJ249" s="553">
        <v>100</v>
      </c>
      <c r="AK249" s="553">
        <v>100</v>
      </c>
      <c r="AL249" s="553">
        <v>100</v>
      </c>
      <c r="AM249" s="553">
        <v>100</v>
      </c>
      <c r="AN249" s="553">
        <v>100</v>
      </c>
      <c r="AO249" s="553">
        <v>100</v>
      </c>
      <c r="AP249" s="553">
        <v>100</v>
      </c>
      <c r="AQ249" s="553">
        <v>100</v>
      </c>
      <c r="AR249" s="553">
        <v>100</v>
      </c>
      <c r="AS249" s="553">
        <v>100</v>
      </c>
    </row>
    <row r="250" spans="2:45">
      <c r="B250" s="680" t="s">
        <v>88</v>
      </c>
      <c r="C250" s="489" t="s">
        <v>217</v>
      </c>
      <c r="D250" s="529"/>
      <c r="E250" s="529"/>
      <c r="F250" s="529"/>
      <c r="G250" s="529"/>
      <c r="H250" s="529"/>
      <c r="I250" s="529"/>
      <c r="J250" s="529"/>
      <c r="K250" s="529"/>
      <c r="L250" s="529"/>
      <c r="M250" s="529"/>
      <c r="N250" s="529"/>
      <c r="O250" s="529"/>
      <c r="Q250" s="680" t="s">
        <v>88</v>
      </c>
      <c r="R250" s="489" t="str">
        <f t="shared" si="339"/>
        <v>Jumlah Kompensasi UJL menjadi kWH di AP2T</v>
      </c>
      <c r="S250" s="540"/>
      <c r="T250" s="540"/>
      <c r="U250" s="540"/>
      <c r="V250" s="540"/>
      <c r="W250" s="540"/>
      <c r="X250" s="540"/>
      <c r="Y250" s="540"/>
      <c r="Z250" s="540"/>
      <c r="AA250" s="540"/>
      <c r="AB250" s="540"/>
      <c r="AC250" s="540"/>
      <c r="AD250" s="540"/>
      <c r="AF250" s="680" t="s">
        <v>88</v>
      </c>
      <c r="AG250" s="489" t="str">
        <f t="shared" si="340"/>
        <v>Jumlah Kompensasi UJL menjadi kWH di AP2T</v>
      </c>
      <c r="AH250" s="540"/>
      <c r="AI250" s="540"/>
      <c r="AJ250" s="539"/>
      <c r="AK250" s="539"/>
      <c r="AL250" s="539"/>
      <c r="AM250" s="539"/>
      <c r="AN250" s="539"/>
      <c r="AO250" s="539"/>
      <c r="AP250" s="539"/>
      <c r="AQ250" s="539"/>
      <c r="AR250" s="539"/>
      <c r="AS250" s="539"/>
    </row>
    <row r="251" spans="2:45">
      <c r="B251" s="680"/>
      <c r="C251" s="489" t="s">
        <v>218</v>
      </c>
      <c r="D251" s="529"/>
      <c r="E251" s="529"/>
      <c r="F251" s="529"/>
      <c r="G251" s="529"/>
      <c r="H251" s="529"/>
      <c r="I251" s="529"/>
      <c r="J251" s="529"/>
      <c r="K251" s="529"/>
      <c r="L251" s="529"/>
      <c r="M251" s="529"/>
      <c r="N251" s="529"/>
      <c r="O251" s="529"/>
      <c r="Q251" s="680"/>
      <c r="R251" s="489" t="str">
        <f t="shared" si="339"/>
        <v>Total Kompensasi UJL Periode Berjalan</v>
      </c>
      <c r="S251" s="540"/>
      <c r="T251" s="540"/>
      <c r="U251" s="540"/>
      <c r="V251" s="540"/>
      <c r="W251" s="540"/>
      <c r="X251" s="540"/>
      <c r="Y251" s="540"/>
      <c r="Z251" s="540"/>
      <c r="AA251" s="540"/>
      <c r="AB251" s="540"/>
      <c r="AC251" s="540"/>
      <c r="AD251" s="540"/>
      <c r="AF251" s="680"/>
      <c r="AG251" s="489" t="str">
        <f t="shared" si="340"/>
        <v>Total Kompensasi UJL Periode Berjalan</v>
      </c>
      <c r="AH251" s="540"/>
      <c r="AI251" s="540"/>
      <c r="AJ251" s="539"/>
      <c r="AK251" s="539"/>
      <c r="AL251" s="539"/>
      <c r="AM251" s="539"/>
      <c r="AN251" s="539"/>
      <c r="AO251" s="539"/>
      <c r="AP251" s="539"/>
      <c r="AQ251" s="539"/>
      <c r="AR251" s="539"/>
      <c r="AS251" s="539"/>
    </row>
    <row r="252" spans="2:45">
      <c r="B252" s="680"/>
      <c r="C252" s="549" t="s">
        <v>219</v>
      </c>
      <c r="D252" s="550">
        <v>100</v>
      </c>
      <c r="E252" s="550">
        <v>100</v>
      </c>
      <c r="F252" s="550">
        <v>100</v>
      </c>
      <c r="G252" s="550">
        <v>100</v>
      </c>
      <c r="H252" s="550">
        <v>100</v>
      </c>
      <c r="I252" s="550">
        <v>100</v>
      </c>
      <c r="J252" s="550">
        <v>100</v>
      </c>
      <c r="K252" s="550">
        <v>100</v>
      </c>
      <c r="L252" s="550">
        <v>100</v>
      </c>
      <c r="M252" s="550">
        <v>100</v>
      </c>
      <c r="N252" s="550">
        <v>100</v>
      </c>
      <c r="O252" s="550">
        <v>100</v>
      </c>
      <c r="Q252" s="680"/>
      <c r="R252" s="551" t="str">
        <f t="shared" si="339"/>
        <v>Presentase</v>
      </c>
      <c r="S252" s="552"/>
      <c r="T252" s="552"/>
      <c r="U252" s="552"/>
      <c r="V252" s="552"/>
      <c r="W252" s="552"/>
      <c r="X252" s="552"/>
      <c r="Y252" s="552"/>
      <c r="Z252" s="552"/>
      <c r="AA252" s="552"/>
      <c r="AB252" s="552"/>
      <c r="AC252" s="552"/>
      <c r="AD252" s="552"/>
      <c r="AF252" s="680"/>
      <c r="AG252" s="551" t="str">
        <f t="shared" si="340"/>
        <v>Presentase</v>
      </c>
      <c r="AH252" s="552">
        <v>100</v>
      </c>
      <c r="AI252" s="552">
        <v>100</v>
      </c>
      <c r="AJ252" s="553">
        <v>100</v>
      </c>
      <c r="AK252" s="553">
        <v>100</v>
      </c>
      <c r="AL252" s="553">
        <v>100</v>
      </c>
      <c r="AM252" s="553">
        <v>100</v>
      </c>
      <c r="AN252" s="553">
        <v>100</v>
      </c>
      <c r="AO252" s="553">
        <v>100</v>
      </c>
      <c r="AP252" s="553">
        <v>100</v>
      </c>
      <c r="AQ252" s="553">
        <v>100</v>
      </c>
      <c r="AR252" s="553">
        <v>100</v>
      </c>
      <c r="AS252" s="553">
        <v>100</v>
      </c>
    </row>
    <row r="253" spans="2:45">
      <c r="B253" s="680" t="s">
        <v>121</v>
      </c>
      <c r="C253" s="489" t="s">
        <v>217</v>
      </c>
      <c r="D253" s="529"/>
      <c r="E253" s="529"/>
      <c r="F253" s="529"/>
      <c r="G253" s="529"/>
      <c r="H253" s="529"/>
      <c r="I253" s="529"/>
      <c r="J253" s="529"/>
      <c r="K253" s="529"/>
      <c r="L253" s="529"/>
      <c r="M253" s="529"/>
      <c r="N253" s="529"/>
      <c r="O253" s="529"/>
      <c r="Q253" s="680" t="s">
        <v>121</v>
      </c>
      <c r="R253" s="489" t="str">
        <f t="shared" si="339"/>
        <v>Jumlah Kompensasi UJL menjadi kWH di AP2T</v>
      </c>
      <c r="S253" s="529"/>
      <c r="T253" s="529"/>
      <c r="U253" s="529"/>
      <c r="V253" s="529"/>
      <c r="W253" s="529"/>
      <c r="X253" s="529"/>
      <c r="Y253" s="529"/>
      <c r="Z253" s="529"/>
      <c r="AA253" s="529"/>
      <c r="AB253" s="529"/>
      <c r="AC253" s="529"/>
      <c r="AD253" s="529"/>
      <c r="AF253" s="680" t="s">
        <v>121</v>
      </c>
      <c r="AG253" s="489" t="str">
        <f t="shared" si="340"/>
        <v>Jumlah Kompensasi UJL menjadi kWH di AP2T</v>
      </c>
      <c r="AH253" s="529"/>
      <c r="AI253" s="529"/>
      <c r="AJ253" s="539"/>
      <c r="AK253" s="539"/>
      <c r="AL253" s="539"/>
      <c r="AM253" s="539"/>
      <c r="AN253" s="539"/>
      <c r="AO253" s="539"/>
      <c r="AP253" s="539"/>
      <c r="AQ253" s="539"/>
      <c r="AR253" s="539"/>
      <c r="AS253" s="539"/>
    </row>
    <row r="254" spans="2:45">
      <c r="B254" s="680"/>
      <c r="C254" s="489" t="s">
        <v>218</v>
      </c>
      <c r="D254" s="529"/>
      <c r="E254" s="529"/>
      <c r="F254" s="529"/>
      <c r="G254" s="529"/>
      <c r="H254" s="529"/>
      <c r="I254" s="529"/>
      <c r="J254" s="529"/>
      <c r="K254" s="529"/>
      <c r="L254" s="529"/>
      <c r="M254" s="529"/>
      <c r="N254" s="529"/>
      <c r="O254" s="529"/>
      <c r="Q254" s="680"/>
      <c r="R254" s="489" t="str">
        <f t="shared" si="339"/>
        <v>Total Kompensasi UJL Periode Berjalan</v>
      </c>
      <c r="S254" s="582"/>
      <c r="T254" s="529"/>
      <c r="U254" s="529"/>
      <c r="V254" s="529"/>
      <c r="W254" s="529"/>
      <c r="X254" s="529"/>
      <c r="Y254" s="529"/>
      <c r="Z254" s="529"/>
      <c r="AA254" s="529"/>
      <c r="AB254" s="529"/>
      <c r="AC254" s="529"/>
      <c r="AD254" s="529"/>
      <c r="AF254" s="680"/>
      <c r="AG254" s="489" t="str">
        <f t="shared" si="340"/>
        <v>Total Kompensasi UJL Periode Berjalan</v>
      </c>
      <c r="AH254" s="529"/>
      <c r="AI254" s="529"/>
      <c r="AJ254" s="539"/>
      <c r="AK254" s="539"/>
      <c r="AL254" s="539"/>
      <c r="AM254" s="539"/>
      <c r="AN254" s="539"/>
      <c r="AO254" s="539"/>
      <c r="AP254" s="539"/>
      <c r="AQ254" s="539"/>
      <c r="AR254" s="539"/>
      <c r="AS254" s="539"/>
    </row>
    <row r="255" spans="2:45">
      <c r="B255" s="680"/>
      <c r="C255" s="549" t="s">
        <v>219</v>
      </c>
      <c r="D255" s="550">
        <v>100</v>
      </c>
      <c r="E255" s="550">
        <v>100</v>
      </c>
      <c r="F255" s="550">
        <v>100</v>
      </c>
      <c r="G255" s="550">
        <v>100</v>
      </c>
      <c r="H255" s="550">
        <v>100</v>
      </c>
      <c r="I255" s="550">
        <v>100</v>
      </c>
      <c r="J255" s="550">
        <v>100</v>
      </c>
      <c r="K255" s="550">
        <v>100</v>
      </c>
      <c r="L255" s="550">
        <v>100</v>
      </c>
      <c r="M255" s="550">
        <v>100</v>
      </c>
      <c r="N255" s="550">
        <v>100</v>
      </c>
      <c r="O255" s="550">
        <v>100</v>
      </c>
      <c r="Q255" s="680"/>
      <c r="R255" s="551" t="str">
        <f t="shared" si="339"/>
        <v>Presentase</v>
      </c>
      <c r="S255" s="552"/>
      <c r="T255" s="552"/>
      <c r="U255" s="552"/>
      <c r="V255" s="552"/>
      <c r="W255" s="552"/>
      <c r="X255" s="552"/>
      <c r="Y255" s="552"/>
      <c r="Z255" s="552"/>
      <c r="AA255" s="552"/>
      <c r="AB255" s="552"/>
      <c r="AC255" s="552"/>
      <c r="AD255" s="552"/>
      <c r="AF255" s="680"/>
      <c r="AG255" s="551" t="str">
        <f t="shared" si="340"/>
        <v>Presentase</v>
      </c>
      <c r="AH255" s="552">
        <v>100</v>
      </c>
      <c r="AI255" s="552">
        <v>100</v>
      </c>
      <c r="AJ255" s="553">
        <v>100</v>
      </c>
      <c r="AK255" s="553">
        <v>100</v>
      </c>
      <c r="AL255" s="553">
        <v>100</v>
      </c>
      <c r="AM255" s="553">
        <v>100</v>
      </c>
      <c r="AN255" s="553">
        <v>100</v>
      </c>
      <c r="AO255" s="553">
        <v>100</v>
      </c>
      <c r="AP255" s="553">
        <v>100</v>
      </c>
      <c r="AQ255" s="553">
        <v>100</v>
      </c>
      <c r="AR255" s="553">
        <v>100</v>
      </c>
      <c r="AS255" s="553">
        <v>100</v>
      </c>
    </row>
    <row r="256" spans="2:45">
      <c r="B256" s="680" t="s">
        <v>89</v>
      </c>
      <c r="C256" s="489" t="s">
        <v>217</v>
      </c>
      <c r="D256" s="529"/>
      <c r="E256" s="529"/>
      <c r="F256" s="529"/>
      <c r="G256" s="529"/>
      <c r="H256" s="529"/>
      <c r="I256" s="529"/>
      <c r="J256" s="529"/>
      <c r="K256" s="529"/>
      <c r="L256" s="529"/>
      <c r="M256" s="529"/>
      <c r="N256" s="529"/>
      <c r="O256" s="529"/>
      <c r="Q256" s="680" t="s">
        <v>89</v>
      </c>
      <c r="R256" s="489" t="str">
        <f t="shared" si="339"/>
        <v>Jumlah Kompensasi UJL menjadi kWH di AP2T</v>
      </c>
      <c r="S256" s="529"/>
      <c r="T256" s="529"/>
      <c r="U256" s="529"/>
      <c r="V256" s="529"/>
      <c r="W256" s="529"/>
      <c r="X256" s="529"/>
      <c r="Y256" s="529"/>
      <c r="Z256" s="529"/>
      <c r="AA256" s="529"/>
      <c r="AB256" s="529"/>
      <c r="AC256" s="529"/>
      <c r="AD256" s="529"/>
      <c r="AF256" s="680" t="s">
        <v>89</v>
      </c>
      <c r="AG256" s="489" t="str">
        <f t="shared" si="340"/>
        <v>Jumlah Kompensasi UJL menjadi kWH di AP2T</v>
      </c>
      <c r="AH256" s="529"/>
      <c r="AI256" s="529"/>
      <c r="AJ256" s="539"/>
      <c r="AK256" s="539"/>
      <c r="AL256" s="539"/>
      <c r="AM256" s="539"/>
      <c r="AN256" s="539"/>
      <c r="AO256" s="539"/>
      <c r="AP256" s="539"/>
      <c r="AQ256" s="539"/>
      <c r="AR256" s="539"/>
      <c r="AS256" s="539"/>
    </row>
    <row r="257" spans="1:47">
      <c r="B257" s="680"/>
      <c r="C257" s="489" t="s">
        <v>218</v>
      </c>
      <c r="D257" s="529"/>
      <c r="E257" s="529"/>
      <c r="F257" s="529"/>
      <c r="G257" s="529"/>
      <c r="H257" s="529"/>
      <c r="I257" s="529"/>
      <c r="J257" s="529"/>
      <c r="K257" s="529"/>
      <c r="L257" s="529"/>
      <c r="M257" s="529"/>
      <c r="N257" s="529"/>
      <c r="O257" s="529"/>
      <c r="Q257" s="680"/>
      <c r="R257" s="489" t="str">
        <f t="shared" si="339"/>
        <v>Total Kompensasi UJL Periode Berjalan</v>
      </c>
      <c r="S257" s="529"/>
      <c r="T257" s="529"/>
      <c r="U257" s="529"/>
      <c r="V257" s="529"/>
      <c r="W257" s="529"/>
      <c r="X257" s="529"/>
      <c r="Y257" s="529"/>
      <c r="Z257" s="529"/>
      <c r="AA257" s="529"/>
      <c r="AB257" s="529"/>
      <c r="AC257" s="529"/>
      <c r="AD257" s="529"/>
      <c r="AF257" s="680"/>
      <c r="AG257" s="489" t="str">
        <f t="shared" si="340"/>
        <v>Total Kompensasi UJL Periode Berjalan</v>
      </c>
      <c r="AH257" s="529"/>
      <c r="AI257" s="529"/>
      <c r="AJ257" s="539"/>
      <c r="AK257" s="539"/>
      <c r="AL257" s="539"/>
      <c r="AM257" s="539"/>
      <c r="AN257" s="539"/>
      <c r="AO257" s="539"/>
      <c r="AP257" s="539"/>
      <c r="AQ257" s="539"/>
      <c r="AR257" s="539"/>
      <c r="AS257" s="539"/>
    </row>
    <row r="258" spans="1:47">
      <c r="B258" s="680"/>
      <c r="C258" s="549" t="s">
        <v>219</v>
      </c>
      <c r="D258" s="550">
        <v>100</v>
      </c>
      <c r="E258" s="550">
        <v>100</v>
      </c>
      <c r="F258" s="550">
        <v>100</v>
      </c>
      <c r="G258" s="550">
        <v>100</v>
      </c>
      <c r="H258" s="550">
        <v>100</v>
      </c>
      <c r="I258" s="550">
        <v>100</v>
      </c>
      <c r="J258" s="550">
        <v>100</v>
      </c>
      <c r="K258" s="550">
        <v>100</v>
      </c>
      <c r="L258" s="550">
        <v>100</v>
      </c>
      <c r="M258" s="550">
        <v>100</v>
      </c>
      <c r="N258" s="550">
        <v>100</v>
      </c>
      <c r="O258" s="550">
        <v>100</v>
      </c>
      <c r="Q258" s="680"/>
      <c r="R258" s="551" t="str">
        <f t="shared" si="339"/>
        <v>Presentase</v>
      </c>
      <c r="S258" s="552"/>
      <c r="T258" s="552"/>
      <c r="U258" s="552"/>
      <c r="V258" s="552"/>
      <c r="W258" s="552"/>
      <c r="X258" s="552"/>
      <c r="Y258" s="552"/>
      <c r="Z258" s="552"/>
      <c r="AA258" s="552"/>
      <c r="AB258" s="552"/>
      <c r="AC258" s="552"/>
      <c r="AD258" s="552"/>
      <c r="AF258" s="680"/>
      <c r="AG258" s="551" t="str">
        <f t="shared" si="340"/>
        <v>Presentase</v>
      </c>
      <c r="AH258" s="552">
        <v>100</v>
      </c>
      <c r="AI258" s="552">
        <v>100</v>
      </c>
      <c r="AJ258" s="553">
        <v>100</v>
      </c>
      <c r="AK258" s="553">
        <v>100</v>
      </c>
      <c r="AL258" s="553">
        <v>100</v>
      </c>
      <c r="AM258" s="553">
        <v>100</v>
      </c>
      <c r="AN258" s="553">
        <v>100</v>
      </c>
      <c r="AO258" s="553">
        <v>100</v>
      </c>
      <c r="AP258" s="553">
        <v>100</v>
      </c>
      <c r="AQ258" s="553">
        <v>100</v>
      </c>
      <c r="AR258" s="553">
        <v>100</v>
      </c>
      <c r="AS258" s="553">
        <v>100</v>
      </c>
    </row>
    <row r="259" spans="1:47">
      <c r="B259" s="125"/>
      <c r="C259" s="294"/>
      <c r="D259" s="296"/>
      <c r="E259" s="296"/>
      <c r="F259" s="296"/>
      <c r="G259" s="296"/>
      <c r="H259" s="296"/>
      <c r="I259" s="296"/>
      <c r="J259" s="296"/>
      <c r="K259" s="296"/>
      <c r="L259" s="296"/>
      <c r="M259" s="296"/>
      <c r="N259" s="296"/>
      <c r="O259" s="296"/>
      <c r="Q259" s="125"/>
      <c r="R259" s="294"/>
      <c r="S259" s="164"/>
      <c r="T259" s="164"/>
      <c r="U259" s="164"/>
      <c r="V259" s="164"/>
      <c r="W259" s="164"/>
      <c r="X259" s="164"/>
      <c r="Y259" s="164"/>
      <c r="Z259" s="164"/>
      <c r="AA259" s="164"/>
      <c r="AB259" s="164"/>
      <c r="AC259" s="164"/>
      <c r="AD259" s="164"/>
      <c r="AF259" s="125"/>
      <c r="AG259" s="294"/>
      <c r="AH259" s="164"/>
      <c r="AI259" s="164"/>
      <c r="AJ259" s="164"/>
      <c r="AK259" s="164"/>
      <c r="AL259" s="164"/>
      <c r="AM259" s="164"/>
      <c r="AN259" s="164"/>
      <c r="AO259" s="164"/>
      <c r="AP259" s="164"/>
      <c r="AQ259" s="164"/>
      <c r="AR259" s="164"/>
      <c r="AS259" s="164"/>
      <c r="AU259"/>
    </row>
    <row r="260" spans="1:47">
      <c r="B260" s="125"/>
      <c r="C260" s="294"/>
      <c r="D260" s="164"/>
      <c r="E260" s="164"/>
      <c r="F260" s="164"/>
      <c r="G260" s="164"/>
      <c r="H260" s="164"/>
      <c r="I260" s="164"/>
      <c r="J260" s="164"/>
      <c r="K260" s="164"/>
      <c r="L260" s="164"/>
      <c r="M260" s="164"/>
      <c r="N260" s="164"/>
      <c r="O260" s="164"/>
      <c r="Q260" s="125"/>
      <c r="R260" s="294"/>
      <c r="S260" s="164"/>
      <c r="T260" s="164"/>
      <c r="U260" s="164"/>
      <c r="V260" s="164"/>
      <c r="W260" s="164"/>
      <c r="X260" s="164"/>
      <c r="Y260" s="164"/>
      <c r="Z260" s="164"/>
      <c r="AA260" s="164"/>
      <c r="AB260" s="164"/>
      <c r="AC260" s="164"/>
      <c r="AD260" s="164"/>
      <c r="AF260" s="125"/>
      <c r="AG260" s="294"/>
      <c r="AH260" s="164"/>
      <c r="AI260" s="164"/>
      <c r="AJ260" s="164"/>
      <c r="AK260" s="164"/>
      <c r="AL260" s="164"/>
      <c r="AM260" s="296"/>
      <c r="AN260" s="296"/>
      <c r="AO260" s="164"/>
      <c r="AP260" s="164"/>
      <c r="AQ260" s="164"/>
      <c r="AR260" s="164"/>
      <c r="AS260" s="164"/>
    </row>
    <row r="261" spans="1:47">
      <c r="A261" s="105">
        <v>9</v>
      </c>
      <c r="B261" s="371" t="s">
        <v>220</v>
      </c>
      <c r="C261" s="294"/>
      <c r="D261" s="164"/>
      <c r="E261" s="164"/>
      <c r="F261" s="164"/>
      <c r="G261" s="164"/>
      <c r="H261" s="164"/>
      <c r="I261" s="164"/>
      <c r="J261" s="164"/>
      <c r="K261" s="164"/>
      <c r="L261" s="164"/>
      <c r="M261" s="164"/>
      <c r="N261" s="164"/>
      <c r="O261" s="164"/>
      <c r="Q261" s="194" t="str">
        <f>B261</f>
        <v>PERSENTASE RATA- RATA SALDO PAL (RP)
NON KOGOL 1 TANGGAL 20 DIBANDINGKAN RATARATA REKENING BARU (RPPTL) NON KOGOL 1
BULAN BERJALAN</v>
      </c>
      <c r="R261" s="294"/>
      <c r="S261" s="164"/>
      <c r="T261" s="164"/>
      <c r="U261" s="164"/>
      <c r="V261" s="164"/>
      <c r="W261" s="164"/>
      <c r="X261" s="164"/>
      <c r="Y261" s="164"/>
      <c r="Z261" s="164"/>
      <c r="AA261" s="164"/>
      <c r="AB261" s="164"/>
      <c r="AC261" s="164"/>
      <c r="AD261" s="164"/>
      <c r="AF261" s="194" t="str">
        <f>Q261</f>
        <v>PERSENTASE RATA- RATA SALDO PAL (RP)
NON KOGOL 1 TANGGAL 20 DIBANDINGKAN RATARATA REKENING BARU (RPPTL) NON KOGOL 1
BULAN BERJALAN</v>
      </c>
      <c r="AG261" s="294"/>
      <c r="AH261" s="164"/>
      <c r="AI261" s="164"/>
      <c r="AJ261" s="164"/>
      <c r="AK261" s="164"/>
      <c r="AL261" s="164"/>
      <c r="AM261" s="164"/>
      <c r="AN261" s="164"/>
      <c r="AO261" s="164"/>
      <c r="AP261" s="164"/>
      <c r="AQ261" s="164"/>
      <c r="AR261" s="164"/>
      <c r="AS261" s="164"/>
    </row>
    <row r="262" spans="1:47">
      <c r="B262" s="371" t="s">
        <v>100</v>
      </c>
      <c r="C262" s="294"/>
      <c r="D262" s="164"/>
      <c r="E262" s="164"/>
      <c r="F262" s="164"/>
      <c r="G262" s="164"/>
      <c r="H262" s="164"/>
      <c r="I262" s="164"/>
      <c r="J262" s="164"/>
      <c r="K262" s="164"/>
      <c r="L262" s="164"/>
      <c r="M262" s="164"/>
      <c r="N262" s="164"/>
      <c r="O262" s="164"/>
      <c r="Q262" s="194" t="s">
        <v>126</v>
      </c>
      <c r="R262" s="294"/>
      <c r="S262" s="164"/>
      <c r="T262" s="164"/>
      <c r="U262" s="164"/>
      <c r="V262" s="164"/>
      <c r="W262" s="164"/>
      <c r="X262" s="164"/>
      <c r="Y262" s="164"/>
      <c r="Z262" s="164"/>
      <c r="AA262" s="164"/>
      <c r="AB262" s="164"/>
      <c r="AC262" s="164"/>
      <c r="AD262" s="164"/>
      <c r="AF262" s="194" t="s">
        <v>127</v>
      </c>
      <c r="AG262" s="294"/>
      <c r="AH262" s="164"/>
      <c r="AI262" s="164"/>
      <c r="AJ262" s="164"/>
      <c r="AK262" s="164"/>
      <c r="AL262" s="164"/>
      <c r="AM262" s="164"/>
      <c r="AN262" s="164"/>
      <c r="AO262" s="164"/>
      <c r="AP262" s="164"/>
      <c r="AQ262" s="164"/>
      <c r="AR262" s="164"/>
      <c r="AS262" s="164"/>
    </row>
    <row r="263" spans="1:47">
      <c r="B263" s="681" t="s">
        <v>72</v>
      </c>
      <c r="C263" s="682"/>
      <c r="D263" s="638" t="s">
        <v>74</v>
      </c>
      <c r="E263" s="638" t="s">
        <v>75</v>
      </c>
      <c r="F263" s="638" t="s">
        <v>76</v>
      </c>
      <c r="G263" s="638" t="s">
        <v>77</v>
      </c>
      <c r="H263" s="638" t="s">
        <v>78</v>
      </c>
      <c r="I263" s="638" t="s">
        <v>79</v>
      </c>
      <c r="J263" s="638" t="s">
        <v>80</v>
      </c>
      <c r="K263" s="638" t="s">
        <v>81</v>
      </c>
      <c r="L263" s="638" t="s">
        <v>82</v>
      </c>
      <c r="M263" s="638" t="s">
        <v>83</v>
      </c>
      <c r="N263" s="638" t="s">
        <v>84</v>
      </c>
      <c r="O263" s="638" t="s">
        <v>85</v>
      </c>
      <c r="Q263" s="681" t="s">
        <v>72</v>
      </c>
      <c r="R263" s="682"/>
      <c r="S263" s="638" t="s">
        <v>74</v>
      </c>
      <c r="T263" s="638" t="s">
        <v>75</v>
      </c>
      <c r="U263" s="638" t="s">
        <v>76</v>
      </c>
      <c r="V263" s="638" t="s">
        <v>77</v>
      </c>
      <c r="W263" s="638" t="s">
        <v>78</v>
      </c>
      <c r="X263" s="638" t="s">
        <v>79</v>
      </c>
      <c r="Y263" s="638" t="s">
        <v>80</v>
      </c>
      <c r="Z263" s="638" t="s">
        <v>81</v>
      </c>
      <c r="AA263" s="638" t="s">
        <v>82</v>
      </c>
      <c r="AB263" s="638" t="s">
        <v>83</v>
      </c>
      <c r="AC263" s="638" t="s">
        <v>84</v>
      </c>
      <c r="AD263" s="638" t="s">
        <v>85</v>
      </c>
      <c r="AF263" s="681" t="s">
        <v>72</v>
      </c>
      <c r="AG263" s="682"/>
      <c r="AH263" s="638" t="s">
        <v>74</v>
      </c>
      <c r="AI263" s="638" t="s">
        <v>75</v>
      </c>
      <c r="AJ263" s="638" t="s">
        <v>76</v>
      </c>
      <c r="AK263" s="638" t="s">
        <v>77</v>
      </c>
      <c r="AL263" s="638" t="s">
        <v>78</v>
      </c>
      <c r="AM263" s="638" t="s">
        <v>79</v>
      </c>
      <c r="AN263" s="638" t="s">
        <v>80</v>
      </c>
      <c r="AO263" s="638" t="s">
        <v>81</v>
      </c>
      <c r="AP263" s="638" t="s">
        <v>82</v>
      </c>
      <c r="AQ263" s="638" t="s">
        <v>83</v>
      </c>
      <c r="AR263" s="638" t="s">
        <v>84</v>
      </c>
      <c r="AS263" s="638" t="s">
        <v>85</v>
      </c>
    </row>
    <row r="264" spans="1:47" ht="26.45" customHeight="1">
      <c r="B264" s="679" t="s">
        <v>128</v>
      </c>
      <c r="C264" s="583" t="s">
        <v>221</v>
      </c>
      <c r="D264" s="531"/>
      <c r="E264" s="531"/>
      <c r="F264" s="531"/>
      <c r="G264" s="531"/>
      <c r="H264" s="531"/>
      <c r="I264" s="531"/>
      <c r="J264" s="531"/>
      <c r="K264" s="531"/>
      <c r="L264" s="531"/>
      <c r="M264" s="531"/>
      <c r="N264" s="531"/>
      <c r="O264" s="531"/>
      <c r="Q264" s="679" t="s">
        <v>128</v>
      </c>
      <c r="R264" s="583" t="str">
        <f t="shared" ref="R264:R281" si="341">C264</f>
        <v>Rata-Rata Saldo PAL Non Kogol 1 tanggal 20 (Juta)</v>
      </c>
      <c r="S264" s="584">
        <v>292.510561</v>
      </c>
      <c r="T264" s="584">
        <v>186.528886</v>
      </c>
      <c r="U264" s="585">
        <v>75.263748000000007</v>
      </c>
      <c r="V264" s="584">
        <v>148.188253</v>
      </c>
      <c r="W264" s="584">
        <v>497.8526</v>
      </c>
      <c r="X264" s="584">
        <v>187.80427800000001</v>
      </c>
      <c r="Y264" s="584">
        <v>174.79723799999999</v>
      </c>
      <c r="Z264" s="584">
        <v>224.79008099999999</v>
      </c>
      <c r="AA264" s="584">
        <v>405.08696800000001</v>
      </c>
      <c r="AB264" s="584"/>
      <c r="AC264" s="584"/>
      <c r="AD264" s="584"/>
      <c r="AF264" s="679" t="s">
        <v>128</v>
      </c>
      <c r="AG264" s="583" t="str">
        <f>R264</f>
        <v>Rata-Rata Saldo PAL Non Kogol 1 tanggal 20 (Juta)</v>
      </c>
      <c r="AH264" s="565">
        <f>S264</f>
        <v>292.510561</v>
      </c>
      <c r="AI264" s="565">
        <f>AVERAGE($S264:T264)</f>
        <v>239.5197235</v>
      </c>
      <c r="AJ264" s="565">
        <f>AVERAGE($S264:U264)</f>
        <v>184.76773166666666</v>
      </c>
      <c r="AK264" s="565">
        <f>AVERAGE($S264:V264)</f>
        <v>175.622862</v>
      </c>
      <c r="AL264" s="565">
        <f>AVERAGE($S264:W264)</f>
        <v>240.06880959999998</v>
      </c>
      <c r="AM264" s="565">
        <f>AVERAGE($S264:X264)</f>
        <v>231.35805433333334</v>
      </c>
      <c r="AN264" s="565">
        <f>AVERAGE($S264:Y264)</f>
        <v>223.27793771428574</v>
      </c>
      <c r="AO264" s="565">
        <f>AVERAGE($S264:Z264)</f>
        <v>223.46695562500003</v>
      </c>
      <c r="AP264" s="565">
        <f>AVERAGE($S264:AA264)</f>
        <v>243.64695700000004</v>
      </c>
      <c r="AQ264" s="565">
        <f>AVERAGE($S264:AB264)</f>
        <v>243.64695700000004</v>
      </c>
      <c r="AR264" s="565">
        <f>AVERAGE($S264:AC264)</f>
        <v>243.64695700000004</v>
      </c>
      <c r="AS264" s="565">
        <f>AVERAGE($S264:AD264)</f>
        <v>243.64695700000004</v>
      </c>
    </row>
    <row r="265" spans="1:47">
      <c r="B265" s="679"/>
      <c r="C265" s="586" t="s">
        <v>222</v>
      </c>
      <c r="D265" s="531">
        <v>303</v>
      </c>
      <c r="E265" s="531">
        <v>303</v>
      </c>
      <c r="F265" s="531">
        <v>303</v>
      </c>
      <c r="G265" s="531">
        <v>303</v>
      </c>
      <c r="H265" s="531">
        <v>303</v>
      </c>
      <c r="I265" s="531">
        <v>303</v>
      </c>
      <c r="J265" s="531">
        <v>303</v>
      </c>
      <c r="K265" s="531">
        <v>303</v>
      </c>
      <c r="L265" s="531">
        <v>303</v>
      </c>
      <c r="M265" s="531">
        <v>303</v>
      </c>
      <c r="N265" s="531">
        <v>303</v>
      </c>
      <c r="O265" s="531">
        <v>303</v>
      </c>
      <c r="Q265" s="679"/>
      <c r="R265" s="583" t="str">
        <f t="shared" si="341"/>
        <v>Target Saldo Rata-Rata PAL Tanggal 20 (Juta)</v>
      </c>
      <c r="S265" s="584">
        <f t="shared" ref="S265:AD265" si="342">D265</f>
        <v>303</v>
      </c>
      <c r="T265" s="584">
        <f t="shared" si="342"/>
        <v>303</v>
      </c>
      <c r="U265" s="584">
        <f t="shared" si="342"/>
        <v>303</v>
      </c>
      <c r="V265" s="584">
        <f t="shared" si="342"/>
        <v>303</v>
      </c>
      <c r="W265" s="584">
        <f t="shared" si="342"/>
        <v>303</v>
      </c>
      <c r="X265" s="584">
        <f t="shared" si="342"/>
        <v>303</v>
      </c>
      <c r="Y265" s="584">
        <f t="shared" si="342"/>
        <v>303</v>
      </c>
      <c r="Z265" s="584">
        <f t="shared" si="342"/>
        <v>303</v>
      </c>
      <c r="AA265" s="584">
        <f t="shared" si="342"/>
        <v>303</v>
      </c>
      <c r="AB265" s="584">
        <f t="shared" si="342"/>
        <v>303</v>
      </c>
      <c r="AC265" s="584">
        <f t="shared" si="342"/>
        <v>303</v>
      </c>
      <c r="AD265" s="584">
        <f t="shared" si="342"/>
        <v>303</v>
      </c>
      <c r="AF265" s="679"/>
      <c r="AG265" s="586" t="str">
        <f>R265</f>
        <v>Target Saldo Rata-Rata PAL Tanggal 20 (Juta)</v>
      </c>
      <c r="AH265" s="565">
        <f>S265</f>
        <v>303</v>
      </c>
      <c r="AI265" s="565">
        <f t="shared" ref="AI265:AS265" si="343">T265</f>
        <v>303</v>
      </c>
      <c r="AJ265" s="565">
        <f t="shared" si="343"/>
        <v>303</v>
      </c>
      <c r="AK265" s="565">
        <f t="shared" si="343"/>
        <v>303</v>
      </c>
      <c r="AL265" s="565">
        <f t="shared" si="343"/>
        <v>303</v>
      </c>
      <c r="AM265" s="565">
        <f t="shared" si="343"/>
        <v>303</v>
      </c>
      <c r="AN265" s="565">
        <f t="shared" si="343"/>
        <v>303</v>
      </c>
      <c r="AO265" s="565">
        <f t="shared" si="343"/>
        <v>303</v>
      </c>
      <c r="AP265" s="565">
        <f t="shared" si="343"/>
        <v>303</v>
      </c>
      <c r="AQ265" s="565">
        <f t="shared" si="343"/>
        <v>303</v>
      </c>
      <c r="AR265" s="565">
        <f t="shared" si="343"/>
        <v>303</v>
      </c>
      <c r="AS265" s="565">
        <f t="shared" si="343"/>
        <v>303</v>
      </c>
    </row>
    <row r="266" spans="1:47">
      <c r="B266" s="679"/>
      <c r="C266" s="587" t="s">
        <v>149</v>
      </c>
      <c r="D266" s="517">
        <v>100</v>
      </c>
      <c r="E266" s="517">
        <v>100</v>
      </c>
      <c r="F266" s="517">
        <v>100</v>
      </c>
      <c r="G266" s="517">
        <v>100</v>
      </c>
      <c r="H266" s="517">
        <v>100</v>
      </c>
      <c r="I266" s="517">
        <v>100</v>
      </c>
      <c r="J266" s="517">
        <v>100</v>
      </c>
      <c r="K266" s="517">
        <v>100</v>
      </c>
      <c r="L266" s="517">
        <v>100</v>
      </c>
      <c r="M266" s="517">
        <v>100</v>
      </c>
      <c r="N266" s="517">
        <v>100</v>
      </c>
      <c r="O266" s="517">
        <v>100</v>
      </c>
      <c r="Q266" s="679"/>
      <c r="R266" s="587" t="str">
        <f t="shared" si="341"/>
        <v>%</v>
      </c>
      <c r="S266" s="588">
        <f t="shared" ref="S266:AD266" si="344">(2-S264/S265)*100</f>
        <v>103.46186105610559</v>
      </c>
      <c r="T266" s="588">
        <f t="shared" si="344"/>
        <v>138.43931155115513</v>
      </c>
      <c r="U266" s="588">
        <f t="shared" si="344"/>
        <v>175.16047920792079</v>
      </c>
      <c r="V266" s="588">
        <f t="shared" si="344"/>
        <v>151.09298580858086</v>
      </c>
      <c r="W266" s="588">
        <f t="shared" si="344"/>
        <v>35.692211221122115</v>
      </c>
      <c r="X266" s="588">
        <f t="shared" si="344"/>
        <v>138.01839009900991</v>
      </c>
      <c r="Y266" s="588">
        <f t="shared" si="344"/>
        <v>142.31114257425745</v>
      </c>
      <c r="Z266" s="588">
        <f t="shared" si="344"/>
        <v>125.81185445544554</v>
      </c>
      <c r="AA266" s="588">
        <f t="shared" si="344"/>
        <v>66.307931353135302</v>
      </c>
      <c r="AB266" s="588">
        <f t="shared" si="344"/>
        <v>200</v>
      </c>
      <c r="AC266" s="588">
        <f t="shared" si="344"/>
        <v>200</v>
      </c>
      <c r="AD266" s="588">
        <f t="shared" si="344"/>
        <v>200</v>
      </c>
      <c r="AF266" s="679"/>
      <c r="AG266" s="587" t="str">
        <f t="shared" ref="AG266:AG281" si="345">R266</f>
        <v>%</v>
      </c>
      <c r="AH266" s="589">
        <f>IF((2-AH264/AH265)*100&gt;110, 110, (2-AH264/AH265)*100)</f>
        <v>103.46186105610559</v>
      </c>
      <c r="AI266" s="589">
        <f t="shared" ref="AI266:AS266" si="346">IF((2-AI264/AI265)*100&gt;110, 110, (2-AI264/AI265)*100)</f>
        <v>110</v>
      </c>
      <c r="AJ266" s="589">
        <f t="shared" si="346"/>
        <v>110</v>
      </c>
      <c r="AK266" s="589">
        <f t="shared" si="346"/>
        <v>110</v>
      </c>
      <c r="AL266" s="589">
        <f t="shared" si="346"/>
        <v>110</v>
      </c>
      <c r="AM266" s="589">
        <f t="shared" si="346"/>
        <v>110</v>
      </c>
      <c r="AN266" s="589">
        <f t="shared" si="346"/>
        <v>110</v>
      </c>
      <c r="AO266" s="589">
        <f t="shared" si="346"/>
        <v>110</v>
      </c>
      <c r="AP266" s="589">
        <f t="shared" si="346"/>
        <v>110</v>
      </c>
      <c r="AQ266" s="589">
        <f t="shared" si="346"/>
        <v>110</v>
      </c>
      <c r="AR266" s="589">
        <f t="shared" si="346"/>
        <v>110</v>
      </c>
      <c r="AS266" s="589">
        <f t="shared" si="346"/>
        <v>110</v>
      </c>
    </row>
    <row r="267" spans="1:47" ht="25.15" customHeight="1">
      <c r="B267" s="679" t="s">
        <v>87</v>
      </c>
      <c r="C267" s="583" t="s">
        <v>221</v>
      </c>
      <c r="D267" s="531"/>
      <c r="E267" s="531"/>
      <c r="F267" s="531"/>
      <c r="G267" s="531"/>
      <c r="H267" s="531"/>
      <c r="I267" s="531"/>
      <c r="J267" s="531"/>
      <c r="K267" s="531"/>
      <c r="L267" s="531"/>
      <c r="M267" s="531"/>
      <c r="N267" s="531"/>
      <c r="O267" s="531"/>
      <c r="Q267" s="679" t="s">
        <v>87</v>
      </c>
      <c r="R267" s="583" t="str">
        <f t="shared" si="341"/>
        <v>Rata-Rata Saldo PAL Non Kogol 1 tanggal 20 (Juta)</v>
      </c>
      <c r="S267" s="584">
        <v>432.64853799999997</v>
      </c>
      <c r="T267" s="584">
        <v>91.545962000000003</v>
      </c>
      <c r="U267" s="584">
        <v>85.616630999999998</v>
      </c>
      <c r="V267" s="584">
        <v>209.35924600000001</v>
      </c>
      <c r="W267" s="584">
        <v>196.440721</v>
      </c>
      <c r="X267" s="584">
        <v>212.614296</v>
      </c>
      <c r="Y267" s="584">
        <v>224.86252300000001</v>
      </c>
      <c r="Z267" s="584">
        <v>247.887697</v>
      </c>
      <c r="AA267" s="584">
        <v>232.50089299999999</v>
      </c>
      <c r="AB267" s="584"/>
      <c r="AC267" s="584"/>
      <c r="AD267" s="584"/>
      <c r="AF267" s="679" t="s">
        <v>87</v>
      </c>
      <c r="AG267" s="583" t="str">
        <f t="shared" si="345"/>
        <v>Rata-Rata Saldo PAL Non Kogol 1 tanggal 20 (Juta)</v>
      </c>
      <c r="AH267" s="565">
        <f>S267</f>
        <v>432.64853799999997</v>
      </c>
      <c r="AI267" s="565">
        <f>AVERAGE($S267:T267)</f>
        <v>262.09724999999997</v>
      </c>
      <c r="AJ267" s="565">
        <f>AVERAGE($S267:U267)</f>
        <v>203.27037699999997</v>
      </c>
      <c r="AK267" s="565">
        <f>AVERAGE($S267:V267)</f>
        <v>204.79259424999998</v>
      </c>
      <c r="AL267" s="565">
        <f>AVERAGE($S267:W267)</f>
        <v>203.12221959999997</v>
      </c>
      <c r="AM267" s="565">
        <f>AVERAGE($S267:X267)</f>
        <v>204.70423233333329</v>
      </c>
      <c r="AN267" s="565">
        <f>AVERAGE($S267:Y267)</f>
        <v>207.58398814285712</v>
      </c>
      <c r="AO267" s="565">
        <f>AVERAGE($S267:Z267)</f>
        <v>212.62195174999999</v>
      </c>
      <c r="AP267" s="565">
        <f>AVERAGE($S267:AA267)</f>
        <v>214.83072299999998</v>
      </c>
      <c r="AQ267" s="565">
        <f>AVERAGE($S267:AB267)</f>
        <v>214.83072299999998</v>
      </c>
      <c r="AR267" s="565">
        <f>AVERAGE($S267:AC267)</f>
        <v>214.83072299999998</v>
      </c>
      <c r="AS267" s="565">
        <f>AVERAGE($S267:AD267)</f>
        <v>214.83072299999998</v>
      </c>
    </row>
    <row r="268" spans="1:47">
      <c r="B268" s="679"/>
      <c r="C268" s="586" t="s">
        <v>222</v>
      </c>
      <c r="D268" s="531">
        <v>354</v>
      </c>
      <c r="E268" s="531">
        <v>354</v>
      </c>
      <c r="F268" s="531">
        <v>354</v>
      </c>
      <c r="G268" s="531">
        <v>354</v>
      </c>
      <c r="H268" s="531">
        <v>354</v>
      </c>
      <c r="I268" s="531">
        <v>354</v>
      </c>
      <c r="J268" s="531">
        <v>354</v>
      </c>
      <c r="K268" s="531">
        <v>354</v>
      </c>
      <c r="L268" s="531">
        <v>354</v>
      </c>
      <c r="M268" s="531">
        <v>354</v>
      </c>
      <c r="N268" s="531">
        <v>354</v>
      </c>
      <c r="O268" s="531">
        <v>354</v>
      </c>
      <c r="Q268" s="679"/>
      <c r="R268" s="586" t="str">
        <f t="shared" si="341"/>
        <v>Target Saldo Rata-Rata PAL Tanggal 20 (Juta)</v>
      </c>
      <c r="S268" s="584">
        <f t="shared" ref="S268:AD268" si="347">D268</f>
        <v>354</v>
      </c>
      <c r="T268" s="584">
        <f t="shared" si="347"/>
        <v>354</v>
      </c>
      <c r="U268" s="584">
        <f t="shared" si="347"/>
        <v>354</v>
      </c>
      <c r="V268" s="584">
        <f t="shared" si="347"/>
        <v>354</v>
      </c>
      <c r="W268" s="584">
        <f t="shared" si="347"/>
        <v>354</v>
      </c>
      <c r="X268" s="584">
        <f t="shared" si="347"/>
        <v>354</v>
      </c>
      <c r="Y268" s="584">
        <f t="shared" si="347"/>
        <v>354</v>
      </c>
      <c r="Z268" s="584">
        <f t="shared" si="347"/>
        <v>354</v>
      </c>
      <c r="AA268" s="584">
        <f t="shared" si="347"/>
        <v>354</v>
      </c>
      <c r="AB268" s="584">
        <f t="shared" si="347"/>
        <v>354</v>
      </c>
      <c r="AC268" s="584">
        <f t="shared" si="347"/>
        <v>354</v>
      </c>
      <c r="AD268" s="584">
        <f t="shared" si="347"/>
        <v>354</v>
      </c>
      <c r="AF268" s="679"/>
      <c r="AG268" s="586" t="str">
        <f t="shared" si="345"/>
        <v>Target Saldo Rata-Rata PAL Tanggal 20 (Juta)</v>
      </c>
      <c r="AH268" s="565">
        <f>S268</f>
        <v>354</v>
      </c>
      <c r="AI268" s="565">
        <f t="shared" ref="AI268:AS268" si="348">T268</f>
        <v>354</v>
      </c>
      <c r="AJ268" s="565">
        <f t="shared" si="348"/>
        <v>354</v>
      </c>
      <c r="AK268" s="565">
        <f t="shared" si="348"/>
        <v>354</v>
      </c>
      <c r="AL268" s="565">
        <f t="shared" si="348"/>
        <v>354</v>
      </c>
      <c r="AM268" s="565">
        <f t="shared" si="348"/>
        <v>354</v>
      </c>
      <c r="AN268" s="565">
        <f t="shared" si="348"/>
        <v>354</v>
      </c>
      <c r="AO268" s="565">
        <f t="shared" si="348"/>
        <v>354</v>
      </c>
      <c r="AP268" s="565">
        <f t="shared" si="348"/>
        <v>354</v>
      </c>
      <c r="AQ268" s="565">
        <f t="shared" si="348"/>
        <v>354</v>
      </c>
      <c r="AR268" s="565">
        <f t="shared" si="348"/>
        <v>354</v>
      </c>
      <c r="AS268" s="565">
        <f t="shared" si="348"/>
        <v>354</v>
      </c>
    </row>
    <row r="269" spans="1:47">
      <c r="B269" s="679"/>
      <c r="C269" s="587" t="s">
        <v>149</v>
      </c>
      <c r="D269" s="517">
        <v>100</v>
      </c>
      <c r="E269" s="517">
        <v>100</v>
      </c>
      <c r="F269" s="517">
        <v>100</v>
      </c>
      <c r="G269" s="517">
        <v>100</v>
      </c>
      <c r="H269" s="517">
        <v>100</v>
      </c>
      <c r="I269" s="517">
        <v>100</v>
      </c>
      <c r="J269" s="517">
        <v>100</v>
      </c>
      <c r="K269" s="517">
        <v>100</v>
      </c>
      <c r="L269" s="517">
        <v>100</v>
      </c>
      <c r="M269" s="517">
        <v>100</v>
      </c>
      <c r="N269" s="517">
        <v>100</v>
      </c>
      <c r="O269" s="517">
        <v>100</v>
      </c>
      <c r="Q269" s="679"/>
      <c r="R269" s="587" t="str">
        <f t="shared" si="341"/>
        <v>%</v>
      </c>
      <c r="S269" s="590">
        <f t="shared" ref="S269:AD269" si="349">(2-S267/S268)*100</f>
        <v>77.782898870056499</v>
      </c>
      <c r="T269" s="590">
        <f t="shared" si="349"/>
        <v>174.13955875706216</v>
      </c>
      <c r="U269" s="590">
        <f t="shared" si="349"/>
        <v>175.81451101694915</v>
      </c>
      <c r="V269" s="590">
        <f t="shared" si="349"/>
        <v>140.85897005649716</v>
      </c>
      <c r="W269" s="590">
        <f t="shared" si="349"/>
        <v>144.50827090395481</v>
      </c>
      <c r="X269" s="590">
        <f t="shared" si="349"/>
        <v>139.93946440677965</v>
      </c>
      <c r="Y269" s="590">
        <f t="shared" si="349"/>
        <v>136.47951327683617</v>
      </c>
      <c r="Z269" s="590">
        <f t="shared" si="349"/>
        <v>129.97522683615819</v>
      </c>
      <c r="AA269" s="590">
        <f t="shared" si="349"/>
        <v>134.32178163841809</v>
      </c>
      <c r="AB269" s="590">
        <f t="shared" si="349"/>
        <v>200</v>
      </c>
      <c r="AC269" s="590">
        <f t="shared" si="349"/>
        <v>200</v>
      </c>
      <c r="AD269" s="590">
        <f t="shared" si="349"/>
        <v>200</v>
      </c>
      <c r="AF269" s="679"/>
      <c r="AG269" s="587" t="str">
        <f t="shared" si="345"/>
        <v>%</v>
      </c>
      <c r="AH269" s="519">
        <f>IF((2-AH267/AH268)*100&gt;110, 110, (2-AH267/AH268)*100)</f>
        <v>77.782898870056499</v>
      </c>
      <c r="AI269" s="519">
        <f t="shared" ref="AI269" si="350">IF((2-AI267/AI268)*100&gt;110, 110, (2-AI267/AI268)*100)</f>
        <v>110</v>
      </c>
      <c r="AJ269" s="519">
        <f t="shared" ref="AJ269" si="351">IF((2-AJ267/AJ268)*100&gt;110, 110, (2-AJ267/AJ268)*100)</f>
        <v>110</v>
      </c>
      <c r="AK269" s="519">
        <f t="shared" ref="AK269" si="352">IF((2-AK267/AK268)*100&gt;110, 110, (2-AK267/AK268)*100)</f>
        <v>110</v>
      </c>
      <c r="AL269" s="519">
        <f t="shared" ref="AL269" si="353">IF((2-AL267/AL268)*100&gt;110, 110, (2-AL267/AL268)*100)</f>
        <v>110</v>
      </c>
      <c r="AM269" s="519">
        <f t="shared" ref="AM269" si="354">IF((2-AM267/AM268)*100&gt;110, 110, (2-AM267/AM268)*100)</f>
        <v>110</v>
      </c>
      <c r="AN269" s="519">
        <f t="shared" ref="AN269" si="355">IF((2-AN267/AN268)*100&gt;110, 110, (2-AN267/AN268)*100)</f>
        <v>110</v>
      </c>
      <c r="AO269" s="519">
        <f t="shared" ref="AO269" si="356">IF((2-AO267/AO268)*100&gt;110, 110, (2-AO267/AO268)*100)</f>
        <v>110</v>
      </c>
      <c r="AP269" s="519">
        <f t="shared" ref="AP269" si="357">IF((2-AP267/AP268)*100&gt;110, 110, (2-AP267/AP268)*100)</f>
        <v>110</v>
      </c>
      <c r="AQ269" s="517">
        <f t="shared" ref="AQ269" si="358">IF((2-AQ267/AQ268)*100&gt;110, 110, (2-AQ267/AQ268)*100)</f>
        <v>110</v>
      </c>
      <c r="AR269" s="517">
        <f t="shared" ref="AR269" si="359">IF((2-AR267/AR268)*100&gt;110, 110, (2-AR267/AR268)*100)</f>
        <v>110</v>
      </c>
      <c r="AS269" s="517">
        <f t="shared" ref="AS269" si="360">IF((2-AS267/AS268)*100&gt;110, 110, (2-AS267/AS268)*100)</f>
        <v>110</v>
      </c>
    </row>
    <row r="270" spans="1:47" ht="24" customHeight="1">
      <c r="B270" s="679" t="s">
        <v>88</v>
      </c>
      <c r="C270" s="583" t="s">
        <v>221</v>
      </c>
      <c r="D270" s="531"/>
      <c r="E270" s="531"/>
      <c r="F270" s="531"/>
      <c r="G270" s="531"/>
      <c r="H270" s="531"/>
      <c r="I270" s="531"/>
      <c r="J270" s="531"/>
      <c r="K270" s="531"/>
      <c r="L270" s="531"/>
      <c r="M270" s="531"/>
      <c r="N270" s="531"/>
      <c r="O270" s="531"/>
      <c r="Q270" s="679" t="s">
        <v>88</v>
      </c>
      <c r="R270" s="583" t="str">
        <f t="shared" si="341"/>
        <v>Rata-Rata Saldo PAL Non Kogol 1 tanggal 20 (Juta)</v>
      </c>
      <c r="S270" s="584">
        <v>2.0411350000000001</v>
      </c>
      <c r="T270" s="584">
        <v>0.75124400000000002</v>
      </c>
      <c r="U270" s="584">
        <v>1.225106</v>
      </c>
      <c r="V270" s="584">
        <v>0</v>
      </c>
      <c r="W270" s="584">
        <v>0</v>
      </c>
      <c r="X270" s="584">
        <v>0</v>
      </c>
      <c r="Y270" s="584">
        <v>0</v>
      </c>
      <c r="Z270" s="584">
        <v>0</v>
      </c>
      <c r="AA270" s="584">
        <v>0</v>
      </c>
      <c r="AB270" s="584"/>
      <c r="AC270" s="584"/>
      <c r="AD270" s="584"/>
      <c r="AF270" s="679" t="s">
        <v>88</v>
      </c>
      <c r="AG270" s="583" t="str">
        <f t="shared" si="345"/>
        <v>Rata-Rata Saldo PAL Non Kogol 1 tanggal 20 (Juta)</v>
      </c>
      <c r="AH270" s="565">
        <f>S270</f>
        <v>2.0411350000000001</v>
      </c>
      <c r="AI270" s="565">
        <f>AVERAGE($S270:T270)</f>
        <v>1.3961895000000002</v>
      </c>
      <c r="AJ270" s="565">
        <f>AVERAGE($S270:U270)</f>
        <v>1.3391616666666668</v>
      </c>
      <c r="AK270" s="565">
        <f>AVERAGE($S270:V270)</f>
        <v>1.0043712500000002</v>
      </c>
      <c r="AL270" s="565">
        <f>AVERAGE($S270:W270)</f>
        <v>0.80349700000000013</v>
      </c>
      <c r="AM270" s="565">
        <f>AVERAGE($S270:X270)</f>
        <v>0.6695808333333334</v>
      </c>
      <c r="AN270" s="565">
        <f>AVERAGE($S270:Y270)</f>
        <v>0.57392642857142862</v>
      </c>
      <c r="AO270" s="565">
        <f>AVERAGE($S270:Z270)</f>
        <v>0.50218562500000008</v>
      </c>
      <c r="AP270" s="565">
        <f>AVERAGE($S270:AA270)</f>
        <v>0.44638722222222227</v>
      </c>
      <c r="AQ270" s="565">
        <f>AVERAGE($S270:AB270)</f>
        <v>0.44638722222222227</v>
      </c>
      <c r="AR270" s="565">
        <f>AVERAGE($S270:AC270)</f>
        <v>0.44638722222222227</v>
      </c>
      <c r="AS270" s="565">
        <f>AVERAGE($S270:AD270)</f>
        <v>0.44638722222222227</v>
      </c>
    </row>
    <row r="271" spans="1:47">
      <c r="B271" s="679"/>
      <c r="C271" s="586" t="s">
        <v>222</v>
      </c>
      <c r="D271" s="531">
        <v>16</v>
      </c>
      <c r="E271" s="531">
        <v>16</v>
      </c>
      <c r="F271" s="531">
        <v>16</v>
      </c>
      <c r="G271" s="531">
        <v>16</v>
      </c>
      <c r="H271" s="531">
        <v>16</v>
      </c>
      <c r="I271" s="531">
        <v>16</v>
      </c>
      <c r="J271" s="531">
        <v>16</v>
      </c>
      <c r="K271" s="531">
        <v>16</v>
      </c>
      <c r="L271" s="531">
        <v>16</v>
      </c>
      <c r="M271" s="531">
        <v>16</v>
      </c>
      <c r="N271" s="531">
        <v>16</v>
      </c>
      <c r="O271" s="531">
        <v>16</v>
      </c>
      <c r="Q271" s="679"/>
      <c r="R271" s="586" t="str">
        <f t="shared" si="341"/>
        <v>Target Saldo Rata-Rata PAL Tanggal 20 (Juta)</v>
      </c>
      <c r="S271" s="584">
        <f t="shared" ref="S271:AD271" si="361">D271</f>
        <v>16</v>
      </c>
      <c r="T271" s="584">
        <f t="shared" si="361"/>
        <v>16</v>
      </c>
      <c r="U271" s="584">
        <f t="shared" si="361"/>
        <v>16</v>
      </c>
      <c r="V271" s="584">
        <f t="shared" si="361"/>
        <v>16</v>
      </c>
      <c r="W271" s="584">
        <f t="shared" si="361"/>
        <v>16</v>
      </c>
      <c r="X271" s="584">
        <f t="shared" si="361"/>
        <v>16</v>
      </c>
      <c r="Y271" s="584">
        <f t="shared" si="361"/>
        <v>16</v>
      </c>
      <c r="Z271" s="584">
        <f t="shared" si="361"/>
        <v>16</v>
      </c>
      <c r="AA271" s="584">
        <f t="shared" si="361"/>
        <v>16</v>
      </c>
      <c r="AB271" s="584">
        <f t="shared" si="361"/>
        <v>16</v>
      </c>
      <c r="AC271" s="584">
        <f t="shared" si="361"/>
        <v>16</v>
      </c>
      <c r="AD271" s="584">
        <f t="shared" si="361"/>
        <v>16</v>
      </c>
      <c r="AF271" s="679"/>
      <c r="AG271" s="586" t="str">
        <f t="shared" si="345"/>
        <v>Target Saldo Rata-Rata PAL Tanggal 20 (Juta)</v>
      </c>
      <c r="AH271" s="565">
        <f>S271</f>
        <v>16</v>
      </c>
      <c r="AI271" s="565">
        <f t="shared" ref="AI271:AS271" si="362">T271</f>
        <v>16</v>
      </c>
      <c r="AJ271" s="565">
        <f t="shared" si="362"/>
        <v>16</v>
      </c>
      <c r="AK271" s="565">
        <f t="shared" si="362"/>
        <v>16</v>
      </c>
      <c r="AL271" s="565">
        <f t="shared" si="362"/>
        <v>16</v>
      </c>
      <c r="AM271" s="565">
        <f t="shared" si="362"/>
        <v>16</v>
      </c>
      <c r="AN271" s="565">
        <f t="shared" si="362"/>
        <v>16</v>
      </c>
      <c r="AO271" s="565">
        <f t="shared" si="362"/>
        <v>16</v>
      </c>
      <c r="AP271" s="565">
        <f t="shared" si="362"/>
        <v>16</v>
      </c>
      <c r="AQ271" s="565">
        <f t="shared" si="362"/>
        <v>16</v>
      </c>
      <c r="AR271" s="565">
        <f t="shared" si="362"/>
        <v>16</v>
      </c>
      <c r="AS271" s="565">
        <f t="shared" si="362"/>
        <v>16</v>
      </c>
    </row>
    <row r="272" spans="1:47">
      <c r="B272" s="679"/>
      <c r="C272" s="587" t="s">
        <v>149</v>
      </c>
      <c r="D272" s="517">
        <v>100</v>
      </c>
      <c r="E272" s="517">
        <v>100</v>
      </c>
      <c r="F272" s="517">
        <v>100</v>
      </c>
      <c r="G272" s="517">
        <v>100</v>
      </c>
      <c r="H272" s="517">
        <v>100</v>
      </c>
      <c r="I272" s="517">
        <v>100</v>
      </c>
      <c r="J272" s="517">
        <v>100</v>
      </c>
      <c r="K272" s="517">
        <v>100</v>
      </c>
      <c r="L272" s="517">
        <v>100</v>
      </c>
      <c r="M272" s="517">
        <v>100</v>
      </c>
      <c r="N272" s="517">
        <v>100</v>
      </c>
      <c r="O272" s="517">
        <v>100</v>
      </c>
      <c r="Q272" s="679"/>
      <c r="R272" s="587" t="str">
        <f t="shared" si="341"/>
        <v>%</v>
      </c>
      <c r="S272" s="590">
        <f t="shared" ref="S272:AD272" si="363">(2-S270/S271)*100</f>
        <v>187.24290625</v>
      </c>
      <c r="T272" s="590">
        <f t="shared" si="363"/>
        <v>195.30472499999999</v>
      </c>
      <c r="U272" s="590">
        <f t="shared" si="363"/>
        <v>192.3430875</v>
      </c>
      <c r="V272" s="590">
        <f t="shared" si="363"/>
        <v>200</v>
      </c>
      <c r="W272" s="590">
        <f t="shared" si="363"/>
        <v>200</v>
      </c>
      <c r="X272" s="590">
        <f t="shared" si="363"/>
        <v>200</v>
      </c>
      <c r="Y272" s="590">
        <f t="shared" si="363"/>
        <v>200</v>
      </c>
      <c r="Z272" s="590">
        <f t="shared" si="363"/>
        <v>200</v>
      </c>
      <c r="AA272" s="590">
        <f t="shared" si="363"/>
        <v>200</v>
      </c>
      <c r="AB272" s="590">
        <f t="shared" si="363"/>
        <v>200</v>
      </c>
      <c r="AC272" s="590">
        <f t="shared" si="363"/>
        <v>200</v>
      </c>
      <c r="AD272" s="590">
        <f t="shared" si="363"/>
        <v>200</v>
      </c>
      <c r="AF272" s="679"/>
      <c r="AG272" s="587" t="str">
        <f t="shared" si="345"/>
        <v>%</v>
      </c>
      <c r="AH272" s="519">
        <f>IF((2-AH270/AH271)*100&gt;110, 110, (2-AH270/AH271)*100)</f>
        <v>110</v>
      </c>
      <c r="AI272" s="519">
        <f t="shared" ref="AI272" si="364">IF((2-AI270/AI271)*100&gt;110, 110, (2-AI270/AI271)*100)</f>
        <v>110</v>
      </c>
      <c r="AJ272" s="519">
        <f t="shared" ref="AJ272" si="365">IF((2-AJ270/AJ271)*100&gt;110, 110, (2-AJ270/AJ271)*100)</f>
        <v>110</v>
      </c>
      <c r="AK272" s="519">
        <f t="shared" ref="AK272" si="366">IF((2-AK270/AK271)*100&gt;110, 110, (2-AK270/AK271)*100)</f>
        <v>110</v>
      </c>
      <c r="AL272" s="519">
        <f t="shared" ref="AL272" si="367">IF((2-AL270/AL271)*100&gt;110, 110, (2-AL270/AL271)*100)</f>
        <v>110</v>
      </c>
      <c r="AM272" s="519">
        <f t="shared" ref="AM272" si="368">IF((2-AM270/AM271)*100&gt;110, 110, (2-AM270/AM271)*100)</f>
        <v>110</v>
      </c>
      <c r="AN272" s="519">
        <f t="shared" ref="AN272" si="369">IF((2-AN270/AN271)*100&gt;110, 110, (2-AN270/AN271)*100)</f>
        <v>110</v>
      </c>
      <c r="AO272" s="519">
        <f t="shared" ref="AO272" si="370">IF((2-AO270/AO271)*100&gt;110, 110, (2-AO270/AO271)*100)</f>
        <v>110</v>
      </c>
      <c r="AP272" s="519">
        <f t="shared" ref="AP272" si="371">IF((2-AP270/AP271)*100&gt;110, 110, (2-AP270/AP271)*100)</f>
        <v>110</v>
      </c>
      <c r="AQ272" s="517">
        <f t="shared" ref="AQ272" si="372">IF((2-AQ270/AQ271)*100&gt;110, 110, (2-AQ270/AQ271)*100)</f>
        <v>110</v>
      </c>
      <c r="AR272" s="517">
        <f t="shared" ref="AR272" si="373">IF((2-AR270/AR271)*100&gt;110, 110, (2-AR270/AR271)*100)</f>
        <v>110</v>
      </c>
      <c r="AS272" s="517">
        <f t="shared" ref="AS272" si="374">IF((2-AS270/AS271)*100&gt;110, 110, (2-AS270/AS271)*100)</f>
        <v>110</v>
      </c>
    </row>
    <row r="273" spans="1:62" ht="22.9" customHeight="1">
      <c r="B273" s="679" t="s">
        <v>121</v>
      </c>
      <c r="C273" s="583" t="s">
        <v>221</v>
      </c>
      <c r="D273" s="531"/>
      <c r="E273" s="531"/>
      <c r="F273" s="531"/>
      <c r="G273" s="531"/>
      <c r="H273" s="531"/>
      <c r="I273" s="531"/>
      <c r="J273" s="531"/>
      <c r="K273" s="531"/>
      <c r="L273" s="531"/>
      <c r="M273" s="531"/>
      <c r="N273" s="531"/>
      <c r="O273" s="531"/>
      <c r="Q273" s="679" t="s">
        <v>121</v>
      </c>
      <c r="R273" s="583" t="str">
        <f t="shared" si="341"/>
        <v>Rata-Rata Saldo PAL Non Kogol 1 tanggal 20 (Juta)</v>
      </c>
      <c r="S273" s="584">
        <v>217.87441899999999</v>
      </c>
      <c r="T273" s="584">
        <v>224.69374199999999</v>
      </c>
      <c r="U273" s="584">
        <v>306.376803</v>
      </c>
      <c r="V273" s="584">
        <v>282.33865500000002</v>
      </c>
      <c r="W273" s="584">
        <v>276.24518</v>
      </c>
      <c r="X273" s="584">
        <v>450.04289999999997</v>
      </c>
      <c r="Y273" s="584">
        <v>227.294723</v>
      </c>
      <c r="Z273" s="584">
        <v>85.741142999999994</v>
      </c>
      <c r="AA273" s="584">
        <v>84.547061999999997</v>
      </c>
      <c r="AB273" s="584"/>
      <c r="AC273" s="584"/>
      <c r="AD273" s="584"/>
      <c r="AF273" s="679" t="s">
        <v>121</v>
      </c>
      <c r="AG273" s="583" t="str">
        <f t="shared" si="345"/>
        <v>Rata-Rata Saldo PAL Non Kogol 1 tanggal 20 (Juta)</v>
      </c>
      <c r="AH273" s="565">
        <f>S273</f>
        <v>217.87441899999999</v>
      </c>
      <c r="AI273" s="565">
        <f>AVERAGE($S273:T273)</f>
        <v>221.28408049999999</v>
      </c>
      <c r="AJ273" s="565">
        <f>AVERAGE($S273:U273)</f>
        <v>249.64832133333334</v>
      </c>
      <c r="AK273" s="565">
        <f>AVERAGE($S273:V273)</f>
        <v>257.82090475000001</v>
      </c>
      <c r="AL273" s="565">
        <f>AVERAGE($S273:W273)</f>
        <v>261.50575980000002</v>
      </c>
      <c r="AM273" s="565">
        <f>AVERAGE($S273:X273)</f>
        <v>292.92861650000003</v>
      </c>
      <c r="AN273" s="565">
        <f>AVERAGE($S273:Y273)</f>
        <v>283.552346</v>
      </c>
      <c r="AO273" s="565">
        <f>AVERAGE($S273:Z273)</f>
        <v>258.82594562500003</v>
      </c>
      <c r="AP273" s="565">
        <f>AVERAGE($S273:AA273)</f>
        <v>239.46162522222227</v>
      </c>
      <c r="AQ273" s="565">
        <f>AVERAGE($S273:AB273)</f>
        <v>239.46162522222227</v>
      </c>
      <c r="AR273" s="565">
        <f>AVERAGE($S273:AC273)</f>
        <v>239.46162522222227</v>
      </c>
      <c r="AS273" s="565">
        <f>AVERAGE($S273:AD273)</f>
        <v>239.46162522222227</v>
      </c>
    </row>
    <row r="274" spans="1:62">
      <c r="B274" s="679"/>
      <c r="C274" s="586" t="s">
        <v>222</v>
      </c>
      <c r="D274" s="531">
        <v>213</v>
      </c>
      <c r="E274" s="531">
        <v>213</v>
      </c>
      <c r="F274" s="531">
        <v>213</v>
      </c>
      <c r="G274" s="531">
        <v>213</v>
      </c>
      <c r="H274" s="531">
        <v>213</v>
      </c>
      <c r="I274" s="531">
        <v>213</v>
      </c>
      <c r="J274" s="531">
        <v>213</v>
      </c>
      <c r="K274" s="531">
        <v>213</v>
      </c>
      <c r="L274" s="531">
        <v>213</v>
      </c>
      <c r="M274" s="531">
        <v>213</v>
      </c>
      <c r="N274" s="531">
        <v>213</v>
      </c>
      <c r="O274" s="531">
        <v>213</v>
      </c>
      <c r="Q274" s="679"/>
      <c r="R274" s="586" t="str">
        <f t="shared" si="341"/>
        <v>Target Saldo Rata-Rata PAL Tanggal 20 (Juta)</v>
      </c>
      <c r="S274" s="584">
        <f t="shared" ref="S274:AD274" si="375">D274</f>
        <v>213</v>
      </c>
      <c r="T274" s="584">
        <f t="shared" si="375"/>
        <v>213</v>
      </c>
      <c r="U274" s="584">
        <f t="shared" si="375"/>
        <v>213</v>
      </c>
      <c r="V274" s="584">
        <f t="shared" si="375"/>
        <v>213</v>
      </c>
      <c r="W274" s="584">
        <f t="shared" si="375"/>
        <v>213</v>
      </c>
      <c r="X274" s="584">
        <f t="shared" si="375"/>
        <v>213</v>
      </c>
      <c r="Y274" s="584">
        <f t="shared" si="375"/>
        <v>213</v>
      </c>
      <c r="Z274" s="584">
        <f t="shared" si="375"/>
        <v>213</v>
      </c>
      <c r="AA274" s="584">
        <f t="shared" si="375"/>
        <v>213</v>
      </c>
      <c r="AB274" s="584">
        <f t="shared" si="375"/>
        <v>213</v>
      </c>
      <c r="AC274" s="584">
        <f t="shared" si="375"/>
        <v>213</v>
      </c>
      <c r="AD274" s="584">
        <f t="shared" si="375"/>
        <v>213</v>
      </c>
      <c r="AF274" s="679"/>
      <c r="AG274" s="586" t="str">
        <f t="shared" si="345"/>
        <v>Target Saldo Rata-Rata PAL Tanggal 20 (Juta)</v>
      </c>
      <c r="AH274" s="565">
        <f>S274</f>
        <v>213</v>
      </c>
      <c r="AI274" s="565">
        <f t="shared" ref="AI274:AS274" si="376">T274</f>
        <v>213</v>
      </c>
      <c r="AJ274" s="565">
        <f t="shared" si="376"/>
        <v>213</v>
      </c>
      <c r="AK274" s="565">
        <f t="shared" si="376"/>
        <v>213</v>
      </c>
      <c r="AL274" s="565">
        <f t="shared" si="376"/>
        <v>213</v>
      </c>
      <c r="AM274" s="565">
        <f t="shared" si="376"/>
        <v>213</v>
      </c>
      <c r="AN274" s="565">
        <f t="shared" si="376"/>
        <v>213</v>
      </c>
      <c r="AO274" s="565">
        <f t="shared" si="376"/>
        <v>213</v>
      </c>
      <c r="AP274" s="565">
        <f t="shared" si="376"/>
        <v>213</v>
      </c>
      <c r="AQ274" s="565">
        <f t="shared" si="376"/>
        <v>213</v>
      </c>
      <c r="AR274" s="565">
        <f t="shared" si="376"/>
        <v>213</v>
      </c>
      <c r="AS274" s="565">
        <f t="shared" si="376"/>
        <v>213</v>
      </c>
    </row>
    <row r="275" spans="1:62">
      <c r="B275" s="679"/>
      <c r="C275" s="587" t="s">
        <v>149</v>
      </c>
      <c r="D275" s="517">
        <v>100</v>
      </c>
      <c r="E275" s="517">
        <v>100</v>
      </c>
      <c r="F275" s="517">
        <v>100</v>
      </c>
      <c r="G275" s="517">
        <v>100</v>
      </c>
      <c r="H275" s="517">
        <v>100</v>
      </c>
      <c r="I275" s="517">
        <v>100</v>
      </c>
      <c r="J275" s="517">
        <v>100</v>
      </c>
      <c r="K275" s="517">
        <v>100</v>
      </c>
      <c r="L275" s="517">
        <v>100</v>
      </c>
      <c r="M275" s="517">
        <v>100</v>
      </c>
      <c r="N275" s="517">
        <v>100</v>
      </c>
      <c r="O275" s="517">
        <v>100</v>
      </c>
      <c r="Q275" s="679"/>
      <c r="R275" s="587" t="str">
        <f t="shared" si="341"/>
        <v>%</v>
      </c>
      <c r="S275" s="590">
        <f t="shared" ref="S275:AD275" si="377">(2-S273/S274)*100</f>
        <v>97.711540375586864</v>
      </c>
      <c r="T275" s="590">
        <f t="shared" si="377"/>
        <v>94.509980281690147</v>
      </c>
      <c r="U275" s="590">
        <f t="shared" si="377"/>
        <v>56.161125352112684</v>
      </c>
      <c r="V275" s="590">
        <f t="shared" si="377"/>
        <v>67.446640845070419</v>
      </c>
      <c r="W275" s="590">
        <f t="shared" si="377"/>
        <v>70.307427230046954</v>
      </c>
      <c r="X275" s="590">
        <f>(2-X273/X274)*100</f>
        <v>-11.287746478873206</v>
      </c>
      <c r="Y275" s="590">
        <f t="shared" si="377"/>
        <v>93.288862441314564</v>
      </c>
      <c r="Z275" s="590">
        <f>(2-Z273/Z274)*100</f>
        <v>159.74594225352112</v>
      </c>
      <c r="AA275" s="590">
        <f t="shared" si="377"/>
        <v>160.30654366197183</v>
      </c>
      <c r="AB275" s="590">
        <f t="shared" si="377"/>
        <v>200</v>
      </c>
      <c r="AC275" s="590">
        <f t="shared" si="377"/>
        <v>200</v>
      </c>
      <c r="AD275" s="590">
        <f t="shared" si="377"/>
        <v>200</v>
      </c>
      <c r="AF275" s="679"/>
      <c r="AG275" s="587" t="str">
        <f t="shared" si="345"/>
        <v>%</v>
      </c>
      <c r="AH275" s="519">
        <f>IF((2-AH273/AH274)*100&gt;110, 110, (2-AH273/AH274)*100)</f>
        <v>97.711540375586864</v>
      </c>
      <c r="AI275" s="519">
        <f t="shared" ref="AI275" si="378">IF((2-AI273/AI274)*100&gt;110, 110, (2-AI273/AI274)*100)</f>
        <v>96.110760328638506</v>
      </c>
      <c r="AJ275" s="519">
        <f t="shared" ref="AJ275" si="379">IF((2-AJ273/AJ274)*100&gt;110, 110, (2-AJ273/AJ274)*100)</f>
        <v>82.794215336463225</v>
      </c>
      <c r="AK275" s="519">
        <f t="shared" ref="AK275" si="380">IF((2-AK273/AK274)*100&gt;110, 110, (2-AK273/AK274)*100)</f>
        <v>78.95732171361503</v>
      </c>
      <c r="AL275" s="519">
        <f t="shared" ref="AL275" si="381">IF((2-AL273/AL274)*100&gt;110, 110, (2-AL273/AL274)*100)</f>
        <v>77.227342816901398</v>
      </c>
      <c r="AM275" s="519">
        <f t="shared" ref="AM275" si="382">IF((2-AM273/AM274)*100&gt;110, 110, (2-AM273/AM274)*100)</f>
        <v>62.474827934272284</v>
      </c>
      <c r="AN275" s="519">
        <f t="shared" ref="AN275" si="383">IF((2-AN273/AN274)*100&gt;110, 110, (2-AN273/AN274)*100)</f>
        <v>66.876832863849756</v>
      </c>
      <c r="AO275" s="519">
        <f t="shared" ref="AO275" si="384">IF((2-AO273/AO274)*100&gt;110, 110, (2-AO273/AO274)*100)</f>
        <v>78.485471537558666</v>
      </c>
      <c r="AP275" s="519">
        <f t="shared" ref="AP275" si="385">IF((2-AP273/AP274)*100&gt;110, 110, (2-AP273/AP274)*100)</f>
        <v>87.576701773604569</v>
      </c>
      <c r="AQ275" s="517">
        <f t="shared" ref="AQ275" si="386">IF((2-AQ273/AQ274)*100&gt;110, 110, (2-AQ273/AQ274)*100)</f>
        <v>87.576701773604569</v>
      </c>
      <c r="AR275" s="517">
        <f t="shared" ref="AR275" si="387">IF((2-AR273/AR274)*100&gt;110, 110, (2-AR273/AR274)*100)</f>
        <v>87.576701773604569</v>
      </c>
      <c r="AS275" s="517">
        <f t="shared" ref="AS275" si="388">IF((2-AS273/AS274)*100&gt;110, 110, (2-AS273/AS274)*100)</f>
        <v>87.576701773604569</v>
      </c>
    </row>
    <row r="276" spans="1:62" ht="21" customHeight="1">
      <c r="B276" s="679" t="s">
        <v>89</v>
      </c>
      <c r="C276" s="583" t="s">
        <v>221</v>
      </c>
      <c r="D276" s="531"/>
      <c r="E276" s="531"/>
      <c r="F276" s="531"/>
      <c r="G276" s="531"/>
      <c r="H276" s="531"/>
      <c r="I276" s="531"/>
      <c r="J276" s="531"/>
      <c r="K276" s="531"/>
      <c r="L276" s="531"/>
      <c r="M276" s="531"/>
      <c r="N276" s="531"/>
      <c r="O276" s="531"/>
      <c r="Q276" s="679" t="s">
        <v>89</v>
      </c>
      <c r="R276" s="583" t="str">
        <f t="shared" si="341"/>
        <v>Rata-Rata Saldo PAL Non Kogol 1 tanggal 20 (Juta)</v>
      </c>
      <c r="S276" s="584">
        <v>336.80340699999999</v>
      </c>
      <c r="T276" s="584">
        <v>381.183989</v>
      </c>
      <c r="U276" s="584">
        <v>431.355099</v>
      </c>
      <c r="V276" s="584">
        <v>407.17436099999998</v>
      </c>
      <c r="W276" s="584">
        <v>395.89003700000001</v>
      </c>
      <c r="X276" s="584">
        <v>337.70227899999998</v>
      </c>
      <c r="Y276" s="584">
        <v>327.93990500000001</v>
      </c>
      <c r="Z276" s="584">
        <v>51.676031999999999</v>
      </c>
      <c r="AA276" s="584">
        <v>57.736752000000003</v>
      </c>
      <c r="AB276" s="584"/>
      <c r="AC276" s="584"/>
      <c r="AD276" s="584"/>
      <c r="AF276" s="679" t="s">
        <v>89</v>
      </c>
      <c r="AG276" s="583" t="str">
        <f t="shared" si="345"/>
        <v>Rata-Rata Saldo PAL Non Kogol 1 tanggal 20 (Juta)</v>
      </c>
      <c r="AH276" s="565">
        <f>S276</f>
        <v>336.80340699999999</v>
      </c>
      <c r="AI276" s="565">
        <f>AVERAGE($S276:T276)</f>
        <v>358.99369799999999</v>
      </c>
      <c r="AJ276" s="565">
        <f>AVERAGE($S276:U276)</f>
        <v>383.11416499999996</v>
      </c>
      <c r="AK276" s="565">
        <f>AVERAGE($S276:V276)</f>
        <v>389.12921399999993</v>
      </c>
      <c r="AL276" s="565">
        <f>AVERAGE($S276:W276)</f>
        <v>390.48137859999997</v>
      </c>
      <c r="AM276" s="565">
        <f>AVERAGE($S276:X276)</f>
        <v>381.68486200000001</v>
      </c>
      <c r="AN276" s="565">
        <f>AVERAGE($S276:Y276)</f>
        <v>374.00701100000003</v>
      </c>
      <c r="AO276" s="565">
        <f>AVERAGE($S276:Z276)</f>
        <v>333.715638625</v>
      </c>
      <c r="AP276" s="565">
        <f>AVERAGE($S276:AA276)</f>
        <v>303.05131788888889</v>
      </c>
      <c r="AQ276" s="565">
        <f>AVERAGE($S276:AB276)</f>
        <v>303.05131788888889</v>
      </c>
      <c r="AR276" s="565">
        <f>AVERAGE($S276:AC276)</f>
        <v>303.05131788888889</v>
      </c>
      <c r="AS276" s="565">
        <f>AVERAGE($S276:AD276)</f>
        <v>303.05131788888889</v>
      </c>
    </row>
    <row r="277" spans="1:62">
      <c r="B277" s="679"/>
      <c r="C277" s="586" t="s">
        <v>222</v>
      </c>
      <c r="D277" s="531">
        <v>289</v>
      </c>
      <c r="E277" s="531">
        <v>289</v>
      </c>
      <c r="F277" s="531">
        <v>289</v>
      </c>
      <c r="G277" s="531">
        <v>289</v>
      </c>
      <c r="H277" s="531">
        <v>289</v>
      </c>
      <c r="I277" s="531">
        <v>289</v>
      </c>
      <c r="J277" s="531">
        <v>289</v>
      </c>
      <c r="K277" s="531">
        <v>289</v>
      </c>
      <c r="L277" s="531">
        <v>289</v>
      </c>
      <c r="M277" s="531">
        <v>289</v>
      </c>
      <c r="N277" s="531">
        <v>289</v>
      </c>
      <c r="O277" s="531">
        <v>289</v>
      </c>
      <c r="Q277" s="679"/>
      <c r="R277" s="586" t="str">
        <f t="shared" si="341"/>
        <v>Target Saldo Rata-Rata PAL Tanggal 20 (Juta)</v>
      </c>
      <c r="S277" s="584">
        <f t="shared" ref="S277:AD277" si="389">D277</f>
        <v>289</v>
      </c>
      <c r="T277" s="584">
        <f t="shared" si="389"/>
        <v>289</v>
      </c>
      <c r="U277" s="584">
        <f t="shared" si="389"/>
        <v>289</v>
      </c>
      <c r="V277" s="584">
        <f t="shared" si="389"/>
        <v>289</v>
      </c>
      <c r="W277" s="584">
        <f t="shared" si="389"/>
        <v>289</v>
      </c>
      <c r="X277" s="584">
        <f t="shared" si="389"/>
        <v>289</v>
      </c>
      <c r="Y277" s="584">
        <f t="shared" si="389"/>
        <v>289</v>
      </c>
      <c r="Z277" s="584">
        <f t="shared" si="389"/>
        <v>289</v>
      </c>
      <c r="AA277" s="584">
        <f t="shared" si="389"/>
        <v>289</v>
      </c>
      <c r="AB277" s="584">
        <f t="shared" si="389"/>
        <v>289</v>
      </c>
      <c r="AC277" s="584">
        <f t="shared" si="389"/>
        <v>289</v>
      </c>
      <c r="AD277" s="584">
        <f t="shared" si="389"/>
        <v>289</v>
      </c>
      <c r="AF277" s="679"/>
      <c r="AG277" s="586" t="str">
        <f t="shared" si="345"/>
        <v>Target Saldo Rata-Rata PAL Tanggal 20 (Juta)</v>
      </c>
      <c r="AH277" s="565">
        <f>S277</f>
        <v>289</v>
      </c>
      <c r="AI277" s="565">
        <f t="shared" ref="AI277:AS277" si="390">T277</f>
        <v>289</v>
      </c>
      <c r="AJ277" s="565">
        <f t="shared" si="390"/>
        <v>289</v>
      </c>
      <c r="AK277" s="565">
        <f t="shared" si="390"/>
        <v>289</v>
      </c>
      <c r="AL277" s="565">
        <f t="shared" si="390"/>
        <v>289</v>
      </c>
      <c r="AM277" s="565">
        <f t="shared" si="390"/>
        <v>289</v>
      </c>
      <c r="AN277" s="565">
        <f t="shared" si="390"/>
        <v>289</v>
      </c>
      <c r="AO277" s="565">
        <f t="shared" si="390"/>
        <v>289</v>
      </c>
      <c r="AP277" s="565">
        <f t="shared" si="390"/>
        <v>289</v>
      </c>
      <c r="AQ277" s="565">
        <f t="shared" si="390"/>
        <v>289</v>
      </c>
      <c r="AR277" s="565">
        <f t="shared" si="390"/>
        <v>289</v>
      </c>
      <c r="AS277" s="565">
        <f t="shared" si="390"/>
        <v>289</v>
      </c>
    </row>
    <row r="278" spans="1:62">
      <c r="B278" s="679"/>
      <c r="C278" s="587" t="s">
        <v>149</v>
      </c>
      <c r="D278" s="517">
        <v>100</v>
      </c>
      <c r="E278" s="517">
        <v>100</v>
      </c>
      <c r="F278" s="517">
        <v>100</v>
      </c>
      <c r="G278" s="517">
        <v>100</v>
      </c>
      <c r="H278" s="517">
        <v>100</v>
      </c>
      <c r="I278" s="517">
        <v>100</v>
      </c>
      <c r="J278" s="517">
        <v>100</v>
      </c>
      <c r="K278" s="517">
        <v>100</v>
      </c>
      <c r="L278" s="517">
        <v>100</v>
      </c>
      <c r="M278" s="517">
        <v>100</v>
      </c>
      <c r="N278" s="517">
        <v>100</v>
      </c>
      <c r="O278" s="517">
        <v>100</v>
      </c>
      <c r="Q278" s="679"/>
      <c r="R278" s="591" t="str">
        <f t="shared" si="341"/>
        <v>%</v>
      </c>
      <c r="S278" s="590">
        <f t="shared" ref="S278:AD278" si="391">(2-S276/S277)*100</f>
        <v>83.459028719723193</v>
      </c>
      <c r="T278" s="590">
        <f t="shared" si="391"/>
        <v>68.102425951557095</v>
      </c>
      <c r="U278" s="590">
        <f t="shared" si="391"/>
        <v>50.742180276816605</v>
      </c>
      <c r="V278" s="590">
        <f t="shared" si="391"/>
        <v>59.109217647058834</v>
      </c>
      <c r="W278" s="590">
        <f t="shared" si="391"/>
        <v>63.013828027681654</v>
      </c>
      <c r="X278" s="590">
        <f t="shared" si="391"/>
        <v>83.148000346020766</v>
      </c>
      <c r="Y278" s="590">
        <f t="shared" si="391"/>
        <v>86.525984429065744</v>
      </c>
      <c r="Z278" s="590">
        <f t="shared" si="391"/>
        <v>182.11902006920414</v>
      </c>
      <c r="AA278" s="590">
        <f t="shared" si="391"/>
        <v>180.02188512110726</v>
      </c>
      <c r="AB278" s="590">
        <f t="shared" si="391"/>
        <v>200</v>
      </c>
      <c r="AC278" s="590">
        <f t="shared" si="391"/>
        <v>200</v>
      </c>
      <c r="AD278" s="590">
        <f t="shared" si="391"/>
        <v>200</v>
      </c>
      <c r="AF278" s="679"/>
      <c r="AG278" s="591" t="str">
        <f t="shared" si="345"/>
        <v>%</v>
      </c>
      <c r="AH278" s="519">
        <f>IF((2-AH276/AH277)*100&gt;110, 110, (2-AH276/AH277)*100)</f>
        <v>83.459028719723193</v>
      </c>
      <c r="AI278" s="519">
        <f t="shared" ref="AI278" si="392">IF((2-AI276/AI277)*100&gt;110, 110, (2-AI276/AI277)*100)</f>
        <v>75.780727335640137</v>
      </c>
      <c r="AJ278" s="519">
        <f t="shared" ref="AJ278" si="393">IF((2-AJ276/AJ277)*100&gt;110, 110, (2-AJ276/AJ277)*100)</f>
        <v>67.434544982698981</v>
      </c>
      <c r="AK278" s="519">
        <f t="shared" ref="AK278" si="394">IF((2-AK276/AK277)*100&gt;110, 110, (2-AK276/AK277)*100)</f>
        <v>65.353213148788953</v>
      </c>
      <c r="AL278" s="519">
        <f t="shared" ref="AL278" si="395">IF((2-AL276/AL277)*100&gt;110, 110, (2-AL276/AL277)*100)</f>
        <v>64.885336124567488</v>
      </c>
      <c r="AM278" s="519">
        <f t="shared" ref="AM278" si="396">IF((2-AM276/AM277)*100&gt;110, 110, (2-AM276/AM277)*100)</f>
        <v>67.929113494809684</v>
      </c>
      <c r="AN278" s="519">
        <f t="shared" ref="AN278" si="397">IF((2-AN276/AN277)*100&gt;110, 110, (2-AN276/AN277)*100)</f>
        <v>70.585809342560538</v>
      </c>
      <c r="AO278" s="519">
        <f t="shared" ref="AO278" si="398">IF((2-AO276/AO277)*100&gt;110, 110, (2-AO276/AO277)*100)</f>
        <v>84.527460683391013</v>
      </c>
      <c r="AP278" s="519">
        <f t="shared" ref="AP278" si="399">IF((2-AP276/AP277)*100&gt;110, 110, (2-AP276/AP277)*100)</f>
        <v>95.137952287581712</v>
      </c>
      <c r="AQ278" s="517">
        <f t="shared" ref="AQ278" si="400">IF((2-AQ276/AQ277)*100&gt;110, 110, (2-AQ276/AQ277)*100)</f>
        <v>95.137952287581712</v>
      </c>
      <c r="AR278" s="517">
        <f t="shared" ref="AR278" si="401">IF((2-AR276/AR277)*100&gt;110, 110, (2-AR276/AR277)*100)</f>
        <v>95.137952287581712</v>
      </c>
      <c r="AS278" s="517">
        <f t="shared" ref="AS278" si="402">IF((2-AS276/AS277)*100&gt;110, 110, (2-AS276/AS277)*100)</f>
        <v>95.137952287581712</v>
      </c>
    </row>
    <row r="279" spans="1:62" ht="22.9" customHeight="1">
      <c r="B279" s="679" t="s">
        <v>90</v>
      </c>
      <c r="C279" s="583" t="s">
        <v>221</v>
      </c>
      <c r="D279" s="531"/>
      <c r="E279" s="531"/>
      <c r="F279" s="531"/>
      <c r="G279" s="531"/>
      <c r="H279" s="531"/>
      <c r="I279" s="531"/>
      <c r="J279" s="531"/>
      <c r="K279" s="531"/>
      <c r="L279" s="531"/>
      <c r="M279" s="531"/>
      <c r="N279" s="531"/>
      <c r="O279" s="531"/>
      <c r="Q279" s="679" t="s">
        <v>90</v>
      </c>
      <c r="R279" s="583" t="str">
        <f t="shared" si="341"/>
        <v>Rata-Rata Saldo PAL Non Kogol 1 tanggal 20 (Juta)</v>
      </c>
      <c r="S279" s="584">
        <v>1281.87806</v>
      </c>
      <c r="T279" s="584">
        <v>884.70382300000006</v>
      </c>
      <c r="U279" s="584">
        <v>899.83738700000004</v>
      </c>
      <c r="V279" s="584">
        <v>1046.8353159999999</v>
      </c>
      <c r="W279" s="584">
        <v>1366.4285379999999</v>
      </c>
      <c r="X279" s="584">
        <f t="shared" ref="X279:Y279" si="403">SUM(X276,X273,X270,X267,X264)</f>
        <v>1188.163753</v>
      </c>
      <c r="Y279" s="584">
        <f t="shared" si="403"/>
        <v>954.89438900000005</v>
      </c>
      <c r="Z279" s="584">
        <v>610.09495300000003</v>
      </c>
      <c r="AA279" s="584">
        <v>779.87167499999998</v>
      </c>
      <c r="AB279" s="584"/>
      <c r="AC279" s="584"/>
      <c r="AD279" s="584"/>
      <c r="AF279" s="679" t="s">
        <v>90</v>
      </c>
      <c r="AG279" s="583" t="str">
        <f t="shared" si="345"/>
        <v>Rata-Rata Saldo PAL Non Kogol 1 tanggal 20 (Juta)</v>
      </c>
      <c r="AH279" s="565">
        <f>S279</f>
        <v>1281.87806</v>
      </c>
      <c r="AI279" s="565">
        <f>AVERAGE($S279:T279)</f>
        <v>1083.2909414999999</v>
      </c>
      <c r="AJ279" s="565">
        <f>AVERAGE($S279:U279)</f>
        <v>1022.1397566666666</v>
      </c>
      <c r="AK279" s="565">
        <f>AVERAGE($S279:V279)</f>
        <v>1028.3136465</v>
      </c>
      <c r="AL279" s="565">
        <f>AVERAGE($S279:W279)</f>
        <v>1095.9366248000001</v>
      </c>
      <c r="AM279" s="565">
        <f>AVERAGE($S279:X279)</f>
        <v>1111.3078128333334</v>
      </c>
      <c r="AN279" s="565">
        <f>AVERAGE($S279:Y279)</f>
        <v>1088.9630380000001</v>
      </c>
      <c r="AO279" s="565">
        <f>AVERAGE($S279:Z279)</f>
        <v>1029.1045273750001</v>
      </c>
      <c r="AP279" s="565">
        <f>AVERAGE($S279:AA279)</f>
        <v>1001.4119882222224</v>
      </c>
      <c r="AQ279" s="565">
        <f>AVERAGE($S279:AB279)</f>
        <v>1001.4119882222224</v>
      </c>
      <c r="AR279" s="565">
        <f>AVERAGE($S279:AC279)</f>
        <v>1001.4119882222224</v>
      </c>
      <c r="AS279" s="565">
        <f>AVERAGE($S279:AD279)</f>
        <v>1001.4119882222224</v>
      </c>
    </row>
    <row r="280" spans="1:62">
      <c r="B280" s="679"/>
      <c r="C280" s="586" t="s">
        <v>222</v>
      </c>
      <c r="D280" s="531">
        <v>1175</v>
      </c>
      <c r="E280" s="531">
        <v>1175</v>
      </c>
      <c r="F280" s="531">
        <v>1175</v>
      </c>
      <c r="G280" s="531">
        <v>1175</v>
      </c>
      <c r="H280" s="531">
        <v>1175</v>
      </c>
      <c r="I280" s="531">
        <v>1175</v>
      </c>
      <c r="J280" s="531">
        <v>1175</v>
      </c>
      <c r="K280" s="531">
        <v>1175</v>
      </c>
      <c r="L280" s="531">
        <v>1175</v>
      </c>
      <c r="M280" s="531">
        <v>1175</v>
      </c>
      <c r="N280" s="531">
        <v>1175</v>
      </c>
      <c r="O280" s="531">
        <v>1175</v>
      </c>
      <c r="Q280" s="679"/>
      <c r="R280" s="586" t="str">
        <f t="shared" si="341"/>
        <v>Target Saldo Rata-Rata PAL Tanggal 20 (Juta)</v>
      </c>
      <c r="S280" s="584">
        <f t="shared" ref="S280:AD280" si="404">D280</f>
        <v>1175</v>
      </c>
      <c r="T280" s="584">
        <f t="shared" si="404"/>
        <v>1175</v>
      </c>
      <c r="U280" s="584">
        <f t="shared" si="404"/>
        <v>1175</v>
      </c>
      <c r="V280" s="584">
        <f t="shared" si="404"/>
        <v>1175</v>
      </c>
      <c r="W280" s="584">
        <f t="shared" si="404"/>
        <v>1175</v>
      </c>
      <c r="X280" s="584">
        <f t="shared" si="404"/>
        <v>1175</v>
      </c>
      <c r="Y280" s="584">
        <f t="shared" si="404"/>
        <v>1175</v>
      </c>
      <c r="Z280" s="584">
        <f t="shared" si="404"/>
        <v>1175</v>
      </c>
      <c r="AA280" s="584">
        <f t="shared" si="404"/>
        <v>1175</v>
      </c>
      <c r="AB280" s="584">
        <f t="shared" si="404"/>
        <v>1175</v>
      </c>
      <c r="AC280" s="584">
        <f t="shared" si="404"/>
        <v>1175</v>
      </c>
      <c r="AD280" s="584">
        <f t="shared" si="404"/>
        <v>1175</v>
      </c>
      <c r="AF280" s="679"/>
      <c r="AG280" s="586" t="str">
        <f t="shared" si="345"/>
        <v>Target Saldo Rata-Rata PAL Tanggal 20 (Juta)</v>
      </c>
      <c r="AH280" s="565">
        <f t="shared" ref="AH280:AS280" si="405">AH265+AH268+AH271+AH274+AH277</f>
        <v>1175</v>
      </c>
      <c r="AI280" s="565">
        <f t="shared" si="405"/>
        <v>1175</v>
      </c>
      <c r="AJ280" s="565">
        <f t="shared" si="405"/>
        <v>1175</v>
      </c>
      <c r="AK280" s="565">
        <f t="shared" si="405"/>
        <v>1175</v>
      </c>
      <c r="AL280" s="565">
        <f t="shared" si="405"/>
        <v>1175</v>
      </c>
      <c r="AM280" s="565">
        <f t="shared" si="405"/>
        <v>1175</v>
      </c>
      <c r="AN280" s="565">
        <f t="shared" si="405"/>
        <v>1175</v>
      </c>
      <c r="AO280" s="565">
        <f t="shared" si="405"/>
        <v>1175</v>
      </c>
      <c r="AP280" s="565">
        <f t="shared" si="405"/>
        <v>1175</v>
      </c>
      <c r="AQ280" s="565">
        <f t="shared" si="405"/>
        <v>1175</v>
      </c>
      <c r="AR280" s="565">
        <f t="shared" si="405"/>
        <v>1175</v>
      </c>
      <c r="AS280" s="565">
        <f t="shared" si="405"/>
        <v>1175</v>
      </c>
    </row>
    <row r="281" spans="1:62">
      <c r="B281" s="679"/>
      <c r="C281" s="587" t="s">
        <v>149</v>
      </c>
      <c r="D281" s="517">
        <v>100</v>
      </c>
      <c r="E281" s="517">
        <v>100</v>
      </c>
      <c r="F281" s="517">
        <v>100</v>
      </c>
      <c r="G281" s="517">
        <v>100</v>
      </c>
      <c r="H281" s="517">
        <v>100</v>
      </c>
      <c r="I281" s="517">
        <v>100</v>
      </c>
      <c r="J281" s="517">
        <v>100</v>
      </c>
      <c r="K281" s="517">
        <v>100</v>
      </c>
      <c r="L281" s="517">
        <v>100</v>
      </c>
      <c r="M281" s="517">
        <v>100</v>
      </c>
      <c r="N281" s="517">
        <v>100</v>
      </c>
      <c r="O281" s="517">
        <v>100</v>
      </c>
      <c r="Q281" s="679"/>
      <c r="R281" s="587" t="str">
        <f t="shared" si="341"/>
        <v>%</v>
      </c>
      <c r="S281" s="590">
        <f t="shared" ref="S281:AD281" si="406">(2-S279/S280)*100</f>
        <v>90.903994893617025</v>
      </c>
      <c r="T281" s="590">
        <f t="shared" si="406"/>
        <v>124.70605761702127</v>
      </c>
      <c r="U281" s="590">
        <f t="shared" si="406"/>
        <v>123.41809472340427</v>
      </c>
      <c r="V281" s="590">
        <f t="shared" si="406"/>
        <v>110.90763268085109</v>
      </c>
      <c r="W281" s="590">
        <f t="shared" si="406"/>
        <v>83.708209531914918</v>
      </c>
      <c r="X281" s="590">
        <f t="shared" si="406"/>
        <v>98.879680595744674</v>
      </c>
      <c r="Y281" s="590">
        <f t="shared" si="406"/>
        <v>118.73239242553191</v>
      </c>
      <c r="Z281" s="590">
        <f t="shared" si="406"/>
        <v>148.07702527659575</v>
      </c>
      <c r="AA281" s="590">
        <f t="shared" si="406"/>
        <v>133.62794255319147</v>
      </c>
      <c r="AB281" s="590">
        <f t="shared" si="406"/>
        <v>200</v>
      </c>
      <c r="AC281" s="590">
        <f t="shared" si="406"/>
        <v>200</v>
      </c>
      <c r="AD281" s="590">
        <f t="shared" si="406"/>
        <v>200</v>
      </c>
      <c r="AF281" s="679"/>
      <c r="AG281" s="587" t="str">
        <f t="shared" si="345"/>
        <v>%</v>
      </c>
      <c r="AH281" s="519">
        <f>IF((2-AH279/AH280)*100&gt;110, 110, (2-AH279/AH280)*100)</f>
        <v>90.903994893617025</v>
      </c>
      <c r="AI281" s="519">
        <f t="shared" ref="AI281" si="407">IF((2-AI279/AI280)*100&gt;110, 110, (2-AI279/AI280)*100)</f>
        <v>107.80502625531916</v>
      </c>
      <c r="AJ281" s="519">
        <f t="shared" ref="AJ281" si="408">IF((2-AJ279/AJ280)*100&gt;110, 110, (2-AJ279/AJ280)*100)</f>
        <v>110</v>
      </c>
      <c r="AK281" s="519">
        <f t="shared" ref="AK281" si="409">IF((2-AK279/AK280)*100&gt;110, 110, (2-AK279/AK280)*100)</f>
        <v>110</v>
      </c>
      <c r="AL281" s="519">
        <f t="shared" ref="AL281" si="410">IF((2-AL279/AL280)*100&gt;110, 110, (2-AL279/AL280)*100)</f>
        <v>106.72879788936169</v>
      </c>
      <c r="AM281" s="519">
        <f t="shared" ref="AM281" si="411">IF((2-AM279/AM280)*100&gt;110, 110, (2-AM279/AM280)*100)</f>
        <v>105.42061167375887</v>
      </c>
      <c r="AN281" s="519">
        <f t="shared" ref="AN281" si="412">IF((2-AN279/AN280)*100&gt;110, 110, (2-AN279/AN280)*100)</f>
        <v>107.32229463829785</v>
      </c>
      <c r="AO281" s="519">
        <f t="shared" ref="AO281" si="413">IF((2-AO279/AO280)*100&gt;110, 110, (2-AO279/AO280)*100)</f>
        <v>110</v>
      </c>
      <c r="AP281" s="519">
        <f t="shared" ref="AP281" si="414">IF((2-AP279/AP280)*100&gt;110, 110, (2-AP279/AP280)*100)</f>
        <v>110</v>
      </c>
      <c r="AQ281" s="517">
        <f t="shared" ref="AQ281" si="415">IF((2-AQ279/AQ280)*100&gt;110, 110, (2-AQ279/AQ280)*100)</f>
        <v>110</v>
      </c>
      <c r="AR281" s="518">
        <f t="shared" ref="AR281" si="416">IF((2-AR279/AR280)*100&gt;110, 110, (2-AR279/AR280)*100)</f>
        <v>110</v>
      </c>
      <c r="AS281" s="518">
        <f t="shared" ref="AS281" si="417">IF((2-AS279/AS280)*100&gt;110, 110, (2-AS279/AS280)*100)</f>
        <v>110</v>
      </c>
    </row>
    <row r="282" spans="1:62">
      <c r="B282" s="125"/>
      <c r="C282" s="294"/>
      <c r="D282" s="164"/>
      <c r="E282" s="164"/>
      <c r="F282" s="164"/>
      <c r="G282" s="164"/>
      <c r="H282" s="164"/>
      <c r="I282" s="164"/>
      <c r="J282" s="164"/>
      <c r="K282" s="164"/>
      <c r="L282" s="164"/>
      <c r="M282" s="164"/>
      <c r="N282" s="164"/>
      <c r="O282" s="164"/>
      <c r="Q282" s="125"/>
      <c r="R282" s="294"/>
      <c r="S282" s="164"/>
      <c r="T282" s="164"/>
      <c r="U282" s="164"/>
      <c r="V282" s="164"/>
      <c r="W282" s="164"/>
      <c r="X282" s="164"/>
      <c r="Y282" s="164"/>
      <c r="Z282" s="164"/>
      <c r="AA282" s="164"/>
      <c r="AB282" s="164"/>
      <c r="AC282" s="164"/>
      <c r="AD282" s="164"/>
      <c r="AF282" s="125"/>
      <c r="AG282" s="294"/>
      <c r="AH282" s="164"/>
      <c r="AI282" s="164"/>
      <c r="AJ282" s="164"/>
      <c r="AK282" s="164"/>
      <c r="AL282" s="164"/>
      <c r="AM282" s="164"/>
      <c r="AN282" s="164"/>
      <c r="AO282" s="164"/>
      <c r="AP282" s="164"/>
      <c r="AQ282" s="164"/>
      <c r="AR282" s="164"/>
      <c r="AS282" s="164"/>
    </row>
    <row r="283" spans="1:62">
      <c r="B283" s="21" t="s">
        <v>223</v>
      </c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Q283" t="str">
        <f>B283</f>
        <v>PENGENDALIAN PIUTANG RATA-RATA TUNGGAKAN (RP JT)</v>
      </c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  <c r="AD283" s="105"/>
      <c r="AF283" t="str">
        <f>B283</f>
        <v>PENGENDALIAN PIUTANG RATA-RATA TUNGGAKAN (RP JT)</v>
      </c>
      <c r="AH283" s="105"/>
      <c r="AI283" s="105"/>
      <c r="AJ283" s="105"/>
      <c r="AK283" s="105"/>
      <c r="AL283" s="105"/>
      <c r="AM283" s="105"/>
      <c r="AN283" s="105"/>
      <c r="AO283" s="105"/>
      <c r="AP283" s="105"/>
      <c r="AQ283" s="105"/>
      <c r="AR283" s="105"/>
      <c r="AS283" s="105"/>
      <c r="AY283" s="156"/>
      <c r="AZ283" s="156"/>
      <c r="BA283" s="156"/>
      <c r="BB283" s="156"/>
      <c r="BC283" s="156"/>
      <c r="BD283" s="156"/>
      <c r="BE283" s="156"/>
      <c r="BF283" s="156"/>
      <c r="BG283" s="156"/>
      <c r="BH283" s="156"/>
      <c r="BI283" s="156"/>
      <c r="BJ283" s="156"/>
    </row>
    <row r="284" spans="1:62">
      <c r="A284"/>
      <c r="B284" s="21" t="s">
        <v>100</v>
      </c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Q284" t="s">
        <v>126</v>
      </c>
      <c r="S284" s="304"/>
      <c r="T284" s="150"/>
      <c r="U284" s="150"/>
      <c r="V284" s="150"/>
      <c r="W284" s="150"/>
      <c r="X284" s="150"/>
      <c r="Y284" s="150"/>
      <c r="Z284" s="105"/>
      <c r="AA284" s="105"/>
      <c r="AB284" s="105"/>
      <c r="AC284" s="105"/>
      <c r="AD284" s="105"/>
      <c r="AF284" t="s">
        <v>127</v>
      </c>
      <c r="AH284" s="105"/>
      <c r="AI284" s="105"/>
      <c r="AJ284" s="105"/>
      <c r="AK284" s="105"/>
      <c r="AL284" s="105"/>
      <c r="AM284" s="105"/>
      <c r="AN284" s="105"/>
      <c r="AO284" s="105"/>
      <c r="AP284" s="105"/>
      <c r="AQ284" s="105"/>
      <c r="AR284" s="105"/>
      <c r="AS284" s="105"/>
      <c r="AY284" s="156"/>
      <c r="AZ284" s="156"/>
      <c r="BA284" s="156"/>
      <c r="BB284" s="156"/>
      <c r="BC284" s="156"/>
      <c r="BD284" s="156"/>
      <c r="BE284" s="156"/>
      <c r="BF284" s="156"/>
      <c r="BG284" s="156"/>
      <c r="BH284" s="156"/>
      <c r="BI284" s="156"/>
      <c r="BJ284" s="156"/>
    </row>
    <row r="285" spans="1:62">
      <c r="A285"/>
      <c r="B285" s="681" t="s">
        <v>72</v>
      </c>
      <c r="C285" s="682"/>
      <c r="D285" s="638" t="s">
        <v>74</v>
      </c>
      <c r="E285" s="638" t="s">
        <v>75</v>
      </c>
      <c r="F285" s="638" t="s">
        <v>76</v>
      </c>
      <c r="G285" s="638" t="s">
        <v>77</v>
      </c>
      <c r="H285" s="638" t="s">
        <v>78</v>
      </c>
      <c r="I285" s="638" t="s">
        <v>79</v>
      </c>
      <c r="J285" s="638" t="s">
        <v>80</v>
      </c>
      <c r="K285" s="638" t="s">
        <v>81</v>
      </c>
      <c r="L285" s="638" t="s">
        <v>82</v>
      </c>
      <c r="M285" s="638" t="s">
        <v>83</v>
      </c>
      <c r="N285" s="638" t="s">
        <v>84</v>
      </c>
      <c r="O285" s="638" t="s">
        <v>85</v>
      </c>
      <c r="Q285" s="681" t="s">
        <v>72</v>
      </c>
      <c r="R285" s="682"/>
      <c r="S285" s="638" t="s">
        <v>74</v>
      </c>
      <c r="T285" s="638" t="s">
        <v>75</v>
      </c>
      <c r="U285" s="638" t="s">
        <v>76</v>
      </c>
      <c r="V285" s="638" t="s">
        <v>77</v>
      </c>
      <c r="W285" s="638" t="s">
        <v>78</v>
      </c>
      <c r="X285" s="638" t="s">
        <v>79</v>
      </c>
      <c r="Y285" s="638" t="s">
        <v>80</v>
      </c>
      <c r="Z285" s="638" t="s">
        <v>81</v>
      </c>
      <c r="AA285" s="638" t="s">
        <v>82</v>
      </c>
      <c r="AB285" s="638" t="s">
        <v>83</v>
      </c>
      <c r="AC285" s="638" t="s">
        <v>84</v>
      </c>
      <c r="AD285" s="638" t="s">
        <v>85</v>
      </c>
      <c r="AF285" s="681" t="s">
        <v>72</v>
      </c>
      <c r="AG285" s="682"/>
      <c r="AH285" s="638" t="s">
        <v>74</v>
      </c>
      <c r="AI285" s="638" t="s">
        <v>75</v>
      </c>
      <c r="AJ285" s="638" t="s">
        <v>76</v>
      </c>
      <c r="AK285" s="638" t="s">
        <v>77</v>
      </c>
      <c r="AL285" s="638" t="s">
        <v>78</v>
      </c>
      <c r="AM285" s="638" t="s">
        <v>79</v>
      </c>
      <c r="AN285" s="638" t="s">
        <v>80</v>
      </c>
      <c r="AO285" s="638" t="s">
        <v>81</v>
      </c>
      <c r="AP285" s="638" t="s">
        <v>82</v>
      </c>
      <c r="AQ285" s="638" t="s">
        <v>83</v>
      </c>
      <c r="AR285" s="638" t="s">
        <v>84</v>
      </c>
      <c r="AS285" s="638" t="s">
        <v>85</v>
      </c>
      <c r="AY285" s="156"/>
      <c r="AZ285" s="156"/>
      <c r="BA285" s="156"/>
      <c r="BB285" s="156"/>
      <c r="BC285" s="156"/>
      <c r="BD285" s="156"/>
      <c r="BE285" s="156"/>
      <c r="BF285" s="156"/>
      <c r="BG285" s="156"/>
      <c r="BH285" s="156"/>
      <c r="BI285" s="156"/>
      <c r="BJ285" s="156"/>
    </row>
    <row r="286" spans="1:62">
      <c r="A286"/>
      <c r="B286" s="679" t="s">
        <v>128</v>
      </c>
      <c r="C286" s="489" t="s">
        <v>224</v>
      </c>
      <c r="D286" s="509"/>
      <c r="E286" s="592"/>
      <c r="F286" s="592"/>
      <c r="G286" s="592"/>
      <c r="H286" s="592"/>
      <c r="I286" s="592"/>
      <c r="J286" s="592"/>
      <c r="K286" s="592"/>
      <c r="L286" s="592"/>
      <c r="M286" s="592"/>
      <c r="N286" s="592"/>
      <c r="O286" s="592"/>
      <c r="Q286" s="679" t="str">
        <f>B286</f>
        <v>ULP Tolitoli</v>
      </c>
      <c r="R286" s="328" t="str">
        <f>C286</f>
        <v>Saldo Total</v>
      </c>
      <c r="S286" s="509">
        <v>141.13633999999999</v>
      </c>
      <c r="T286" s="508">
        <v>3.4346450000000002</v>
      </c>
      <c r="U286" s="508">
        <v>0.24199999999999999</v>
      </c>
      <c r="V286" s="509">
        <v>14.351594</v>
      </c>
      <c r="W286" s="509">
        <v>1.256483</v>
      </c>
      <c r="X286" s="509">
        <v>21.328099999999999</v>
      </c>
      <c r="Y286" s="509">
        <v>3.286063</v>
      </c>
      <c r="Z286" s="509">
        <v>3.0494970000000001</v>
      </c>
      <c r="AA286" s="509">
        <v>34.761580000000002</v>
      </c>
      <c r="AB286" s="509"/>
      <c r="AC286" s="509"/>
      <c r="AD286" s="509"/>
      <c r="AF286" s="679"/>
      <c r="AG286" s="328" t="str">
        <f>R286</f>
        <v>Saldo Total</v>
      </c>
      <c r="AH286" s="509">
        <f>S286</f>
        <v>141.13633999999999</v>
      </c>
      <c r="AI286" s="509">
        <f>AVERAGE($S286:T286)</f>
        <v>72.285492499999989</v>
      </c>
      <c r="AJ286" s="509">
        <f>AVERAGE($S286:U286)</f>
        <v>48.270994999999992</v>
      </c>
      <c r="AK286" s="509">
        <f>AVERAGE($S286:V286)</f>
        <v>39.791144749999994</v>
      </c>
      <c r="AL286" s="509">
        <f>AVERAGE($S286:W286)</f>
        <v>32.084212399999998</v>
      </c>
      <c r="AM286" s="509">
        <f>AVERAGE($S286:X286)</f>
        <v>30.291526999999999</v>
      </c>
      <c r="AN286" s="509">
        <f>AVERAGE($S286:Y286)</f>
        <v>26.43360357142857</v>
      </c>
      <c r="AO286" s="509">
        <f>AVERAGE($S286:Z286)</f>
        <v>23.51059025</v>
      </c>
      <c r="AP286" s="509">
        <f>AVERAGE($S286:AA286)</f>
        <v>24.760700222222223</v>
      </c>
      <c r="AQ286" s="509">
        <f>AVERAGE($S286:AB286)</f>
        <v>24.760700222222223</v>
      </c>
      <c r="AR286" s="509">
        <f>AVERAGE($S286:AC286)</f>
        <v>24.760700222222223</v>
      </c>
      <c r="AS286" s="509">
        <f>AVERAGE($S286:AD286)</f>
        <v>24.760700222222223</v>
      </c>
      <c r="AY286" s="156"/>
      <c r="AZ286" s="156"/>
      <c r="BA286" s="156"/>
      <c r="BB286" s="156"/>
      <c r="BC286" s="156"/>
      <c r="BD286" s="156"/>
      <c r="BE286" s="156"/>
      <c r="BF286" s="156"/>
      <c r="BG286" s="156"/>
      <c r="BH286" s="156"/>
      <c r="BI286" s="156"/>
      <c r="BJ286" s="156"/>
    </row>
    <row r="287" spans="1:62">
      <c r="A287"/>
      <c r="B287" s="679"/>
      <c r="C287" s="515" t="s">
        <v>225</v>
      </c>
      <c r="D287" s="509">
        <v>22.07</v>
      </c>
      <c r="E287" s="509">
        <v>22.07</v>
      </c>
      <c r="F287" s="509">
        <v>22.07</v>
      </c>
      <c r="G287" s="509">
        <v>22.07</v>
      </c>
      <c r="H287" s="509">
        <v>22.07</v>
      </c>
      <c r="I287" s="509">
        <v>22.07</v>
      </c>
      <c r="J287" s="509">
        <v>22.07</v>
      </c>
      <c r="K287" s="509">
        <v>22.07</v>
      </c>
      <c r="L287" s="509">
        <v>22.07</v>
      </c>
      <c r="M287" s="509">
        <v>22.07</v>
      </c>
      <c r="N287" s="509">
        <v>22.07</v>
      </c>
      <c r="O287" s="509">
        <v>22.07</v>
      </c>
      <c r="Q287" s="679"/>
      <c r="R287" s="328" t="str">
        <f t="shared" ref="R287:AD287" si="418">C287</f>
        <v>Target Saldo</v>
      </c>
      <c r="S287" s="512">
        <f t="shared" si="418"/>
        <v>22.07</v>
      </c>
      <c r="T287" s="512">
        <f t="shared" si="418"/>
        <v>22.07</v>
      </c>
      <c r="U287" s="512">
        <f t="shared" si="418"/>
        <v>22.07</v>
      </c>
      <c r="V287" s="512">
        <f t="shared" si="418"/>
        <v>22.07</v>
      </c>
      <c r="W287" s="512">
        <f t="shared" si="418"/>
        <v>22.07</v>
      </c>
      <c r="X287" s="512">
        <f t="shared" si="418"/>
        <v>22.07</v>
      </c>
      <c r="Y287" s="512">
        <f t="shared" si="418"/>
        <v>22.07</v>
      </c>
      <c r="Z287" s="512">
        <f t="shared" si="418"/>
        <v>22.07</v>
      </c>
      <c r="AA287" s="512">
        <f t="shared" si="418"/>
        <v>22.07</v>
      </c>
      <c r="AB287" s="512">
        <f t="shared" si="418"/>
        <v>22.07</v>
      </c>
      <c r="AC287" s="512">
        <f t="shared" si="418"/>
        <v>22.07</v>
      </c>
      <c r="AD287" s="512">
        <f t="shared" si="418"/>
        <v>22.07</v>
      </c>
      <c r="AF287" s="679"/>
      <c r="AG287" s="328" t="str">
        <f>R287</f>
        <v>Target Saldo</v>
      </c>
      <c r="AH287" s="509">
        <f>S287</f>
        <v>22.07</v>
      </c>
      <c r="AI287" s="509">
        <f t="shared" ref="AI287:AS287" si="419">T287</f>
        <v>22.07</v>
      </c>
      <c r="AJ287" s="509">
        <f t="shared" si="419"/>
        <v>22.07</v>
      </c>
      <c r="AK287" s="509">
        <f t="shared" si="419"/>
        <v>22.07</v>
      </c>
      <c r="AL287" s="509">
        <f t="shared" si="419"/>
        <v>22.07</v>
      </c>
      <c r="AM287" s="509">
        <f t="shared" si="419"/>
        <v>22.07</v>
      </c>
      <c r="AN287" s="509">
        <f t="shared" si="419"/>
        <v>22.07</v>
      </c>
      <c r="AO287" s="509">
        <f t="shared" si="419"/>
        <v>22.07</v>
      </c>
      <c r="AP287" s="509">
        <f t="shared" si="419"/>
        <v>22.07</v>
      </c>
      <c r="AQ287" s="509">
        <f t="shared" si="419"/>
        <v>22.07</v>
      </c>
      <c r="AR287" s="509">
        <f t="shared" si="419"/>
        <v>22.07</v>
      </c>
      <c r="AS287" s="509">
        <f t="shared" si="419"/>
        <v>22.07</v>
      </c>
      <c r="AY287" s="156"/>
      <c r="AZ287" s="156"/>
      <c r="BA287" s="156"/>
      <c r="BB287" s="156"/>
      <c r="BC287" s="156"/>
      <c r="BD287" s="156"/>
      <c r="BE287" s="156"/>
      <c r="BF287" s="156"/>
      <c r="BG287" s="156"/>
      <c r="BH287" s="156"/>
      <c r="BI287" s="156"/>
      <c r="BJ287" s="156"/>
    </row>
    <row r="288" spans="1:62">
      <c r="A288"/>
      <c r="B288" s="679"/>
      <c r="C288" s="516" t="s">
        <v>48</v>
      </c>
      <c r="D288" s="530">
        <v>100</v>
      </c>
      <c r="E288" s="530">
        <v>100</v>
      </c>
      <c r="F288" s="530">
        <v>100</v>
      </c>
      <c r="G288" s="530">
        <v>100</v>
      </c>
      <c r="H288" s="530">
        <v>100</v>
      </c>
      <c r="I288" s="530">
        <v>100</v>
      </c>
      <c r="J288" s="530">
        <v>100</v>
      </c>
      <c r="K288" s="530">
        <v>100</v>
      </c>
      <c r="L288" s="530">
        <v>100</v>
      </c>
      <c r="M288" s="530">
        <v>100</v>
      </c>
      <c r="N288" s="530">
        <v>100</v>
      </c>
      <c r="O288" s="530">
        <v>100</v>
      </c>
      <c r="Q288" s="679"/>
      <c r="R288" s="329" t="s">
        <v>226</v>
      </c>
      <c r="S288" s="579">
        <f t="shared" ref="S288:AD288" si="420">(2-S286/S287)*100</f>
        <v>-439.49406434073398</v>
      </c>
      <c r="T288" s="579">
        <f t="shared" si="420"/>
        <v>184.437494336203</v>
      </c>
      <c r="U288" s="579">
        <f t="shared" si="420"/>
        <v>198.90348889895785</v>
      </c>
      <c r="V288" s="579">
        <f t="shared" si="420"/>
        <v>134.97238785681921</v>
      </c>
      <c r="W288" s="579">
        <f t="shared" si="420"/>
        <v>194.30682827367468</v>
      </c>
      <c r="X288" s="579">
        <f t="shared" si="420"/>
        <v>103.36157680108747</v>
      </c>
      <c r="Y288" s="579">
        <f t="shared" si="420"/>
        <v>185.11072496601722</v>
      </c>
      <c r="Z288" s="579">
        <f t="shared" si="420"/>
        <v>186.18261440869958</v>
      </c>
      <c r="AA288" s="579">
        <f t="shared" si="420"/>
        <v>42.493973719981867</v>
      </c>
      <c r="AB288" s="579">
        <f t="shared" si="420"/>
        <v>200</v>
      </c>
      <c r="AC288" s="579">
        <f t="shared" si="420"/>
        <v>200</v>
      </c>
      <c r="AD288" s="579">
        <f t="shared" si="420"/>
        <v>200</v>
      </c>
      <c r="AF288" s="679"/>
      <c r="AG288" s="329" t="str">
        <f t="shared" ref="AG288:AG303" si="421">R288</f>
        <v>Realisasi</v>
      </c>
      <c r="AH288" s="530">
        <f>IF((2-AH286/AH287)*100&gt;110, 110, (2-AH286/AH287)*100)</f>
        <v>-439.49406434073398</v>
      </c>
      <c r="AI288" s="530">
        <f t="shared" ref="AI288" si="422">IF((2-AI286/AI287)*100&gt;110, 110, (2-AI286/AI287)*100)</f>
        <v>-127.52828500226548</v>
      </c>
      <c r="AJ288" s="530">
        <f t="shared" ref="AJ288" si="423">IF((2-AJ286/AJ287)*100&gt;110, 110, (2-AJ286/AJ287)*100)</f>
        <v>-18.717693701857698</v>
      </c>
      <c r="AK288" s="530">
        <f t="shared" ref="AK288" si="424">IF((2-AK286/AK287)*100&gt;110, 110, (2-AK286/AK287)*100)</f>
        <v>19.704826687811551</v>
      </c>
      <c r="AL288" s="530">
        <f t="shared" ref="AL288" si="425">IF((2-AL286/AL287)*100&gt;110, 110, (2-AL286/AL287)*100)</f>
        <v>54.625227004984154</v>
      </c>
      <c r="AM288" s="530">
        <f t="shared" ref="AM288" si="426">IF((2-AM286/AM287)*100&gt;110, 110, (2-AM286/AM287)*100)</f>
        <v>62.747951971001356</v>
      </c>
      <c r="AN288" s="530">
        <f t="shared" ref="AN288" si="427">IF((2-AN286/AN287)*100&gt;110, 110, (2-AN286/AN287)*100)</f>
        <v>80.228348113146495</v>
      </c>
      <c r="AO288" s="530">
        <f t="shared" ref="AO288" si="428">IF((2-AO286/AO287)*100&gt;110, 110, (2-AO286/AO287)*100)</f>
        <v>93.472631400090634</v>
      </c>
      <c r="AP288" s="530">
        <f t="shared" ref="AP288" si="429">IF((2-AP286/AP287)*100&gt;110, 110, (2-AP286/AP287)*100)</f>
        <v>87.808336102300771</v>
      </c>
      <c r="AQ288" s="530">
        <f t="shared" ref="AQ288" si="430">IF((2-AQ286/AQ287)*100&gt;110, 110, (2-AQ286/AQ287)*100)</f>
        <v>87.808336102300771</v>
      </c>
      <c r="AR288" s="530">
        <f t="shared" ref="AR288" si="431">IF((2-AR286/AR287)*100&gt;110, 110, (2-AR286/AR287)*100)</f>
        <v>87.808336102300771</v>
      </c>
      <c r="AS288" s="530">
        <f t="shared" ref="AS288" si="432">IF((2-AS286/AS287)*100&gt;110, 110, (2-AS286/AS287)*100)</f>
        <v>87.808336102300771</v>
      </c>
      <c r="AY288" s="156"/>
      <c r="AZ288" s="156"/>
      <c r="BA288" s="156"/>
      <c r="BB288" s="156"/>
      <c r="BC288" s="156"/>
      <c r="BD288" s="156"/>
      <c r="BE288" s="156"/>
      <c r="BF288" s="156"/>
      <c r="BG288" s="156"/>
      <c r="BH288" s="156"/>
      <c r="BI288" s="156"/>
      <c r="BJ288" s="156"/>
    </row>
    <row r="289" spans="1:45">
      <c r="A289"/>
      <c r="B289" s="683" t="s">
        <v>87</v>
      </c>
      <c r="C289" s="489" t="s">
        <v>224</v>
      </c>
      <c r="D289" s="592"/>
      <c r="E289" s="592"/>
      <c r="F289" s="592"/>
      <c r="G289" s="592"/>
      <c r="H289" s="592"/>
      <c r="I289" s="592"/>
      <c r="J289" s="592"/>
      <c r="K289" s="592"/>
      <c r="L289" s="592"/>
      <c r="M289" s="592"/>
      <c r="N289" s="592"/>
      <c r="O289" s="592"/>
      <c r="Q289" s="679" t="s">
        <v>87</v>
      </c>
      <c r="R289" s="328" t="str">
        <f t="shared" ref="R289:R302" si="433">C289</f>
        <v>Saldo Total</v>
      </c>
      <c r="S289" s="509">
        <v>5.237749</v>
      </c>
      <c r="T289" s="508">
        <v>0</v>
      </c>
      <c r="U289" s="508">
        <v>0</v>
      </c>
      <c r="V289" s="509">
        <v>6.6380210000000002</v>
      </c>
      <c r="W289" s="509">
        <v>2.10283</v>
      </c>
      <c r="X289" s="509">
        <v>0.82510499999999998</v>
      </c>
      <c r="Y289" s="509">
        <v>3.726458</v>
      </c>
      <c r="Z289" s="509">
        <v>2.674283</v>
      </c>
      <c r="AA289" s="509">
        <v>0.39540599999999998</v>
      </c>
      <c r="AB289" s="509"/>
      <c r="AC289" s="509"/>
      <c r="AD289" s="509"/>
      <c r="AF289" s="679" t="s">
        <v>87</v>
      </c>
      <c r="AG289" s="328" t="str">
        <f t="shared" si="421"/>
        <v>Saldo Total</v>
      </c>
      <c r="AH289" s="509">
        <f>S289</f>
        <v>5.237749</v>
      </c>
      <c r="AI289" s="509">
        <f>AVERAGE($S289:T289)</f>
        <v>2.6188745</v>
      </c>
      <c r="AJ289" s="509">
        <f>AVERAGE($S289:U289)</f>
        <v>1.7459163333333334</v>
      </c>
      <c r="AK289" s="509">
        <f>AVERAGE($S289:V289)</f>
        <v>2.9689424999999998</v>
      </c>
      <c r="AL289" s="509">
        <f>AVERAGE($S289:W289)</f>
        <v>2.7957200000000002</v>
      </c>
      <c r="AM289" s="509">
        <f>AVERAGE($S289:X289)</f>
        <v>2.4672841666666669</v>
      </c>
      <c r="AN289" s="509">
        <f>AVERAGE($S289:Y289)</f>
        <v>2.6471661428571429</v>
      </c>
      <c r="AO289" s="509">
        <f>AVERAGE($S289:Z289)</f>
        <v>2.6505557500000001</v>
      </c>
      <c r="AP289" s="509">
        <f>AVERAGE($S289:AA289)</f>
        <v>2.399983555555556</v>
      </c>
      <c r="AQ289" s="509">
        <f>AVERAGE($S289:AB289)</f>
        <v>2.399983555555556</v>
      </c>
      <c r="AR289" s="509">
        <f>AVERAGE($S289:AC289)</f>
        <v>2.399983555555556</v>
      </c>
      <c r="AS289" s="509">
        <f>AVERAGE($S289:AD289)</f>
        <v>2.399983555555556</v>
      </c>
    </row>
    <row r="290" spans="1:45">
      <c r="A290"/>
      <c r="B290" s="684"/>
      <c r="C290" s="515" t="s">
        <v>225</v>
      </c>
      <c r="D290" s="509">
        <v>4.17</v>
      </c>
      <c r="E290" s="509">
        <v>4.17</v>
      </c>
      <c r="F290" s="509">
        <v>4.17</v>
      </c>
      <c r="G290" s="509">
        <v>4.17</v>
      </c>
      <c r="H290" s="509">
        <v>4.17</v>
      </c>
      <c r="I290" s="509">
        <v>4.17</v>
      </c>
      <c r="J290" s="509">
        <v>4.17</v>
      </c>
      <c r="K290" s="509">
        <v>4.17</v>
      </c>
      <c r="L290" s="509">
        <v>4.17</v>
      </c>
      <c r="M290" s="509">
        <v>4.17</v>
      </c>
      <c r="N290" s="509">
        <v>4.17</v>
      </c>
      <c r="O290" s="509">
        <v>4.17</v>
      </c>
      <c r="Q290" s="679"/>
      <c r="R290" s="328" t="str">
        <f t="shared" si="433"/>
        <v>Target Saldo</v>
      </c>
      <c r="S290" s="508">
        <f t="shared" ref="S290:AD290" si="434">D290</f>
        <v>4.17</v>
      </c>
      <c r="T290" s="508">
        <f t="shared" si="434"/>
        <v>4.17</v>
      </c>
      <c r="U290" s="508">
        <f t="shared" si="434"/>
        <v>4.17</v>
      </c>
      <c r="V290" s="508">
        <f t="shared" si="434"/>
        <v>4.17</v>
      </c>
      <c r="W290" s="508">
        <f t="shared" si="434"/>
        <v>4.17</v>
      </c>
      <c r="X290" s="508">
        <f t="shared" si="434"/>
        <v>4.17</v>
      </c>
      <c r="Y290" s="508">
        <f t="shared" si="434"/>
        <v>4.17</v>
      </c>
      <c r="Z290" s="508">
        <f t="shared" si="434"/>
        <v>4.17</v>
      </c>
      <c r="AA290" s="508">
        <f t="shared" si="434"/>
        <v>4.17</v>
      </c>
      <c r="AB290" s="508">
        <f t="shared" si="434"/>
        <v>4.17</v>
      </c>
      <c r="AC290" s="508">
        <f t="shared" si="434"/>
        <v>4.17</v>
      </c>
      <c r="AD290" s="508">
        <f t="shared" si="434"/>
        <v>4.17</v>
      </c>
      <c r="AF290" s="679"/>
      <c r="AG290" s="328" t="str">
        <f t="shared" si="421"/>
        <v>Target Saldo</v>
      </c>
      <c r="AH290" s="509">
        <f>S290</f>
        <v>4.17</v>
      </c>
      <c r="AI290" s="509">
        <f t="shared" ref="AI290:AS290" si="435">T290</f>
        <v>4.17</v>
      </c>
      <c r="AJ290" s="509">
        <f t="shared" si="435"/>
        <v>4.17</v>
      </c>
      <c r="AK290" s="509">
        <f t="shared" si="435"/>
        <v>4.17</v>
      </c>
      <c r="AL290" s="509">
        <f t="shared" si="435"/>
        <v>4.17</v>
      </c>
      <c r="AM290" s="509">
        <f t="shared" si="435"/>
        <v>4.17</v>
      </c>
      <c r="AN290" s="509">
        <f t="shared" si="435"/>
        <v>4.17</v>
      </c>
      <c r="AO290" s="509">
        <f t="shared" si="435"/>
        <v>4.17</v>
      </c>
      <c r="AP290" s="509">
        <f t="shared" si="435"/>
        <v>4.17</v>
      </c>
      <c r="AQ290" s="509">
        <f t="shared" si="435"/>
        <v>4.17</v>
      </c>
      <c r="AR290" s="509">
        <f t="shared" si="435"/>
        <v>4.17</v>
      </c>
      <c r="AS290" s="509">
        <f t="shared" si="435"/>
        <v>4.17</v>
      </c>
    </row>
    <row r="291" spans="1:45">
      <c r="A291"/>
      <c r="B291" s="685"/>
      <c r="C291" s="516" t="s">
        <v>48</v>
      </c>
      <c r="D291" s="530">
        <v>100</v>
      </c>
      <c r="E291" s="530">
        <v>100</v>
      </c>
      <c r="F291" s="530">
        <v>100</v>
      </c>
      <c r="G291" s="530">
        <v>100</v>
      </c>
      <c r="H291" s="530">
        <v>100</v>
      </c>
      <c r="I291" s="530">
        <v>100</v>
      </c>
      <c r="J291" s="530">
        <v>100</v>
      </c>
      <c r="K291" s="530">
        <v>100</v>
      </c>
      <c r="L291" s="530">
        <v>100</v>
      </c>
      <c r="M291" s="530">
        <v>100</v>
      </c>
      <c r="N291" s="530">
        <v>100</v>
      </c>
      <c r="O291" s="530">
        <v>100</v>
      </c>
      <c r="Q291" s="679"/>
      <c r="R291" s="329" t="s">
        <v>226</v>
      </c>
      <c r="S291" s="579">
        <f t="shared" ref="S291:AD291" si="436">(2-S289/S290)*100</f>
        <v>74.394508393285363</v>
      </c>
      <c r="T291" s="530">
        <f t="shared" si="436"/>
        <v>200</v>
      </c>
      <c r="U291" s="530">
        <f t="shared" si="436"/>
        <v>200</v>
      </c>
      <c r="V291" s="579">
        <f t="shared" si="436"/>
        <v>40.814844124700222</v>
      </c>
      <c r="W291" s="579">
        <f t="shared" si="436"/>
        <v>149.57242206235014</v>
      </c>
      <c r="X291" s="579">
        <f t="shared" si="436"/>
        <v>180.21330935251797</v>
      </c>
      <c r="Y291" s="579">
        <f t="shared" si="436"/>
        <v>110.63649880095923</v>
      </c>
      <c r="Z291" s="579">
        <f t="shared" si="436"/>
        <v>135.86851318944844</v>
      </c>
      <c r="AA291" s="579">
        <f t="shared" si="436"/>
        <v>190.51784172661868</v>
      </c>
      <c r="AB291" s="579">
        <f t="shared" si="436"/>
        <v>200</v>
      </c>
      <c r="AC291" s="579">
        <f t="shared" si="436"/>
        <v>200</v>
      </c>
      <c r="AD291" s="579">
        <f t="shared" si="436"/>
        <v>200</v>
      </c>
      <c r="AF291" s="679"/>
      <c r="AG291" s="329" t="str">
        <f t="shared" si="421"/>
        <v>Realisasi</v>
      </c>
      <c r="AH291" s="530">
        <f>IF((2-AH289/AH290)*100&gt;110, 110, (2-AH289/AH290)*100)</f>
        <v>74.394508393285363</v>
      </c>
      <c r="AI291" s="530">
        <f t="shared" ref="AI291" si="437">IF((2-AI289/AI290)*100&gt;110, 110, (2-AI289/AI290)*100)</f>
        <v>110</v>
      </c>
      <c r="AJ291" s="530">
        <f t="shared" ref="AJ291" si="438">IF((2-AJ289/AJ290)*100&gt;110, 110, (2-AJ289/AJ290)*100)</f>
        <v>110</v>
      </c>
      <c r="AK291" s="530">
        <f t="shared" ref="AK291" si="439">IF((2-AK289/AK290)*100&gt;110, 110, (2-AK289/AK290)*100)</f>
        <v>110</v>
      </c>
      <c r="AL291" s="530">
        <f t="shared" ref="AL291" si="440">IF((2-AL289/AL290)*100&gt;110, 110, (2-AL289/AL290)*100)</f>
        <v>110</v>
      </c>
      <c r="AM291" s="530">
        <f t="shared" ref="AM291" si="441">IF((2-AM289/AM290)*100&gt;110, 110, (2-AM289/AM290)*100)</f>
        <v>110</v>
      </c>
      <c r="AN291" s="530">
        <f t="shared" ref="AN291" si="442">IF((2-AN289/AN290)*100&gt;110, 110, (2-AN289/AN290)*100)</f>
        <v>110</v>
      </c>
      <c r="AO291" s="530">
        <f t="shared" ref="AO291" si="443">IF((2-AO289/AO290)*100&gt;110, 110, (2-AO289/AO290)*100)</f>
        <v>110</v>
      </c>
      <c r="AP291" s="530">
        <f t="shared" ref="AP291" si="444">IF((2-AP289/AP290)*100&gt;110, 110, (2-AP289/AP290)*100)</f>
        <v>110</v>
      </c>
      <c r="AQ291" s="530">
        <f t="shared" ref="AQ291" si="445">IF((2-AQ289/AQ290)*100&gt;110, 110, (2-AQ289/AQ290)*100)</f>
        <v>110</v>
      </c>
      <c r="AR291" s="530">
        <f t="shared" ref="AR291" si="446">IF((2-AR289/AR290)*100&gt;110, 110, (2-AR289/AR290)*100)</f>
        <v>110</v>
      </c>
      <c r="AS291" s="530">
        <f t="shared" ref="AS291" si="447">IF((2-AS289/AS290)*100&gt;110, 110, (2-AS289/AS290)*100)</f>
        <v>110</v>
      </c>
    </row>
    <row r="292" spans="1:45">
      <c r="A292"/>
      <c r="B292" s="683" t="s">
        <v>88</v>
      </c>
      <c r="C292" s="489" t="s">
        <v>224</v>
      </c>
      <c r="D292" s="592"/>
      <c r="E292" s="592"/>
      <c r="F292" s="592"/>
      <c r="G292" s="592"/>
      <c r="H292" s="592"/>
      <c r="I292" s="592"/>
      <c r="J292" s="592"/>
      <c r="K292" s="592"/>
      <c r="L292" s="592"/>
      <c r="M292" s="592"/>
      <c r="N292" s="592"/>
      <c r="O292" s="592"/>
      <c r="Q292" s="679" t="s">
        <v>88</v>
      </c>
      <c r="R292" s="328" t="str">
        <f t="shared" si="433"/>
        <v>Saldo Total</v>
      </c>
      <c r="S292" s="508">
        <v>2.0411350000000001</v>
      </c>
      <c r="T292" s="508">
        <v>0</v>
      </c>
      <c r="U292" s="508">
        <v>0</v>
      </c>
      <c r="V292" s="509">
        <v>0</v>
      </c>
      <c r="W292" s="509">
        <v>0</v>
      </c>
      <c r="X292" s="509">
        <v>0</v>
      </c>
      <c r="Y292" s="509">
        <v>0</v>
      </c>
      <c r="Z292" s="509">
        <v>0</v>
      </c>
      <c r="AA292" s="509">
        <v>0</v>
      </c>
      <c r="AB292" s="509"/>
      <c r="AC292" s="509"/>
      <c r="AD292" s="509"/>
      <c r="AF292" s="679" t="s">
        <v>88</v>
      </c>
      <c r="AG292" s="328" t="str">
        <f t="shared" si="421"/>
        <v>Saldo Total</v>
      </c>
      <c r="AH292" s="509">
        <f>S292</f>
        <v>2.0411350000000001</v>
      </c>
      <c r="AI292" s="509">
        <f>AVERAGE($S292:T292)</f>
        <v>1.0205675000000001</v>
      </c>
      <c r="AJ292" s="509">
        <f>AVERAGE($S292:U292)</f>
        <v>0.68037833333333342</v>
      </c>
      <c r="AK292" s="509">
        <f>AVERAGE($S292:V292)</f>
        <v>0.51028375000000004</v>
      </c>
      <c r="AL292" s="509">
        <f>AVERAGE($S292:W292)</f>
        <v>0.40822700000000001</v>
      </c>
      <c r="AM292" s="509">
        <f>AVERAGE($S292:X292)</f>
        <v>0.34018916666666671</v>
      </c>
      <c r="AN292" s="509">
        <f>AVERAGE($S292:Y292)</f>
        <v>0.29159071428571431</v>
      </c>
      <c r="AO292" s="509">
        <f>AVERAGE($S292:Z292)</f>
        <v>0.25514187500000002</v>
      </c>
      <c r="AP292" s="509">
        <f>AVERAGE($S292:AA292)</f>
        <v>0.22679277777777779</v>
      </c>
      <c r="AQ292" s="509">
        <f>AVERAGE($S292:AB292)</f>
        <v>0.22679277777777779</v>
      </c>
      <c r="AR292" s="509">
        <f>AVERAGE($S292:AC292)</f>
        <v>0.22679277777777779</v>
      </c>
      <c r="AS292" s="509">
        <f>AVERAGE($S292:AD292)</f>
        <v>0.22679277777777779</v>
      </c>
    </row>
    <row r="293" spans="1:45">
      <c r="A293"/>
      <c r="B293" s="684"/>
      <c r="C293" s="515" t="s">
        <v>225</v>
      </c>
      <c r="D293" s="509">
        <v>2.72</v>
      </c>
      <c r="E293" s="509">
        <v>2.72</v>
      </c>
      <c r="F293" s="509">
        <v>2.72</v>
      </c>
      <c r="G293" s="509">
        <v>2.72</v>
      </c>
      <c r="H293" s="509">
        <v>2.72</v>
      </c>
      <c r="I293" s="509">
        <v>2.72</v>
      </c>
      <c r="J293" s="509">
        <v>2.72</v>
      </c>
      <c r="K293" s="509">
        <v>2.72</v>
      </c>
      <c r="L293" s="509">
        <v>2.72</v>
      </c>
      <c r="M293" s="509">
        <v>2.72</v>
      </c>
      <c r="N293" s="509">
        <v>2.72</v>
      </c>
      <c r="O293" s="509">
        <v>2.72</v>
      </c>
      <c r="Q293" s="679"/>
      <c r="R293" s="328" t="str">
        <f t="shared" si="433"/>
        <v>Target Saldo</v>
      </c>
      <c r="S293" s="509">
        <f t="shared" ref="S293:AD293" si="448">D293</f>
        <v>2.72</v>
      </c>
      <c r="T293" s="509">
        <f t="shared" si="448"/>
        <v>2.72</v>
      </c>
      <c r="U293" s="509">
        <f t="shared" si="448"/>
        <v>2.72</v>
      </c>
      <c r="V293" s="509">
        <f t="shared" si="448"/>
        <v>2.72</v>
      </c>
      <c r="W293" s="509">
        <f t="shared" si="448"/>
        <v>2.72</v>
      </c>
      <c r="X293" s="509">
        <f t="shared" si="448"/>
        <v>2.72</v>
      </c>
      <c r="Y293" s="509">
        <f t="shared" si="448"/>
        <v>2.72</v>
      </c>
      <c r="Z293" s="509">
        <f t="shared" si="448"/>
        <v>2.72</v>
      </c>
      <c r="AA293" s="509">
        <f t="shared" si="448"/>
        <v>2.72</v>
      </c>
      <c r="AB293" s="509">
        <f t="shared" si="448"/>
        <v>2.72</v>
      </c>
      <c r="AC293" s="509">
        <f t="shared" si="448"/>
        <v>2.72</v>
      </c>
      <c r="AD293" s="509">
        <f t="shared" si="448"/>
        <v>2.72</v>
      </c>
      <c r="AF293" s="679"/>
      <c r="AG293" s="328" t="str">
        <f t="shared" si="421"/>
        <v>Target Saldo</v>
      </c>
      <c r="AH293" s="509">
        <f>S293</f>
        <v>2.72</v>
      </c>
      <c r="AI293" s="509">
        <f t="shared" ref="AI293:AS293" si="449">T293</f>
        <v>2.72</v>
      </c>
      <c r="AJ293" s="509">
        <f t="shared" si="449"/>
        <v>2.72</v>
      </c>
      <c r="AK293" s="509">
        <f t="shared" si="449"/>
        <v>2.72</v>
      </c>
      <c r="AL293" s="509">
        <f t="shared" si="449"/>
        <v>2.72</v>
      </c>
      <c r="AM293" s="509">
        <f t="shared" si="449"/>
        <v>2.72</v>
      </c>
      <c r="AN293" s="509">
        <f t="shared" si="449"/>
        <v>2.72</v>
      </c>
      <c r="AO293" s="509">
        <f t="shared" si="449"/>
        <v>2.72</v>
      </c>
      <c r="AP293" s="509">
        <f t="shared" si="449"/>
        <v>2.72</v>
      </c>
      <c r="AQ293" s="509">
        <f t="shared" si="449"/>
        <v>2.72</v>
      </c>
      <c r="AR293" s="509">
        <f t="shared" si="449"/>
        <v>2.72</v>
      </c>
      <c r="AS293" s="509">
        <f t="shared" si="449"/>
        <v>2.72</v>
      </c>
    </row>
    <row r="294" spans="1:45">
      <c r="A294"/>
      <c r="B294" s="685"/>
      <c r="C294" s="516" t="s">
        <v>48</v>
      </c>
      <c r="D294" s="530">
        <v>100</v>
      </c>
      <c r="E294" s="530">
        <v>100</v>
      </c>
      <c r="F294" s="530">
        <v>100</v>
      </c>
      <c r="G294" s="530">
        <v>100</v>
      </c>
      <c r="H294" s="530">
        <v>100</v>
      </c>
      <c r="I294" s="530">
        <v>100</v>
      </c>
      <c r="J294" s="530">
        <v>100</v>
      </c>
      <c r="K294" s="530">
        <v>100</v>
      </c>
      <c r="L294" s="530">
        <v>100</v>
      </c>
      <c r="M294" s="530">
        <v>100</v>
      </c>
      <c r="N294" s="530">
        <v>100</v>
      </c>
      <c r="O294" s="530">
        <v>100</v>
      </c>
      <c r="Q294" s="679"/>
      <c r="R294" s="329" t="s">
        <v>226</v>
      </c>
      <c r="S294" s="579">
        <f t="shared" ref="S294:AD294" si="450">(2-S292/S293)*100</f>
        <v>124.95827205882352</v>
      </c>
      <c r="T294" s="530">
        <f t="shared" si="450"/>
        <v>200</v>
      </c>
      <c r="U294" s="530">
        <f t="shared" si="450"/>
        <v>200</v>
      </c>
      <c r="V294" s="579">
        <f t="shared" si="450"/>
        <v>200</v>
      </c>
      <c r="W294" s="579">
        <f t="shared" si="450"/>
        <v>200</v>
      </c>
      <c r="X294" s="579">
        <f t="shared" si="450"/>
        <v>200</v>
      </c>
      <c r="Y294" s="579">
        <f t="shared" si="450"/>
        <v>200</v>
      </c>
      <c r="Z294" s="579">
        <f t="shared" si="450"/>
        <v>200</v>
      </c>
      <c r="AA294" s="579">
        <f t="shared" si="450"/>
        <v>200</v>
      </c>
      <c r="AB294" s="579">
        <f t="shared" si="450"/>
        <v>200</v>
      </c>
      <c r="AC294" s="579">
        <f t="shared" si="450"/>
        <v>200</v>
      </c>
      <c r="AD294" s="579">
        <f t="shared" si="450"/>
        <v>200</v>
      </c>
      <c r="AF294" s="679"/>
      <c r="AG294" s="329" t="str">
        <f t="shared" si="421"/>
        <v>Realisasi</v>
      </c>
      <c r="AH294" s="530">
        <f>IF((2-AH292/AH293)*100&gt;110, 110, (2-AH292/AH293)*100)</f>
        <v>110</v>
      </c>
      <c r="AI294" s="530">
        <f t="shared" ref="AI294" si="451">IF((2-AI292/AI293)*100&gt;110, 110, (2-AI292/AI293)*100)</f>
        <v>110</v>
      </c>
      <c r="AJ294" s="530">
        <f t="shared" ref="AJ294" si="452">IF((2-AJ292/AJ293)*100&gt;110, 110, (2-AJ292/AJ293)*100)</f>
        <v>110</v>
      </c>
      <c r="AK294" s="530">
        <f t="shared" ref="AK294" si="453">IF((2-AK292/AK293)*100&gt;110, 110, (2-AK292/AK293)*100)</f>
        <v>110</v>
      </c>
      <c r="AL294" s="530">
        <f t="shared" ref="AL294" si="454">IF((2-AL292/AL293)*100&gt;110, 110, (2-AL292/AL293)*100)</f>
        <v>110</v>
      </c>
      <c r="AM294" s="530">
        <f t="shared" ref="AM294" si="455">IF((2-AM292/AM293)*100&gt;110, 110, (2-AM292/AM293)*100)</f>
        <v>110</v>
      </c>
      <c r="AN294" s="530">
        <f t="shared" ref="AN294" si="456">IF((2-AN292/AN293)*100&gt;110, 110, (2-AN292/AN293)*100)</f>
        <v>110</v>
      </c>
      <c r="AO294" s="530">
        <f t="shared" ref="AO294" si="457">IF((2-AO292/AO293)*100&gt;110, 110, (2-AO292/AO293)*100)</f>
        <v>110</v>
      </c>
      <c r="AP294" s="530">
        <f t="shared" ref="AP294" si="458">IF((2-AP292/AP293)*100&gt;110, 110, (2-AP292/AP293)*100)</f>
        <v>110</v>
      </c>
      <c r="AQ294" s="530">
        <f t="shared" ref="AQ294" si="459">IF((2-AQ292/AQ293)*100&gt;110, 110, (2-AQ292/AQ293)*100)</f>
        <v>110</v>
      </c>
      <c r="AR294" s="530">
        <f t="shared" ref="AR294" si="460">IF((2-AR292/AR293)*100&gt;110, 110, (2-AR292/AR293)*100)</f>
        <v>110</v>
      </c>
      <c r="AS294" s="530">
        <f t="shared" ref="AS294" si="461">IF((2-AS292/AS293)*100&gt;110, 110, (2-AS292/AS293)*100)</f>
        <v>110</v>
      </c>
    </row>
    <row r="295" spans="1:45">
      <c r="A295"/>
      <c r="B295" s="683" t="s">
        <v>121</v>
      </c>
      <c r="C295" s="489" t="s">
        <v>224</v>
      </c>
      <c r="D295" s="592"/>
      <c r="E295" s="592"/>
      <c r="F295" s="592"/>
      <c r="G295" s="592"/>
      <c r="H295" s="592"/>
      <c r="I295" s="592"/>
      <c r="J295" s="592"/>
      <c r="K295" s="592"/>
      <c r="L295" s="592"/>
      <c r="M295" s="592"/>
      <c r="N295" s="592"/>
      <c r="O295" s="592"/>
      <c r="Q295" s="679" t="s">
        <v>121</v>
      </c>
      <c r="R295" s="328" t="str">
        <f t="shared" si="433"/>
        <v>Saldo Total</v>
      </c>
      <c r="S295" s="509">
        <v>148.600922</v>
      </c>
      <c r="T295" s="508">
        <v>191.165323</v>
      </c>
      <c r="U295" s="508">
        <v>148.1</v>
      </c>
      <c r="V295" s="509">
        <v>203.645487</v>
      </c>
      <c r="W295" s="509">
        <v>150.38064800000001</v>
      </c>
      <c r="X295" s="509">
        <v>95.473386000000005</v>
      </c>
      <c r="Y295" s="509">
        <v>5.7635180000000004</v>
      </c>
      <c r="Z295" s="509">
        <v>4.613518</v>
      </c>
      <c r="AA295" s="509">
        <v>6.8073189999999997</v>
      </c>
      <c r="AB295" s="509"/>
      <c r="AC295" s="509"/>
      <c r="AD295" s="509"/>
      <c r="AF295" s="679" t="s">
        <v>121</v>
      </c>
      <c r="AG295" s="328" t="str">
        <f t="shared" si="421"/>
        <v>Saldo Total</v>
      </c>
      <c r="AH295" s="509">
        <f>S295</f>
        <v>148.600922</v>
      </c>
      <c r="AI295" s="509">
        <f>AVERAGE($S295:T295)</f>
        <v>169.88312250000001</v>
      </c>
      <c r="AJ295" s="509">
        <f>AVERAGE($S295:U295)</f>
        <v>162.62208166666667</v>
      </c>
      <c r="AK295" s="509">
        <f>AVERAGE($S295:V295)</f>
        <v>172.87793300000001</v>
      </c>
      <c r="AL295" s="509">
        <f>AVERAGE($S295:W295)</f>
        <v>168.37847600000001</v>
      </c>
      <c r="AM295" s="509">
        <f>AVERAGE($S295:X295)</f>
        <v>156.22762766666668</v>
      </c>
      <c r="AN295" s="509">
        <f>AVERAGE($S295:Y295)</f>
        <v>134.73275485714285</v>
      </c>
      <c r="AO295" s="509">
        <f>AVERAGE($S295:Z295)</f>
        <v>118.46785025</v>
      </c>
      <c r="AP295" s="509">
        <f>AVERAGE($S295:AA295)</f>
        <v>106.06112455555555</v>
      </c>
      <c r="AQ295" s="509">
        <f>AVERAGE($S295:AB295)</f>
        <v>106.06112455555555</v>
      </c>
      <c r="AR295" s="509">
        <f>AVERAGE($S295:AC295)</f>
        <v>106.06112455555555</v>
      </c>
      <c r="AS295" s="509">
        <f>AVERAGE($S295:AD295)</f>
        <v>106.06112455555555</v>
      </c>
    </row>
    <row r="296" spans="1:45">
      <c r="A296"/>
      <c r="B296" s="684"/>
      <c r="C296" s="515" t="s">
        <v>225</v>
      </c>
      <c r="D296" s="509">
        <v>96.04</v>
      </c>
      <c r="E296" s="509">
        <v>96.04</v>
      </c>
      <c r="F296" s="509">
        <v>96.04</v>
      </c>
      <c r="G296" s="509">
        <v>96.04</v>
      </c>
      <c r="H296" s="509">
        <v>96.04</v>
      </c>
      <c r="I296" s="509">
        <v>96.04</v>
      </c>
      <c r="J296" s="509">
        <v>96.04</v>
      </c>
      <c r="K296" s="509">
        <v>96.04</v>
      </c>
      <c r="L296" s="509">
        <v>96.04</v>
      </c>
      <c r="M296" s="509">
        <v>96.04</v>
      </c>
      <c r="N296" s="509">
        <v>96.04</v>
      </c>
      <c r="O296" s="509">
        <v>96.04</v>
      </c>
      <c r="Q296" s="679"/>
      <c r="R296" s="328" t="str">
        <f t="shared" si="433"/>
        <v>Target Saldo</v>
      </c>
      <c r="S296" s="509">
        <f t="shared" ref="S296:AD296" si="462">D296</f>
        <v>96.04</v>
      </c>
      <c r="T296" s="509">
        <f t="shared" si="462"/>
        <v>96.04</v>
      </c>
      <c r="U296" s="509">
        <f t="shared" si="462"/>
        <v>96.04</v>
      </c>
      <c r="V296" s="509">
        <f t="shared" si="462"/>
        <v>96.04</v>
      </c>
      <c r="W296" s="509">
        <f t="shared" si="462"/>
        <v>96.04</v>
      </c>
      <c r="X296" s="509">
        <f t="shared" si="462"/>
        <v>96.04</v>
      </c>
      <c r="Y296" s="509">
        <f t="shared" si="462"/>
        <v>96.04</v>
      </c>
      <c r="Z296" s="509">
        <f t="shared" si="462"/>
        <v>96.04</v>
      </c>
      <c r="AA296" s="509">
        <f t="shared" si="462"/>
        <v>96.04</v>
      </c>
      <c r="AB296" s="509">
        <f t="shared" si="462"/>
        <v>96.04</v>
      </c>
      <c r="AC296" s="509">
        <f t="shared" si="462"/>
        <v>96.04</v>
      </c>
      <c r="AD296" s="509">
        <f t="shared" si="462"/>
        <v>96.04</v>
      </c>
      <c r="AF296" s="679"/>
      <c r="AG296" s="328" t="str">
        <f t="shared" si="421"/>
        <v>Target Saldo</v>
      </c>
      <c r="AH296" s="509">
        <f>S296</f>
        <v>96.04</v>
      </c>
      <c r="AI296" s="509">
        <f t="shared" ref="AI296:AS296" si="463">T296</f>
        <v>96.04</v>
      </c>
      <c r="AJ296" s="509">
        <f t="shared" si="463"/>
        <v>96.04</v>
      </c>
      <c r="AK296" s="509">
        <f t="shared" si="463"/>
        <v>96.04</v>
      </c>
      <c r="AL296" s="509">
        <f t="shared" si="463"/>
        <v>96.04</v>
      </c>
      <c r="AM296" s="509">
        <f t="shared" si="463"/>
        <v>96.04</v>
      </c>
      <c r="AN296" s="509">
        <f t="shared" si="463"/>
        <v>96.04</v>
      </c>
      <c r="AO296" s="509">
        <f t="shared" si="463"/>
        <v>96.04</v>
      </c>
      <c r="AP296" s="509">
        <f t="shared" si="463"/>
        <v>96.04</v>
      </c>
      <c r="AQ296" s="509">
        <f t="shared" si="463"/>
        <v>96.04</v>
      </c>
      <c r="AR296" s="509">
        <f t="shared" si="463"/>
        <v>96.04</v>
      </c>
      <c r="AS296" s="509">
        <f t="shared" si="463"/>
        <v>96.04</v>
      </c>
    </row>
    <row r="297" spans="1:45">
      <c r="A297"/>
      <c r="B297" s="685"/>
      <c r="C297" s="516" t="s">
        <v>48</v>
      </c>
      <c r="D297" s="530">
        <v>100</v>
      </c>
      <c r="E297" s="530">
        <v>100</v>
      </c>
      <c r="F297" s="530">
        <v>100</v>
      </c>
      <c r="G297" s="530">
        <v>100</v>
      </c>
      <c r="H297" s="530">
        <v>100</v>
      </c>
      <c r="I297" s="530">
        <v>100</v>
      </c>
      <c r="J297" s="530">
        <v>100</v>
      </c>
      <c r="K297" s="530">
        <v>100</v>
      </c>
      <c r="L297" s="530">
        <v>100</v>
      </c>
      <c r="M297" s="530">
        <v>100</v>
      </c>
      <c r="N297" s="530">
        <v>100</v>
      </c>
      <c r="O297" s="530">
        <v>100</v>
      </c>
      <c r="Q297" s="679"/>
      <c r="R297" s="329" t="s">
        <v>226</v>
      </c>
      <c r="S297" s="579">
        <f t="shared" ref="S297:AD297" si="464">(2-S295/S296)*100</f>
        <v>45.271842982090817</v>
      </c>
      <c r="T297" s="530">
        <f t="shared" si="464"/>
        <v>0.95239171178675974</v>
      </c>
      <c r="U297" s="530">
        <f t="shared" si="464"/>
        <v>45.793419408579773</v>
      </c>
      <c r="V297" s="579">
        <f t="shared" si="464"/>
        <v>-12.042364639733449</v>
      </c>
      <c r="W297" s="579">
        <f t="shared" si="464"/>
        <v>43.418733860891301</v>
      </c>
      <c r="X297" s="579">
        <f t="shared" si="464"/>
        <v>100.58997709287797</v>
      </c>
      <c r="Y297" s="579">
        <f t="shared" si="464"/>
        <v>193.99883590170762</v>
      </c>
      <c r="Z297" s="579">
        <f t="shared" si="464"/>
        <v>195.19625364431488</v>
      </c>
      <c r="AA297" s="579">
        <f t="shared" si="464"/>
        <v>192.91199604331527</v>
      </c>
      <c r="AB297" s="579">
        <f t="shared" si="464"/>
        <v>200</v>
      </c>
      <c r="AC297" s="579">
        <f t="shared" si="464"/>
        <v>200</v>
      </c>
      <c r="AD297" s="579">
        <f t="shared" si="464"/>
        <v>200</v>
      </c>
      <c r="AF297" s="679"/>
      <c r="AG297" s="328" t="str">
        <f t="shared" si="421"/>
        <v>Realisasi</v>
      </c>
      <c r="AH297" s="530">
        <f>IF((2-AH295/AH296)*100&gt;110, 110, (2-AH295/AH296)*100)</f>
        <v>45.271842982090817</v>
      </c>
      <c r="AI297" s="530">
        <f t="shared" ref="AI297" si="465">IF((2-AI295/AI296)*100&gt;110, 110, (2-AI295/AI296)*100)</f>
        <v>23.112117346938767</v>
      </c>
      <c r="AJ297" s="530">
        <f t="shared" ref="AJ297" si="466">IF((2-AJ295/AJ296)*100&gt;110, 110, (2-AJ295/AJ296)*100)</f>
        <v>30.672551367485767</v>
      </c>
      <c r="AK297" s="530">
        <f t="shared" ref="AK297" si="467">IF((2-AK295/AK296)*100&gt;110, 110, (2-AK295/AK296)*100)</f>
        <v>19.99382236568097</v>
      </c>
      <c r="AL297" s="530">
        <f t="shared" ref="AL297" si="468">IF((2-AL295/AL296)*100&gt;110, 110, (2-AL295/AL296)*100)</f>
        <v>24.678804664723032</v>
      </c>
      <c r="AM297" s="530">
        <f t="shared" ref="AM297" si="469">IF((2-AM295/AM296)*100&gt;110, 110, (2-AM295/AM296)*100)</f>
        <v>37.330666736082186</v>
      </c>
      <c r="AN297" s="530">
        <f t="shared" ref="AN297" si="470">IF((2-AN295/AN296)*100&gt;110, 110, (2-AN295/AN296)*100)</f>
        <v>59.71183375974298</v>
      </c>
      <c r="AO297" s="530">
        <f t="shared" ref="AO297" si="471">IF((2-AO295/AO296)*100&gt;110, 110, (2-AO295/AO296)*100)</f>
        <v>76.647386245314465</v>
      </c>
      <c r="AP297" s="530">
        <f t="shared" ref="AP297" si="472">IF((2-AP295/AP296)*100&gt;110, 110, (2-AP295/AP296)*100)</f>
        <v>89.56567622287011</v>
      </c>
      <c r="AQ297" s="530">
        <f t="shared" ref="AQ297" si="473">IF((2-AQ295/AQ296)*100&gt;110, 110, (2-AQ295/AQ296)*100)</f>
        <v>89.56567622287011</v>
      </c>
      <c r="AR297" s="530">
        <f t="shared" ref="AR297" si="474">IF((2-AR295/AR296)*100&gt;110, 110, (2-AR295/AR296)*100)</f>
        <v>89.56567622287011</v>
      </c>
      <c r="AS297" s="530">
        <f t="shared" ref="AS297" si="475">IF((2-AS295/AS296)*100&gt;110, 110, (2-AS295/AS296)*100)</f>
        <v>89.56567622287011</v>
      </c>
    </row>
    <row r="298" spans="1:45">
      <c r="A298"/>
      <c r="B298" s="683" t="s">
        <v>89</v>
      </c>
      <c r="C298" s="489" t="s">
        <v>224</v>
      </c>
      <c r="D298" s="592"/>
      <c r="E298" s="592"/>
      <c r="F298" s="592"/>
      <c r="G298" s="592"/>
      <c r="H298" s="592"/>
      <c r="I298" s="592"/>
      <c r="J298" s="592"/>
      <c r="K298" s="592"/>
      <c r="L298" s="592"/>
      <c r="M298" s="592"/>
      <c r="N298" s="592"/>
      <c r="O298" s="592"/>
      <c r="Q298" s="679" t="s">
        <v>89</v>
      </c>
      <c r="R298" s="328" t="str">
        <f t="shared" si="433"/>
        <v>Saldo Total</v>
      </c>
      <c r="S298" s="509">
        <v>271.73677099999998</v>
      </c>
      <c r="T298" s="508">
        <v>340.38187399999998</v>
      </c>
      <c r="U298" s="508">
        <v>271</v>
      </c>
      <c r="V298" s="509">
        <v>340.02837199999999</v>
      </c>
      <c r="W298" s="509">
        <v>271.04104899999999</v>
      </c>
      <c r="X298" s="509">
        <v>202.28660400000001</v>
      </c>
      <c r="Y298" s="509">
        <v>0</v>
      </c>
      <c r="Z298" s="509">
        <v>0</v>
      </c>
      <c r="AA298" s="509">
        <v>0</v>
      </c>
      <c r="AB298" s="509">
        <v>0</v>
      </c>
      <c r="AC298" s="509">
        <v>0</v>
      </c>
      <c r="AD298" s="509">
        <v>0</v>
      </c>
      <c r="AF298" s="679" t="s">
        <v>89</v>
      </c>
      <c r="AG298" s="328" t="str">
        <f t="shared" si="421"/>
        <v>Saldo Total</v>
      </c>
      <c r="AH298" s="509">
        <f>S298</f>
        <v>271.73677099999998</v>
      </c>
      <c r="AI298" s="509">
        <f>AVERAGE($S298:T298)</f>
        <v>306.05932250000001</v>
      </c>
      <c r="AJ298" s="509">
        <f>AVERAGE($S298:U298)</f>
        <v>294.37288166666667</v>
      </c>
      <c r="AK298" s="509">
        <f>AVERAGE($S298:V298)</f>
        <v>305.78675425</v>
      </c>
      <c r="AL298" s="509">
        <f>AVERAGE($S298:W298)</f>
        <v>298.83761319999996</v>
      </c>
      <c r="AM298" s="509">
        <f>AVERAGE($S298:X298)</f>
        <v>282.74577833333336</v>
      </c>
      <c r="AN298" s="509">
        <f>AVERAGE($S298:Y298)</f>
        <v>242.35352428571429</v>
      </c>
      <c r="AO298" s="509">
        <f>AVERAGE($S298:Z298)</f>
        <v>212.05933375000001</v>
      </c>
      <c r="AP298" s="509">
        <f>AVERAGE($S298:AA298)</f>
        <v>188.49718555555557</v>
      </c>
      <c r="AQ298" s="509">
        <f>AVERAGE($S298:AB298)</f>
        <v>169.64746700000001</v>
      </c>
      <c r="AR298" s="509">
        <f>AVERAGE($S298:AC298)</f>
        <v>154.22497000000001</v>
      </c>
      <c r="AS298" s="509">
        <f>AVERAGE($S298:AD298)</f>
        <v>141.37288916666668</v>
      </c>
    </row>
    <row r="299" spans="1:45">
      <c r="A299"/>
      <c r="B299" s="684"/>
      <c r="C299" s="515" t="s">
        <v>225</v>
      </c>
      <c r="D299" s="509">
        <v>161.27000000000001</v>
      </c>
      <c r="E299" s="509">
        <v>161.27000000000001</v>
      </c>
      <c r="F299" s="509">
        <v>161.27000000000001</v>
      </c>
      <c r="G299" s="509">
        <v>161.27000000000001</v>
      </c>
      <c r="H299" s="509">
        <v>161.27000000000001</v>
      </c>
      <c r="I299" s="509">
        <v>161.27000000000001</v>
      </c>
      <c r="J299" s="509">
        <v>161.27000000000001</v>
      </c>
      <c r="K299" s="509">
        <v>161.27000000000001</v>
      </c>
      <c r="L299" s="509">
        <v>161.27000000000001</v>
      </c>
      <c r="M299" s="509">
        <v>161.27000000000001</v>
      </c>
      <c r="N299" s="509">
        <v>161.27000000000001</v>
      </c>
      <c r="O299" s="509">
        <v>161.27000000000001</v>
      </c>
      <c r="Q299" s="679"/>
      <c r="R299" s="328" t="str">
        <f t="shared" si="433"/>
        <v>Target Saldo</v>
      </c>
      <c r="S299" s="509">
        <f t="shared" ref="S299:AD299" si="476">D299</f>
        <v>161.27000000000001</v>
      </c>
      <c r="T299" s="509">
        <f t="shared" si="476"/>
        <v>161.27000000000001</v>
      </c>
      <c r="U299" s="509">
        <f t="shared" si="476"/>
        <v>161.27000000000001</v>
      </c>
      <c r="V299" s="509">
        <f t="shared" si="476"/>
        <v>161.27000000000001</v>
      </c>
      <c r="W299" s="509">
        <f t="shared" si="476"/>
        <v>161.27000000000001</v>
      </c>
      <c r="X299" s="509">
        <f t="shared" si="476"/>
        <v>161.27000000000001</v>
      </c>
      <c r="Y299" s="509">
        <f t="shared" si="476"/>
        <v>161.27000000000001</v>
      </c>
      <c r="Z299" s="509">
        <f t="shared" si="476"/>
        <v>161.27000000000001</v>
      </c>
      <c r="AA299" s="509">
        <f t="shared" si="476"/>
        <v>161.27000000000001</v>
      </c>
      <c r="AB299" s="509">
        <f t="shared" si="476"/>
        <v>161.27000000000001</v>
      </c>
      <c r="AC299" s="509">
        <f t="shared" si="476"/>
        <v>161.27000000000001</v>
      </c>
      <c r="AD299" s="509">
        <f t="shared" si="476"/>
        <v>161.27000000000001</v>
      </c>
      <c r="AF299" s="679"/>
      <c r="AG299" s="328" t="str">
        <f t="shared" si="421"/>
        <v>Target Saldo</v>
      </c>
      <c r="AH299" s="509">
        <f>S299</f>
        <v>161.27000000000001</v>
      </c>
      <c r="AI299" s="509">
        <f t="shared" ref="AI299:AS299" si="477">T299</f>
        <v>161.27000000000001</v>
      </c>
      <c r="AJ299" s="509">
        <f t="shared" si="477"/>
        <v>161.27000000000001</v>
      </c>
      <c r="AK299" s="509">
        <f t="shared" si="477"/>
        <v>161.27000000000001</v>
      </c>
      <c r="AL299" s="509">
        <f t="shared" si="477"/>
        <v>161.27000000000001</v>
      </c>
      <c r="AM299" s="509">
        <f t="shared" si="477"/>
        <v>161.27000000000001</v>
      </c>
      <c r="AN299" s="509">
        <f t="shared" si="477"/>
        <v>161.27000000000001</v>
      </c>
      <c r="AO299" s="509">
        <f t="shared" si="477"/>
        <v>161.27000000000001</v>
      </c>
      <c r="AP299" s="509">
        <f t="shared" si="477"/>
        <v>161.27000000000001</v>
      </c>
      <c r="AQ299" s="509">
        <f t="shared" si="477"/>
        <v>161.27000000000001</v>
      </c>
      <c r="AR299" s="509">
        <f t="shared" si="477"/>
        <v>161.27000000000001</v>
      </c>
      <c r="AS299" s="509">
        <f t="shared" si="477"/>
        <v>161.27000000000001</v>
      </c>
    </row>
    <row r="300" spans="1:45">
      <c r="A300"/>
      <c r="B300" s="685"/>
      <c r="C300" s="516" t="s">
        <v>48</v>
      </c>
      <c r="D300" s="530">
        <v>100</v>
      </c>
      <c r="E300" s="530">
        <v>100</v>
      </c>
      <c r="F300" s="530">
        <v>100</v>
      </c>
      <c r="G300" s="530">
        <v>100</v>
      </c>
      <c r="H300" s="530">
        <v>100</v>
      </c>
      <c r="I300" s="530">
        <v>100</v>
      </c>
      <c r="J300" s="530">
        <v>100</v>
      </c>
      <c r="K300" s="530">
        <v>100</v>
      </c>
      <c r="L300" s="530">
        <v>100</v>
      </c>
      <c r="M300" s="530">
        <v>100</v>
      </c>
      <c r="N300" s="530">
        <v>100</v>
      </c>
      <c r="O300" s="530">
        <v>100</v>
      </c>
      <c r="Q300" s="679"/>
      <c r="R300" s="329" t="s">
        <v>226</v>
      </c>
      <c r="S300" s="579">
        <f t="shared" ref="S300:AD300" si="478">(2-S298/S299)*100</f>
        <v>31.501971228374792</v>
      </c>
      <c r="T300" s="530">
        <f t="shared" si="478"/>
        <v>-11.063355862838709</v>
      </c>
      <c r="U300" s="530">
        <f t="shared" si="478"/>
        <v>31.958826812178344</v>
      </c>
      <c r="V300" s="579">
        <f t="shared" si="478"/>
        <v>-10.844157003782451</v>
      </c>
      <c r="W300" s="579">
        <f t="shared" si="478"/>
        <v>31.933373225026362</v>
      </c>
      <c r="X300" s="579">
        <f t="shared" si="478"/>
        <v>74.566500899113294</v>
      </c>
      <c r="Y300" s="579">
        <f t="shared" si="478"/>
        <v>200</v>
      </c>
      <c r="Z300" s="579">
        <f t="shared" si="478"/>
        <v>200</v>
      </c>
      <c r="AA300" s="579">
        <f t="shared" si="478"/>
        <v>200</v>
      </c>
      <c r="AB300" s="579">
        <f t="shared" si="478"/>
        <v>200</v>
      </c>
      <c r="AC300" s="579">
        <f t="shared" si="478"/>
        <v>200</v>
      </c>
      <c r="AD300" s="579">
        <f t="shared" si="478"/>
        <v>200</v>
      </c>
      <c r="AF300" s="679"/>
      <c r="AG300" s="329" t="str">
        <f t="shared" si="421"/>
        <v>Realisasi</v>
      </c>
      <c r="AH300" s="530">
        <f>IF((2-AH298/AH299)*100&gt;110, 110, (2-AH298/AH299)*100)</f>
        <v>31.501971228374792</v>
      </c>
      <c r="AI300" s="530">
        <f t="shared" ref="AI300" si="479">IF((2-AI298/AI299)*100&gt;110, 110, (2-AI298/AI299)*100)</f>
        <v>10.219307682768042</v>
      </c>
      <c r="AJ300" s="530">
        <f t="shared" ref="AJ300" si="480">IF((2-AJ298/AJ299)*100&gt;110, 110, (2-AJ298/AJ299)*100)</f>
        <v>17.465814059238149</v>
      </c>
      <c r="AK300" s="530">
        <f t="shared" ref="AK300" si="481">IF((2-AK298/AK299)*100&gt;110, 110, (2-AK298/AK299)*100)</f>
        <v>10.388321293482994</v>
      </c>
      <c r="AL300" s="530">
        <f t="shared" ref="AL300" si="482">IF((2-AL298/AL299)*100&gt;110, 110, (2-AL298/AL299)*100)</f>
        <v>14.697331679791681</v>
      </c>
      <c r="AM300" s="530">
        <f t="shared" ref="AM300" si="483">IF((2-AM298/AM299)*100&gt;110, 110, (2-AM298/AM299)*100)</f>
        <v>24.675526549678594</v>
      </c>
      <c r="AN300" s="530">
        <f t="shared" ref="AN300" si="484">IF((2-AN298/AN299)*100&gt;110, 110, (2-AN298/AN299)*100)</f>
        <v>49.72187989972452</v>
      </c>
      <c r="AO300" s="530">
        <f t="shared" ref="AO300" si="485">IF((2-AO298/AO299)*100&gt;110, 110, (2-AO298/AO299)*100)</f>
        <v>68.506644912258949</v>
      </c>
      <c r="AP300" s="530">
        <f t="shared" ref="AP300" si="486">IF((2-AP298/AP299)*100&gt;110, 110, (2-AP298/AP299)*100)</f>
        <v>83.11701769978572</v>
      </c>
      <c r="AQ300" s="530">
        <f t="shared" ref="AQ300" si="487">IF((2-AQ298/AQ299)*100&gt;110, 110, (2-AQ298/AQ299)*100)</f>
        <v>94.805315929807165</v>
      </c>
      <c r="AR300" s="530">
        <f t="shared" ref="AR300" si="488">IF((2-AR298/AR299)*100&gt;110, 110, (2-AR298/AR299)*100)</f>
        <v>104.3684690270974</v>
      </c>
      <c r="AS300" s="530">
        <f t="shared" ref="AS300" si="489">IF((2-AS298/AS299)*100&gt;110, 110, (2-AS298/AS299)*100)</f>
        <v>110</v>
      </c>
    </row>
    <row r="301" spans="1:45">
      <c r="A301"/>
      <c r="B301" s="683" t="s">
        <v>90</v>
      </c>
      <c r="C301" s="489" t="s">
        <v>224</v>
      </c>
      <c r="D301" s="592"/>
      <c r="E301" s="592"/>
      <c r="F301" s="592"/>
      <c r="G301" s="592"/>
      <c r="I301" s="592"/>
      <c r="J301" s="592"/>
      <c r="K301" s="592"/>
      <c r="L301" s="592"/>
      <c r="M301" s="592"/>
      <c r="N301" s="592"/>
      <c r="O301" s="592"/>
      <c r="Q301" s="679" t="s">
        <v>90</v>
      </c>
      <c r="R301" s="328" t="str">
        <f t="shared" si="433"/>
        <v>Saldo Total</v>
      </c>
      <c r="S301" s="509">
        <v>568.75291700000002</v>
      </c>
      <c r="T301" s="509">
        <v>534.98184200000003</v>
      </c>
      <c r="U301" s="508">
        <v>419.4</v>
      </c>
      <c r="V301" s="509">
        <v>564.66347399999995</v>
      </c>
      <c r="W301" s="509">
        <v>424.78100999999998</v>
      </c>
      <c r="X301" s="509">
        <f t="shared" ref="X301:Y301" si="490">X286+X289+X292+X295+X298</f>
        <v>319.91319500000003</v>
      </c>
      <c r="Y301" s="509">
        <f t="shared" si="490"/>
        <v>12.776039000000001</v>
      </c>
      <c r="Z301" s="509">
        <v>10.337298000000001</v>
      </c>
      <c r="AA301" s="509">
        <v>41.964305000000003</v>
      </c>
      <c r="AB301" s="509"/>
      <c r="AC301" s="509"/>
      <c r="AD301" s="509"/>
      <c r="AF301" s="679" t="s">
        <v>90</v>
      </c>
      <c r="AG301" s="328" t="str">
        <f t="shared" si="421"/>
        <v>Saldo Total</v>
      </c>
      <c r="AH301" s="509">
        <f>S301</f>
        <v>568.75291700000002</v>
      </c>
      <c r="AI301" s="509">
        <f>AVERAGE($S301:T301)</f>
        <v>551.86737949999997</v>
      </c>
      <c r="AJ301" s="509">
        <f>AVERAGE($S301:U301)</f>
        <v>507.71158633333334</v>
      </c>
      <c r="AK301" s="509">
        <f>AVERAGE($S301:V301)</f>
        <v>521.94955825</v>
      </c>
      <c r="AL301" s="509">
        <f>AVERAGE($S301:W301)</f>
        <v>502.51584860000003</v>
      </c>
      <c r="AM301" s="509">
        <f>AVERAGE($S301:X301)</f>
        <v>472.08207300000004</v>
      </c>
      <c r="AN301" s="509">
        <f>AVERAGE($S301:Y301)</f>
        <v>406.4669252857143</v>
      </c>
      <c r="AO301" s="509">
        <f>AVERAGE($S301:Z301)</f>
        <v>356.950721875</v>
      </c>
      <c r="AP301" s="509">
        <f>AVERAGE($S301:AA301)</f>
        <v>321.95223111111113</v>
      </c>
      <c r="AQ301" s="509">
        <f>AVERAGE($S301:AB301)</f>
        <v>321.95223111111113</v>
      </c>
      <c r="AR301" s="509">
        <f>AVERAGE($S301:AC301)</f>
        <v>321.95223111111113</v>
      </c>
      <c r="AS301" s="509">
        <f>AVERAGE($S301:AD301)</f>
        <v>321.95223111111113</v>
      </c>
    </row>
    <row r="302" spans="1:45">
      <c r="A302"/>
      <c r="B302" s="684"/>
      <c r="C302" s="515" t="s">
        <v>225</v>
      </c>
      <c r="D302" s="592">
        <v>286.27</v>
      </c>
      <c r="E302" s="592">
        <v>286.27</v>
      </c>
      <c r="F302" s="592">
        <v>286.27</v>
      </c>
      <c r="G302" s="592">
        <v>286.27</v>
      </c>
      <c r="H302" s="592">
        <v>286.27</v>
      </c>
      <c r="I302" s="592">
        <v>286.27</v>
      </c>
      <c r="J302" s="592">
        <v>286.27</v>
      </c>
      <c r="K302" s="592">
        <v>286.27</v>
      </c>
      <c r="L302" s="592">
        <v>286.27</v>
      </c>
      <c r="M302" s="592">
        <v>286.27</v>
      </c>
      <c r="N302" s="592">
        <v>286.27</v>
      </c>
      <c r="O302" s="592">
        <v>286.27</v>
      </c>
      <c r="Q302" s="679"/>
      <c r="R302" s="328" t="str">
        <f t="shared" si="433"/>
        <v>Target Saldo</v>
      </c>
      <c r="S302" s="509">
        <f t="shared" ref="S302:AD302" si="491">D302</f>
        <v>286.27</v>
      </c>
      <c r="T302" s="509">
        <f t="shared" si="491"/>
        <v>286.27</v>
      </c>
      <c r="U302" s="509">
        <f t="shared" si="491"/>
        <v>286.27</v>
      </c>
      <c r="V302" s="509">
        <f t="shared" si="491"/>
        <v>286.27</v>
      </c>
      <c r="W302" s="509">
        <f t="shared" si="491"/>
        <v>286.27</v>
      </c>
      <c r="X302" s="509">
        <f t="shared" si="491"/>
        <v>286.27</v>
      </c>
      <c r="Y302" s="509">
        <f t="shared" si="491"/>
        <v>286.27</v>
      </c>
      <c r="Z302" s="509">
        <f t="shared" si="491"/>
        <v>286.27</v>
      </c>
      <c r="AA302" s="509">
        <f t="shared" si="491"/>
        <v>286.27</v>
      </c>
      <c r="AB302" s="509">
        <f t="shared" si="491"/>
        <v>286.27</v>
      </c>
      <c r="AC302" s="509">
        <f t="shared" si="491"/>
        <v>286.27</v>
      </c>
      <c r="AD302" s="509">
        <f t="shared" si="491"/>
        <v>286.27</v>
      </c>
      <c r="AF302" s="679"/>
      <c r="AG302" s="328" t="str">
        <f t="shared" si="421"/>
        <v>Target Saldo</v>
      </c>
      <c r="AH302" s="509">
        <f>S302</f>
        <v>286.27</v>
      </c>
      <c r="AI302" s="509">
        <f t="shared" ref="AI302:AS302" si="492">T302</f>
        <v>286.27</v>
      </c>
      <c r="AJ302" s="509">
        <f t="shared" si="492"/>
        <v>286.27</v>
      </c>
      <c r="AK302" s="509">
        <f t="shared" si="492"/>
        <v>286.27</v>
      </c>
      <c r="AL302" s="509">
        <f t="shared" si="492"/>
        <v>286.27</v>
      </c>
      <c r="AM302" s="509">
        <f t="shared" si="492"/>
        <v>286.27</v>
      </c>
      <c r="AN302" s="509">
        <f t="shared" si="492"/>
        <v>286.27</v>
      </c>
      <c r="AO302" s="509">
        <f t="shared" si="492"/>
        <v>286.27</v>
      </c>
      <c r="AP302" s="509">
        <f t="shared" si="492"/>
        <v>286.27</v>
      </c>
      <c r="AQ302" s="509">
        <f t="shared" si="492"/>
        <v>286.27</v>
      </c>
      <c r="AR302" s="509">
        <f t="shared" si="492"/>
        <v>286.27</v>
      </c>
      <c r="AS302" s="509">
        <f t="shared" si="492"/>
        <v>286.27</v>
      </c>
    </row>
    <row r="303" spans="1:45">
      <c r="A303"/>
      <c r="B303" s="685"/>
      <c r="C303" s="551" t="s">
        <v>48</v>
      </c>
      <c r="D303" s="530">
        <v>100</v>
      </c>
      <c r="E303" s="530">
        <v>100</v>
      </c>
      <c r="F303" s="530">
        <v>100</v>
      </c>
      <c r="G303" s="530">
        <v>100</v>
      </c>
      <c r="H303" s="530">
        <v>100</v>
      </c>
      <c r="I303" s="530">
        <v>100</v>
      </c>
      <c r="J303" s="530">
        <v>100</v>
      </c>
      <c r="K303" s="530">
        <v>100</v>
      </c>
      <c r="L303" s="530">
        <v>100</v>
      </c>
      <c r="M303" s="530">
        <v>100</v>
      </c>
      <c r="N303" s="530">
        <v>100</v>
      </c>
      <c r="O303" s="530">
        <v>100</v>
      </c>
      <c r="Q303" s="679" t="s">
        <v>90</v>
      </c>
      <c r="R303" s="329" t="s">
        <v>226</v>
      </c>
      <c r="S303" s="579">
        <f t="shared" ref="S303:AD303" si="493">(2-S301/S302)*100</f>
        <v>1.3229059978342006</v>
      </c>
      <c r="T303" s="579">
        <f t="shared" si="493"/>
        <v>13.119837216613671</v>
      </c>
      <c r="U303" s="530">
        <f t="shared" si="493"/>
        <v>53.494952317741998</v>
      </c>
      <c r="V303" s="579">
        <f t="shared" si="493"/>
        <v>2.7514325636636805</v>
      </c>
      <c r="W303" s="579">
        <f t="shared" si="493"/>
        <v>51.615254829356893</v>
      </c>
      <c r="X303" s="579">
        <f t="shared" si="493"/>
        <v>88.247739895902441</v>
      </c>
      <c r="Y303" s="579">
        <f t="shared" si="493"/>
        <v>195.53706675516119</v>
      </c>
      <c r="Z303" s="579">
        <f>(2-Z301/Z302)*100</f>
        <v>196.38896915499353</v>
      </c>
      <c r="AA303" s="579">
        <f t="shared" si="493"/>
        <v>185.34100499528415</v>
      </c>
      <c r="AB303" s="579">
        <f t="shared" si="493"/>
        <v>200</v>
      </c>
      <c r="AC303" s="579">
        <f t="shared" si="493"/>
        <v>200</v>
      </c>
      <c r="AD303" s="579">
        <f t="shared" si="493"/>
        <v>200</v>
      </c>
      <c r="AF303" s="679" t="s">
        <v>90</v>
      </c>
      <c r="AG303" s="329" t="str">
        <f t="shared" si="421"/>
        <v>Realisasi</v>
      </c>
      <c r="AH303" s="530">
        <f>IF((2-AH301/AH302)*100&gt;110, 110, (2-AH301/AH302)*100)</f>
        <v>1.3229059978342006</v>
      </c>
      <c r="AI303" s="530">
        <f t="shared" ref="AI303" si="494">IF((2-AI301/AI302)*100&gt;110, 110, (2-AI301/AI302)*100)</f>
        <v>7.2213716072239587</v>
      </c>
      <c r="AJ303" s="530">
        <f t="shared" ref="AJ303" si="495">IF((2-AJ301/AJ302)*100&gt;110, 110, (2-AJ301/AJ302)*100)</f>
        <v>22.645898510729957</v>
      </c>
      <c r="AK303" s="530">
        <f t="shared" ref="AK303" si="496">IF((2-AK301/AK302)*100&gt;110, 110, (2-AK301/AK302)*100)</f>
        <v>17.672282023963383</v>
      </c>
      <c r="AL303" s="530">
        <f t="shared" ref="AL303" si="497">IF((2-AL301/AL302)*100&gt;110, 110, (2-AL301/AL302)*100)</f>
        <v>24.46087658504208</v>
      </c>
      <c r="AM303" s="530">
        <f t="shared" ref="AM303" si="498">IF((2-AM301/AM302)*100&gt;110, 110, (2-AM301/AM302)*100)</f>
        <v>35.092020470185467</v>
      </c>
      <c r="AN303" s="530">
        <f t="shared" ref="AN303" si="499">IF((2-AN301/AN302)*100&gt;110, 110, (2-AN301/AN302)*100)</f>
        <v>58.012741368039158</v>
      </c>
      <c r="AO303" s="530">
        <f t="shared" ref="AO303" si="500">IF((2-AO301/AO302)*100&gt;110, 110, (2-AO301/AO302)*100)</f>
        <v>75.309769841408453</v>
      </c>
      <c r="AP303" s="530">
        <f t="shared" ref="AP303" si="501">IF((2-AP301/AP302)*100&gt;110, 110, (2-AP301/AP302)*100)</f>
        <v>87.53546263628354</v>
      </c>
      <c r="AQ303" s="530">
        <f t="shared" ref="AQ303" si="502">IF((2-AQ301/AQ302)*100&gt;110, 110, (2-AQ301/AQ302)*100)</f>
        <v>87.53546263628354</v>
      </c>
      <c r="AR303" s="530">
        <f t="shared" ref="AR303" si="503">IF((2-AR301/AR302)*100&gt;110, 110, (2-AR301/AR302)*100)</f>
        <v>87.53546263628354</v>
      </c>
      <c r="AS303" s="530">
        <f t="shared" ref="AS303" si="504">IF((2-AS301/AS302)*100&gt;110, 110, (2-AS301/AS302)*100)</f>
        <v>87.53546263628354</v>
      </c>
    </row>
    <row r="304" spans="1:45">
      <c r="D304" s="304"/>
      <c r="E304" s="304"/>
      <c r="F304" s="304"/>
      <c r="G304" s="304"/>
      <c r="H304" s="304"/>
      <c r="I304" s="304"/>
      <c r="J304" s="304"/>
      <c r="K304" s="304"/>
      <c r="L304" s="304"/>
      <c r="M304" s="304"/>
      <c r="N304" s="304"/>
      <c r="O304" s="304"/>
      <c r="S304" s="105"/>
      <c r="T304" s="105"/>
      <c r="U304" s="105"/>
      <c r="V304" s="105"/>
      <c r="W304" s="269"/>
      <c r="X304" s="269"/>
      <c r="Y304" s="105"/>
      <c r="Z304" s="105"/>
      <c r="AA304" s="105"/>
      <c r="AB304" s="105"/>
      <c r="AC304" s="105"/>
      <c r="AD304" s="105"/>
      <c r="AH304" s="105"/>
      <c r="AI304" s="304"/>
      <c r="AJ304" s="105"/>
      <c r="AK304" s="105"/>
      <c r="AL304" s="105"/>
      <c r="AM304" s="105"/>
      <c r="AN304" s="105"/>
      <c r="AO304" s="105"/>
      <c r="AP304" s="105"/>
      <c r="AQ304" s="105"/>
      <c r="AR304" s="105"/>
      <c r="AS304" s="105"/>
    </row>
    <row r="305" spans="1:45">
      <c r="B305" s="371" t="s">
        <v>227</v>
      </c>
      <c r="C305" s="294"/>
      <c r="D305" s="164"/>
      <c r="E305" s="164"/>
      <c r="F305" s="164"/>
      <c r="G305" s="164"/>
      <c r="H305" s="164"/>
      <c r="I305" s="164"/>
      <c r="J305" s="164"/>
      <c r="K305" s="164"/>
      <c r="L305" s="164"/>
      <c r="M305" s="164"/>
      <c r="N305" s="164"/>
      <c r="O305" s="164"/>
      <c r="Q305" s="178" t="str">
        <f>B305</f>
        <v>PELUNASAN PRR</v>
      </c>
      <c r="R305" s="294"/>
      <c r="S305" s="164"/>
      <c r="T305" s="164"/>
      <c r="U305" s="164"/>
      <c r="V305" s="164"/>
      <c r="W305" s="164"/>
      <c r="X305" s="164"/>
      <c r="Y305" s="164"/>
      <c r="Z305" s="164"/>
      <c r="AA305" s="164"/>
      <c r="AB305" s="164"/>
      <c r="AC305" s="164"/>
      <c r="AD305" s="164"/>
      <c r="AF305" s="178" t="str">
        <f>B305</f>
        <v>PELUNASAN PRR</v>
      </c>
      <c r="AG305" s="294"/>
      <c r="AH305" s="164"/>
      <c r="AI305" s="164"/>
      <c r="AJ305" s="164"/>
      <c r="AK305" s="164"/>
      <c r="AL305" s="164"/>
      <c r="AM305" s="164"/>
      <c r="AN305" s="164"/>
      <c r="AO305" s="164"/>
      <c r="AP305" s="164"/>
      <c r="AQ305" s="164"/>
      <c r="AR305" s="164"/>
      <c r="AS305" s="164"/>
    </row>
    <row r="306" spans="1:45">
      <c r="B306" s="371" t="s">
        <v>100</v>
      </c>
      <c r="C306" s="294"/>
      <c r="D306" s="164"/>
      <c r="E306" s="164"/>
      <c r="F306" s="164"/>
      <c r="G306" s="164"/>
      <c r="H306" s="164"/>
      <c r="I306" s="164"/>
      <c r="J306" s="164"/>
      <c r="K306" s="164"/>
      <c r="L306" s="164"/>
      <c r="M306" s="164"/>
      <c r="N306" s="164"/>
      <c r="O306" s="164"/>
      <c r="Q306" t="s">
        <v>126</v>
      </c>
      <c r="R306" s="294"/>
      <c r="S306" s="164"/>
      <c r="T306" s="164"/>
      <c r="U306" s="164"/>
      <c r="V306" s="164"/>
      <c r="W306" s="164"/>
      <c r="X306" s="164"/>
      <c r="Y306" s="164"/>
      <c r="Z306" s="164"/>
      <c r="AA306" s="164"/>
      <c r="AB306" s="164"/>
      <c r="AC306" s="164"/>
      <c r="AD306" s="164"/>
      <c r="AF306" t="s">
        <v>127</v>
      </c>
      <c r="AG306" s="294"/>
      <c r="AH306" s="164"/>
      <c r="AI306" s="164"/>
      <c r="AJ306" s="164"/>
      <c r="AK306" s="164"/>
      <c r="AL306" s="164"/>
      <c r="AM306" s="164"/>
      <c r="AN306" s="164"/>
      <c r="AO306" s="164"/>
      <c r="AP306" s="164"/>
      <c r="AQ306" s="164"/>
      <c r="AR306" s="164"/>
      <c r="AS306" s="164"/>
    </row>
    <row r="307" spans="1:45">
      <c r="B307" s="681" t="s">
        <v>72</v>
      </c>
      <c r="C307" s="682"/>
      <c r="D307" s="638" t="s">
        <v>74</v>
      </c>
      <c r="E307" s="638" t="s">
        <v>75</v>
      </c>
      <c r="F307" s="638" t="s">
        <v>76</v>
      </c>
      <c r="G307" s="638" t="s">
        <v>77</v>
      </c>
      <c r="H307" s="638" t="s">
        <v>78</v>
      </c>
      <c r="I307" s="638" t="s">
        <v>79</v>
      </c>
      <c r="J307" s="638" t="s">
        <v>80</v>
      </c>
      <c r="K307" s="638" t="s">
        <v>81</v>
      </c>
      <c r="L307" s="638" t="s">
        <v>82</v>
      </c>
      <c r="M307" s="638" t="s">
        <v>83</v>
      </c>
      <c r="N307" s="638" t="s">
        <v>84</v>
      </c>
      <c r="O307" s="638" t="s">
        <v>85</v>
      </c>
      <c r="Q307" s="681" t="s">
        <v>72</v>
      </c>
      <c r="R307" s="682"/>
      <c r="S307" s="638" t="s">
        <v>74</v>
      </c>
      <c r="T307" s="638" t="s">
        <v>75</v>
      </c>
      <c r="U307" s="638" t="s">
        <v>76</v>
      </c>
      <c r="V307" s="638" t="s">
        <v>77</v>
      </c>
      <c r="W307" s="638" t="s">
        <v>78</v>
      </c>
      <c r="X307" s="638" t="s">
        <v>79</v>
      </c>
      <c r="Y307" s="638" t="s">
        <v>80</v>
      </c>
      <c r="Z307" s="638" t="s">
        <v>81</v>
      </c>
      <c r="AA307" s="638" t="s">
        <v>82</v>
      </c>
      <c r="AB307" s="638" t="s">
        <v>83</v>
      </c>
      <c r="AC307" s="638" t="s">
        <v>84</v>
      </c>
      <c r="AD307" s="638" t="s">
        <v>85</v>
      </c>
      <c r="AF307" s="681" t="s">
        <v>72</v>
      </c>
      <c r="AG307" s="682"/>
      <c r="AH307" s="638" t="s">
        <v>74</v>
      </c>
      <c r="AI307" s="638" t="s">
        <v>75</v>
      </c>
      <c r="AJ307" s="638" t="s">
        <v>76</v>
      </c>
      <c r="AK307" s="638" t="s">
        <v>77</v>
      </c>
      <c r="AL307" s="638" t="s">
        <v>78</v>
      </c>
      <c r="AM307" s="638" t="s">
        <v>79</v>
      </c>
      <c r="AN307" s="638" t="s">
        <v>80</v>
      </c>
      <c r="AO307" s="638" t="s">
        <v>81</v>
      </c>
      <c r="AP307" s="638" t="s">
        <v>82</v>
      </c>
      <c r="AQ307" s="638" t="s">
        <v>83</v>
      </c>
      <c r="AR307" s="638" t="s">
        <v>84</v>
      </c>
      <c r="AS307" s="638" t="s">
        <v>85</v>
      </c>
    </row>
    <row r="308" spans="1:45">
      <c r="B308" s="695" t="s">
        <v>128</v>
      </c>
      <c r="C308" s="328" t="s">
        <v>48</v>
      </c>
      <c r="D308" s="593">
        <v>0.28000000000000003</v>
      </c>
      <c r="E308" s="593">
        <v>0.56000000000000005</v>
      </c>
      <c r="F308" s="593">
        <v>0.84</v>
      </c>
      <c r="G308" s="593">
        <v>1.1200000000000001</v>
      </c>
      <c r="H308" s="593">
        <v>1.4</v>
      </c>
      <c r="I308" s="593">
        <v>1.69</v>
      </c>
      <c r="J308" s="593">
        <v>2.11</v>
      </c>
      <c r="K308" s="593">
        <v>2.5299999999999998</v>
      </c>
      <c r="L308" s="593">
        <v>2.95</v>
      </c>
      <c r="M308" s="593">
        <v>3.37</v>
      </c>
      <c r="N308" s="593">
        <v>3.79</v>
      </c>
      <c r="O308" s="593">
        <v>4.21</v>
      </c>
      <c r="Q308" s="683" t="s">
        <v>128</v>
      </c>
      <c r="R308" s="328" t="str">
        <f t="shared" ref="R308:AD308" si="505">C308</f>
        <v>Target</v>
      </c>
      <c r="S308" s="593">
        <f t="shared" si="505"/>
        <v>0.28000000000000003</v>
      </c>
      <c r="T308" s="593">
        <f t="shared" si="505"/>
        <v>0.56000000000000005</v>
      </c>
      <c r="U308" s="593">
        <f t="shared" si="505"/>
        <v>0.84</v>
      </c>
      <c r="V308" s="593">
        <f t="shared" si="505"/>
        <v>1.1200000000000001</v>
      </c>
      <c r="W308" s="593">
        <f t="shared" si="505"/>
        <v>1.4</v>
      </c>
      <c r="X308" s="593">
        <f t="shared" si="505"/>
        <v>1.69</v>
      </c>
      <c r="Y308" s="593">
        <f t="shared" si="505"/>
        <v>2.11</v>
      </c>
      <c r="Z308" s="593">
        <f t="shared" si="505"/>
        <v>2.5299999999999998</v>
      </c>
      <c r="AA308" s="593">
        <f t="shared" si="505"/>
        <v>2.95</v>
      </c>
      <c r="AB308" s="593">
        <f t="shared" si="505"/>
        <v>3.37</v>
      </c>
      <c r="AC308" s="593">
        <f t="shared" si="505"/>
        <v>3.79</v>
      </c>
      <c r="AD308" s="593">
        <f t="shared" si="505"/>
        <v>4.21</v>
      </c>
      <c r="AF308" s="683" t="s">
        <v>128</v>
      </c>
      <c r="AG308" s="328" t="str">
        <f t="shared" ref="AG308:AG325" si="506">R308</f>
        <v>Target</v>
      </c>
      <c r="AH308" s="593">
        <f t="shared" ref="AH308:AH324" si="507">S308</f>
        <v>0.28000000000000003</v>
      </c>
      <c r="AI308" s="593">
        <f t="shared" ref="AI308:AI324" si="508">T308</f>
        <v>0.56000000000000005</v>
      </c>
      <c r="AJ308" s="593">
        <f t="shared" ref="AJ308:AJ324" si="509">U308</f>
        <v>0.84</v>
      </c>
      <c r="AK308" s="593">
        <f t="shared" ref="AK308:AK324" si="510">V308</f>
        <v>1.1200000000000001</v>
      </c>
      <c r="AL308" s="593">
        <f t="shared" ref="AL308:AL324" si="511">W308</f>
        <v>1.4</v>
      </c>
      <c r="AM308" s="593">
        <f t="shared" ref="AM308:AM324" si="512">X308</f>
        <v>1.69</v>
      </c>
      <c r="AN308" s="593">
        <f t="shared" ref="AN308:AN324" si="513">Y308</f>
        <v>2.11</v>
      </c>
      <c r="AO308" s="593">
        <f t="shared" ref="AO308:AO324" si="514">Z308</f>
        <v>2.5299999999999998</v>
      </c>
      <c r="AP308" s="593">
        <f t="shared" ref="AP308:AP324" si="515">AA308</f>
        <v>2.95</v>
      </c>
      <c r="AQ308" s="593">
        <f t="shared" ref="AQ308:AQ324" si="516">AB308</f>
        <v>3.37</v>
      </c>
      <c r="AR308" s="593">
        <f t="shared" ref="AR308:AR324" si="517">AC308</f>
        <v>3.79</v>
      </c>
      <c r="AS308" s="593">
        <f t="shared" ref="AS308:AS324" si="518">AD308</f>
        <v>4.21</v>
      </c>
    </row>
    <row r="309" spans="1:45">
      <c r="B309" s="696"/>
      <c r="C309" s="640" t="s">
        <v>226</v>
      </c>
      <c r="D309" s="593"/>
      <c r="E309" s="593"/>
      <c r="F309" s="593"/>
      <c r="G309" s="593"/>
      <c r="H309" s="593"/>
      <c r="I309" s="593"/>
      <c r="J309" s="593"/>
      <c r="K309" s="593"/>
      <c r="L309" s="593"/>
      <c r="M309" s="593"/>
      <c r="N309" s="593"/>
      <c r="O309" s="593"/>
      <c r="Q309" s="684"/>
      <c r="R309" s="328" t="str">
        <f t="shared" ref="R309:R325" si="519">C309</f>
        <v>Realisasi</v>
      </c>
      <c r="S309" s="593">
        <v>0</v>
      </c>
      <c r="T309" s="593">
        <v>0</v>
      </c>
      <c r="U309" s="593">
        <v>0.97739100000000001</v>
      </c>
      <c r="V309" s="532">
        <v>1.844376</v>
      </c>
      <c r="W309" s="593">
        <v>8.7684359999999995</v>
      </c>
      <c r="X309" s="593">
        <v>8.7684359999999995</v>
      </c>
      <c r="Y309" s="593">
        <v>8.7684359999999995</v>
      </c>
      <c r="Z309" s="593">
        <v>8.7684359999999995</v>
      </c>
      <c r="AA309" s="593">
        <v>12.490337</v>
      </c>
      <c r="AB309" s="593"/>
      <c r="AC309" s="593"/>
      <c r="AD309" s="593"/>
      <c r="AF309" s="684"/>
      <c r="AG309" s="328" t="str">
        <f t="shared" si="506"/>
        <v>Realisasi</v>
      </c>
      <c r="AH309" s="593">
        <f t="shared" si="507"/>
        <v>0</v>
      </c>
      <c r="AI309" s="593">
        <f t="shared" si="508"/>
        <v>0</v>
      </c>
      <c r="AJ309" s="593">
        <f t="shared" si="509"/>
        <v>0.97739100000000001</v>
      </c>
      <c r="AK309" s="593">
        <f t="shared" si="510"/>
        <v>1.844376</v>
      </c>
      <c r="AL309" s="593">
        <f t="shared" si="511"/>
        <v>8.7684359999999995</v>
      </c>
      <c r="AM309" s="593">
        <f t="shared" si="512"/>
        <v>8.7684359999999995</v>
      </c>
      <c r="AN309" s="593">
        <f t="shared" si="513"/>
        <v>8.7684359999999995</v>
      </c>
      <c r="AO309" s="593">
        <f t="shared" si="514"/>
        <v>8.7684359999999995</v>
      </c>
      <c r="AP309" s="593">
        <f t="shared" si="515"/>
        <v>12.490337</v>
      </c>
      <c r="AQ309" s="593">
        <f t="shared" si="516"/>
        <v>0</v>
      </c>
      <c r="AR309" s="593">
        <f t="shared" si="517"/>
        <v>0</v>
      </c>
      <c r="AS309" s="593">
        <f t="shared" si="518"/>
        <v>0</v>
      </c>
    </row>
    <row r="310" spans="1:45">
      <c r="A310" s="330"/>
      <c r="B310" s="697"/>
      <c r="C310" s="642" t="s">
        <v>149</v>
      </c>
      <c r="D310" s="594"/>
      <c r="E310" s="594"/>
      <c r="F310" s="594"/>
      <c r="G310" s="594"/>
      <c r="H310" s="594"/>
      <c r="I310" s="594"/>
      <c r="J310" s="594"/>
      <c r="K310" s="594"/>
      <c r="L310" s="594"/>
      <c r="M310" s="594"/>
      <c r="N310" s="594"/>
      <c r="O310" s="594"/>
      <c r="Q310" s="685"/>
      <c r="R310" s="329" t="str">
        <f t="shared" si="519"/>
        <v>%</v>
      </c>
      <c r="S310" s="594">
        <f>IF((S309/S308)*100&gt;110, 110, (S309/S308)*100)</f>
        <v>0</v>
      </c>
      <c r="T310" s="594">
        <f t="shared" ref="T310:AD310" si="520">IF((T309/T308)*100&gt;110, 110, (T309/T308)*100)</f>
        <v>0</v>
      </c>
      <c r="U310" s="594">
        <f t="shared" si="520"/>
        <v>110</v>
      </c>
      <c r="V310" s="594">
        <f t="shared" si="520"/>
        <v>110</v>
      </c>
      <c r="W310" s="594">
        <f t="shared" si="520"/>
        <v>110</v>
      </c>
      <c r="X310" s="594">
        <f t="shared" si="520"/>
        <v>110</v>
      </c>
      <c r="Y310" s="594">
        <f t="shared" si="520"/>
        <v>110</v>
      </c>
      <c r="Z310" s="594">
        <f t="shared" si="520"/>
        <v>110</v>
      </c>
      <c r="AA310" s="594">
        <f t="shared" si="520"/>
        <v>110</v>
      </c>
      <c r="AB310" s="594">
        <f t="shared" si="520"/>
        <v>0</v>
      </c>
      <c r="AC310" s="594">
        <f t="shared" si="520"/>
        <v>0</v>
      </c>
      <c r="AD310" s="594">
        <f t="shared" si="520"/>
        <v>0</v>
      </c>
      <c r="AF310" s="685"/>
      <c r="AG310" s="329" t="str">
        <f t="shared" si="506"/>
        <v>%</v>
      </c>
      <c r="AH310" s="594">
        <f>IF((AH309/AH308)*100&gt;110, 110, (AH309/AH308)*100)</f>
        <v>0</v>
      </c>
      <c r="AI310" s="594">
        <f t="shared" ref="AI310:AS310" si="521">IF((AI309/AI308)*100&gt;110, 110, (AI309/AI308)*100)</f>
        <v>0</v>
      </c>
      <c r="AJ310" s="594">
        <f t="shared" si="521"/>
        <v>110</v>
      </c>
      <c r="AK310" s="594">
        <f t="shared" si="521"/>
        <v>110</v>
      </c>
      <c r="AL310" s="594">
        <f t="shared" si="521"/>
        <v>110</v>
      </c>
      <c r="AM310" s="594">
        <f t="shared" si="521"/>
        <v>110</v>
      </c>
      <c r="AN310" s="594">
        <f t="shared" si="521"/>
        <v>110</v>
      </c>
      <c r="AO310" s="594">
        <f t="shared" si="521"/>
        <v>110</v>
      </c>
      <c r="AP310" s="594">
        <f t="shared" si="521"/>
        <v>110</v>
      </c>
      <c r="AQ310" s="594">
        <f t="shared" si="521"/>
        <v>0</v>
      </c>
      <c r="AR310" s="594">
        <f t="shared" si="521"/>
        <v>0</v>
      </c>
      <c r="AS310" s="594">
        <f t="shared" si="521"/>
        <v>0</v>
      </c>
    </row>
    <row r="311" spans="1:45">
      <c r="B311" s="695" t="s">
        <v>87</v>
      </c>
      <c r="C311" s="328" t="s">
        <v>48</v>
      </c>
      <c r="D311" s="593">
        <v>0</v>
      </c>
      <c r="E311" s="593">
        <v>0</v>
      </c>
      <c r="F311" s="593">
        <v>0</v>
      </c>
      <c r="G311" s="593">
        <v>0</v>
      </c>
      <c r="H311" s="593">
        <v>0</v>
      </c>
      <c r="I311" s="593">
        <v>0</v>
      </c>
      <c r="J311" s="593">
        <v>0</v>
      </c>
      <c r="K311" s="593">
        <v>0</v>
      </c>
      <c r="L311" s="593">
        <v>0</v>
      </c>
      <c r="M311" s="593">
        <v>0</v>
      </c>
      <c r="N311" s="593">
        <v>0</v>
      </c>
      <c r="O311" s="593">
        <v>0</v>
      </c>
      <c r="Q311" s="695" t="s">
        <v>87</v>
      </c>
      <c r="R311" s="489" t="str">
        <f t="shared" si="519"/>
        <v>Target</v>
      </c>
      <c r="S311" s="593">
        <f t="shared" ref="S311:AD311" si="522">D311</f>
        <v>0</v>
      </c>
      <c r="T311" s="593">
        <f t="shared" si="522"/>
        <v>0</v>
      </c>
      <c r="U311" s="593">
        <f t="shared" si="522"/>
        <v>0</v>
      </c>
      <c r="V311" s="593">
        <f t="shared" si="522"/>
        <v>0</v>
      </c>
      <c r="W311" s="593">
        <f t="shared" si="522"/>
        <v>0</v>
      </c>
      <c r="X311" s="593">
        <f t="shared" si="522"/>
        <v>0</v>
      </c>
      <c r="Y311" s="593">
        <f t="shared" si="522"/>
        <v>0</v>
      </c>
      <c r="Z311" s="593">
        <f t="shared" si="522"/>
        <v>0</v>
      </c>
      <c r="AA311" s="593">
        <f t="shared" si="522"/>
        <v>0</v>
      </c>
      <c r="AB311" s="593">
        <f t="shared" si="522"/>
        <v>0</v>
      </c>
      <c r="AC311" s="593">
        <f t="shared" si="522"/>
        <v>0</v>
      </c>
      <c r="AD311" s="593">
        <f t="shared" si="522"/>
        <v>0</v>
      </c>
      <c r="AF311" s="695" t="s">
        <v>87</v>
      </c>
      <c r="AG311" s="489" t="str">
        <f t="shared" si="506"/>
        <v>Target</v>
      </c>
      <c r="AH311" s="593">
        <f t="shared" si="507"/>
        <v>0</v>
      </c>
      <c r="AI311" s="593">
        <f t="shared" si="508"/>
        <v>0</v>
      </c>
      <c r="AJ311" s="593">
        <f t="shared" si="509"/>
        <v>0</v>
      </c>
      <c r="AK311" s="593">
        <f t="shared" si="510"/>
        <v>0</v>
      </c>
      <c r="AL311" s="593">
        <f t="shared" si="511"/>
        <v>0</v>
      </c>
      <c r="AM311" s="593">
        <f t="shared" si="512"/>
        <v>0</v>
      </c>
      <c r="AN311" s="593">
        <f t="shared" si="513"/>
        <v>0</v>
      </c>
      <c r="AO311" s="593">
        <f t="shared" si="514"/>
        <v>0</v>
      </c>
      <c r="AP311" s="593">
        <f t="shared" si="515"/>
        <v>0</v>
      </c>
      <c r="AQ311" s="593">
        <f t="shared" si="516"/>
        <v>0</v>
      </c>
      <c r="AR311" s="593">
        <f t="shared" si="517"/>
        <v>0</v>
      </c>
      <c r="AS311" s="593">
        <f t="shared" si="518"/>
        <v>0</v>
      </c>
    </row>
    <row r="312" spans="1:45">
      <c r="B312" s="696"/>
      <c r="C312" s="640" t="s">
        <v>226</v>
      </c>
      <c r="D312" s="593"/>
      <c r="E312" s="593"/>
      <c r="F312" s="593"/>
      <c r="G312" s="593"/>
      <c r="H312" s="593"/>
      <c r="I312" s="593"/>
      <c r="J312" s="593"/>
      <c r="K312" s="593"/>
      <c r="L312" s="593"/>
      <c r="M312" s="593"/>
      <c r="N312" s="593"/>
      <c r="O312" s="593"/>
      <c r="Q312" s="696"/>
      <c r="R312" s="489" t="str">
        <f t="shared" si="519"/>
        <v>Realisasi</v>
      </c>
      <c r="S312" s="593">
        <v>0</v>
      </c>
      <c r="T312" s="593">
        <v>0</v>
      </c>
      <c r="U312" s="593">
        <v>0</v>
      </c>
      <c r="V312" s="593">
        <v>0</v>
      </c>
      <c r="W312" s="593">
        <v>0</v>
      </c>
      <c r="X312" s="593">
        <v>0</v>
      </c>
      <c r="Y312" s="593">
        <v>0</v>
      </c>
      <c r="Z312" s="593">
        <v>0</v>
      </c>
      <c r="AA312" s="593">
        <v>0</v>
      </c>
      <c r="AB312" s="593"/>
      <c r="AC312" s="593"/>
      <c r="AD312" s="593"/>
      <c r="AF312" s="696"/>
      <c r="AG312" s="489" t="str">
        <f t="shared" si="506"/>
        <v>Realisasi</v>
      </c>
      <c r="AH312" s="593">
        <f t="shared" si="507"/>
        <v>0</v>
      </c>
      <c r="AI312" s="593">
        <f t="shared" si="508"/>
        <v>0</v>
      </c>
      <c r="AJ312" s="593">
        <f t="shared" si="509"/>
        <v>0</v>
      </c>
      <c r="AK312" s="593">
        <f t="shared" si="510"/>
        <v>0</v>
      </c>
      <c r="AL312" s="593">
        <f t="shared" si="511"/>
        <v>0</v>
      </c>
      <c r="AM312" s="593">
        <f t="shared" si="512"/>
        <v>0</v>
      </c>
      <c r="AN312" s="593">
        <f t="shared" si="513"/>
        <v>0</v>
      </c>
      <c r="AO312" s="593">
        <f t="shared" si="514"/>
        <v>0</v>
      </c>
      <c r="AP312" s="593">
        <f t="shared" si="515"/>
        <v>0</v>
      </c>
      <c r="AQ312" s="593">
        <f t="shared" si="516"/>
        <v>0</v>
      </c>
      <c r="AR312" s="593">
        <f t="shared" si="517"/>
        <v>0</v>
      </c>
      <c r="AS312" s="593">
        <f t="shared" si="518"/>
        <v>0</v>
      </c>
    </row>
    <row r="313" spans="1:45">
      <c r="A313" s="330"/>
      <c r="B313" s="697"/>
      <c r="C313" s="642" t="s">
        <v>149</v>
      </c>
      <c r="D313" s="594"/>
      <c r="E313" s="594"/>
      <c r="F313" s="594"/>
      <c r="G313" s="594"/>
      <c r="H313" s="594"/>
      <c r="I313" s="594"/>
      <c r="J313" s="594"/>
      <c r="K313" s="594"/>
      <c r="L313" s="594"/>
      <c r="M313" s="594"/>
      <c r="N313" s="594"/>
      <c r="O313" s="594"/>
      <c r="Q313" s="697"/>
      <c r="R313" s="551" t="str">
        <f t="shared" si="519"/>
        <v>%</v>
      </c>
      <c r="S313" s="594">
        <f t="shared" ref="S313:AD313" si="523">IFERROR(S312/S311*100,100)</f>
        <v>100</v>
      </c>
      <c r="T313" s="594">
        <f t="shared" si="523"/>
        <v>100</v>
      </c>
      <c r="U313" s="594">
        <f t="shared" si="523"/>
        <v>100</v>
      </c>
      <c r="V313" s="594">
        <f t="shared" si="523"/>
        <v>100</v>
      </c>
      <c r="W313" s="594">
        <f t="shared" si="523"/>
        <v>100</v>
      </c>
      <c r="X313" s="594">
        <f t="shared" si="523"/>
        <v>100</v>
      </c>
      <c r="Y313" s="594">
        <f t="shared" si="523"/>
        <v>100</v>
      </c>
      <c r="Z313" s="594">
        <f t="shared" si="523"/>
        <v>100</v>
      </c>
      <c r="AA313" s="594">
        <f t="shared" si="523"/>
        <v>100</v>
      </c>
      <c r="AB313" s="594">
        <f t="shared" si="523"/>
        <v>100</v>
      </c>
      <c r="AC313" s="594">
        <f t="shared" si="523"/>
        <v>100</v>
      </c>
      <c r="AD313" s="594">
        <f t="shared" si="523"/>
        <v>100</v>
      </c>
      <c r="AF313" s="697"/>
      <c r="AG313" s="551" t="str">
        <f t="shared" si="506"/>
        <v>%</v>
      </c>
      <c r="AH313" s="594">
        <f t="shared" si="507"/>
        <v>100</v>
      </c>
      <c r="AI313" s="594">
        <f t="shared" si="508"/>
        <v>100</v>
      </c>
      <c r="AJ313" s="594">
        <f t="shared" si="509"/>
        <v>100</v>
      </c>
      <c r="AK313" s="594">
        <f t="shared" si="510"/>
        <v>100</v>
      </c>
      <c r="AL313" s="594">
        <f t="shared" si="511"/>
        <v>100</v>
      </c>
      <c r="AM313" s="594">
        <f t="shared" si="512"/>
        <v>100</v>
      </c>
      <c r="AN313" s="594">
        <f t="shared" si="513"/>
        <v>100</v>
      </c>
      <c r="AO313" s="594">
        <f t="shared" si="514"/>
        <v>100</v>
      </c>
      <c r="AP313" s="594">
        <f t="shared" si="515"/>
        <v>100</v>
      </c>
      <c r="AQ313" s="594">
        <f t="shared" si="516"/>
        <v>100</v>
      </c>
      <c r="AR313" s="594">
        <f t="shared" si="517"/>
        <v>100</v>
      </c>
      <c r="AS313" s="594">
        <f t="shared" si="518"/>
        <v>100</v>
      </c>
    </row>
    <row r="314" spans="1:45">
      <c r="B314" s="695" t="s">
        <v>88</v>
      </c>
      <c r="C314" s="328" t="s">
        <v>48</v>
      </c>
      <c r="D314" s="593">
        <v>0</v>
      </c>
      <c r="E314" s="593">
        <v>0</v>
      </c>
      <c r="F314" s="593">
        <v>0</v>
      </c>
      <c r="G314" s="593">
        <v>0</v>
      </c>
      <c r="H314" s="593">
        <v>0</v>
      </c>
      <c r="I314" s="593">
        <v>0</v>
      </c>
      <c r="J314" s="593">
        <v>0</v>
      </c>
      <c r="K314" s="593">
        <v>0</v>
      </c>
      <c r="L314" s="593">
        <v>0</v>
      </c>
      <c r="M314" s="593">
        <v>0</v>
      </c>
      <c r="N314" s="593">
        <v>0</v>
      </c>
      <c r="O314" s="593">
        <v>0</v>
      </c>
      <c r="Q314" s="695" t="s">
        <v>88</v>
      </c>
      <c r="R314" s="489" t="str">
        <f t="shared" si="519"/>
        <v>Target</v>
      </c>
      <c r="S314" s="593">
        <f t="shared" ref="S314:AD314" si="524">D314</f>
        <v>0</v>
      </c>
      <c r="T314" s="593">
        <f t="shared" si="524"/>
        <v>0</v>
      </c>
      <c r="U314" s="593">
        <f t="shared" si="524"/>
        <v>0</v>
      </c>
      <c r="V314" s="593">
        <f t="shared" si="524"/>
        <v>0</v>
      </c>
      <c r="W314" s="593">
        <f t="shared" si="524"/>
        <v>0</v>
      </c>
      <c r="X314" s="593">
        <f t="shared" si="524"/>
        <v>0</v>
      </c>
      <c r="Y314" s="593">
        <f t="shared" si="524"/>
        <v>0</v>
      </c>
      <c r="Z314" s="593">
        <f t="shared" si="524"/>
        <v>0</v>
      </c>
      <c r="AA314" s="593">
        <f t="shared" si="524"/>
        <v>0</v>
      </c>
      <c r="AB314" s="593">
        <f t="shared" si="524"/>
        <v>0</v>
      </c>
      <c r="AC314" s="593">
        <f t="shared" si="524"/>
        <v>0</v>
      </c>
      <c r="AD314" s="593">
        <f t="shared" si="524"/>
        <v>0</v>
      </c>
      <c r="AF314" s="695" t="s">
        <v>88</v>
      </c>
      <c r="AG314" s="489" t="str">
        <f t="shared" si="506"/>
        <v>Target</v>
      </c>
      <c r="AH314" s="593">
        <f t="shared" si="507"/>
        <v>0</v>
      </c>
      <c r="AI314" s="593">
        <f t="shared" si="508"/>
        <v>0</v>
      </c>
      <c r="AJ314" s="593">
        <f t="shared" si="509"/>
        <v>0</v>
      </c>
      <c r="AK314" s="593">
        <f t="shared" si="510"/>
        <v>0</v>
      </c>
      <c r="AL314" s="593">
        <f t="shared" si="511"/>
        <v>0</v>
      </c>
      <c r="AM314" s="593">
        <f t="shared" si="512"/>
        <v>0</v>
      </c>
      <c r="AN314" s="593">
        <f t="shared" si="513"/>
        <v>0</v>
      </c>
      <c r="AO314" s="593">
        <f t="shared" si="514"/>
        <v>0</v>
      </c>
      <c r="AP314" s="593">
        <f t="shared" si="515"/>
        <v>0</v>
      </c>
      <c r="AQ314" s="593">
        <f t="shared" si="516"/>
        <v>0</v>
      </c>
      <c r="AR314" s="593">
        <f t="shared" si="517"/>
        <v>0</v>
      </c>
      <c r="AS314" s="593">
        <f t="shared" si="518"/>
        <v>0</v>
      </c>
    </row>
    <row r="315" spans="1:45">
      <c r="B315" s="696"/>
      <c r="C315" s="640" t="s">
        <v>226</v>
      </c>
      <c r="D315" s="593"/>
      <c r="E315" s="593"/>
      <c r="F315" s="593"/>
      <c r="G315" s="593"/>
      <c r="H315" s="593"/>
      <c r="I315" s="593"/>
      <c r="J315" s="593"/>
      <c r="K315" s="593"/>
      <c r="L315" s="593"/>
      <c r="M315" s="593"/>
      <c r="N315" s="593"/>
      <c r="O315" s="593"/>
      <c r="Q315" s="696"/>
      <c r="R315" s="489" t="str">
        <f t="shared" si="519"/>
        <v>Realisasi</v>
      </c>
      <c r="S315" s="593">
        <v>0</v>
      </c>
      <c r="T315" s="593">
        <v>0</v>
      </c>
      <c r="U315" s="593">
        <v>0</v>
      </c>
      <c r="V315" s="593">
        <v>0</v>
      </c>
      <c r="W315" s="593">
        <v>0</v>
      </c>
      <c r="X315" s="593">
        <v>0</v>
      </c>
      <c r="Y315" s="593">
        <v>0</v>
      </c>
      <c r="Z315" s="593">
        <v>0</v>
      </c>
      <c r="AA315" s="593">
        <v>0</v>
      </c>
      <c r="AB315" s="593">
        <v>0</v>
      </c>
      <c r="AC315" s="593">
        <v>0</v>
      </c>
      <c r="AD315" s="593">
        <v>0</v>
      </c>
      <c r="AF315" s="696"/>
      <c r="AG315" s="489" t="str">
        <f t="shared" si="506"/>
        <v>Realisasi</v>
      </c>
      <c r="AH315" s="593">
        <f t="shared" si="507"/>
        <v>0</v>
      </c>
      <c r="AI315" s="593">
        <f t="shared" si="508"/>
        <v>0</v>
      </c>
      <c r="AJ315" s="593">
        <f t="shared" si="509"/>
        <v>0</v>
      </c>
      <c r="AK315" s="593">
        <f t="shared" si="510"/>
        <v>0</v>
      </c>
      <c r="AL315" s="593">
        <f t="shared" si="511"/>
        <v>0</v>
      </c>
      <c r="AM315" s="593">
        <f t="shared" si="512"/>
        <v>0</v>
      </c>
      <c r="AN315" s="593">
        <f t="shared" si="513"/>
        <v>0</v>
      </c>
      <c r="AO315" s="593">
        <f t="shared" si="514"/>
        <v>0</v>
      </c>
      <c r="AP315" s="593">
        <f t="shared" si="515"/>
        <v>0</v>
      </c>
      <c r="AQ315" s="593">
        <f t="shared" si="516"/>
        <v>0</v>
      </c>
      <c r="AR315" s="593">
        <f t="shared" si="517"/>
        <v>0</v>
      </c>
      <c r="AS315" s="593">
        <f t="shared" si="518"/>
        <v>0</v>
      </c>
    </row>
    <row r="316" spans="1:45">
      <c r="A316" s="330"/>
      <c r="B316" s="697"/>
      <c r="C316" s="642" t="s">
        <v>149</v>
      </c>
      <c r="D316" s="594"/>
      <c r="E316" s="594"/>
      <c r="F316" s="594"/>
      <c r="G316" s="594"/>
      <c r="H316" s="594"/>
      <c r="I316" s="594"/>
      <c r="J316" s="594"/>
      <c r="K316" s="594"/>
      <c r="L316" s="594"/>
      <c r="M316" s="594"/>
      <c r="N316" s="594"/>
      <c r="O316" s="594"/>
      <c r="Q316" s="697"/>
      <c r="R316" s="551" t="str">
        <f t="shared" si="519"/>
        <v>%</v>
      </c>
      <c r="S316" s="594">
        <f t="shared" ref="S316:AD316" si="525">IFERROR(S315/S314*100,100)</f>
        <v>100</v>
      </c>
      <c r="T316" s="594">
        <f t="shared" si="525"/>
        <v>100</v>
      </c>
      <c r="U316" s="594">
        <f t="shared" si="525"/>
        <v>100</v>
      </c>
      <c r="V316" s="594">
        <f t="shared" si="525"/>
        <v>100</v>
      </c>
      <c r="W316" s="594">
        <f t="shared" si="525"/>
        <v>100</v>
      </c>
      <c r="X316" s="594">
        <f t="shared" si="525"/>
        <v>100</v>
      </c>
      <c r="Y316" s="594">
        <f t="shared" si="525"/>
        <v>100</v>
      </c>
      <c r="Z316" s="594">
        <f t="shared" si="525"/>
        <v>100</v>
      </c>
      <c r="AA316" s="594">
        <f t="shared" si="525"/>
        <v>100</v>
      </c>
      <c r="AB316" s="594">
        <f t="shared" si="525"/>
        <v>100</v>
      </c>
      <c r="AC316" s="594">
        <f t="shared" si="525"/>
        <v>100</v>
      </c>
      <c r="AD316" s="594">
        <f t="shared" si="525"/>
        <v>100</v>
      </c>
      <c r="AF316" s="697"/>
      <c r="AG316" s="551" t="str">
        <f t="shared" si="506"/>
        <v>%</v>
      </c>
      <c r="AH316" s="594">
        <f>S316</f>
        <v>100</v>
      </c>
      <c r="AI316" s="594">
        <f t="shared" si="508"/>
        <v>100</v>
      </c>
      <c r="AJ316" s="594">
        <f t="shared" si="509"/>
        <v>100</v>
      </c>
      <c r="AK316" s="594">
        <f t="shared" si="510"/>
        <v>100</v>
      </c>
      <c r="AL316" s="594">
        <f t="shared" si="511"/>
        <v>100</v>
      </c>
      <c r="AM316" s="594">
        <f t="shared" si="512"/>
        <v>100</v>
      </c>
      <c r="AN316" s="594">
        <f t="shared" si="513"/>
        <v>100</v>
      </c>
      <c r="AO316" s="594">
        <f t="shared" si="514"/>
        <v>100</v>
      </c>
      <c r="AP316" s="594">
        <f t="shared" si="515"/>
        <v>100</v>
      </c>
      <c r="AQ316" s="594">
        <f t="shared" si="516"/>
        <v>100</v>
      </c>
      <c r="AR316" s="594">
        <f t="shared" si="517"/>
        <v>100</v>
      </c>
      <c r="AS316" s="594">
        <f t="shared" si="518"/>
        <v>100</v>
      </c>
    </row>
    <row r="317" spans="1:45">
      <c r="B317" s="695" t="s">
        <v>121</v>
      </c>
      <c r="C317" s="328" t="s">
        <v>48</v>
      </c>
      <c r="D317" s="593">
        <v>0.34</v>
      </c>
      <c r="E317" s="593">
        <v>0.68</v>
      </c>
      <c r="F317" s="593">
        <v>1.02</v>
      </c>
      <c r="G317" s="593">
        <v>1.36</v>
      </c>
      <c r="H317" s="593">
        <v>1.7</v>
      </c>
      <c r="I317" s="593">
        <v>2.04</v>
      </c>
      <c r="J317" s="593">
        <v>2.5499999999999998</v>
      </c>
      <c r="K317" s="593">
        <v>3.06</v>
      </c>
      <c r="L317" s="593">
        <v>3.57</v>
      </c>
      <c r="M317" s="593">
        <v>4.08</v>
      </c>
      <c r="N317" s="593">
        <v>4.59</v>
      </c>
      <c r="O317" s="593">
        <v>5.0999999999999996</v>
      </c>
      <c r="Q317" s="695" t="s">
        <v>121</v>
      </c>
      <c r="R317" s="489" t="str">
        <f t="shared" si="519"/>
        <v>Target</v>
      </c>
      <c r="S317" s="593">
        <f t="shared" ref="S317:AD317" si="526">D317</f>
        <v>0.34</v>
      </c>
      <c r="T317" s="593">
        <f t="shared" si="526"/>
        <v>0.68</v>
      </c>
      <c r="U317" s="593">
        <f t="shared" si="526"/>
        <v>1.02</v>
      </c>
      <c r="V317" s="593">
        <f t="shared" si="526"/>
        <v>1.36</v>
      </c>
      <c r="W317" s="593">
        <f t="shared" si="526"/>
        <v>1.7</v>
      </c>
      <c r="X317" s="593">
        <f t="shared" si="526"/>
        <v>2.04</v>
      </c>
      <c r="Y317" s="593">
        <f t="shared" si="526"/>
        <v>2.5499999999999998</v>
      </c>
      <c r="Z317" s="593">
        <f t="shared" si="526"/>
        <v>3.06</v>
      </c>
      <c r="AA317" s="593">
        <f t="shared" si="526"/>
        <v>3.57</v>
      </c>
      <c r="AB317" s="593">
        <f t="shared" si="526"/>
        <v>4.08</v>
      </c>
      <c r="AC317" s="593">
        <f t="shared" si="526"/>
        <v>4.59</v>
      </c>
      <c r="AD317" s="593">
        <f t="shared" si="526"/>
        <v>5.0999999999999996</v>
      </c>
      <c r="AF317" s="695" t="s">
        <v>121</v>
      </c>
      <c r="AG317" s="489" t="str">
        <f t="shared" si="506"/>
        <v>Target</v>
      </c>
      <c r="AH317" s="593">
        <f t="shared" si="507"/>
        <v>0.34</v>
      </c>
      <c r="AI317" s="593">
        <f t="shared" si="508"/>
        <v>0.68</v>
      </c>
      <c r="AJ317" s="593">
        <f t="shared" si="509"/>
        <v>1.02</v>
      </c>
      <c r="AK317" s="593">
        <f t="shared" si="510"/>
        <v>1.36</v>
      </c>
      <c r="AL317" s="593">
        <f t="shared" si="511"/>
        <v>1.7</v>
      </c>
      <c r="AM317" s="593">
        <f t="shared" si="512"/>
        <v>2.04</v>
      </c>
      <c r="AN317" s="593">
        <f t="shared" si="513"/>
        <v>2.5499999999999998</v>
      </c>
      <c r="AO317" s="593">
        <f t="shared" si="514"/>
        <v>3.06</v>
      </c>
      <c r="AP317" s="593">
        <f t="shared" si="515"/>
        <v>3.57</v>
      </c>
      <c r="AQ317" s="593">
        <f t="shared" si="516"/>
        <v>4.08</v>
      </c>
      <c r="AR317" s="593">
        <f t="shared" si="517"/>
        <v>4.59</v>
      </c>
      <c r="AS317" s="593">
        <f t="shared" si="518"/>
        <v>5.0999999999999996</v>
      </c>
    </row>
    <row r="318" spans="1:45">
      <c r="B318" s="696"/>
      <c r="C318" s="640" t="s">
        <v>226</v>
      </c>
      <c r="D318" s="593"/>
      <c r="E318" s="593"/>
      <c r="F318" s="593"/>
      <c r="G318" s="593"/>
      <c r="H318" s="593"/>
      <c r="I318" s="593"/>
      <c r="J318" s="593"/>
      <c r="K318" s="593"/>
      <c r="L318" s="593"/>
      <c r="M318" s="593"/>
      <c r="N318" s="593"/>
      <c r="O318" s="593"/>
      <c r="Q318" s="696"/>
      <c r="R318" s="489" t="str">
        <f t="shared" si="519"/>
        <v>Realisasi</v>
      </c>
      <c r="S318" s="593">
        <v>0</v>
      </c>
      <c r="T318" s="593">
        <v>0</v>
      </c>
      <c r="U318" s="593">
        <v>1.539625</v>
      </c>
      <c r="V318" s="593">
        <v>1.539625</v>
      </c>
      <c r="W318" s="593">
        <v>2.7871760000000001</v>
      </c>
      <c r="X318" s="593">
        <v>2.7871760000000001</v>
      </c>
      <c r="Y318" s="593">
        <v>2.7871760000000001</v>
      </c>
      <c r="Z318" s="593">
        <v>2.7871760000000001</v>
      </c>
      <c r="AA318" s="593">
        <v>4.3891640000000001</v>
      </c>
      <c r="AB318" s="593"/>
      <c r="AC318" s="593"/>
      <c r="AD318" s="593"/>
      <c r="AF318" s="696"/>
      <c r="AG318" s="489" t="str">
        <f t="shared" si="506"/>
        <v>Realisasi</v>
      </c>
      <c r="AH318" s="593">
        <f t="shared" si="507"/>
        <v>0</v>
      </c>
      <c r="AI318" s="593">
        <f t="shared" si="508"/>
        <v>0</v>
      </c>
      <c r="AJ318" s="593">
        <f t="shared" si="509"/>
        <v>1.539625</v>
      </c>
      <c r="AK318" s="593">
        <f t="shared" si="510"/>
        <v>1.539625</v>
      </c>
      <c r="AL318" s="593">
        <f t="shared" si="511"/>
        <v>2.7871760000000001</v>
      </c>
      <c r="AM318" s="593">
        <f t="shared" si="512"/>
        <v>2.7871760000000001</v>
      </c>
      <c r="AN318" s="593">
        <f t="shared" si="513"/>
        <v>2.7871760000000001</v>
      </c>
      <c r="AO318" s="593">
        <f t="shared" si="514"/>
        <v>2.7871760000000001</v>
      </c>
      <c r="AP318" s="593">
        <f t="shared" si="515"/>
        <v>4.3891640000000001</v>
      </c>
      <c r="AQ318" s="593">
        <f t="shared" si="516"/>
        <v>0</v>
      </c>
      <c r="AR318" s="593">
        <f t="shared" si="517"/>
        <v>0</v>
      </c>
      <c r="AS318" s="593">
        <f t="shared" si="518"/>
        <v>0</v>
      </c>
    </row>
    <row r="319" spans="1:45">
      <c r="A319" s="330"/>
      <c r="B319" s="697"/>
      <c r="C319" s="642" t="s">
        <v>149</v>
      </c>
      <c r="D319" s="594"/>
      <c r="E319" s="594"/>
      <c r="F319" s="594"/>
      <c r="G319" s="594"/>
      <c r="H319" s="594"/>
      <c r="I319" s="594"/>
      <c r="J319" s="594"/>
      <c r="K319" s="594"/>
      <c r="L319" s="594"/>
      <c r="M319" s="594"/>
      <c r="N319" s="594"/>
      <c r="O319" s="594"/>
      <c r="Q319" s="697"/>
      <c r="R319" s="551" t="str">
        <f t="shared" si="519"/>
        <v>%</v>
      </c>
      <c r="S319" s="594">
        <f t="shared" ref="S319:AD319" si="527">IF((S318/S317)*100&gt;110, 110, (S318/S317)*100)</f>
        <v>0</v>
      </c>
      <c r="T319" s="594">
        <f t="shared" si="527"/>
        <v>0</v>
      </c>
      <c r="U319" s="594">
        <f t="shared" si="527"/>
        <v>110</v>
      </c>
      <c r="V319" s="594">
        <f t="shared" si="527"/>
        <v>110</v>
      </c>
      <c r="W319" s="594">
        <f t="shared" si="527"/>
        <v>110</v>
      </c>
      <c r="X319" s="594">
        <f t="shared" si="527"/>
        <v>110</v>
      </c>
      <c r="Y319" s="594">
        <f t="shared" si="527"/>
        <v>109.30101960784316</v>
      </c>
      <c r="Z319" s="594">
        <f t="shared" si="527"/>
        <v>91.084183006535952</v>
      </c>
      <c r="AA319" s="594">
        <f t="shared" si="527"/>
        <v>110</v>
      </c>
      <c r="AB319" s="594">
        <f t="shared" si="527"/>
        <v>0</v>
      </c>
      <c r="AC319" s="594">
        <f t="shared" si="527"/>
        <v>0</v>
      </c>
      <c r="AD319" s="594">
        <f t="shared" si="527"/>
        <v>0</v>
      </c>
      <c r="AF319" s="697"/>
      <c r="AG319" s="551" t="str">
        <f t="shared" si="506"/>
        <v>%</v>
      </c>
      <c r="AH319" s="594">
        <f>IF((AH318/AH317)*100&gt;110, 110, (AH318/AH317)*100)</f>
        <v>0</v>
      </c>
      <c r="AI319" s="594">
        <f t="shared" ref="AI319" si="528">IF((AI318/AI317)*100&gt;110, 110, (AI318/AI317)*100)</f>
        <v>0</v>
      </c>
      <c r="AJ319" s="594">
        <f t="shared" ref="AJ319" si="529">IF((AJ318/AJ317)*100&gt;110, 110, (AJ318/AJ317)*100)</f>
        <v>110</v>
      </c>
      <c r="AK319" s="594">
        <f t="shared" ref="AK319" si="530">IF((AK318/AK317)*100&gt;110, 110, (AK318/AK317)*100)</f>
        <v>110</v>
      </c>
      <c r="AL319" s="594">
        <f t="shared" ref="AL319" si="531">IF((AL318/AL317)*100&gt;110, 110, (AL318/AL317)*100)</f>
        <v>110</v>
      </c>
      <c r="AM319" s="594">
        <f t="shared" ref="AM319" si="532">IF((AM318/AM317)*100&gt;110, 110, (AM318/AM317)*100)</f>
        <v>110</v>
      </c>
      <c r="AN319" s="594">
        <f t="shared" ref="AN319" si="533">IF((AN318/AN317)*100&gt;110, 110, (AN318/AN317)*100)</f>
        <v>109.30101960784316</v>
      </c>
      <c r="AO319" s="594">
        <f t="shared" ref="AO319" si="534">IF((AO318/AO317)*100&gt;110, 110, (AO318/AO317)*100)</f>
        <v>91.084183006535952</v>
      </c>
      <c r="AP319" s="594">
        <f t="shared" ref="AP319" si="535">IF((AP318/AP317)*100&gt;110, 110, (AP318/AP317)*100)</f>
        <v>110</v>
      </c>
      <c r="AQ319" s="594">
        <f t="shared" ref="AQ319" si="536">IF((AQ318/AQ317)*100&gt;110, 110, (AQ318/AQ317)*100)</f>
        <v>0</v>
      </c>
      <c r="AR319" s="594">
        <f t="shared" ref="AR319" si="537">IF((AR318/AR317)*100&gt;110, 110, (AR318/AR317)*100)</f>
        <v>0</v>
      </c>
      <c r="AS319" s="594">
        <f t="shared" ref="AS319" si="538">IF((AS318/AS317)*100&gt;110, 110, (AS318/AS317)*100)</f>
        <v>0</v>
      </c>
    </row>
    <row r="320" spans="1:45">
      <c r="B320" s="695" t="s">
        <v>89</v>
      </c>
      <c r="C320" s="328" t="s">
        <v>48</v>
      </c>
      <c r="D320" s="593">
        <v>0</v>
      </c>
      <c r="E320" s="593">
        <v>0</v>
      </c>
      <c r="F320" s="593">
        <v>0</v>
      </c>
      <c r="G320" s="593">
        <v>0</v>
      </c>
      <c r="H320" s="593">
        <v>0</v>
      </c>
      <c r="I320" s="593">
        <v>0</v>
      </c>
      <c r="J320" s="593">
        <v>0</v>
      </c>
      <c r="K320" s="593">
        <v>0</v>
      </c>
      <c r="L320" s="593">
        <v>0</v>
      </c>
      <c r="M320" s="593">
        <v>0</v>
      </c>
      <c r="N320" s="593">
        <v>0</v>
      </c>
      <c r="O320" s="593">
        <v>0</v>
      </c>
      <c r="Q320" s="695" t="s">
        <v>89</v>
      </c>
      <c r="R320" s="489" t="str">
        <f t="shared" si="519"/>
        <v>Target</v>
      </c>
      <c r="S320" s="593">
        <f t="shared" ref="S320:AD320" si="539">D320</f>
        <v>0</v>
      </c>
      <c r="T320" s="593">
        <f t="shared" si="539"/>
        <v>0</v>
      </c>
      <c r="U320" s="593">
        <f t="shared" si="539"/>
        <v>0</v>
      </c>
      <c r="V320" s="593">
        <f t="shared" si="539"/>
        <v>0</v>
      </c>
      <c r="W320" s="593">
        <f t="shared" si="539"/>
        <v>0</v>
      </c>
      <c r="X320" s="593">
        <f t="shared" si="539"/>
        <v>0</v>
      </c>
      <c r="Y320" s="593">
        <f t="shared" si="539"/>
        <v>0</v>
      </c>
      <c r="Z320" s="593">
        <f t="shared" si="539"/>
        <v>0</v>
      </c>
      <c r="AA320" s="593">
        <f t="shared" si="539"/>
        <v>0</v>
      </c>
      <c r="AB320" s="593">
        <f t="shared" si="539"/>
        <v>0</v>
      </c>
      <c r="AC320" s="593">
        <f t="shared" si="539"/>
        <v>0</v>
      </c>
      <c r="AD320" s="593">
        <f t="shared" si="539"/>
        <v>0</v>
      </c>
      <c r="AF320" s="695" t="s">
        <v>89</v>
      </c>
      <c r="AG320" s="489" t="str">
        <f t="shared" si="506"/>
        <v>Target</v>
      </c>
      <c r="AH320" s="593">
        <f t="shared" si="507"/>
        <v>0</v>
      </c>
      <c r="AI320" s="593">
        <f t="shared" si="508"/>
        <v>0</v>
      </c>
      <c r="AJ320" s="593">
        <f t="shared" si="509"/>
        <v>0</v>
      </c>
      <c r="AK320" s="593">
        <f t="shared" si="510"/>
        <v>0</v>
      </c>
      <c r="AL320" s="593">
        <f t="shared" si="511"/>
        <v>0</v>
      </c>
      <c r="AM320" s="593">
        <f t="shared" si="512"/>
        <v>0</v>
      </c>
      <c r="AN320" s="593">
        <f t="shared" si="513"/>
        <v>0</v>
      </c>
      <c r="AO320" s="593">
        <f t="shared" si="514"/>
        <v>0</v>
      </c>
      <c r="AP320" s="593">
        <f t="shared" si="515"/>
        <v>0</v>
      </c>
      <c r="AQ320" s="593">
        <f t="shared" si="516"/>
        <v>0</v>
      </c>
      <c r="AR320" s="593">
        <f t="shared" si="517"/>
        <v>0</v>
      </c>
      <c r="AS320" s="593">
        <f t="shared" si="518"/>
        <v>0</v>
      </c>
    </row>
    <row r="321" spans="1:45">
      <c r="B321" s="696"/>
      <c r="C321" s="640" t="s">
        <v>226</v>
      </c>
      <c r="D321" s="593"/>
      <c r="E321" s="593"/>
      <c r="F321" s="593"/>
      <c r="G321" s="593"/>
      <c r="H321" s="593"/>
      <c r="I321" s="593"/>
      <c r="J321" s="593"/>
      <c r="K321" s="593"/>
      <c r="L321" s="593"/>
      <c r="M321" s="593"/>
      <c r="N321" s="593"/>
      <c r="O321" s="593"/>
      <c r="P321" s="592"/>
      <c r="Q321" s="696"/>
      <c r="R321" s="489" t="str">
        <f t="shared" si="519"/>
        <v>Realisasi</v>
      </c>
      <c r="S321" s="593">
        <v>0</v>
      </c>
      <c r="T321" s="593">
        <v>0</v>
      </c>
      <c r="U321" s="593">
        <v>0</v>
      </c>
      <c r="V321" s="593">
        <v>0</v>
      </c>
      <c r="W321" s="593">
        <v>0</v>
      </c>
      <c r="X321" s="593">
        <v>0</v>
      </c>
      <c r="Y321" s="593">
        <v>0</v>
      </c>
      <c r="Z321" s="593">
        <v>0</v>
      </c>
      <c r="AA321" s="593">
        <v>0</v>
      </c>
      <c r="AB321" s="593"/>
      <c r="AC321" s="593"/>
      <c r="AD321" s="593"/>
      <c r="AF321" s="696"/>
      <c r="AG321" s="489" t="str">
        <f t="shared" si="506"/>
        <v>Realisasi</v>
      </c>
      <c r="AH321" s="593">
        <f t="shared" si="507"/>
        <v>0</v>
      </c>
      <c r="AI321" s="593">
        <f t="shared" si="508"/>
        <v>0</v>
      </c>
      <c r="AJ321" s="593">
        <f t="shared" si="509"/>
        <v>0</v>
      </c>
      <c r="AK321" s="593">
        <f t="shared" si="510"/>
        <v>0</v>
      </c>
      <c r="AL321" s="593">
        <f t="shared" si="511"/>
        <v>0</v>
      </c>
      <c r="AM321" s="593">
        <f t="shared" si="512"/>
        <v>0</v>
      </c>
      <c r="AN321" s="593">
        <f t="shared" si="513"/>
        <v>0</v>
      </c>
      <c r="AO321" s="593">
        <f t="shared" si="514"/>
        <v>0</v>
      </c>
      <c r="AP321" s="593">
        <f t="shared" si="515"/>
        <v>0</v>
      </c>
      <c r="AQ321" s="593">
        <f t="shared" si="516"/>
        <v>0</v>
      </c>
      <c r="AR321" s="593">
        <f t="shared" si="517"/>
        <v>0</v>
      </c>
      <c r="AS321" s="593">
        <f t="shared" si="518"/>
        <v>0</v>
      </c>
    </row>
    <row r="322" spans="1:45">
      <c r="A322" s="330"/>
      <c r="B322" s="697"/>
      <c r="C322" s="642" t="s">
        <v>149</v>
      </c>
      <c r="D322" s="594"/>
      <c r="E322" s="594"/>
      <c r="F322" s="594"/>
      <c r="G322" s="594"/>
      <c r="H322" s="594"/>
      <c r="I322" s="594"/>
      <c r="J322" s="594"/>
      <c r="K322" s="594"/>
      <c r="L322" s="594"/>
      <c r="M322" s="594"/>
      <c r="N322" s="594"/>
      <c r="O322" s="594"/>
      <c r="Q322" s="697"/>
      <c r="R322" s="551" t="str">
        <f t="shared" si="519"/>
        <v>%</v>
      </c>
      <c r="S322" s="594">
        <f t="shared" ref="S322" si="540">IFERROR(S321/S320*100,100)</f>
        <v>100</v>
      </c>
      <c r="T322" s="594">
        <f t="shared" ref="T322:AD322" si="541">IFERROR(T321/T320*100,100)</f>
        <v>100</v>
      </c>
      <c r="U322" s="594">
        <f t="shared" si="541"/>
        <v>100</v>
      </c>
      <c r="V322" s="594">
        <f t="shared" si="541"/>
        <v>100</v>
      </c>
      <c r="W322" s="594">
        <f t="shared" si="541"/>
        <v>100</v>
      </c>
      <c r="X322" s="594">
        <f t="shared" si="541"/>
        <v>100</v>
      </c>
      <c r="Y322" s="594">
        <f t="shared" si="541"/>
        <v>100</v>
      </c>
      <c r="Z322" s="594">
        <f t="shared" si="541"/>
        <v>100</v>
      </c>
      <c r="AA322" s="594">
        <f t="shared" si="541"/>
        <v>100</v>
      </c>
      <c r="AB322" s="594">
        <f t="shared" si="541"/>
        <v>100</v>
      </c>
      <c r="AC322" s="594">
        <f t="shared" si="541"/>
        <v>100</v>
      </c>
      <c r="AD322" s="594">
        <f t="shared" si="541"/>
        <v>100</v>
      </c>
      <c r="AF322" s="697"/>
      <c r="AG322" s="551" t="str">
        <f t="shared" si="506"/>
        <v>%</v>
      </c>
      <c r="AH322" s="594">
        <f t="shared" si="507"/>
        <v>100</v>
      </c>
      <c r="AI322" s="594">
        <f t="shared" si="508"/>
        <v>100</v>
      </c>
      <c r="AJ322" s="594">
        <f t="shared" si="509"/>
        <v>100</v>
      </c>
      <c r="AK322" s="594">
        <f t="shared" si="510"/>
        <v>100</v>
      </c>
      <c r="AL322" s="594">
        <f t="shared" si="511"/>
        <v>100</v>
      </c>
      <c r="AM322" s="594">
        <f t="shared" si="512"/>
        <v>100</v>
      </c>
      <c r="AN322" s="594">
        <f t="shared" si="513"/>
        <v>100</v>
      </c>
      <c r="AO322" s="594">
        <f t="shared" si="514"/>
        <v>100</v>
      </c>
      <c r="AP322" s="594">
        <f t="shared" si="515"/>
        <v>100</v>
      </c>
      <c r="AQ322" s="594">
        <f t="shared" si="516"/>
        <v>100</v>
      </c>
      <c r="AR322" s="594">
        <f t="shared" si="517"/>
        <v>100</v>
      </c>
      <c r="AS322" s="594">
        <f t="shared" si="518"/>
        <v>100</v>
      </c>
    </row>
    <row r="323" spans="1:45">
      <c r="B323" s="703" t="s">
        <v>90</v>
      </c>
      <c r="C323" s="328" t="s">
        <v>48</v>
      </c>
      <c r="D323" s="593">
        <v>0.62</v>
      </c>
      <c r="E323" s="593">
        <v>1.24</v>
      </c>
      <c r="F323" s="593">
        <v>1.86</v>
      </c>
      <c r="G323" s="593">
        <v>2.48</v>
      </c>
      <c r="H323" s="593">
        <v>3.1</v>
      </c>
      <c r="I323" s="593">
        <v>3.73</v>
      </c>
      <c r="J323" s="593">
        <v>4.66</v>
      </c>
      <c r="K323" s="593">
        <v>5.59</v>
      </c>
      <c r="L323" s="593">
        <v>6.52</v>
      </c>
      <c r="M323" s="593">
        <v>7.45</v>
      </c>
      <c r="N323" s="593">
        <v>8.3800000000000008</v>
      </c>
      <c r="O323" s="593">
        <v>9.31</v>
      </c>
      <c r="Q323" s="706" t="s">
        <v>90</v>
      </c>
      <c r="R323" s="489" t="str">
        <f t="shared" si="519"/>
        <v>Target</v>
      </c>
      <c r="S323" s="593">
        <f t="shared" ref="S323:AD323" si="542">D323</f>
        <v>0.62</v>
      </c>
      <c r="T323" s="593">
        <f t="shared" si="542"/>
        <v>1.24</v>
      </c>
      <c r="U323" s="593">
        <f>F323</f>
        <v>1.86</v>
      </c>
      <c r="V323" s="593">
        <f t="shared" si="542"/>
        <v>2.48</v>
      </c>
      <c r="W323" s="593">
        <f t="shared" si="542"/>
        <v>3.1</v>
      </c>
      <c r="X323" s="593">
        <f t="shared" si="542"/>
        <v>3.73</v>
      </c>
      <c r="Y323" s="593">
        <f t="shared" si="542"/>
        <v>4.66</v>
      </c>
      <c r="Z323" s="593">
        <f t="shared" si="542"/>
        <v>5.59</v>
      </c>
      <c r="AA323" s="593">
        <f t="shared" si="542"/>
        <v>6.52</v>
      </c>
      <c r="AB323" s="593">
        <f t="shared" si="542"/>
        <v>7.45</v>
      </c>
      <c r="AC323" s="593">
        <f t="shared" si="542"/>
        <v>8.3800000000000008</v>
      </c>
      <c r="AD323" s="593">
        <f t="shared" si="542"/>
        <v>9.31</v>
      </c>
      <c r="AF323" s="706" t="s">
        <v>90</v>
      </c>
      <c r="AG323" s="489" t="str">
        <f t="shared" si="506"/>
        <v>Target</v>
      </c>
      <c r="AH323" s="593">
        <f t="shared" si="507"/>
        <v>0.62</v>
      </c>
      <c r="AI323" s="593">
        <f t="shared" si="508"/>
        <v>1.24</v>
      </c>
      <c r="AJ323" s="593">
        <f t="shared" si="509"/>
        <v>1.86</v>
      </c>
      <c r="AK323" s="593">
        <f t="shared" si="510"/>
        <v>2.48</v>
      </c>
      <c r="AL323" s="593">
        <f t="shared" si="511"/>
        <v>3.1</v>
      </c>
      <c r="AM323" s="593">
        <f t="shared" si="512"/>
        <v>3.73</v>
      </c>
      <c r="AN323" s="593">
        <f t="shared" si="513"/>
        <v>4.66</v>
      </c>
      <c r="AO323" s="593">
        <f t="shared" si="514"/>
        <v>5.59</v>
      </c>
      <c r="AP323" s="593">
        <f t="shared" si="515"/>
        <v>6.52</v>
      </c>
      <c r="AQ323" s="593">
        <f t="shared" si="516"/>
        <v>7.45</v>
      </c>
      <c r="AR323" s="593">
        <f t="shared" si="517"/>
        <v>8.3800000000000008</v>
      </c>
      <c r="AS323" s="593">
        <f t="shared" si="518"/>
        <v>9.31</v>
      </c>
    </row>
    <row r="324" spans="1:45">
      <c r="B324" s="704"/>
      <c r="C324" s="640" t="s">
        <v>226</v>
      </c>
      <c r="D324" s="593"/>
      <c r="E324" s="593"/>
      <c r="F324" s="593"/>
      <c r="G324" s="593"/>
      <c r="H324" s="593"/>
      <c r="I324" s="593"/>
      <c r="J324" s="593"/>
      <c r="K324" s="593"/>
      <c r="L324" s="593"/>
      <c r="M324" s="593"/>
      <c r="N324" s="593"/>
      <c r="O324" s="593"/>
      <c r="Q324" s="707"/>
      <c r="R324" s="489" t="str">
        <f t="shared" si="519"/>
        <v>Realisasi</v>
      </c>
      <c r="S324" s="593">
        <v>0</v>
      </c>
      <c r="T324" s="593">
        <v>0</v>
      </c>
      <c r="U324" s="593">
        <v>2.5170159999999999</v>
      </c>
      <c r="V324" s="593">
        <v>3.384001</v>
      </c>
      <c r="W324" s="593">
        <v>11.555612</v>
      </c>
      <c r="X324" s="593">
        <f t="shared" ref="X324:AD324" si="543">X309+X312+X315+X318+X321</f>
        <v>11.555612</v>
      </c>
      <c r="Y324" s="593">
        <f t="shared" si="543"/>
        <v>11.555612</v>
      </c>
      <c r="Z324" s="593">
        <f t="shared" si="543"/>
        <v>11.555612</v>
      </c>
      <c r="AA324" s="593">
        <f t="shared" si="543"/>
        <v>16.879501000000001</v>
      </c>
      <c r="AB324" s="593">
        <f t="shared" si="543"/>
        <v>0</v>
      </c>
      <c r="AC324" s="593">
        <f t="shared" si="543"/>
        <v>0</v>
      </c>
      <c r="AD324" s="593">
        <f t="shared" si="543"/>
        <v>0</v>
      </c>
      <c r="AF324" s="707"/>
      <c r="AG324" s="489" t="str">
        <f t="shared" si="506"/>
        <v>Realisasi</v>
      </c>
      <c r="AH324" s="593">
        <f t="shared" si="507"/>
        <v>0</v>
      </c>
      <c r="AI324" s="593">
        <f t="shared" si="508"/>
        <v>0</v>
      </c>
      <c r="AJ324" s="593">
        <f t="shared" si="509"/>
        <v>2.5170159999999999</v>
      </c>
      <c r="AK324" s="593">
        <f t="shared" si="510"/>
        <v>3.384001</v>
      </c>
      <c r="AL324" s="593">
        <f t="shared" si="511"/>
        <v>11.555612</v>
      </c>
      <c r="AM324" s="593">
        <f t="shared" si="512"/>
        <v>11.555612</v>
      </c>
      <c r="AN324" s="593">
        <f t="shared" si="513"/>
        <v>11.555612</v>
      </c>
      <c r="AO324" s="593">
        <f t="shared" si="514"/>
        <v>11.555612</v>
      </c>
      <c r="AP324" s="593">
        <f t="shared" si="515"/>
        <v>16.879501000000001</v>
      </c>
      <c r="AQ324" s="593">
        <f t="shared" si="516"/>
        <v>0</v>
      </c>
      <c r="AR324" s="593">
        <f t="shared" si="517"/>
        <v>0</v>
      </c>
      <c r="AS324" s="593">
        <f t="shared" si="518"/>
        <v>0</v>
      </c>
    </row>
    <row r="325" spans="1:45">
      <c r="A325" s="330"/>
      <c r="B325" s="705"/>
      <c r="C325" s="642" t="s">
        <v>149</v>
      </c>
      <c r="D325" s="594"/>
      <c r="E325" s="594"/>
      <c r="F325" s="594"/>
      <c r="G325" s="594"/>
      <c r="H325" s="594"/>
      <c r="I325" s="594"/>
      <c r="J325" s="594"/>
      <c r="K325" s="594"/>
      <c r="L325" s="594"/>
      <c r="M325" s="594"/>
      <c r="N325" s="594"/>
      <c r="O325" s="594"/>
      <c r="Q325" s="708"/>
      <c r="R325" s="551" t="str">
        <f t="shared" si="519"/>
        <v>%</v>
      </c>
      <c r="S325" s="595">
        <f>IF((S324/S323)*100&gt;110, 110, (S324/S323)*100)</f>
        <v>0</v>
      </c>
      <c r="T325" s="595">
        <f t="shared" ref="T325:AD325" si="544">IF((T324/T323)*100&gt;110, 110, (T324/T323)*100)</f>
        <v>0</v>
      </c>
      <c r="U325" s="595">
        <f t="shared" si="544"/>
        <v>110</v>
      </c>
      <c r="V325" s="595">
        <f t="shared" si="544"/>
        <v>110</v>
      </c>
      <c r="W325" s="595">
        <f t="shared" si="544"/>
        <v>110</v>
      </c>
      <c r="X325" s="595">
        <f t="shared" si="544"/>
        <v>110</v>
      </c>
      <c r="Y325" s="595">
        <f t="shared" si="544"/>
        <v>110</v>
      </c>
      <c r="Z325" s="595">
        <f t="shared" si="544"/>
        <v>110</v>
      </c>
      <c r="AA325" s="595">
        <f t="shared" si="544"/>
        <v>110</v>
      </c>
      <c r="AB325" s="595">
        <f t="shared" si="544"/>
        <v>0</v>
      </c>
      <c r="AC325" s="595">
        <f t="shared" si="544"/>
        <v>0</v>
      </c>
      <c r="AD325" s="595">
        <f t="shared" si="544"/>
        <v>0</v>
      </c>
      <c r="AF325" s="708"/>
      <c r="AG325" s="551" t="str">
        <f t="shared" si="506"/>
        <v>%</v>
      </c>
      <c r="AH325" s="594">
        <f t="shared" ref="AH325:AS325" si="545">IF((AH324/AH323)*100&gt;110, 110, (AH324/AH323)*100)</f>
        <v>0</v>
      </c>
      <c r="AI325" s="594">
        <f t="shared" si="545"/>
        <v>0</v>
      </c>
      <c r="AJ325" s="594">
        <f t="shared" si="545"/>
        <v>110</v>
      </c>
      <c r="AK325" s="594">
        <f t="shared" si="545"/>
        <v>110</v>
      </c>
      <c r="AL325" s="594">
        <f t="shared" si="545"/>
        <v>110</v>
      </c>
      <c r="AM325" s="594">
        <f t="shared" si="545"/>
        <v>110</v>
      </c>
      <c r="AN325" s="594">
        <f t="shared" si="545"/>
        <v>110</v>
      </c>
      <c r="AO325" s="594">
        <f t="shared" si="545"/>
        <v>110</v>
      </c>
      <c r="AP325" s="594">
        <f t="shared" si="545"/>
        <v>110</v>
      </c>
      <c r="AQ325" s="594">
        <f t="shared" si="545"/>
        <v>0</v>
      </c>
      <c r="AR325" s="594">
        <f t="shared" si="545"/>
        <v>0</v>
      </c>
      <c r="AS325" s="594">
        <f t="shared" si="545"/>
        <v>0</v>
      </c>
    </row>
    <row r="326" spans="1:45">
      <c r="A326" s="330"/>
      <c r="B326" s="466"/>
      <c r="C326" s="390"/>
      <c r="D326" s="467"/>
      <c r="E326" s="467"/>
      <c r="F326" s="467"/>
      <c r="G326" s="467"/>
      <c r="H326" s="467"/>
      <c r="I326" s="467"/>
      <c r="J326" s="467"/>
      <c r="K326" s="467"/>
      <c r="L326" s="467"/>
      <c r="M326" s="467"/>
      <c r="N326" s="467"/>
      <c r="O326" s="467"/>
      <c r="Q326" s="468"/>
      <c r="R326" s="394"/>
      <c r="S326" s="469"/>
      <c r="T326" s="469"/>
      <c r="U326" s="469"/>
      <c r="V326" s="469"/>
      <c r="W326" s="469"/>
      <c r="X326" s="469"/>
      <c r="Y326" s="469"/>
      <c r="Z326" s="469"/>
      <c r="AA326" s="469"/>
      <c r="AB326" s="469"/>
      <c r="AC326" s="469"/>
      <c r="AD326" s="469"/>
      <c r="AF326" s="468"/>
      <c r="AG326" s="394"/>
      <c r="AH326" s="467"/>
      <c r="AI326" s="467"/>
      <c r="AJ326" s="467"/>
      <c r="AK326" s="467"/>
      <c r="AL326" s="467"/>
      <c r="AM326" s="467"/>
      <c r="AN326" s="467"/>
      <c r="AO326" s="467"/>
      <c r="AP326" s="467"/>
      <c r="AQ326" s="467"/>
      <c r="AR326" s="467"/>
      <c r="AS326" s="467"/>
    </row>
    <row r="327" spans="1:45">
      <c r="D327" s="304"/>
      <c r="E327" s="304"/>
      <c r="F327" s="304"/>
      <c r="G327" s="304"/>
      <c r="H327" s="304"/>
      <c r="I327" s="304"/>
      <c r="J327" s="304"/>
      <c r="K327" s="304"/>
      <c r="L327" s="304"/>
      <c r="M327" s="304"/>
      <c r="N327" s="304"/>
      <c r="O327" s="304"/>
      <c r="S327" s="105"/>
      <c r="T327" s="105"/>
      <c r="U327" s="105"/>
      <c r="V327" s="105"/>
      <c r="W327" s="269"/>
      <c r="X327" s="269"/>
      <c r="Y327" s="105"/>
      <c r="Z327" s="105"/>
      <c r="AA327" s="105"/>
      <c r="AB327" s="105"/>
      <c r="AC327" s="105"/>
      <c r="AD327" s="105"/>
      <c r="AH327" s="105"/>
      <c r="AI327" s="304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05"/>
    </row>
    <row r="328" spans="1:45">
      <c r="A328" s="105">
        <v>10</v>
      </c>
      <c r="B328" s="21" t="s">
        <v>228</v>
      </c>
      <c r="D328" s="105"/>
      <c r="E328" s="305"/>
      <c r="F328" s="305"/>
      <c r="G328" s="305"/>
      <c r="H328" s="305"/>
      <c r="I328" s="305"/>
      <c r="J328" s="105"/>
      <c r="K328" s="105"/>
      <c r="L328" s="105"/>
      <c r="M328" s="105"/>
      <c r="N328" s="105"/>
      <c r="O328" s="105"/>
      <c r="Q328" t="str">
        <f>B328</f>
        <v>PENGENDALIAN PENGGUNAAN ANGGARAN INVESTASI SESUAI RKAP</v>
      </c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  <c r="AD328" s="105"/>
      <c r="AF328" t="str">
        <f>B328</f>
        <v>PENGENDALIAN PENGGUNAAN ANGGARAN INVESTASI SESUAI RKAP</v>
      </c>
      <c r="AH328" s="105"/>
      <c r="AI328" s="105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05"/>
    </row>
    <row r="329" spans="1:45">
      <c r="B329" s="21" t="s">
        <v>100</v>
      </c>
      <c r="C329" s="306"/>
      <c r="D329" s="304"/>
      <c r="E329" s="304"/>
      <c r="F329" s="304"/>
      <c r="G329" s="304"/>
      <c r="H329" s="304"/>
      <c r="I329" s="304"/>
      <c r="J329" s="105"/>
      <c r="K329" s="105"/>
      <c r="L329" s="105"/>
      <c r="M329" s="105"/>
      <c r="N329" s="105"/>
      <c r="O329" s="307"/>
      <c r="Q329" t="s">
        <v>126</v>
      </c>
      <c r="S329" s="306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  <c r="AD329" s="307"/>
      <c r="AF329" t="s">
        <v>127</v>
      </c>
      <c r="AH329" s="306"/>
      <c r="AI329" s="105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307"/>
    </row>
    <row r="330" spans="1:45">
      <c r="B330" s="681" t="s">
        <v>72</v>
      </c>
      <c r="C330" s="682"/>
      <c r="D330" s="638" t="s">
        <v>74</v>
      </c>
      <c r="E330" s="638" t="s">
        <v>75</v>
      </c>
      <c r="F330" s="638" t="s">
        <v>76</v>
      </c>
      <c r="G330" s="638" t="s">
        <v>77</v>
      </c>
      <c r="H330" s="638" t="s">
        <v>78</v>
      </c>
      <c r="I330" s="638" t="s">
        <v>79</v>
      </c>
      <c r="J330" s="638" t="s">
        <v>80</v>
      </c>
      <c r="K330" s="638" t="s">
        <v>81</v>
      </c>
      <c r="L330" s="638" t="s">
        <v>82</v>
      </c>
      <c r="M330" s="638" t="s">
        <v>83</v>
      </c>
      <c r="N330" s="638" t="s">
        <v>84</v>
      </c>
      <c r="O330" s="638" t="s">
        <v>85</v>
      </c>
      <c r="Q330" s="681" t="s">
        <v>72</v>
      </c>
      <c r="R330" s="682"/>
      <c r="S330" s="638" t="s">
        <v>74</v>
      </c>
      <c r="T330" s="638" t="s">
        <v>75</v>
      </c>
      <c r="U330" s="638" t="s">
        <v>76</v>
      </c>
      <c r="V330" s="638" t="s">
        <v>77</v>
      </c>
      <c r="W330" s="638" t="s">
        <v>78</v>
      </c>
      <c r="X330" s="638" t="s">
        <v>79</v>
      </c>
      <c r="Y330" s="638" t="s">
        <v>80</v>
      </c>
      <c r="Z330" s="638" t="s">
        <v>81</v>
      </c>
      <c r="AA330" s="638" t="s">
        <v>82</v>
      </c>
      <c r="AB330" s="638" t="s">
        <v>83</v>
      </c>
      <c r="AC330" s="638" t="s">
        <v>84</v>
      </c>
      <c r="AD330" s="638" t="s">
        <v>85</v>
      </c>
      <c r="AF330" s="681" t="s">
        <v>72</v>
      </c>
      <c r="AG330" s="682"/>
      <c r="AH330" s="638" t="s">
        <v>74</v>
      </c>
      <c r="AI330" s="638" t="s">
        <v>75</v>
      </c>
      <c r="AJ330" s="638" t="s">
        <v>76</v>
      </c>
      <c r="AK330" s="638" t="s">
        <v>77</v>
      </c>
      <c r="AL330" s="638" t="s">
        <v>78</v>
      </c>
      <c r="AM330" s="638" t="s">
        <v>79</v>
      </c>
      <c r="AN330" s="638" t="s">
        <v>80</v>
      </c>
      <c r="AO330" s="638" t="s">
        <v>81</v>
      </c>
      <c r="AP330" s="638" t="s">
        <v>82</v>
      </c>
      <c r="AQ330" s="638" t="s">
        <v>83</v>
      </c>
      <c r="AR330" s="638" t="s">
        <v>84</v>
      </c>
      <c r="AS330" s="638" t="s">
        <v>85</v>
      </c>
    </row>
    <row r="331" spans="1:45" ht="24.6" customHeight="1">
      <c r="B331" s="637" t="s">
        <v>90</v>
      </c>
      <c r="C331" s="596" t="s">
        <v>229</v>
      </c>
      <c r="D331" s="565" t="s">
        <v>230</v>
      </c>
      <c r="E331" s="565" t="s">
        <v>230</v>
      </c>
      <c r="F331" s="565" t="s">
        <v>230</v>
      </c>
      <c r="G331" s="565" t="s">
        <v>230</v>
      </c>
      <c r="H331" s="565" t="s">
        <v>230</v>
      </c>
      <c r="I331" s="565" t="s">
        <v>230</v>
      </c>
      <c r="J331" s="565" t="s">
        <v>230</v>
      </c>
      <c r="K331" s="565" t="s">
        <v>230</v>
      </c>
      <c r="L331" s="565" t="s">
        <v>230</v>
      </c>
      <c r="M331" s="565" t="s">
        <v>230</v>
      </c>
      <c r="N331" s="565" t="s">
        <v>230</v>
      </c>
      <c r="O331" s="565" t="s">
        <v>230</v>
      </c>
      <c r="Q331" s="637" t="s">
        <v>90</v>
      </c>
      <c r="R331" s="596" t="s">
        <v>231</v>
      </c>
      <c r="S331" s="565">
        <v>100</v>
      </c>
      <c r="T331" s="565">
        <v>100</v>
      </c>
      <c r="U331" s="565">
        <v>39.549999999999997</v>
      </c>
      <c r="V331" s="565">
        <v>58.86</v>
      </c>
      <c r="W331" s="565">
        <v>71.11</v>
      </c>
      <c r="X331" s="565">
        <v>99.43</v>
      </c>
      <c r="Y331" s="565">
        <v>100</v>
      </c>
      <c r="Z331" s="565">
        <v>93.28</v>
      </c>
      <c r="AA331" s="565">
        <v>96</v>
      </c>
      <c r="AB331" s="565"/>
      <c r="AC331" s="565"/>
      <c r="AD331" s="565"/>
      <c r="AF331" s="637" t="s">
        <v>90</v>
      </c>
      <c r="AG331" s="596" t="s">
        <v>231</v>
      </c>
      <c r="AH331" s="565">
        <f t="shared" ref="AH331:AS332" si="546">S331</f>
        <v>100</v>
      </c>
      <c r="AI331" s="565">
        <f t="shared" si="546"/>
        <v>100</v>
      </c>
      <c r="AJ331" s="565">
        <f t="shared" si="546"/>
        <v>39.549999999999997</v>
      </c>
      <c r="AK331" s="565">
        <f t="shared" si="546"/>
        <v>58.86</v>
      </c>
      <c r="AL331" s="565">
        <f t="shared" si="546"/>
        <v>71.11</v>
      </c>
      <c r="AM331" s="565">
        <f t="shared" si="546"/>
        <v>99.43</v>
      </c>
      <c r="AN331" s="565">
        <f t="shared" si="546"/>
        <v>100</v>
      </c>
      <c r="AO331" s="565">
        <f t="shared" si="546"/>
        <v>93.28</v>
      </c>
      <c r="AP331" s="565">
        <f t="shared" si="546"/>
        <v>96</v>
      </c>
      <c r="AQ331" s="565">
        <f t="shared" si="546"/>
        <v>0</v>
      </c>
      <c r="AR331" s="565">
        <f t="shared" si="546"/>
        <v>0</v>
      </c>
      <c r="AS331" s="565">
        <f t="shared" si="546"/>
        <v>0</v>
      </c>
    </row>
    <row r="332" spans="1:45" ht="24.6" customHeight="1">
      <c r="B332" s="637" t="s">
        <v>90</v>
      </c>
      <c r="C332" s="596" t="s">
        <v>232</v>
      </c>
      <c r="D332" s="597">
        <v>0</v>
      </c>
      <c r="E332" s="597">
        <v>0</v>
      </c>
      <c r="F332" s="597">
        <v>0</v>
      </c>
      <c r="G332" s="597">
        <v>0</v>
      </c>
      <c r="H332" s="597">
        <v>0</v>
      </c>
      <c r="I332" s="597">
        <v>0</v>
      </c>
      <c r="J332" s="565">
        <v>0</v>
      </c>
      <c r="K332" s="565">
        <v>0</v>
      </c>
      <c r="L332" s="565">
        <v>0</v>
      </c>
      <c r="M332" s="565">
        <v>0</v>
      </c>
      <c r="N332" s="565">
        <v>0</v>
      </c>
      <c r="O332" s="565">
        <v>3.16</v>
      </c>
      <c r="Q332" s="637" t="s">
        <v>90</v>
      </c>
      <c r="R332" s="596" t="str">
        <f>C332</f>
        <v>Usulan Penghapusan ATTB</v>
      </c>
      <c r="S332" s="565">
        <v>0</v>
      </c>
      <c r="T332" s="565">
        <v>0</v>
      </c>
      <c r="U332" s="565">
        <v>0</v>
      </c>
      <c r="V332" s="565">
        <v>0</v>
      </c>
      <c r="W332" s="565">
        <v>0</v>
      </c>
      <c r="X332" s="565">
        <v>0</v>
      </c>
      <c r="Y332" s="565">
        <v>0</v>
      </c>
      <c r="Z332" s="565">
        <v>0</v>
      </c>
      <c r="AA332" s="565">
        <v>0</v>
      </c>
      <c r="AB332" s="565"/>
      <c r="AC332" s="565"/>
      <c r="AD332" s="565"/>
      <c r="AF332" s="637" t="s">
        <v>90</v>
      </c>
      <c r="AG332" s="596" t="str">
        <f>C332</f>
        <v>Usulan Penghapusan ATTB</v>
      </c>
      <c r="AH332" s="565">
        <f t="shared" si="546"/>
        <v>0</v>
      </c>
      <c r="AI332" s="565">
        <f t="shared" si="546"/>
        <v>0</v>
      </c>
      <c r="AJ332" s="565">
        <f t="shared" si="546"/>
        <v>0</v>
      </c>
      <c r="AK332" s="565">
        <f t="shared" si="546"/>
        <v>0</v>
      </c>
      <c r="AL332" s="565">
        <f t="shared" si="546"/>
        <v>0</v>
      </c>
      <c r="AM332" s="565">
        <f t="shared" si="546"/>
        <v>0</v>
      </c>
      <c r="AN332" s="565">
        <f t="shared" si="546"/>
        <v>0</v>
      </c>
      <c r="AO332" s="565">
        <f t="shared" si="546"/>
        <v>0</v>
      </c>
      <c r="AP332" s="565">
        <f t="shared" si="546"/>
        <v>0</v>
      </c>
      <c r="AQ332" s="565">
        <f t="shared" si="546"/>
        <v>0</v>
      </c>
      <c r="AR332" s="565">
        <f t="shared" si="546"/>
        <v>0</v>
      </c>
      <c r="AS332" s="565">
        <f t="shared" si="546"/>
        <v>0</v>
      </c>
    </row>
    <row r="333" spans="1:45" ht="24.6" customHeight="1">
      <c r="B333" s="637" t="s">
        <v>90</v>
      </c>
      <c r="C333" s="596" t="s">
        <v>233</v>
      </c>
      <c r="D333" s="597">
        <v>0</v>
      </c>
      <c r="E333" s="597">
        <v>0</v>
      </c>
      <c r="F333" s="597">
        <v>0</v>
      </c>
      <c r="G333" s="597">
        <v>0</v>
      </c>
      <c r="H333" s="597">
        <v>0</v>
      </c>
      <c r="I333" s="597">
        <v>0</v>
      </c>
      <c r="J333" s="565">
        <v>0</v>
      </c>
      <c r="K333" s="565">
        <v>0</v>
      </c>
      <c r="L333" s="565">
        <v>0</v>
      </c>
      <c r="M333" s="565">
        <v>0</v>
      </c>
      <c r="N333" s="565">
        <v>0</v>
      </c>
      <c r="O333" s="565">
        <v>34.29</v>
      </c>
      <c r="Q333" s="637" t="s">
        <v>90</v>
      </c>
      <c r="R333" s="596" t="str">
        <f>C333</f>
        <v>Usulan Penghapusan PRR</v>
      </c>
      <c r="S333" s="565">
        <v>0</v>
      </c>
      <c r="T333" s="565">
        <v>0</v>
      </c>
      <c r="U333" s="565">
        <v>0</v>
      </c>
      <c r="V333" s="565">
        <v>0</v>
      </c>
      <c r="W333" s="565">
        <v>0</v>
      </c>
      <c r="X333" s="565">
        <v>0</v>
      </c>
      <c r="Y333" s="565">
        <v>0</v>
      </c>
      <c r="Z333" s="565">
        <v>0</v>
      </c>
      <c r="AA333" s="565">
        <v>0</v>
      </c>
      <c r="AB333" s="565"/>
      <c r="AC333" s="565"/>
      <c r="AD333" s="565"/>
      <c r="AF333" s="637" t="s">
        <v>90</v>
      </c>
      <c r="AG333" s="596" t="str">
        <f>C333</f>
        <v>Usulan Penghapusan PRR</v>
      </c>
      <c r="AH333" s="565">
        <f t="shared" ref="AH333" si="547">S333</f>
        <v>0</v>
      </c>
      <c r="AI333" s="565">
        <f t="shared" ref="AI333" si="548">T333</f>
        <v>0</v>
      </c>
      <c r="AJ333" s="565">
        <f t="shared" ref="AJ333" si="549">U333</f>
        <v>0</v>
      </c>
      <c r="AK333" s="565">
        <f t="shared" ref="AK333" si="550">V333</f>
        <v>0</v>
      </c>
      <c r="AL333" s="565">
        <f t="shared" ref="AL333" si="551">W333</f>
        <v>0</v>
      </c>
      <c r="AM333" s="565">
        <f t="shared" ref="AM333" si="552">X333</f>
        <v>0</v>
      </c>
      <c r="AN333" s="565">
        <f t="shared" ref="AN333" si="553">Y333</f>
        <v>0</v>
      </c>
      <c r="AO333" s="565">
        <f t="shared" ref="AO333" si="554">Z333</f>
        <v>0</v>
      </c>
      <c r="AP333" s="565">
        <f t="shared" ref="AP333" si="555">AA333</f>
        <v>0</v>
      </c>
      <c r="AQ333" s="565">
        <f t="shared" ref="AQ333" si="556">AB333</f>
        <v>0</v>
      </c>
      <c r="AR333" s="565">
        <f t="shared" ref="AR333" si="557">AC333</f>
        <v>0</v>
      </c>
      <c r="AS333" s="565">
        <f t="shared" ref="AS333" si="558">AD333</f>
        <v>0</v>
      </c>
    </row>
    <row r="334" spans="1:45" ht="13.9" customHeight="1"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  <c r="AD334" s="105"/>
      <c r="AH334" s="105"/>
      <c r="AI334" s="105"/>
      <c r="AJ334" s="105"/>
      <c r="AK334" s="105"/>
      <c r="AL334" s="105"/>
      <c r="AM334" s="105"/>
      <c r="AN334" s="105"/>
      <c r="AO334" s="105"/>
      <c r="AP334" s="105"/>
      <c r="AQ334" s="105"/>
      <c r="AR334" s="105"/>
      <c r="AS334" s="105"/>
    </row>
    <row r="335" spans="1:45">
      <c r="A335" s="105">
        <v>14</v>
      </c>
      <c r="B335" s="21" t="s">
        <v>234</v>
      </c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Q335" t="str">
        <f>B335</f>
        <v>HCR &amp; OCR</v>
      </c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  <c r="AD335" s="105"/>
      <c r="AF335" t="str">
        <f>B335</f>
        <v>HCR &amp; OCR</v>
      </c>
      <c r="AH335" s="105"/>
      <c r="AI335" s="105"/>
      <c r="AJ335" s="105"/>
      <c r="AK335" s="105"/>
      <c r="AL335" s="105"/>
      <c r="AM335" s="105"/>
      <c r="AN335" s="105"/>
      <c r="AO335" s="105"/>
      <c r="AP335" s="105"/>
      <c r="AQ335" s="105"/>
      <c r="AR335" s="105"/>
      <c r="AS335" s="105"/>
    </row>
    <row r="336" spans="1:45">
      <c r="B336" s="21" t="s">
        <v>100</v>
      </c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Q336" t="s">
        <v>126</v>
      </c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  <c r="AD336" s="105"/>
      <c r="AF336" t="s">
        <v>127</v>
      </c>
      <c r="AH336" s="105"/>
      <c r="AI336" s="105"/>
      <c r="AJ336" s="105"/>
      <c r="AK336" s="105"/>
      <c r="AL336" s="105"/>
      <c r="AM336" s="105"/>
      <c r="AN336" s="105"/>
      <c r="AO336" s="105"/>
      <c r="AP336" s="105"/>
      <c r="AQ336" s="105"/>
      <c r="AR336" s="105"/>
      <c r="AS336" s="105"/>
    </row>
    <row r="337" spans="1:62">
      <c r="A337"/>
      <c r="B337" s="681" t="s">
        <v>72</v>
      </c>
      <c r="C337" s="682"/>
      <c r="D337" s="638" t="s">
        <v>74</v>
      </c>
      <c r="E337" s="638" t="s">
        <v>75</v>
      </c>
      <c r="F337" s="638" t="s">
        <v>76</v>
      </c>
      <c r="G337" s="638" t="s">
        <v>77</v>
      </c>
      <c r="H337" s="638" t="s">
        <v>78</v>
      </c>
      <c r="I337" s="638" t="s">
        <v>79</v>
      </c>
      <c r="J337" s="638" t="s">
        <v>80</v>
      </c>
      <c r="K337" s="638" t="s">
        <v>81</v>
      </c>
      <c r="L337" s="638" t="s">
        <v>82</v>
      </c>
      <c r="M337" s="638" t="s">
        <v>83</v>
      </c>
      <c r="N337" s="638" t="s">
        <v>84</v>
      </c>
      <c r="O337" s="638" t="s">
        <v>85</v>
      </c>
      <c r="Q337" s="681" t="s">
        <v>72</v>
      </c>
      <c r="R337" s="682"/>
      <c r="S337" s="638" t="s">
        <v>74</v>
      </c>
      <c r="T337" s="638" t="s">
        <v>75</v>
      </c>
      <c r="U337" s="638" t="s">
        <v>76</v>
      </c>
      <c r="V337" s="638" t="s">
        <v>77</v>
      </c>
      <c r="W337" s="638" t="s">
        <v>78</v>
      </c>
      <c r="X337" s="638" t="s">
        <v>79</v>
      </c>
      <c r="Y337" s="638" t="s">
        <v>80</v>
      </c>
      <c r="Z337" s="638" t="s">
        <v>81</v>
      </c>
      <c r="AA337" s="638" t="s">
        <v>82</v>
      </c>
      <c r="AB337" s="638" t="s">
        <v>83</v>
      </c>
      <c r="AC337" s="638" t="s">
        <v>84</v>
      </c>
      <c r="AD337" s="638" t="s">
        <v>85</v>
      </c>
      <c r="AF337" s="681" t="s">
        <v>72</v>
      </c>
      <c r="AG337" s="682"/>
      <c r="AH337" s="638" t="s">
        <v>74</v>
      </c>
      <c r="AI337" s="638" t="s">
        <v>75</v>
      </c>
      <c r="AJ337" s="638" t="s">
        <v>76</v>
      </c>
      <c r="AK337" s="638" t="s">
        <v>77</v>
      </c>
      <c r="AL337" s="638" t="s">
        <v>78</v>
      </c>
      <c r="AM337" s="638" t="s">
        <v>79</v>
      </c>
      <c r="AN337" s="638" t="s">
        <v>80</v>
      </c>
      <c r="AO337" s="638" t="s">
        <v>81</v>
      </c>
      <c r="AP337" s="638" t="s">
        <v>82</v>
      </c>
      <c r="AQ337" s="638" t="s">
        <v>83</v>
      </c>
      <c r="AR337" s="638" t="s">
        <v>84</v>
      </c>
      <c r="AS337" s="638" t="s">
        <v>85</v>
      </c>
      <c r="AY337" s="156"/>
      <c r="AZ337" s="156"/>
      <c r="BA337" s="156"/>
      <c r="BB337" s="156"/>
      <c r="BC337" s="156"/>
      <c r="BD337" s="156"/>
      <c r="BE337" s="156"/>
      <c r="BF337" s="156"/>
      <c r="BG337" s="156"/>
      <c r="BH337" s="156"/>
      <c r="BI337" s="156"/>
      <c r="BJ337" s="156"/>
    </row>
    <row r="338" spans="1:62">
      <c r="A338"/>
      <c r="B338" s="679" t="s">
        <v>128</v>
      </c>
      <c r="C338" s="328" t="s">
        <v>235</v>
      </c>
      <c r="D338" s="508"/>
      <c r="E338" s="508"/>
      <c r="F338" s="508"/>
      <c r="G338" s="508"/>
      <c r="H338" s="508"/>
      <c r="I338" s="508"/>
      <c r="J338" s="508"/>
      <c r="K338" s="508"/>
      <c r="L338" s="508"/>
      <c r="M338" s="508"/>
      <c r="N338" s="508"/>
      <c r="O338" s="508"/>
      <c r="Q338" s="679" t="s">
        <v>128</v>
      </c>
      <c r="R338" s="328" t="str">
        <f>C338</f>
        <v>HCR (%)</v>
      </c>
      <c r="S338" s="592">
        <v>100</v>
      </c>
      <c r="T338" s="592">
        <v>100</v>
      </c>
      <c r="U338" s="592">
        <v>100</v>
      </c>
      <c r="V338" s="592">
        <v>100</v>
      </c>
      <c r="W338" s="592">
        <v>100</v>
      </c>
      <c r="X338" s="592">
        <v>100</v>
      </c>
      <c r="Y338" s="592">
        <v>100</v>
      </c>
      <c r="Z338" s="592">
        <v>100</v>
      </c>
      <c r="AA338" s="592">
        <v>100</v>
      </c>
      <c r="AB338" s="592">
        <v>100</v>
      </c>
      <c r="AC338" s="592">
        <v>100</v>
      </c>
      <c r="AD338" s="592">
        <v>100</v>
      </c>
      <c r="AF338" s="679" t="s">
        <v>128</v>
      </c>
      <c r="AG338" s="328" t="str">
        <f>R338</f>
        <v>HCR (%)</v>
      </c>
      <c r="AH338" s="508">
        <f t="shared" ref="AH338:AH341" si="559">S338</f>
        <v>100</v>
      </c>
      <c r="AI338" s="508">
        <f t="shared" ref="AI338:AI341" si="560">T338</f>
        <v>100</v>
      </c>
      <c r="AJ338" s="508">
        <f t="shared" ref="AJ338:AJ341" si="561">U338</f>
        <v>100</v>
      </c>
      <c r="AK338" s="508">
        <f t="shared" ref="AK338:AK341" si="562">V338</f>
        <v>100</v>
      </c>
      <c r="AL338" s="508">
        <f t="shared" ref="AL338:AL341" si="563">W338</f>
        <v>100</v>
      </c>
      <c r="AM338" s="508">
        <f t="shared" ref="AM338:AM341" si="564">X338</f>
        <v>100</v>
      </c>
      <c r="AN338" s="508">
        <f t="shared" ref="AN338:AN341" si="565">Y338</f>
        <v>100</v>
      </c>
      <c r="AO338" s="508">
        <f t="shared" ref="AO338:AO341" si="566">Z338</f>
        <v>100</v>
      </c>
      <c r="AP338" s="508">
        <f t="shared" ref="AP338:AP341" si="567">AA338</f>
        <v>100</v>
      </c>
      <c r="AQ338" s="508">
        <f t="shared" ref="AQ338:AQ341" si="568">AB338</f>
        <v>100</v>
      </c>
      <c r="AR338" s="508">
        <f t="shared" ref="AR338:AR341" si="569">AC338</f>
        <v>100</v>
      </c>
      <c r="AS338" s="508">
        <f t="shared" ref="AS338:AS341" si="570">AD338</f>
        <v>100</v>
      </c>
      <c r="AY338" s="156"/>
      <c r="AZ338" s="156"/>
      <c r="BA338" s="156"/>
      <c r="BB338" s="156"/>
      <c r="BC338" s="156"/>
      <c r="BD338" s="156"/>
      <c r="BE338" s="156"/>
      <c r="BF338" s="156"/>
      <c r="BG338" s="156"/>
      <c r="BH338" s="156"/>
      <c r="BI338" s="156"/>
      <c r="BJ338" s="156"/>
    </row>
    <row r="339" spans="1:62">
      <c r="A339"/>
      <c r="B339" s="679"/>
      <c r="C339" s="640" t="s">
        <v>236</v>
      </c>
      <c r="D339" s="508"/>
      <c r="E339" s="508"/>
      <c r="F339" s="508"/>
      <c r="G339" s="508"/>
      <c r="H339" s="508"/>
      <c r="I339" s="508"/>
      <c r="J339" s="508"/>
      <c r="K339" s="508"/>
      <c r="L339" s="508"/>
      <c r="M339" s="508"/>
      <c r="N339" s="508"/>
      <c r="O339" s="508"/>
      <c r="Q339" s="679"/>
      <c r="R339" s="640" t="str">
        <f t="shared" ref="R339:R341" si="571">C339</f>
        <v>OCR (%)</v>
      </c>
      <c r="S339" s="592">
        <v>100</v>
      </c>
      <c r="T339" s="592">
        <v>100</v>
      </c>
      <c r="U339" s="592">
        <v>100</v>
      </c>
      <c r="V339" s="592">
        <v>100</v>
      </c>
      <c r="W339" s="592">
        <v>100</v>
      </c>
      <c r="X339" s="592">
        <v>100</v>
      </c>
      <c r="Y339" s="592">
        <v>100</v>
      </c>
      <c r="Z339" s="592">
        <v>100</v>
      </c>
      <c r="AA339" s="592">
        <v>100</v>
      </c>
      <c r="AB339" s="592">
        <v>100</v>
      </c>
      <c r="AC339" s="592">
        <v>100</v>
      </c>
      <c r="AD339" s="592">
        <v>100</v>
      </c>
      <c r="AF339" s="679"/>
      <c r="AG339" s="640" t="str">
        <f t="shared" ref="AG339:AG341" si="572">R339</f>
        <v>OCR (%)</v>
      </c>
      <c r="AH339" s="508">
        <f t="shared" ref="AH339:AS340" si="573">S339</f>
        <v>100</v>
      </c>
      <c r="AI339" s="508">
        <f t="shared" si="573"/>
        <v>100</v>
      </c>
      <c r="AJ339" s="508">
        <f t="shared" si="573"/>
        <v>100</v>
      </c>
      <c r="AK339" s="508">
        <f t="shared" si="573"/>
        <v>100</v>
      </c>
      <c r="AL339" s="508">
        <f t="shared" si="573"/>
        <v>100</v>
      </c>
      <c r="AM339" s="508">
        <f t="shared" si="573"/>
        <v>100</v>
      </c>
      <c r="AN339" s="508">
        <f t="shared" si="573"/>
        <v>100</v>
      </c>
      <c r="AO339" s="508">
        <f t="shared" si="573"/>
        <v>100</v>
      </c>
      <c r="AP339" s="508">
        <f t="shared" si="573"/>
        <v>100</v>
      </c>
      <c r="AQ339" s="508">
        <f t="shared" si="573"/>
        <v>100</v>
      </c>
      <c r="AR339" s="508">
        <f t="shared" si="573"/>
        <v>100</v>
      </c>
      <c r="AS339" s="508">
        <f t="shared" si="573"/>
        <v>100</v>
      </c>
      <c r="AY339" s="156"/>
      <c r="AZ339" s="156"/>
      <c r="BA339" s="156"/>
      <c r="BB339" s="156"/>
      <c r="BC339" s="156"/>
      <c r="BD339" s="156"/>
      <c r="BE339" s="156"/>
      <c r="BF339" s="156"/>
      <c r="BG339" s="156"/>
      <c r="BH339" s="156"/>
      <c r="BI339" s="156"/>
      <c r="BJ339" s="156"/>
    </row>
    <row r="340" spans="1:62">
      <c r="A340"/>
      <c r="B340" s="679"/>
      <c r="C340" s="640" t="s">
        <v>237</v>
      </c>
      <c r="D340" s="508"/>
      <c r="E340" s="508"/>
      <c r="F340" s="508"/>
      <c r="G340" s="508"/>
      <c r="H340" s="508"/>
      <c r="I340" s="508"/>
      <c r="J340" s="508"/>
      <c r="K340" s="508"/>
      <c r="L340" s="508"/>
      <c r="M340" s="508"/>
      <c r="N340" s="508"/>
      <c r="O340" s="508"/>
      <c r="Q340" s="679"/>
      <c r="R340" s="640" t="str">
        <f t="shared" si="571"/>
        <v>PRODUKTIVITAS PEGAWAI</v>
      </c>
      <c r="S340" s="592">
        <v>100</v>
      </c>
      <c r="T340" s="592">
        <v>100</v>
      </c>
      <c r="U340" s="592">
        <v>100</v>
      </c>
      <c r="V340" s="592">
        <v>100</v>
      </c>
      <c r="W340" s="592">
        <v>100</v>
      </c>
      <c r="X340" s="592">
        <v>100</v>
      </c>
      <c r="Y340" s="592">
        <v>100</v>
      </c>
      <c r="Z340" s="592">
        <v>100</v>
      </c>
      <c r="AA340" s="592">
        <v>100</v>
      </c>
      <c r="AB340" s="592">
        <v>100</v>
      </c>
      <c r="AC340" s="592">
        <v>100</v>
      </c>
      <c r="AD340" s="592">
        <v>100</v>
      </c>
      <c r="AF340" s="679"/>
      <c r="AG340" s="640" t="str">
        <f t="shared" si="572"/>
        <v>PRODUKTIVITAS PEGAWAI</v>
      </c>
      <c r="AH340" s="508">
        <f t="shared" si="573"/>
        <v>100</v>
      </c>
      <c r="AI340" s="508">
        <f t="shared" si="573"/>
        <v>100</v>
      </c>
      <c r="AJ340" s="508">
        <f t="shared" si="573"/>
        <v>100</v>
      </c>
      <c r="AK340" s="508">
        <f t="shared" si="573"/>
        <v>100</v>
      </c>
      <c r="AL340" s="508">
        <f t="shared" si="573"/>
        <v>100</v>
      </c>
      <c r="AM340" s="508">
        <f t="shared" si="573"/>
        <v>100</v>
      </c>
      <c r="AN340" s="508">
        <f t="shared" si="573"/>
        <v>100</v>
      </c>
      <c r="AO340" s="508">
        <f t="shared" si="573"/>
        <v>100</v>
      </c>
      <c r="AP340" s="508">
        <f t="shared" si="573"/>
        <v>100</v>
      </c>
      <c r="AQ340" s="508">
        <f t="shared" si="573"/>
        <v>100</v>
      </c>
      <c r="AR340" s="508">
        <f t="shared" si="573"/>
        <v>100</v>
      </c>
      <c r="AS340" s="508">
        <f t="shared" si="573"/>
        <v>100</v>
      </c>
      <c r="AY340" s="156"/>
      <c r="AZ340" s="156"/>
      <c r="BA340" s="156"/>
      <c r="BB340" s="156"/>
      <c r="BC340" s="156"/>
      <c r="BD340" s="156"/>
      <c r="BE340" s="156"/>
      <c r="BF340" s="156"/>
      <c r="BG340" s="156"/>
      <c r="BH340" s="156"/>
      <c r="BI340" s="156"/>
      <c r="BJ340" s="156"/>
    </row>
    <row r="341" spans="1:62">
      <c r="A341"/>
      <c r="B341" s="679"/>
      <c r="C341" s="642" t="s">
        <v>238</v>
      </c>
      <c r="D341" s="530">
        <v>0</v>
      </c>
      <c r="E341" s="530">
        <v>0</v>
      </c>
      <c r="F341" s="530">
        <v>0</v>
      </c>
      <c r="G341" s="530">
        <v>0</v>
      </c>
      <c r="H341" s="530">
        <v>0</v>
      </c>
      <c r="I341" s="530">
        <v>100</v>
      </c>
      <c r="J341" s="530">
        <v>100</v>
      </c>
      <c r="K341" s="530">
        <v>100</v>
      </c>
      <c r="L341" s="530">
        <v>100</v>
      </c>
      <c r="M341" s="530">
        <v>100</v>
      </c>
      <c r="N341" s="530">
        <v>100</v>
      </c>
      <c r="O341" s="530">
        <v>100</v>
      </c>
      <c r="Q341" s="679"/>
      <c r="R341" s="642" t="str">
        <f t="shared" si="571"/>
        <v>HCR ,OCR &amp;  PRODUKTIVITA S PEGAWAI (%)</v>
      </c>
      <c r="S341" s="598">
        <f>AVERAGE(S338:S339)</f>
        <v>100</v>
      </c>
      <c r="T341" s="598">
        <f>AVERAGE(T338:T339)</f>
        <v>100</v>
      </c>
      <c r="U341" s="598">
        <f>AVERAGE(U338:U339)</f>
        <v>100</v>
      </c>
      <c r="V341" s="598">
        <f>AVERAGE(V338:V339)</f>
        <v>100</v>
      </c>
      <c r="W341" s="598">
        <v>100</v>
      </c>
      <c r="X341" s="598">
        <v>108.55</v>
      </c>
      <c r="Y341" s="598">
        <v>108.55</v>
      </c>
      <c r="Z341" s="598">
        <v>108.55</v>
      </c>
      <c r="AA341" s="598">
        <v>100</v>
      </c>
      <c r="AB341" s="598">
        <v>100</v>
      </c>
      <c r="AC341" s="598">
        <v>100</v>
      </c>
      <c r="AD341" s="598">
        <v>100</v>
      </c>
      <c r="AF341" s="679"/>
      <c r="AG341" s="642" t="str">
        <f t="shared" si="572"/>
        <v>HCR ,OCR &amp;  PRODUKTIVITA S PEGAWAI (%)</v>
      </c>
      <c r="AH341" s="530">
        <f t="shared" si="559"/>
        <v>100</v>
      </c>
      <c r="AI341" s="530">
        <f t="shared" si="560"/>
        <v>100</v>
      </c>
      <c r="AJ341" s="530">
        <f t="shared" si="561"/>
        <v>100</v>
      </c>
      <c r="AK341" s="530">
        <f t="shared" si="562"/>
        <v>100</v>
      </c>
      <c r="AL341" s="530">
        <f t="shared" si="563"/>
        <v>100</v>
      </c>
      <c r="AM341" s="530">
        <f t="shared" si="564"/>
        <v>108.55</v>
      </c>
      <c r="AN341" s="530">
        <f t="shared" si="565"/>
        <v>108.55</v>
      </c>
      <c r="AO341" s="530">
        <f t="shared" si="566"/>
        <v>108.55</v>
      </c>
      <c r="AP341" s="530">
        <f t="shared" si="567"/>
        <v>100</v>
      </c>
      <c r="AQ341" s="530">
        <f t="shared" si="568"/>
        <v>100</v>
      </c>
      <c r="AR341" s="530">
        <f t="shared" si="569"/>
        <v>100</v>
      </c>
      <c r="AS341" s="530">
        <f t="shared" si="570"/>
        <v>100</v>
      </c>
      <c r="AY341" s="156"/>
      <c r="AZ341" s="156"/>
      <c r="BA341" s="156"/>
      <c r="BB341" s="156"/>
      <c r="BC341" s="156"/>
      <c r="BD341" s="156"/>
      <c r="BE341" s="156"/>
      <c r="BF341" s="156"/>
      <c r="BG341" s="156"/>
      <c r="BH341" s="156"/>
      <c r="BI341" s="156"/>
      <c r="BJ341" s="156"/>
    </row>
    <row r="343" spans="1:62">
      <c r="A343" s="105">
        <v>13</v>
      </c>
      <c r="B343" s="21" t="s">
        <v>239</v>
      </c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Q343" t="str">
        <f>B343</f>
        <v>PRODUKTIVITAS UNIT</v>
      </c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  <c r="AD343" s="105"/>
      <c r="AF343" t="str">
        <f>B343</f>
        <v>PRODUKTIVITAS UNIT</v>
      </c>
      <c r="AH343" s="105"/>
      <c r="AI343" s="105"/>
      <c r="AJ343" s="105"/>
      <c r="AK343" s="105"/>
      <c r="AL343" s="105"/>
      <c r="AM343" s="105"/>
      <c r="AN343" s="105"/>
      <c r="AO343" s="105"/>
      <c r="AP343" s="105"/>
      <c r="AQ343" s="105"/>
      <c r="AR343" s="105"/>
      <c r="AS343" s="105"/>
    </row>
    <row r="344" spans="1:62">
      <c r="B344" s="21" t="s">
        <v>100</v>
      </c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Q344" t="s">
        <v>126</v>
      </c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  <c r="AD344" s="105"/>
      <c r="AF344" t="s">
        <v>127</v>
      </c>
      <c r="AH344" s="105"/>
      <c r="AI344" s="105"/>
      <c r="AJ344" s="105"/>
      <c r="AK344" s="105"/>
      <c r="AL344" s="105"/>
      <c r="AM344" s="105"/>
      <c r="AN344" s="105"/>
      <c r="AO344" s="105"/>
      <c r="AP344" s="105"/>
      <c r="AQ344" s="105"/>
      <c r="AR344" s="105"/>
      <c r="AS344" s="105"/>
    </row>
    <row r="345" spans="1:62">
      <c r="B345" s="681" t="s">
        <v>72</v>
      </c>
      <c r="C345" s="682"/>
      <c r="D345" s="638" t="s">
        <v>74</v>
      </c>
      <c r="E345" s="638" t="s">
        <v>75</v>
      </c>
      <c r="F345" s="638" t="s">
        <v>76</v>
      </c>
      <c r="G345" s="638" t="s">
        <v>77</v>
      </c>
      <c r="H345" s="638" t="s">
        <v>78</v>
      </c>
      <c r="I345" s="638" t="s">
        <v>79</v>
      </c>
      <c r="J345" s="638" t="s">
        <v>80</v>
      </c>
      <c r="K345" s="638" t="s">
        <v>81</v>
      </c>
      <c r="L345" s="638" t="s">
        <v>82</v>
      </c>
      <c r="M345" s="638" t="s">
        <v>83</v>
      </c>
      <c r="N345" s="638" t="s">
        <v>84</v>
      </c>
      <c r="O345" s="638" t="s">
        <v>85</v>
      </c>
      <c r="Q345" s="681" t="s">
        <v>72</v>
      </c>
      <c r="R345" s="682"/>
      <c r="S345" s="638" t="s">
        <v>74</v>
      </c>
      <c r="T345" s="638" t="s">
        <v>75</v>
      </c>
      <c r="U345" s="638" t="s">
        <v>76</v>
      </c>
      <c r="V345" s="638" t="s">
        <v>77</v>
      </c>
      <c r="W345" s="638" t="s">
        <v>78</v>
      </c>
      <c r="X345" s="638" t="s">
        <v>79</v>
      </c>
      <c r="Y345" s="638" t="s">
        <v>80</v>
      </c>
      <c r="Z345" s="638" t="s">
        <v>81</v>
      </c>
      <c r="AA345" s="638" t="s">
        <v>82</v>
      </c>
      <c r="AB345" s="638" t="s">
        <v>83</v>
      </c>
      <c r="AC345" s="638" t="s">
        <v>84</v>
      </c>
      <c r="AD345" s="638" t="s">
        <v>85</v>
      </c>
      <c r="AF345" s="681" t="s">
        <v>72</v>
      </c>
      <c r="AG345" s="682"/>
      <c r="AH345" s="638" t="s">
        <v>74</v>
      </c>
      <c r="AI345" s="638" t="s">
        <v>75</v>
      </c>
      <c r="AJ345" s="638" t="s">
        <v>76</v>
      </c>
      <c r="AK345" s="638" t="s">
        <v>77</v>
      </c>
      <c r="AL345" s="638" t="s">
        <v>78</v>
      </c>
      <c r="AM345" s="638" t="s">
        <v>79</v>
      </c>
      <c r="AN345" s="638" t="s">
        <v>80</v>
      </c>
      <c r="AO345" s="638" t="s">
        <v>81</v>
      </c>
      <c r="AP345" s="638" t="s">
        <v>82</v>
      </c>
      <c r="AQ345" s="638" t="s">
        <v>83</v>
      </c>
      <c r="AR345" s="638" t="s">
        <v>84</v>
      </c>
      <c r="AS345" s="638" t="s">
        <v>85</v>
      </c>
    </row>
    <row r="346" spans="1:62" ht="24.6" customHeight="1">
      <c r="B346" s="698" t="s">
        <v>90</v>
      </c>
      <c r="C346" s="699"/>
      <c r="D346" s="565">
        <v>0</v>
      </c>
      <c r="E346" s="565">
        <v>0</v>
      </c>
      <c r="F346" s="565">
        <v>0</v>
      </c>
      <c r="G346" s="565">
        <v>0</v>
      </c>
      <c r="H346" s="565">
        <v>0</v>
      </c>
      <c r="I346" s="565">
        <v>100</v>
      </c>
      <c r="J346" s="565">
        <v>100</v>
      </c>
      <c r="K346" s="565">
        <v>100</v>
      </c>
      <c r="L346" s="565">
        <v>100</v>
      </c>
      <c r="M346" s="565">
        <v>100</v>
      </c>
      <c r="N346" s="565">
        <v>100</v>
      </c>
      <c r="O346" s="565">
        <v>100</v>
      </c>
      <c r="Q346" s="637" t="str">
        <f>B346</f>
        <v>UP3 Tolitoli</v>
      </c>
      <c r="R346" s="596"/>
      <c r="S346" s="565">
        <v>100</v>
      </c>
      <c r="T346" s="565">
        <v>100</v>
      </c>
      <c r="U346" s="565">
        <v>100</v>
      </c>
      <c r="V346" s="565">
        <v>100</v>
      </c>
      <c r="W346" s="565">
        <v>100</v>
      </c>
      <c r="X346" s="599">
        <v>90</v>
      </c>
      <c r="Y346" s="600">
        <v>90</v>
      </c>
      <c r="Z346" s="600">
        <v>90</v>
      </c>
      <c r="AA346" s="600">
        <v>90</v>
      </c>
      <c r="AB346" s="565"/>
      <c r="AC346" s="565"/>
      <c r="AD346" s="565"/>
      <c r="AF346" s="637" t="str">
        <f>B346</f>
        <v>UP3 Tolitoli</v>
      </c>
      <c r="AG346" s="596"/>
      <c r="AH346" s="565">
        <f t="shared" ref="AH346" si="574">S346</f>
        <v>100</v>
      </c>
      <c r="AI346" s="565">
        <f t="shared" ref="AI346" si="575">T346</f>
        <v>100</v>
      </c>
      <c r="AJ346" s="565">
        <f t="shared" ref="AJ346" si="576">U346</f>
        <v>100</v>
      </c>
      <c r="AK346" s="565">
        <f t="shared" ref="AK346" si="577">V346</f>
        <v>100</v>
      </c>
      <c r="AL346" s="565">
        <f t="shared" ref="AL346" si="578">W346</f>
        <v>100</v>
      </c>
      <c r="AM346" s="565">
        <f t="shared" ref="AM346" si="579">X346</f>
        <v>90</v>
      </c>
      <c r="AN346" s="565">
        <f t="shared" ref="AN346" si="580">Y346</f>
        <v>90</v>
      </c>
      <c r="AO346" s="565">
        <f t="shared" ref="AO346" si="581">Z346</f>
        <v>90</v>
      </c>
      <c r="AP346" s="565">
        <f t="shared" ref="AP346" si="582">AA346</f>
        <v>90</v>
      </c>
      <c r="AQ346" s="565">
        <f t="shared" ref="AQ346" si="583">AB346</f>
        <v>0</v>
      </c>
      <c r="AR346" s="565">
        <f t="shared" ref="AR346" si="584">AC346</f>
        <v>0</v>
      </c>
      <c r="AS346" s="565">
        <f t="shared" ref="AS346" si="585">AD346</f>
        <v>0</v>
      </c>
    </row>
    <row r="347" spans="1:62" ht="24.6" customHeight="1">
      <c r="B347" s="194"/>
      <c r="C347" s="194"/>
      <c r="D347" s="297"/>
      <c r="E347" s="297"/>
      <c r="F347" s="297"/>
      <c r="G347" s="297"/>
      <c r="H347" s="297"/>
      <c r="I347" s="297"/>
      <c r="J347" s="297"/>
      <c r="K347" s="297"/>
      <c r="L347" s="297"/>
      <c r="M347" s="297"/>
      <c r="N347" s="297"/>
      <c r="O347" s="297"/>
      <c r="Q347" s="125"/>
      <c r="R347" s="124"/>
      <c r="S347" s="297"/>
      <c r="T347" s="297"/>
      <c r="U347" s="297"/>
      <c r="V347" s="297"/>
      <c r="W347" s="297"/>
      <c r="X347" s="399"/>
      <c r="Y347" s="400"/>
      <c r="Z347" s="400"/>
      <c r="AA347" s="297"/>
      <c r="AB347" s="297"/>
      <c r="AC347" s="297"/>
      <c r="AD347" s="297"/>
      <c r="AF347" s="125"/>
      <c r="AG347" s="124"/>
      <c r="AH347" s="297"/>
      <c r="AI347" s="297"/>
      <c r="AJ347" s="297"/>
      <c r="AK347" s="297"/>
      <c r="AL347" s="297"/>
      <c r="AM347" s="297"/>
      <c r="AN347" s="297"/>
      <c r="AO347" s="297"/>
      <c r="AP347" s="297"/>
      <c r="AQ347" s="297"/>
      <c r="AR347" s="297"/>
      <c r="AS347" s="297"/>
    </row>
    <row r="348" spans="1:62">
      <c r="A348" s="105">
        <v>12</v>
      </c>
      <c r="B348" s="21" t="s">
        <v>240</v>
      </c>
      <c r="C348" s="21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Q348" t="str">
        <f>B348</f>
        <v>PENGELOLAAN KOMUNIKASI DAN TJLS</v>
      </c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  <c r="AD348" s="105"/>
      <c r="AF348" t="str">
        <f>B348</f>
        <v>PENGELOLAAN KOMUNIKASI DAN TJLS</v>
      </c>
      <c r="AH348" s="105"/>
      <c r="AI348" s="105"/>
      <c r="AJ348" s="105"/>
      <c r="AK348" s="105"/>
      <c r="AL348" s="105"/>
      <c r="AM348" s="105"/>
      <c r="AN348" s="105"/>
      <c r="AO348" s="105"/>
      <c r="AP348" s="105"/>
      <c r="AQ348" s="105"/>
      <c r="AR348" s="105"/>
      <c r="AS348" s="105"/>
    </row>
    <row r="349" spans="1:62">
      <c r="B349" s="21" t="s">
        <v>100</v>
      </c>
      <c r="C349" s="21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Q349" t="s">
        <v>126</v>
      </c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  <c r="AD349" s="105"/>
      <c r="AF349" t="s">
        <v>127</v>
      </c>
      <c r="AH349" s="105"/>
      <c r="AI349" s="105"/>
      <c r="AJ349" s="105"/>
      <c r="AK349" s="105"/>
      <c r="AL349" s="105"/>
      <c r="AM349" s="105"/>
      <c r="AN349" s="105"/>
      <c r="AO349" s="105"/>
      <c r="AP349" s="105"/>
      <c r="AQ349" s="105"/>
      <c r="AR349" s="105"/>
      <c r="AS349" s="105"/>
    </row>
    <row r="350" spans="1:62">
      <c r="A350"/>
      <c r="B350" s="681" t="s">
        <v>72</v>
      </c>
      <c r="C350" s="682"/>
      <c r="D350" s="638" t="s">
        <v>74</v>
      </c>
      <c r="E350" s="638" t="s">
        <v>75</v>
      </c>
      <c r="F350" s="638" t="s">
        <v>76</v>
      </c>
      <c r="G350" s="638" t="s">
        <v>77</v>
      </c>
      <c r="H350" s="638" t="s">
        <v>78</v>
      </c>
      <c r="I350" s="638" t="s">
        <v>79</v>
      </c>
      <c r="J350" s="638" t="s">
        <v>80</v>
      </c>
      <c r="K350" s="638" t="s">
        <v>81</v>
      </c>
      <c r="L350" s="638" t="s">
        <v>82</v>
      </c>
      <c r="M350" s="638" t="s">
        <v>83</v>
      </c>
      <c r="N350" s="638" t="s">
        <v>84</v>
      </c>
      <c r="O350" s="638" t="s">
        <v>85</v>
      </c>
      <c r="Q350" s="681" t="s">
        <v>72</v>
      </c>
      <c r="R350" s="682"/>
      <c r="S350" s="638" t="s">
        <v>74</v>
      </c>
      <c r="T350" s="638" t="s">
        <v>75</v>
      </c>
      <c r="U350" s="638" t="s">
        <v>76</v>
      </c>
      <c r="V350" s="638" t="s">
        <v>77</v>
      </c>
      <c r="W350" s="638" t="s">
        <v>78</v>
      </c>
      <c r="X350" s="638" t="s">
        <v>113</v>
      </c>
      <c r="Y350" s="638" t="s">
        <v>80</v>
      </c>
      <c r="Z350" s="638" t="s">
        <v>81</v>
      </c>
      <c r="AA350" s="638" t="s">
        <v>82</v>
      </c>
      <c r="AB350" s="638" t="s">
        <v>83</v>
      </c>
      <c r="AC350" s="638" t="s">
        <v>84</v>
      </c>
      <c r="AD350" s="638" t="s">
        <v>85</v>
      </c>
      <c r="AF350" s="681" t="s">
        <v>72</v>
      </c>
      <c r="AG350" s="682"/>
      <c r="AH350" s="638" t="s">
        <v>74</v>
      </c>
      <c r="AI350" s="638" t="s">
        <v>75</v>
      </c>
      <c r="AJ350" s="638" t="s">
        <v>76</v>
      </c>
      <c r="AK350" s="638" t="s">
        <v>77</v>
      </c>
      <c r="AL350" s="638" t="s">
        <v>78</v>
      </c>
      <c r="AM350" s="638" t="s">
        <v>79</v>
      </c>
      <c r="AN350" s="638" t="s">
        <v>80</v>
      </c>
      <c r="AO350" s="638" t="s">
        <v>81</v>
      </c>
      <c r="AP350" s="638" t="s">
        <v>82</v>
      </c>
      <c r="AQ350" s="638" t="s">
        <v>83</v>
      </c>
      <c r="AR350" s="638" t="s">
        <v>84</v>
      </c>
      <c r="AS350" s="638" t="s">
        <v>85</v>
      </c>
      <c r="AY350" s="156"/>
      <c r="AZ350" s="156"/>
      <c r="BA350" s="156"/>
      <c r="BB350" s="156"/>
      <c r="BC350" s="156"/>
      <c r="BD350" s="156"/>
      <c r="BE350" s="156"/>
      <c r="BF350" s="156"/>
      <c r="BG350" s="156"/>
      <c r="BH350" s="156"/>
      <c r="BI350" s="156"/>
      <c r="BJ350" s="156"/>
    </row>
    <row r="351" spans="1:62">
      <c r="A351"/>
      <c r="B351" s="679" t="s">
        <v>90</v>
      </c>
      <c r="C351" s="328" t="s">
        <v>241</v>
      </c>
      <c r="D351" s="508"/>
      <c r="E351" s="508"/>
      <c r="F351" s="508"/>
      <c r="G351" s="508"/>
      <c r="H351" s="508"/>
      <c r="I351" s="508"/>
      <c r="J351" s="508"/>
      <c r="K351" s="508"/>
      <c r="L351" s="508"/>
      <c r="M351" s="508"/>
      <c r="N351" s="508"/>
      <c r="O351" s="508"/>
      <c r="Q351" s="679" t="s">
        <v>90</v>
      </c>
      <c r="R351" s="328" t="s">
        <v>241</v>
      </c>
      <c r="S351" s="592">
        <v>100</v>
      </c>
      <c r="T351" s="592">
        <v>100</v>
      </c>
      <c r="U351" s="592">
        <v>100</v>
      </c>
      <c r="V351" s="592">
        <v>100</v>
      </c>
      <c r="W351" s="592">
        <v>100</v>
      </c>
      <c r="X351" s="592">
        <v>106.67</v>
      </c>
      <c r="Y351" s="592">
        <v>110</v>
      </c>
      <c r="Z351" s="592">
        <v>110</v>
      </c>
      <c r="AA351" s="592">
        <v>110</v>
      </c>
      <c r="AB351" s="592">
        <v>110</v>
      </c>
      <c r="AC351" s="592">
        <v>110</v>
      </c>
      <c r="AD351" s="592">
        <v>110</v>
      </c>
      <c r="AF351" s="679" t="s">
        <v>90</v>
      </c>
      <c r="AG351" s="328" t="s">
        <v>241</v>
      </c>
      <c r="AH351" s="592">
        <f t="shared" ref="AH351:AH352" si="586">S351</f>
        <v>100</v>
      </c>
      <c r="AI351" s="592">
        <f t="shared" ref="AI351:AI353" si="587">T351</f>
        <v>100</v>
      </c>
      <c r="AJ351" s="592">
        <f t="shared" ref="AJ351:AJ353" si="588">U351</f>
        <v>100</v>
      </c>
      <c r="AK351" s="592">
        <f t="shared" ref="AK351:AK353" si="589">V351</f>
        <v>100</v>
      </c>
      <c r="AL351" s="592">
        <f t="shared" ref="AL351:AL353" si="590">W351</f>
        <v>100</v>
      </c>
      <c r="AM351" s="592">
        <f t="shared" ref="AM351:AM352" si="591">X351</f>
        <v>106.67</v>
      </c>
      <c r="AN351" s="592">
        <f t="shared" ref="AN351:AN353" si="592">Y351</f>
        <v>110</v>
      </c>
      <c r="AO351" s="592">
        <f t="shared" ref="AO351:AO353" si="593">Z351</f>
        <v>110</v>
      </c>
      <c r="AP351" s="592">
        <f t="shared" ref="AP351:AP353" si="594">AA351</f>
        <v>110</v>
      </c>
      <c r="AQ351" s="592">
        <f t="shared" ref="AQ351:AQ353" si="595">AB351</f>
        <v>110</v>
      </c>
      <c r="AR351" s="592">
        <f t="shared" ref="AR351:AR353" si="596">AC351</f>
        <v>110</v>
      </c>
      <c r="AS351" s="592">
        <f t="shared" ref="AS351:AS353" si="597">AD351</f>
        <v>110</v>
      </c>
      <c r="AY351" s="156"/>
      <c r="AZ351" s="156"/>
      <c r="BA351" s="156"/>
      <c r="BB351" s="156"/>
      <c r="BC351" s="156"/>
      <c r="BD351" s="156"/>
      <c r="BE351" s="156"/>
      <c r="BF351" s="156"/>
      <c r="BG351" s="156"/>
      <c r="BH351" s="156"/>
      <c r="BI351" s="156"/>
      <c r="BJ351" s="156"/>
    </row>
    <row r="352" spans="1:62">
      <c r="A352"/>
      <c r="B352" s="679"/>
      <c r="C352" s="640" t="s">
        <v>242</v>
      </c>
      <c r="D352" s="508"/>
      <c r="E352" s="508"/>
      <c r="F352" s="508"/>
      <c r="G352" s="508"/>
      <c r="H352" s="508"/>
      <c r="I352" s="508"/>
      <c r="J352" s="508"/>
      <c r="K352" s="508"/>
      <c r="L352" s="508"/>
      <c r="M352" s="508"/>
      <c r="N352" s="508"/>
      <c r="O352" s="508"/>
      <c r="Q352" s="679"/>
      <c r="R352" s="640" t="s">
        <v>242</v>
      </c>
      <c r="S352" s="592">
        <f>AVERAGE(S351:S351)</f>
        <v>100</v>
      </c>
      <c r="T352" s="592">
        <f>AVERAGE(T351:T351)</f>
        <v>100</v>
      </c>
      <c r="U352" s="592">
        <f>AVERAGE(U351:U351)</f>
        <v>100</v>
      </c>
      <c r="V352" s="592">
        <f>AVERAGE(V351:V351)</f>
        <v>100</v>
      </c>
      <c r="W352" s="592">
        <f>AVERAGE(W351:W351)</f>
        <v>100</v>
      </c>
      <c r="X352" s="508">
        <v>109</v>
      </c>
      <c r="Y352" s="592">
        <v>112</v>
      </c>
      <c r="Z352" s="592">
        <v>112</v>
      </c>
      <c r="AA352" s="592">
        <v>112</v>
      </c>
      <c r="AB352" s="592">
        <v>112</v>
      </c>
      <c r="AC352" s="592">
        <v>112</v>
      </c>
      <c r="AD352" s="592">
        <v>112</v>
      </c>
      <c r="AF352" s="679"/>
      <c r="AG352" s="640" t="s">
        <v>242</v>
      </c>
      <c r="AH352" s="592">
        <f t="shared" si="586"/>
        <v>100</v>
      </c>
      <c r="AI352" s="592">
        <f t="shared" si="587"/>
        <v>100</v>
      </c>
      <c r="AJ352" s="592">
        <f t="shared" si="588"/>
        <v>100</v>
      </c>
      <c r="AK352" s="592">
        <f t="shared" si="589"/>
        <v>100</v>
      </c>
      <c r="AL352" s="592">
        <f t="shared" si="590"/>
        <v>100</v>
      </c>
      <c r="AM352" s="592">
        <f t="shared" si="591"/>
        <v>109</v>
      </c>
      <c r="AN352" s="592">
        <f t="shared" si="592"/>
        <v>112</v>
      </c>
      <c r="AO352" s="592">
        <f t="shared" si="593"/>
        <v>112</v>
      </c>
      <c r="AP352" s="592">
        <f t="shared" si="594"/>
        <v>112</v>
      </c>
      <c r="AQ352" s="592">
        <f t="shared" si="595"/>
        <v>112</v>
      </c>
      <c r="AR352" s="592">
        <f t="shared" si="596"/>
        <v>112</v>
      </c>
      <c r="AS352" s="592">
        <f t="shared" si="597"/>
        <v>112</v>
      </c>
      <c r="AY352" s="156"/>
      <c r="AZ352" s="156"/>
      <c r="BA352" s="156"/>
      <c r="BB352" s="156"/>
      <c r="BC352" s="156"/>
      <c r="BD352" s="156"/>
      <c r="BE352" s="156"/>
      <c r="BF352" s="156"/>
      <c r="BG352" s="156"/>
      <c r="BH352" s="156"/>
      <c r="BI352" s="156"/>
      <c r="BJ352" s="156"/>
    </row>
    <row r="353" spans="1:62">
      <c r="A353"/>
      <c r="B353" s="679"/>
      <c r="C353" s="642" t="s">
        <v>243</v>
      </c>
      <c r="D353" s="530">
        <v>100</v>
      </c>
      <c r="E353" s="530">
        <v>100</v>
      </c>
      <c r="F353" s="530">
        <v>100</v>
      </c>
      <c r="G353" s="530">
        <v>100</v>
      </c>
      <c r="H353" s="530">
        <v>100</v>
      </c>
      <c r="I353" s="530">
        <v>100</v>
      </c>
      <c r="J353" s="530">
        <v>100</v>
      </c>
      <c r="K353" s="530">
        <v>100</v>
      </c>
      <c r="L353" s="530">
        <v>100</v>
      </c>
      <c r="M353" s="530">
        <v>100</v>
      </c>
      <c r="N353" s="530">
        <v>100</v>
      </c>
      <c r="O353" s="530">
        <v>100</v>
      </c>
      <c r="Q353" s="679" t="s">
        <v>90</v>
      </c>
      <c r="R353" s="642" t="s">
        <v>243</v>
      </c>
      <c r="S353" s="598">
        <v>100</v>
      </c>
      <c r="T353" s="598">
        <v>100</v>
      </c>
      <c r="U353" s="598">
        <v>100</v>
      </c>
      <c r="V353" s="598">
        <v>100</v>
      </c>
      <c r="W353" s="598">
        <v>100</v>
      </c>
      <c r="X353" s="530">
        <v>107.84</v>
      </c>
      <c r="Y353" s="598">
        <v>110</v>
      </c>
      <c r="Z353" s="598">
        <v>107.84</v>
      </c>
      <c r="AA353" s="598">
        <v>110</v>
      </c>
      <c r="AB353" s="598">
        <v>110</v>
      </c>
      <c r="AC353" s="598">
        <v>110</v>
      </c>
      <c r="AD353" s="598">
        <v>110</v>
      </c>
      <c r="AF353" s="679" t="s">
        <v>90</v>
      </c>
      <c r="AG353" s="642" t="s">
        <v>243</v>
      </c>
      <c r="AH353" s="598">
        <v>100</v>
      </c>
      <c r="AI353" s="598">
        <f t="shared" si="587"/>
        <v>100</v>
      </c>
      <c r="AJ353" s="598">
        <f t="shared" si="588"/>
        <v>100</v>
      </c>
      <c r="AK353" s="598">
        <f t="shared" si="589"/>
        <v>100</v>
      </c>
      <c r="AL353" s="598">
        <f t="shared" si="590"/>
        <v>100</v>
      </c>
      <c r="AM353" s="598">
        <f>AVERAGE(AM351:AM352)</f>
        <v>107.83500000000001</v>
      </c>
      <c r="AN353" s="598">
        <f t="shared" si="592"/>
        <v>110</v>
      </c>
      <c r="AO353" s="598">
        <f t="shared" si="593"/>
        <v>107.84</v>
      </c>
      <c r="AP353" s="598">
        <f t="shared" si="594"/>
        <v>110</v>
      </c>
      <c r="AQ353" s="598">
        <f t="shared" si="595"/>
        <v>110</v>
      </c>
      <c r="AR353" s="598">
        <f t="shared" si="596"/>
        <v>110</v>
      </c>
      <c r="AS353" s="598">
        <f t="shared" si="597"/>
        <v>110</v>
      </c>
      <c r="AY353" s="156"/>
      <c r="AZ353" s="156"/>
      <c r="BA353" s="156"/>
      <c r="BB353" s="156"/>
      <c r="BC353" s="156"/>
      <c r="BD353" s="156"/>
      <c r="BE353" s="156"/>
      <c r="BF353" s="156"/>
      <c r="BG353" s="156"/>
      <c r="BH353" s="156"/>
      <c r="BI353" s="156"/>
      <c r="BJ353" s="156"/>
    </row>
    <row r="356" spans="1:62">
      <c r="A356" s="105">
        <v>12</v>
      </c>
      <c r="B356" s="21" t="s">
        <v>244</v>
      </c>
      <c r="D356" s="105"/>
      <c r="E356" s="305"/>
      <c r="F356" s="305"/>
      <c r="G356" s="305"/>
      <c r="H356" s="305"/>
      <c r="I356" s="305"/>
      <c r="J356" s="105"/>
      <c r="K356" s="105"/>
      <c r="L356" s="105"/>
      <c r="M356" s="105"/>
      <c r="N356" s="105"/>
      <c r="O356" s="105"/>
      <c r="Q356" t="str">
        <f>B356</f>
        <v>PENINGKATAN LAYANAN DAN BUDAYA K3</v>
      </c>
      <c r="S356" s="26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  <c r="AD356" s="105"/>
      <c r="AF356" t="str">
        <f>B356</f>
        <v>PENINGKATAN LAYANAN DAN BUDAYA K3</v>
      </c>
      <c r="AH356" s="105"/>
      <c r="AI356" s="105"/>
      <c r="AJ356" s="105"/>
      <c r="AK356" s="105"/>
      <c r="AL356" s="105"/>
      <c r="AM356" s="105"/>
      <c r="AN356" s="105"/>
      <c r="AO356" s="105"/>
      <c r="AP356" s="105"/>
      <c r="AQ356" s="105"/>
      <c r="AR356" s="105"/>
      <c r="AS356" s="105"/>
    </row>
    <row r="357" spans="1:62">
      <c r="B357" s="21" t="s">
        <v>100</v>
      </c>
      <c r="C357" s="306"/>
      <c r="D357" s="304"/>
      <c r="E357" s="304"/>
      <c r="F357" s="304"/>
      <c r="G357" s="304"/>
      <c r="H357" s="304"/>
      <c r="I357" s="304"/>
      <c r="J357" s="105"/>
      <c r="K357" s="105"/>
      <c r="L357" s="105"/>
      <c r="M357" s="105"/>
      <c r="N357" s="105"/>
      <c r="O357" s="307"/>
      <c r="Q357" t="s">
        <v>126</v>
      </c>
      <c r="S357" s="306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  <c r="AD357" s="307"/>
      <c r="AF357" t="s">
        <v>127</v>
      </c>
      <c r="AH357" s="306"/>
      <c r="AI357" s="105"/>
      <c r="AJ357" s="105"/>
      <c r="AK357" s="105"/>
      <c r="AL357" s="105"/>
      <c r="AM357" s="105"/>
      <c r="AN357" s="105"/>
      <c r="AO357" s="105"/>
      <c r="AP357" s="105"/>
      <c r="AQ357" s="105"/>
      <c r="AR357" s="105"/>
      <c r="AS357" s="307"/>
    </row>
    <row r="358" spans="1:62">
      <c r="B358" s="681" t="s">
        <v>72</v>
      </c>
      <c r="C358" s="682"/>
      <c r="D358" s="638" t="s">
        <v>74</v>
      </c>
      <c r="E358" s="638" t="s">
        <v>75</v>
      </c>
      <c r="F358" s="638" t="s">
        <v>76</v>
      </c>
      <c r="G358" s="638" t="s">
        <v>77</v>
      </c>
      <c r="H358" s="638" t="s">
        <v>78</v>
      </c>
      <c r="I358" s="638" t="s">
        <v>79</v>
      </c>
      <c r="J358" s="638" t="s">
        <v>80</v>
      </c>
      <c r="K358" s="638" t="s">
        <v>81</v>
      </c>
      <c r="L358" s="638" t="s">
        <v>82</v>
      </c>
      <c r="M358" s="638" t="s">
        <v>83</v>
      </c>
      <c r="N358" s="638" t="s">
        <v>84</v>
      </c>
      <c r="O358" s="638" t="s">
        <v>85</v>
      </c>
      <c r="Q358" s="681" t="s">
        <v>72</v>
      </c>
      <c r="R358" s="682"/>
      <c r="S358" s="638" t="s">
        <v>74</v>
      </c>
      <c r="T358" s="638" t="s">
        <v>75</v>
      </c>
      <c r="U358" s="638" t="s">
        <v>76</v>
      </c>
      <c r="V358" s="638" t="s">
        <v>77</v>
      </c>
      <c r="W358" s="638" t="s">
        <v>78</v>
      </c>
      <c r="X358" s="638" t="s">
        <v>79</v>
      </c>
      <c r="Y358" s="638" t="s">
        <v>80</v>
      </c>
      <c r="Z358" s="638" t="s">
        <v>81</v>
      </c>
      <c r="AA358" s="638" t="s">
        <v>82</v>
      </c>
      <c r="AB358" s="638" t="s">
        <v>83</v>
      </c>
      <c r="AC358" s="638" t="s">
        <v>84</v>
      </c>
      <c r="AD358" s="638" t="s">
        <v>85</v>
      </c>
      <c r="AF358" s="681" t="s">
        <v>72</v>
      </c>
      <c r="AG358" s="682"/>
      <c r="AH358" s="638" t="s">
        <v>74</v>
      </c>
      <c r="AI358" s="638" t="s">
        <v>75</v>
      </c>
      <c r="AJ358" s="638" t="s">
        <v>76</v>
      </c>
      <c r="AK358" s="638" t="s">
        <v>77</v>
      </c>
      <c r="AL358" s="638" t="s">
        <v>78</v>
      </c>
      <c r="AM358" s="638" t="s">
        <v>79</v>
      </c>
      <c r="AN358" s="638" t="s">
        <v>80</v>
      </c>
      <c r="AO358" s="638" t="s">
        <v>81</v>
      </c>
      <c r="AP358" s="638" t="s">
        <v>82</v>
      </c>
      <c r="AQ358" s="638" t="s">
        <v>83</v>
      </c>
      <c r="AR358" s="638" t="s">
        <v>84</v>
      </c>
      <c r="AS358" s="638" t="s">
        <v>85</v>
      </c>
    </row>
    <row r="359" spans="1:62" ht="24.6" customHeight="1">
      <c r="B359" s="698" t="s">
        <v>90</v>
      </c>
      <c r="C359" s="699"/>
      <c r="D359" s="565">
        <v>100</v>
      </c>
      <c r="E359" s="565">
        <v>100</v>
      </c>
      <c r="F359" s="565">
        <v>100</v>
      </c>
      <c r="G359" s="565">
        <v>100</v>
      </c>
      <c r="H359" s="565">
        <v>100</v>
      </c>
      <c r="I359" s="565">
        <v>100</v>
      </c>
      <c r="J359" s="565">
        <v>100</v>
      </c>
      <c r="K359" s="565">
        <v>100</v>
      </c>
      <c r="L359" s="565">
        <v>100</v>
      </c>
      <c r="M359" s="565">
        <v>100</v>
      </c>
      <c r="N359" s="565">
        <v>100</v>
      </c>
      <c r="O359" s="565">
        <v>100</v>
      </c>
      <c r="Q359" s="637" t="s">
        <v>90</v>
      </c>
      <c r="R359" s="596" t="s">
        <v>245</v>
      </c>
      <c r="S359" s="565">
        <v>100</v>
      </c>
      <c r="T359" s="565">
        <v>100</v>
      </c>
      <c r="U359" s="565">
        <v>100</v>
      </c>
      <c r="V359" s="565">
        <v>100</v>
      </c>
      <c r="W359" s="565">
        <v>100</v>
      </c>
      <c r="X359" s="565">
        <v>100</v>
      </c>
      <c r="Y359" s="565">
        <v>100</v>
      </c>
      <c r="Z359" s="565">
        <v>100</v>
      </c>
      <c r="AA359" s="565">
        <v>100</v>
      </c>
      <c r="AB359" s="565"/>
      <c r="AC359" s="565"/>
      <c r="AD359" s="565"/>
      <c r="AF359" s="637" t="s">
        <v>90</v>
      </c>
      <c r="AG359" s="596" t="s">
        <v>245</v>
      </c>
      <c r="AH359" s="565">
        <f t="shared" ref="AH359" si="598">S359</f>
        <v>100</v>
      </c>
      <c r="AI359" s="565">
        <f t="shared" ref="AI359" si="599">T359</f>
        <v>100</v>
      </c>
      <c r="AJ359" s="565">
        <f t="shared" ref="AJ359" si="600">U359</f>
        <v>100</v>
      </c>
      <c r="AK359" s="565">
        <f t="shared" ref="AK359" si="601">V359</f>
        <v>100</v>
      </c>
      <c r="AL359" s="565">
        <f t="shared" ref="AL359" si="602">W359</f>
        <v>100</v>
      </c>
      <c r="AM359" s="565">
        <f t="shared" ref="AM359" si="603">X359</f>
        <v>100</v>
      </c>
      <c r="AN359" s="565">
        <f t="shared" ref="AN359" si="604">Y359</f>
        <v>100</v>
      </c>
      <c r="AO359" s="565">
        <f t="shared" ref="AO359" si="605">Z359</f>
        <v>100</v>
      </c>
      <c r="AP359" s="565">
        <f t="shared" ref="AP359" si="606">AA359</f>
        <v>100</v>
      </c>
      <c r="AQ359" s="565">
        <f t="shared" ref="AQ359" si="607">AB359</f>
        <v>0</v>
      </c>
      <c r="AR359" s="565">
        <f t="shared" ref="AR359" si="608">AC359</f>
        <v>0</v>
      </c>
      <c r="AS359" s="601">
        <f t="shared" ref="AS359" si="609">AD359</f>
        <v>0</v>
      </c>
    </row>
    <row r="360" spans="1:62" ht="19.149999999999999" customHeight="1">
      <c r="B360" s="194"/>
      <c r="C360" s="194"/>
      <c r="D360" s="297"/>
      <c r="E360" s="297"/>
      <c r="F360" s="297"/>
      <c r="G360" s="297"/>
      <c r="H360" s="297"/>
      <c r="I360" s="297"/>
      <c r="J360" s="297"/>
      <c r="K360" s="297"/>
      <c r="L360" s="297"/>
      <c r="M360" s="297"/>
      <c r="N360" s="297"/>
      <c r="O360" s="297"/>
      <c r="Q360" s="125"/>
      <c r="R360" s="124"/>
      <c r="S360" s="297"/>
      <c r="T360" s="297"/>
      <c r="U360" s="297"/>
      <c r="V360" s="297"/>
      <c r="W360" s="297"/>
      <c r="X360" s="297"/>
      <c r="Y360" s="297"/>
      <c r="Z360" s="297"/>
      <c r="AA360" s="297"/>
      <c r="AB360" s="297"/>
      <c r="AC360" s="297"/>
      <c r="AD360" s="297"/>
      <c r="AF360" s="125"/>
      <c r="AG360" s="124"/>
      <c r="AH360" s="297"/>
      <c r="AI360" s="297"/>
      <c r="AJ360" s="297"/>
      <c r="AK360" s="297"/>
      <c r="AL360" s="297"/>
      <c r="AM360" s="297"/>
      <c r="AN360" s="297"/>
      <c r="AO360" s="297"/>
      <c r="AP360" s="297"/>
      <c r="AQ360" s="297"/>
      <c r="AR360" s="297"/>
      <c r="AS360" s="401"/>
    </row>
    <row r="361" spans="1:62">
      <c r="A361" s="105">
        <v>12</v>
      </c>
      <c r="B361" s="21" t="s">
        <v>246</v>
      </c>
      <c r="D361" s="105"/>
      <c r="E361" s="305"/>
      <c r="F361" s="305"/>
      <c r="G361" s="305"/>
      <c r="H361" s="305"/>
      <c r="I361" s="305"/>
      <c r="J361" s="105"/>
      <c r="K361" s="105"/>
      <c r="L361" s="105"/>
      <c r="M361" s="105"/>
      <c r="N361" s="105"/>
      <c r="O361" s="105"/>
      <c r="Q361" t="str">
        <f>B361</f>
        <v>PERBAIKAN PROSES BISNIS DAN KEBERLANJUTAN</v>
      </c>
      <c r="S361" s="26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  <c r="AD361" s="105"/>
      <c r="AF361" t="str">
        <f>B361</f>
        <v>PERBAIKAN PROSES BISNIS DAN KEBERLANJUTAN</v>
      </c>
      <c r="AH361" s="105"/>
      <c r="AI361" s="105"/>
      <c r="AJ361" s="105"/>
      <c r="AK361" s="105"/>
      <c r="AL361" s="105"/>
      <c r="AM361" s="105"/>
      <c r="AN361" s="105"/>
      <c r="AO361" s="105"/>
      <c r="AP361" s="105"/>
      <c r="AQ361" s="105"/>
      <c r="AR361" s="105"/>
      <c r="AS361" s="105"/>
    </row>
    <row r="362" spans="1:62">
      <c r="B362" s="21" t="s">
        <v>100</v>
      </c>
      <c r="C362" s="306"/>
      <c r="D362" s="304"/>
      <c r="E362" s="304"/>
      <c r="F362" s="304"/>
      <c r="G362" s="304"/>
      <c r="H362" s="304"/>
      <c r="I362" s="304"/>
      <c r="J362" s="105"/>
      <c r="K362" s="105"/>
      <c r="L362" s="105"/>
      <c r="M362" s="105"/>
      <c r="N362" s="105"/>
      <c r="O362" s="307"/>
      <c r="Q362" t="s">
        <v>126</v>
      </c>
      <c r="S362" s="306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  <c r="AD362" s="307"/>
      <c r="AF362" t="s">
        <v>127</v>
      </c>
      <c r="AH362" s="306"/>
      <c r="AI362" s="105"/>
      <c r="AJ362" s="105"/>
      <c r="AK362" s="105"/>
      <c r="AL362" s="105"/>
      <c r="AM362" s="105"/>
      <c r="AN362" s="105"/>
      <c r="AO362" s="105"/>
      <c r="AP362" s="105"/>
      <c r="AQ362" s="105"/>
      <c r="AR362" s="105"/>
      <c r="AS362" s="307"/>
    </row>
    <row r="363" spans="1:62">
      <c r="B363" s="681" t="s">
        <v>72</v>
      </c>
      <c r="C363" s="682"/>
      <c r="D363" s="638" t="s">
        <v>74</v>
      </c>
      <c r="E363" s="638" t="s">
        <v>75</v>
      </c>
      <c r="F363" s="638" t="s">
        <v>76</v>
      </c>
      <c r="G363" s="638" t="s">
        <v>77</v>
      </c>
      <c r="H363" s="638" t="s">
        <v>78</v>
      </c>
      <c r="I363" s="638" t="s">
        <v>79</v>
      </c>
      <c r="J363" s="638" t="s">
        <v>80</v>
      </c>
      <c r="K363" s="638" t="s">
        <v>81</v>
      </c>
      <c r="L363" s="638" t="s">
        <v>82</v>
      </c>
      <c r="M363" s="638" t="s">
        <v>83</v>
      </c>
      <c r="N363" s="638" t="s">
        <v>84</v>
      </c>
      <c r="O363" s="638" t="s">
        <v>85</v>
      </c>
      <c r="Q363" s="681" t="s">
        <v>72</v>
      </c>
      <c r="R363" s="682"/>
      <c r="S363" s="638" t="s">
        <v>74</v>
      </c>
      <c r="T363" s="638" t="s">
        <v>75</v>
      </c>
      <c r="U363" s="638" t="s">
        <v>76</v>
      </c>
      <c r="V363" s="638" t="s">
        <v>77</v>
      </c>
      <c r="W363" s="638" t="s">
        <v>78</v>
      </c>
      <c r="X363" s="638" t="s">
        <v>79</v>
      </c>
      <c r="Y363" s="638" t="s">
        <v>80</v>
      </c>
      <c r="Z363" s="638" t="s">
        <v>81</v>
      </c>
      <c r="AA363" s="638" t="s">
        <v>82</v>
      </c>
      <c r="AB363" s="638" t="s">
        <v>83</v>
      </c>
      <c r="AC363" s="638" t="s">
        <v>84</v>
      </c>
      <c r="AD363" s="638" t="s">
        <v>85</v>
      </c>
      <c r="AF363" s="681" t="s">
        <v>72</v>
      </c>
      <c r="AG363" s="682"/>
      <c r="AH363" s="638" t="s">
        <v>74</v>
      </c>
      <c r="AI363" s="638" t="s">
        <v>75</v>
      </c>
      <c r="AJ363" s="638" t="s">
        <v>76</v>
      </c>
      <c r="AK363" s="638" t="s">
        <v>77</v>
      </c>
      <c r="AL363" s="638" t="s">
        <v>78</v>
      </c>
      <c r="AM363" s="638" t="s">
        <v>79</v>
      </c>
      <c r="AN363" s="638" t="s">
        <v>80</v>
      </c>
      <c r="AO363" s="638" t="s">
        <v>81</v>
      </c>
      <c r="AP363" s="638" t="s">
        <v>82</v>
      </c>
      <c r="AQ363" s="638" t="s">
        <v>83</v>
      </c>
      <c r="AR363" s="638" t="s">
        <v>84</v>
      </c>
      <c r="AS363" s="638" t="s">
        <v>85</v>
      </c>
    </row>
    <row r="364" spans="1:62" ht="24.6" customHeight="1">
      <c r="B364" s="303" t="s">
        <v>90</v>
      </c>
      <c r="C364" s="481" t="s">
        <v>247</v>
      </c>
      <c r="D364" s="565">
        <v>100</v>
      </c>
      <c r="E364" s="565">
        <v>100</v>
      </c>
      <c r="F364" s="565">
        <v>100</v>
      </c>
      <c r="G364" s="565">
        <v>100</v>
      </c>
      <c r="H364" s="565">
        <v>100</v>
      </c>
      <c r="I364" s="565">
        <v>100</v>
      </c>
      <c r="J364" s="565">
        <v>100</v>
      </c>
      <c r="K364" s="565">
        <v>100</v>
      </c>
      <c r="L364" s="565">
        <v>100</v>
      </c>
      <c r="M364" s="565">
        <v>100</v>
      </c>
      <c r="N364" s="565">
        <v>100</v>
      </c>
      <c r="O364" s="565">
        <v>100</v>
      </c>
      <c r="Q364" s="637" t="s">
        <v>90</v>
      </c>
      <c r="R364" s="596" t="str">
        <f>C364</f>
        <v xml:space="preserve"> Implementasi PLN Bisnis Ekselen</v>
      </c>
      <c r="S364" s="565">
        <v>100</v>
      </c>
      <c r="T364" s="565">
        <v>100</v>
      </c>
      <c r="U364" s="565">
        <v>100</v>
      </c>
      <c r="V364" s="565">
        <v>100</v>
      </c>
      <c r="W364" s="565">
        <v>100</v>
      </c>
      <c r="X364" s="565">
        <v>114.98</v>
      </c>
      <c r="Y364" s="565">
        <v>114.98</v>
      </c>
      <c r="Z364" s="565">
        <v>100</v>
      </c>
      <c r="AA364" s="565">
        <v>100</v>
      </c>
      <c r="AB364" s="565"/>
      <c r="AC364" s="565"/>
      <c r="AD364" s="565"/>
      <c r="AF364" s="637" t="s">
        <v>90</v>
      </c>
      <c r="AG364" s="596" t="s">
        <v>245</v>
      </c>
      <c r="AH364" s="565">
        <f t="shared" ref="AH364:AS364" si="610">S364</f>
        <v>100</v>
      </c>
      <c r="AI364" s="565">
        <f t="shared" si="610"/>
        <v>100</v>
      </c>
      <c r="AJ364" s="565">
        <f t="shared" si="610"/>
        <v>100</v>
      </c>
      <c r="AK364" s="565">
        <f t="shared" si="610"/>
        <v>100</v>
      </c>
      <c r="AL364" s="565">
        <f t="shared" si="610"/>
        <v>100</v>
      </c>
      <c r="AM364" s="565">
        <f t="shared" si="610"/>
        <v>114.98</v>
      </c>
      <c r="AN364" s="565">
        <f t="shared" si="610"/>
        <v>114.98</v>
      </c>
      <c r="AO364" s="565">
        <f t="shared" si="610"/>
        <v>100</v>
      </c>
      <c r="AP364" s="565">
        <f t="shared" si="610"/>
        <v>100</v>
      </c>
      <c r="AQ364" s="565">
        <f t="shared" si="610"/>
        <v>0</v>
      </c>
      <c r="AR364" s="565">
        <f t="shared" si="610"/>
        <v>0</v>
      </c>
      <c r="AS364" s="601">
        <f t="shared" si="610"/>
        <v>0</v>
      </c>
    </row>
    <row r="365" spans="1:62" ht="24.6" customHeight="1">
      <c r="B365" s="303" t="s">
        <v>90</v>
      </c>
      <c r="C365" s="481" t="s">
        <v>248</v>
      </c>
      <c r="D365" s="565">
        <v>0</v>
      </c>
      <c r="E365" s="565">
        <v>2</v>
      </c>
      <c r="F365" s="565">
        <v>2.5</v>
      </c>
      <c r="G365" s="565">
        <v>2.65</v>
      </c>
      <c r="H365" s="565">
        <v>2.8</v>
      </c>
      <c r="I365" s="565">
        <v>3</v>
      </c>
      <c r="J365" s="565">
        <v>3.15</v>
      </c>
      <c r="K365" s="565">
        <v>3.3</v>
      </c>
      <c r="L365" s="565">
        <v>3.5</v>
      </c>
      <c r="M365" s="565">
        <v>3.65</v>
      </c>
      <c r="N365" s="565">
        <v>3.8</v>
      </c>
      <c r="O365" s="565">
        <v>4</v>
      </c>
      <c r="Q365" s="637" t="s">
        <v>90</v>
      </c>
      <c r="R365" s="596" t="str">
        <f t="shared" ref="R365:R367" si="611">C365</f>
        <v>Maturity Level Gudang</v>
      </c>
      <c r="S365" s="565">
        <v>0</v>
      </c>
      <c r="T365" s="565">
        <v>1.26</v>
      </c>
      <c r="U365" s="565">
        <v>2.5049999999999994</v>
      </c>
      <c r="V365" s="565">
        <v>3.01</v>
      </c>
      <c r="W365" s="565">
        <v>2.92</v>
      </c>
      <c r="X365" s="565">
        <v>3.023333333333333</v>
      </c>
      <c r="Y365" s="565">
        <v>3.38</v>
      </c>
      <c r="Z365" s="565">
        <v>3.24</v>
      </c>
      <c r="AA365" s="565">
        <v>3.5</v>
      </c>
      <c r="AB365" s="565"/>
      <c r="AC365" s="565"/>
      <c r="AD365" s="565"/>
      <c r="AF365" s="637" t="s">
        <v>90</v>
      </c>
      <c r="AG365" s="596" t="s">
        <v>245</v>
      </c>
      <c r="AH365" s="565">
        <f t="shared" ref="AH365:AH366" si="612">S365</f>
        <v>0</v>
      </c>
      <c r="AI365" s="565">
        <f t="shared" ref="AI365:AI366" si="613">T365</f>
        <v>1.26</v>
      </c>
      <c r="AJ365" s="565">
        <f t="shared" ref="AJ365:AJ366" si="614">U365</f>
        <v>2.5049999999999994</v>
      </c>
      <c r="AK365" s="565">
        <f t="shared" ref="AK365:AK366" si="615">V365</f>
        <v>3.01</v>
      </c>
      <c r="AL365" s="565">
        <f t="shared" ref="AL365:AL366" si="616">W365</f>
        <v>2.92</v>
      </c>
      <c r="AM365" s="565">
        <f t="shared" ref="AM365:AM366" si="617">X365</f>
        <v>3.023333333333333</v>
      </c>
      <c r="AN365" s="565">
        <f t="shared" ref="AN365:AN366" si="618">Y365</f>
        <v>3.38</v>
      </c>
      <c r="AO365" s="565">
        <f t="shared" ref="AO365:AO366" si="619">Z365</f>
        <v>3.24</v>
      </c>
      <c r="AP365" s="565">
        <f t="shared" ref="AP365:AP366" si="620">AA365</f>
        <v>3.5</v>
      </c>
      <c r="AQ365" s="565">
        <f t="shared" ref="AQ365:AQ366" si="621">AB365</f>
        <v>0</v>
      </c>
      <c r="AR365" s="565">
        <f t="shared" ref="AR365:AR366" si="622">AC365</f>
        <v>0</v>
      </c>
      <c r="AS365" s="601">
        <f t="shared" ref="AS365:AS366" si="623">AD365</f>
        <v>0</v>
      </c>
    </row>
    <row r="366" spans="1:62" ht="24.6" customHeight="1">
      <c r="B366" s="303" t="s">
        <v>90</v>
      </c>
      <c r="C366" s="481" t="s">
        <v>249</v>
      </c>
      <c r="D366" s="565">
        <v>100</v>
      </c>
      <c r="E366" s="565">
        <v>100</v>
      </c>
      <c r="F366" s="565">
        <v>100</v>
      </c>
      <c r="G366" s="565">
        <v>100</v>
      </c>
      <c r="H366" s="565">
        <v>100</v>
      </c>
      <c r="I366" s="565">
        <v>100</v>
      </c>
      <c r="J366" s="565">
        <v>100</v>
      </c>
      <c r="K366" s="565">
        <v>100</v>
      </c>
      <c r="L366" s="565">
        <v>100</v>
      </c>
      <c r="M366" s="565">
        <v>100</v>
      </c>
      <c r="N366" s="565">
        <v>100</v>
      </c>
      <c r="O366" s="565">
        <v>100</v>
      </c>
      <c r="Q366" s="637" t="s">
        <v>90</v>
      </c>
      <c r="R366" s="596" t="str">
        <f t="shared" si="611"/>
        <v>Maturity Level Sustainbility</v>
      </c>
      <c r="S366" s="565">
        <v>100</v>
      </c>
      <c r="T366" s="565">
        <v>100</v>
      </c>
      <c r="U366" s="565">
        <v>100</v>
      </c>
      <c r="V366" s="565">
        <v>100</v>
      </c>
      <c r="W366" s="565">
        <v>100</v>
      </c>
      <c r="X366" s="565">
        <v>110</v>
      </c>
      <c r="Y366" s="565">
        <v>110</v>
      </c>
      <c r="Z366" s="565">
        <v>110</v>
      </c>
      <c r="AA366" s="565">
        <v>110</v>
      </c>
      <c r="AB366" s="565"/>
      <c r="AC366" s="565"/>
      <c r="AD366" s="565"/>
      <c r="AF366" s="637" t="s">
        <v>90</v>
      </c>
      <c r="AG366" s="596" t="s">
        <v>245</v>
      </c>
      <c r="AH366" s="565">
        <f t="shared" si="612"/>
        <v>100</v>
      </c>
      <c r="AI366" s="565">
        <f t="shared" si="613"/>
        <v>100</v>
      </c>
      <c r="AJ366" s="565">
        <f t="shared" si="614"/>
        <v>100</v>
      </c>
      <c r="AK366" s="565">
        <f t="shared" si="615"/>
        <v>100</v>
      </c>
      <c r="AL366" s="565">
        <f t="shared" si="616"/>
        <v>100</v>
      </c>
      <c r="AM366" s="565">
        <f t="shared" si="617"/>
        <v>110</v>
      </c>
      <c r="AN366" s="565">
        <f t="shared" si="618"/>
        <v>110</v>
      </c>
      <c r="AO366" s="565">
        <f t="shared" si="619"/>
        <v>110</v>
      </c>
      <c r="AP366" s="565">
        <f t="shared" si="620"/>
        <v>110</v>
      </c>
      <c r="AQ366" s="565">
        <f t="shared" si="621"/>
        <v>0</v>
      </c>
      <c r="AR366" s="565">
        <f t="shared" si="622"/>
        <v>0</v>
      </c>
      <c r="AS366" s="601">
        <f t="shared" si="623"/>
        <v>0</v>
      </c>
    </row>
    <row r="367" spans="1:62" ht="39" customHeight="1">
      <c r="B367" s="303" t="s">
        <v>90</v>
      </c>
      <c r="C367" s="482" t="s">
        <v>250</v>
      </c>
      <c r="D367" s="565">
        <v>100</v>
      </c>
      <c r="E367" s="565">
        <v>100</v>
      </c>
      <c r="F367" s="565">
        <v>100</v>
      </c>
      <c r="G367" s="565">
        <v>100</v>
      </c>
      <c r="H367" s="565">
        <v>100</v>
      </c>
      <c r="I367" s="565">
        <v>100</v>
      </c>
      <c r="J367" s="565">
        <v>100</v>
      </c>
      <c r="K367" s="565">
        <v>100</v>
      </c>
      <c r="L367" s="565">
        <v>100</v>
      </c>
      <c r="M367" s="565">
        <v>100</v>
      </c>
      <c r="N367" s="565">
        <v>100</v>
      </c>
      <c r="O367" s="565">
        <v>100</v>
      </c>
      <c r="Q367" s="637" t="s">
        <v>90</v>
      </c>
      <c r="R367" s="596" t="str">
        <f t="shared" si="611"/>
        <v>Implementasi Roadmap Perbaikan Penerapan Manajemen Risiko dan Pencapaian</v>
      </c>
      <c r="S367" s="565">
        <v>100</v>
      </c>
      <c r="T367" s="565">
        <v>100</v>
      </c>
      <c r="U367" s="565">
        <v>100</v>
      </c>
      <c r="V367" s="565">
        <v>100</v>
      </c>
      <c r="W367" s="565">
        <v>100</v>
      </c>
      <c r="X367" s="565">
        <v>100</v>
      </c>
      <c r="Y367" s="565">
        <v>100</v>
      </c>
      <c r="Z367" s="565">
        <v>100</v>
      </c>
      <c r="AA367" s="565">
        <v>100</v>
      </c>
      <c r="AB367" s="565"/>
      <c r="AC367" s="565"/>
      <c r="AD367" s="565"/>
      <c r="AF367" s="637" t="s">
        <v>90</v>
      </c>
      <c r="AG367" s="596" t="s">
        <v>245</v>
      </c>
      <c r="AH367" s="565">
        <f t="shared" ref="AH367" si="624">S367</f>
        <v>100</v>
      </c>
      <c r="AI367" s="565">
        <f t="shared" ref="AI367" si="625">T367</f>
        <v>100</v>
      </c>
      <c r="AJ367" s="565">
        <f t="shared" ref="AJ367" si="626">U367</f>
        <v>100</v>
      </c>
      <c r="AK367" s="565">
        <f t="shared" ref="AK367" si="627">V367</f>
        <v>100</v>
      </c>
      <c r="AL367" s="565">
        <f t="shared" ref="AL367" si="628">W367</f>
        <v>100</v>
      </c>
      <c r="AM367" s="565">
        <f t="shared" ref="AM367" si="629">X367</f>
        <v>100</v>
      </c>
      <c r="AN367" s="565">
        <f t="shared" ref="AN367" si="630">Y367</f>
        <v>100</v>
      </c>
      <c r="AO367" s="565">
        <f t="shared" ref="AO367" si="631">Z367</f>
        <v>100</v>
      </c>
      <c r="AP367" s="565">
        <f t="shared" ref="AP367" si="632">AA367</f>
        <v>100</v>
      </c>
      <c r="AQ367" s="565">
        <f t="shared" ref="AQ367" si="633">AB367</f>
        <v>0</v>
      </c>
      <c r="AR367" s="565">
        <f t="shared" ref="AR367" si="634">AC367</f>
        <v>0</v>
      </c>
      <c r="AS367" s="601">
        <f t="shared" ref="AS367" si="635">AD367</f>
        <v>0</v>
      </c>
    </row>
    <row r="368" spans="1:62" ht="13.9" customHeight="1"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S368" s="105"/>
      <c r="T368" s="105"/>
      <c r="U368" s="105"/>
      <c r="V368" s="105"/>
      <c r="W368" s="105"/>
      <c r="X368" s="105"/>
      <c r="Y368" s="305"/>
      <c r="Z368" s="105"/>
      <c r="AA368" s="105"/>
      <c r="AB368" s="105"/>
      <c r="AC368" s="105"/>
      <c r="AD368" s="105"/>
      <c r="AH368" s="105"/>
      <c r="AI368" s="105"/>
      <c r="AJ368" s="105"/>
      <c r="AK368" s="105"/>
      <c r="AL368" s="105"/>
      <c r="AM368" s="105"/>
      <c r="AN368" s="105"/>
      <c r="AO368" s="105"/>
      <c r="AP368" s="105"/>
      <c r="AQ368" s="105"/>
      <c r="AR368" s="105"/>
      <c r="AS368" s="105"/>
    </row>
  </sheetData>
  <mergeCells count="271">
    <mergeCell ref="B137:B138"/>
    <mergeCell ref="Q137:Q138"/>
    <mergeCell ref="AF137:AF138"/>
    <mergeCell ref="B139:B140"/>
    <mergeCell ref="Q139:Q140"/>
    <mergeCell ref="AF139:AF140"/>
    <mergeCell ref="Q129:Q130"/>
    <mergeCell ref="AF129:AF130"/>
    <mergeCell ref="B131:B132"/>
    <mergeCell ref="Q131:Q132"/>
    <mergeCell ref="AF131:AF132"/>
    <mergeCell ref="B133:B134"/>
    <mergeCell ref="Q133:Q134"/>
    <mergeCell ref="AF133:AF134"/>
    <mergeCell ref="B135:B136"/>
    <mergeCell ref="Q135:Q136"/>
    <mergeCell ref="AF135:AF136"/>
    <mergeCell ref="B128:C128"/>
    <mergeCell ref="Q128:R128"/>
    <mergeCell ref="AF128:AG128"/>
    <mergeCell ref="Q117:Q118"/>
    <mergeCell ref="Q112:R112"/>
    <mergeCell ref="Q113:Q114"/>
    <mergeCell ref="Q115:Q116"/>
    <mergeCell ref="AF113:AF114"/>
    <mergeCell ref="AF115:AF116"/>
    <mergeCell ref="B112:C112"/>
    <mergeCell ref="B113:B114"/>
    <mergeCell ref="AF117:AF118"/>
    <mergeCell ref="AF112:AG112"/>
    <mergeCell ref="B40:B42"/>
    <mergeCell ref="Q40:Q42"/>
    <mergeCell ref="AF40:AF42"/>
    <mergeCell ref="B43:B45"/>
    <mergeCell ref="Q43:Q45"/>
    <mergeCell ref="AF43:AF45"/>
    <mergeCell ref="B96:C96"/>
    <mergeCell ref="Q96:R96"/>
    <mergeCell ref="AF96:AG96"/>
    <mergeCell ref="AF78:AF80"/>
    <mergeCell ref="AF81:AF83"/>
    <mergeCell ref="AF84:AF86"/>
    <mergeCell ref="AF87:AF89"/>
    <mergeCell ref="AF90:AF92"/>
    <mergeCell ref="Q81:Q83"/>
    <mergeCell ref="B52:C52"/>
    <mergeCell ref="Q52:R52"/>
    <mergeCell ref="Q53:Q55"/>
    <mergeCell ref="Q56:Q58"/>
    <mergeCell ref="Q59:Q61"/>
    <mergeCell ref="Q62:Q64"/>
    <mergeCell ref="B53:B55"/>
    <mergeCell ref="B56:B58"/>
    <mergeCell ref="B59:B61"/>
    <mergeCell ref="AF17:AF19"/>
    <mergeCell ref="B20:B22"/>
    <mergeCell ref="Q20:Q22"/>
    <mergeCell ref="AF20:AF22"/>
    <mergeCell ref="B34:B36"/>
    <mergeCell ref="Q34:Q36"/>
    <mergeCell ref="AF34:AF36"/>
    <mergeCell ref="B37:B39"/>
    <mergeCell ref="Q37:Q39"/>
    <mergeCell ref="AF37:AF39"/>
    <mergeCell ref="B264:B266"/>
    <mergeCell ref="AF250:AF252"/>
    <mergeCell ref="B7:C7"/>
    <mergeCell ref="Q7:R7"/>
    <mergeCell ref="AF7:AG7"/>
    <mergeCell ref="B8:B10"/>
    <mergeCell ref="Q8:Q10"/>
    <mergeCell ref="AF8:AF10"/>
    <mergeCell ref="B11:B13"/>
    <mergeCell ref="Q11:Q13"/>
    <mergeCell ref="AF11:AF13"/>
    <mergeCell ref="Q23:Q25"/>
    <mergeCell ref="AF23:AF25"/>
    <mergeCell ref="B30:C30"/>
    <mergeCell ref="Q30:R30"/>
    <mergeCell ref="AF30:AG30"/>
    <mergeCell ref="B31:B33"/>
    <mergeCell ref="Q31:Q33"/>
    <mergeCell ref="AF31:AF33"/>
    <mergeCell ref="B14:B16"/>
    <mergeCell ref="Q14:Q16"/>
    <mergeCell ref="AF14:AF16"/>
    <mergeCell ref="B17:B19"/>
    <mergeCell ref="Q17:Q19"/>
    <mergeCell ref="AF263:AG263"/>
    <mergeCell ref="AF264:AF266"/>
    <mergeCell ref="AF267:AF269"/>
    <mergeCell ref="AF270:AF272"/>
    <mergeCell ref="AF273:AF275"/>
    <mergeCell ref="B263:C263"/>
    <mergeCell ref="AF212:AF217"/>
    <mergeCell ref="Q264:Q266"/>
    <mergeCell ref="Q263:R263"/>
    <mergeCell ref="B256:B258"/>
    <mergeCell ref="Q256:Q258"/>
    <mergeCell ref="AF256:AF258"/>
    <mergeCell ref="B243:C243"/>
    <mergeCell ref="Q243:R243"/>
    <mergeCell ref="AF243:AG243"/>
    <mergeCell ref="AF253:AF255"/>
    <mergeCell ref="B244:B246"/>
    <mergeCell ref="Q244:Q246"/>
    <mergeCell ref="AF244:AF246"/>
    <mergeCell ref="B247:B249"/>
    <mergeCell ref="Q247:Q249"/>
    <mergeCell ref="AF247:AF249"/>
    <mergeCell ref="B250:B252"/>
    <mergeCell ref="Q250:Q252"/>
    <mergeCell ref="B276:B278"/>
    <mergeCell ref="Q276:Q278"/>
    <mergeCell ref="Q279:Q281"/>
    <mergeCell ref="AF276:AF278"/>
    <mergeCell ref="B267:B269"/>
    <mergeCell ref="B270:B272"/>
    <mergeCell ref="B273:B275"/>
    <mergeCell ref="Q267:Q269"/>
    <mergeCell ref="B279:B281"/>
    <mergeCell ref="AF279:AF281"/>
    <mergeCell ref="B188:C188"/>
    <mergeCell ref="Q188:R188"/>
    <mergeCell ref="AF188:AG188"/>
    <mergeCell ref="B233:C233"/>
    <mergeCell ref="Q233:R233"/>
    <mergeCell ref="AF233:AG233"/>
    <mergeCell ref="B193:C193"/>
    <mergeCell ref="Q193:R193"/>
    <mergeCell ref="AF193:AG193"/>
    <mergeCell ref="B194:B199"/>
    <mergeCell ref="Q194:Q199"/>
    <mergeCell ref="AF194:AF199"/>
    <mergeCell ref="B200:B205"/>
    <mergeCell ref="Q200:Q205"/>
    <mergeCell ref="AF200:AF205"/>
    <mergeCell ref="B206:B211"/>
    <mergeCell ref="Q206:Q211"/>
    <mergeCell ref="AF224:AF229"/>
    <mergeCell ref="AF206:AF211"/>
    <mergeCell ref="AF363:AG363"/>
    <mergeCell ref="B338:B341"/>
    <mergeCell ref="Q338:Q341"/>
    <mergeCell ref="AF338:AF341"/>
    <mergeCell ref="B311:B313"/>
    <mergeCell ref="Q311:Q313"/>
    <mergeCell ref="AF311:AF313"/>
    <mergeCell ref="B307:C307"/>
    <mergeCell ref="Q307:R307"/>
    <mergeCell ref="AF307:AG307"/>
    <mergeCell ref="B308:B310"/>
    <mergeCell ref="Q308:Q310"/>
    <mergeCell ref="AF308:AF310"/>
    <mergeCell ref="B351:B353"/>
    <mergeCell ref="Q351:Q353"/>
    <mergeCell ref="AF351:AF353"/>
    <mergeCell ref="B350:C350"/>
    <mergeCell ref="Q350:R350"/>
    <mergeCell ref="AF350:AG350"/>
    <mergeCell ref="B345:C345"/>
    <mergeCell ref="Q345:R345"/>
    <mergeCell ref="AF345:AG345"/>
    <mergeCell ref="B346:C346"/>
    <mergeCell ref="B358:C358"/>
    <mergeCell ref="B101:C101"/>
    <mergeCell ref="B363:C363"/>
    <mergeCell ref="Q363:R363"/>
    <mergeCell ref="B301:B303"/>
    <mergeCell ref="Q273:Q275"/>
    <mergeCell ref="Q270:Q272"/>
    <mergeCell ref="B212:B217"/>
    <mergeCell ref="Q212:Q217"/>
    <mergeCell ref="B65:B67"/>
    <mergeCell ref="B68:B70"/>
    <mergeCell ref="Q65:Q67"/>
    <mergeCell ref="Q68:Q70"/>
    <mergeCell ref="B74:C74"/>
    <mergeCell ref="B75:B77"/>
    <mergeCell ref="Q74:R74"/>
    <mergeCell ref="Q75:Q77"/>
    <mergeCell ref="B115:B116"/>
    <mergeCell ref="Q301:Q303"/>
    <mergeCell ref="B289:B291"/>
    <mergeCell ref="B224:B229"/>
    <mergeCell ref="Q224:Q229"/>
    <mergeCell ref="B320:B322"/>
    <mergeCell ref="Q320:Q322"/>
    <mergeCell ref="B285:C285"/>
    <mergeCell ref="Q90:Q92"/>
    <mergeCell ref="AF74:AG74"/>
    <mergeCell ref="AF75:AF77"/>
    <mergeCell ref="AF65:AF67"/>
    <mergeCell ref="AF68:AF70"/>
    <mergeCell ref="B78:B80"/>
    <mergeCell ref="B81:B83"/>
    <mergeCell ref="B84:B86"/>
    <mergeCell ref="B87:B89"/>
    <mergeCell ref="B90:B92"/>
    <mergeCell ref="Q78:Q80"/>
    <mergeCell ref="AF59:AF61"/>
    <mergeCell ref="AF62:AF64"/>
    <mergeCell ref="B144:C144"/>
    <mergeCell ref="Q144:R144"/>
    <mergeCell ref="AF144:AG144"/>
    <mergeCell ref="Q166:R166"/>
    <mergeCell ref="B117:B118"/>
    <mergeCell ref="B119:B120"/>
    <mergeCell ref="AF119:AF120"/>
    <mergeCell ref="AF121:AF122"/>
    <mergeCell ref="Q119:Q120"/>
    <mergeCell ref="Q121:Q122"/>
    <mergeCell ref="Q123:Q124"/>
    <mergeCell ref="AF123:AF124"/>
    <mergeCell ref="B121:B122"/>
    <mergeCell ref="B123:B124"/>
    <mergeCell ref="B129:B130"/>
    <mergeCell ref="B166:C166"/>
    <mergeCell ref="AF166:AG166"/>
    <mergeCell ref="B62:B64"/>
    <mergeCell ref="Q101:R101"/>
    <mergeCell ref="AF101:AG101"/>
    <mergeCell ref="Q84:Q86"/>
    <mergeCell ref="Q87:Q89"/>
    <mergeCell ref="B46:B48"/>
    <mergeCell ref="Q46:Q48"/>
    <mergeCell ref="AF46:AF48"/>
    <mergeCell ref="B218:B223"/>
    <mergeCell ref="Q218:Q223"/>
    <mergeCell ref="AF218:AF223"/>
    <mergeCell ref="B337:C337"/>
    <mergeCell ref="Q337:R337"/>
    <mergeCell ref="AF337:AG337"/>
    <mergeCell ref="B330:C330"/>
    <mergeCell ref="Q330:R330"/>
    <mergeCell ref="AF330:AG330"/>
    <mergeCell ref="B323:B325"/>
    <mergeCell ref="Q323:Q325"/>
    <mergeCell ref="AF323:AF325"/>
    <mergeCell ref="B314:B316"/>
    <mergeCell ref="Q314:Q316"/>
    <mergeCell ref="AF314:AF316"/>
    <mergeCell ref="B317:B319"/>
    <mergeCell ref="AF52:AG52"/>
    <mergeCell ref="AF53:AF55"/>
    <mergeCell ref="AF56:AF58"/>
    <mergeCell ref="B253:B255"/>
    <mergeCell ref="Q253:Q255"/>
    <mergeCell ref="AF285:AG285"/>
    <mergeCell ref="AF298:AF300"/>
    <mergeCell ref="Q317:Q319"/>
    <mergeCell ref="AF317:AF319"/>
    <mergeCell ref="AF320:AF322"/>
    <mergeCell ref="Q358:R358"/>
    <mergeCell ref="AF358:AG358"/>
    <mergeCell ref="B359:C359"/>
    <mergeCell ref="B286:B288"/>
    <mergeCell ref="Q286:Q288"/>
    <mergeCell ref="Q289:Q291"/>
    <mergeCell ref="Q292:Q294"/>
    <mergeCell ref="Q295:Q297"/>
    <mergeCell ref="Q298:Q300"/>
    <mergeCell ref="AF301:AF303"/>
    <mergeCell ref="AF295:AF297"/>
    <mergeCell ref="B292:B294"/>
    <mergeCell ref="B295:B297"/>
    <mergeCell ref="B298:B300"/>
    <mergeCell ref="AF289:AF291"/>
    <mergeCell ref="AF292:AF294"/>
    <mergeCell ref="AF286:AF288"/>
    <mergeCell ref="Q285:R285"/>
  </mergeCells>
  <phoneticPr fontId="137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BD72"/>
  <sheetViews>
    <sheetView tabSelected="1" zoomScaleNormal="100" workbookViewId="0">
      <selection activeCell="V11" sqref="V11"/>
    </sheetView>
  </sheetViews>
  <sheetFormatPr defaultRowHeight="15"/>
  <cols>
    <col min="1" max="1" width="5.7109375" customWidth="1"/>
    <col min="2" max="2" width="52" customWidth="1"/>
    <col min="3" max="3" width="13.42578125" style="443" bestFit="1" customWidth="1"/>
    <col min="4" max="4" width="18.7109375" customWidth="1"/>
    <col min="5" max="5" width="9.85546875" customWidth="1"/>
    <col min="6" max="6" width="15.7109375" bestFit="1" customWidth="1"/>
    <col min="7" max="7" width="11.140625" customWidth="1"/>
    <col min="8" max="8" width="14" customWidth="1"/>
    <col min="9" max="9" width="18.7109375" style="105" bestFit="1" customWidth="1"/>
    <col min="10" max="10" width="12.7109375" customWidth="1"/>
    <col min="11" max="11" width="6.28515625" style="194" customWidth="1"/>
    <col min="12" max="12" width="12.5703125" style="194" customWidth="1"/>
    <col min="13" max="13" width="11.7109375" customWidth="1"/>
    <col min="18" max="19" width="12.7109375" hidden="1" customWidth="1"/>
    <col min="20" max="20" width="0" hidden="1" customWidth="1"/>
    <col min="21" max="21" width="12.28515625" hidden="1" customWidth="1"/>
    <col min="29" max="29" width="9.42578125" bestFit="1" customWidth="1"/>
    <col min="56" max="56" width="14.140625" customWidth="1"/>
  </cols>
  <sheetData>
    <row r="1" spans="1:20" ht="16.5" thickBot="1">
      <c r="A1" s="38"/>
      <c r="B1" s="39" t="s">
        <v>251</v>
      </c>
      <c r="C1" s="455"/>
      <c r="D1" s="38"/>
      <c r="E1" s="38"/>
      <c r="F1" s="40"/>
    </row>
    <row r="2" spans="1:20" ht="16.5" thickBot="1">
      <c r="A2" s="38"/>
      <c r="B2" s="39" t="s">
        <v>252</v>
      </c>
      <c r="C2" s="455"/>
      <c r="D2" s="38"/>
      <c r="E2" s="38"/>
      <c r="F2" s="40"/>
      <c r="M2" s="41" t="s">
        <v>167</v>
      </c>
      <c r="N2" s="137" t="s">
        <v>154</v>
      </c>
    </row>
    <row r="3" spans="1:20" ht="15.75">
      <c r="A3" s="42"/>
      <c r="B3" s="138" t="s">
        <v>7</v>
      </c>
      <c r="C3" s="456"/>
      <c r="D3" s="38"/>
      <c r="E3" s="38"/>
      <c r="F3" s="40"/>
    </row>
    <row r="4" spans="1:20">
      <c r="A4" s="670" t="s">
        <v>8</v>
      </c>
      <c r="B4" s="672" t="s">
        <v>9</v>
      </c>
      <c r="C4" s="673"/>
      <c r="D4" s="670" t="s">
        <v>93</v>
      </c>
      <c r="E4" s="670" t="s">
        <v>99</v>
      </c>
      <c r="F4" s="670" t="s">
        <v>253</v>
      </c>
      <c r="G4" s="661" t="str">
        <f>VLOOKUP(M2,M7:N18,2,FALSE)</f>
        <v>S.D. SEPTEMBER</v>
      </c>
      <c r="H4" s="662"/>
      <c r="I4" s="662"/>
      <c r="J4" s="663"/>
    </row>
    <row r="5" spans="1:20" ht="26.45" customHeight="1">
      <c r="A5" s="671"/>
      <c r="B5" s="674"/>
      <c r="C5" s="675"/>
      <c r="D5" s="671"/>
      <c r="E5" s="671"/>
      <c r="F5" s="671"/>
      <c r="G5" s="506" t="s">
        <v>100</v>
      </c>
      <c r="H5" s="504" t="s">
        <v>254</v>
      </c>
      <c r="I5" s="504" t="s">
        <v>102</v>
      </c>
      <c r="J5" s="504" t="s">
        <v>103</v>
      </c>
      <c r="R5" s="504"/>
      <c r="S5" s="504"/>
    </row>
    <row r="6" spans="1:20" ht="15.75">
      <c r="A6" s="507">
        <v>1</v>
      </c>
      <c r="B6" s="477">
        <v>2</v>
      </c>
      <c r="C6" s="483"/>
      <c r="D6" s="507">
        <v>3</v>
      </c>
      <c r="E6" s="507">
        <v>4</v>
      </c>
      <c r="F6" s="507">
        <v>5</v>
      </c>
      <c r="G6" s="478">
        <v>6</v>
      </c>
      <c r="H6" s="630">
        <v>7</v>
      </c>
      <c r="I6" s="630">
        <v>8</v>
      </c>
      <c r="J6" s="504">
        <v>9</v>
      </c>
      <c r="R6" s="504"/>
      <c r="S6" s="504"/>
    </row>
    <row r="7" spans="1:20" ht="16.5">
      <c r="A7" s="72" t="str">
        <f>T.UP3!A7</f>
        <v>I</v>
      </c>
      <c r="B7" s="66" t="str">
        <f>T.UP3!B7</f>
        <v>Key Performance Indikator</v>
      </c>
      <c r="C7" s="446"/>
      <c r="D7" s="50"/>
      <c r="E7" s="68">
        <f>SUM(E8:E16)</f>
        <v>40</v>
      </c>
      <c r="F7" s="68"/>
      <c r="G7" s="68"/>
      <c r="H7" s="68"/>
      <c r="I7" s="68"/>
      <c r="J7" s="102">
        <f>SUM(J8:J16)</f>
        <v>41.67</v>
      </c>
      <c r="M7" s="546" t="s">
        <v>94</v>
      </c>
      <c r="N7" s="43" t="s">
        <v>156</v>
      </c>
      <c r="R7" s="102">
        <f>R8+R9+R10</f>
        <v>40.96</v>
      </c>
      <c r="S7" s="102">
        <f>S8+S9+S10</f>
        <v>41.25</v>
      </c>
    </row>
    <row r="8" spans="1:20" ht="16.5">
      <c r="A8" s="69">
        <f>T.UP3!A8</f>
        <v>1</v>
      </c>
      <c r="B8" s="309" t="str">
        <f>T.UP3!B8</f>
        <v>Penjualan Tenaga Listrik</v>
      </c>
      <c r="C8" s="447" t="str">
        <f>T.UP3!C8</f>
        <v>ñ</v>
      </c>
      <c r="D8" s="97" t="str">
        <f>T.UP3!D8</f>
        <v>GWh</v>
      </c>
      <c r="E8" s="202">
        <f>IF(OR(H8="N/A",G8="N/A"),0,T.UP3!F8)</f>
        <v>14</v>
      </c>
      <c r="F8" s="98">
        <f>T.UP3!H8</f>
        <v>231.47</v>
      </c>
      <c r="G8" s="90">
        <f>VLOOKUP(B8,T.UP3!$B$4:$T$70,MATCH('UP3'!$M$2,T.UP3!$B$5:$T$5,0),FALSE)</f>
        <v>171.15</v>
      </c>
      <c r="H8" s="98">
        <f>VLOOKUP(B8,'R.UP3'!$B$4:$T$67,MATCH('UP3'!$M$2,'R.UP3'!$B$5:$T$5,0),FALSE)</f>
        <v>166.35580660400001</v>
      </c>
      <c r="I8" s="165">
        <f>IF(OR(G8="N/A",H8="N/A"),"N/A",IF((H8/G8*100)&gt;=110,110,(H8/G8*100)))</f>
        <v>97.198835293017822</v>
      </c>
      <c r="J8" s="103">
        <f>ROUNDDOWN(IF(I8="N/A",0,IF(I8&gt;110,E8*110/100,E8*I8/100)),2)</f>
        <v>13.6</v>
      </c>
      <c r="K8" s="195"/>
      <c r="L8" s="488"/>
      <c r="M8" s="547" t="s">
        <v>95</v>
      </c>
      <c r="N8" s="44" t="s">
        <v>158</v>
      </c>
      <c r="R8" s="103">
        <v>13.56</v>
      </c>
      <c r="S8" s="103">
        <v>13.53</v>
      </c>
      <c r="T8" s="127">
        <f>R8-S8</f>
        <v>3.0000000000001137E-2</v>
      </c>
    </row>
    <row r="9" spans="1:20" ht="16.5">
      <c r="A9" s="200">
        <f>T.UP3!A9</f>
        <v>2</v>
      </c>
      <c r="B9" s="309" t="str">
        <f>T.UP3!B9</f>
        <v>Keandalan Sistem</v>
      </c>
      <c r="C9" s="447"/>
      <c r="D9" s="97"/>
      <c r="E9" s="202">
        <f>IF(OR(H9="N/A",G9="N/A"),0,T.UP3!F9)</f>
        <v>14</v>
      </c>
      <c r="F9" s="98"/>
      <c r="G9" s="90"/>
      <c r="H9" s="98"/>
      <c r="I9" s="165">
        <f>AVERAGE(I10:I12)</f>
        <v>110</v>
      </c>
      <c r="J9" s="103">
        <f>ROUNDDOWN(IF(I9="N/A",0,IF(I9&gt;110,E9*110/100,E9*I9/100)),2)</f>
        <v>15.4</v>
      </c>
      <c r="K9" s="195"/>
      <c r="L9" s="195"/>
      <c r="M9" s="547" t="s">
        <v>96</v>
      </c>
      <c r="N9" s="45" t="s">
        <v>159</v>
      </c>
      <c r="R9" s="103">
        <v>15.4</v>
      </c>
      <c r="S9" s="103">
        <v>15.4</v>
      </c>
      <c r="T9" s="127">
        <f>R9-S9</f>
        <v>0</v>
      </c>
    </row>
    <row r="10" spans="1:20" ht="16.5">
      <c r="A10" s="200"/>
      <c r="B10" s="74" t="str">
        <f>T.UP3!B10</f>
        <v>a. SAIDI Sesuai Kewenangannya</v>
      </c>
      <c r="C10" s="447" t="str">
        <f>T.UP3!C10</f>
        <v>ò</v>
      </c>
      <c r="D10" s="97" t="str">
        <f>T.UP3!D10</f>
        <v>Menit/Plg</v>
      </c>
      <c r="E10" s="202"/>
      <c r="F10" s="98">
        <f>T.UP3!H10</f>
        <v>280.67</v>
      </c>
      <c r="G10" s="90">
        <f>VLOOKUP(B10,T.UP3!$B$4:$T$70,MATCH('UP3'!$M$2,T.UP3!$B$5:$T$5,0),FALSE)</f>
        <v>210.5</v>
      </c>
      <c r="H10" s="98">
        <f>VLOOKUP(B10,'R.UP3'!$B$4:$T$67,MATCH('UP3'!$M$2,'R.UP3'!$B$5:$T$5,0),FALSE)</f>
        <v>159.21375563345018</v>
      </c>
      <c r="I10" s="165">
        <f>IF(OR(G10="N/A",H10="N/A"),"N/A",IF((2-(H10/G10))*100&gt;=110,110,(2-(H10/G10))*100))</f>
        <v>110</v>
      </c>
      <c r="J10" s="103"/>
      <c r="K10" s="195"/>
      <c r="L10" s="488"/>
      <c r="M10" s="547" t="s">
        <v>97</v>
      </c>
      <c r="N10" s="45" t="s">
        <v>160</v>
      </c>
      <c r="O10" s="127"/>
      <c r="R10" s="103">
        <v>12</v>
      </c>
      <c r="S10" s="103">
        <v>12.32</v>
      </c>
      <c r="T10" s="127">
        <f>R10-S10</f>
        <v>-0.32000000000000028</v>
      </c>
    </row>
    <row r="11" spans="1:20" ht="16.5">
      <c r="A11" s="200"/>
      <c r="B11" s="74" t="str">
        <f>T.UP3!B11</f>
        <v>b. SAIFI Sesuai Kewenangannya</v>
      </c>
      <c r="C11" s="447" t="str">
        <f>T.UP3!C11</f>
        <v>ò</v>
      </c>
      <c r="D11" s="97" t="str">
        <f>T.UP3!D11</f>
        <v>Kali/Plg</v>
      </c>
      <c r="E11" s="202"/>
      <c r="F11" s="98">
        <f>T.UP3!H11</f>
        <v>2.97</v>
      </c>
      <c r="G11" s="90">
        <f>VLOOKUP(B11,T.UP3!$B$4:$T$70,MATCH('UP3'!$M$2,T.UP3!$B$5:$T$5,0),FALSE)</f>
        <v>2.2200000000000002</v>
      </c>
      <c r="H11" s="98">
        <f>VLOOKUP(B11,'R.UP3'!$B$4:$T$67,MATCH('UP3'!$M$2,'R.UP3'!$B$5:$T$5,0),FALSE)</f>
        <v>1.7486104156234352</v>
      </c>
      <c r="I11" s="165">
        <f>IF(OR(G11="N/A",H11="N/A"),"N/A",IF((2-(H11/G11))*100&gt;=110,110,(2-(H11/G11))*100))</f>
        <v>110</v>
      </c>
      <c r="J11" s="103"/>
      <c r="K11" s="195"/>
      <c r="L11" s="488"/>
      <c r="M11" s="547" t="s">
        <v>98</v>
      </c>
      <c r="N11" s="45" t="s">
        <v>161</v>
      </c>
      <c r="O11" s="127"/>
      <c r="R11" s="103"/>
      <c r="S11" s="103"/>
      <c r="T11" s="127"/>
    </row>
    <row r="12" spans="1:20" ht="16.5">
      <c r="A12" s="200"/>
      <c r="B12" s="74" t="str">
        <f>T.UP3!B12</f>
        <v>c. ENS</v>
      </c>
      <c r="C12" s="447" t="str">
        <f>T.UP3!C12</f>
        <v>ò</v>
      </c>
      <c r="D12" s="97" t="str">
        <f>T.UP3!D12</f>
        <v>MWh</v>
      </c>
      <c r="E12" s="202"/>
      <c r="F12" s="98">
        <f>T.UP3!H12</f>
        <v>107.87</v>
      </c>
      <c r="G12" s="90">
        <f>VLOOKUP(B12,T.UP3!$B$4:$T$70,MATCH('UP3'!$M$2,T.UP3!$B$5:$T$5,0),FALSE)</f>
        <v>80.900000000000006</v>
      </c>
      <c r="H12" s="98">
        <f>VLOOKUP(B12,'R.UP3'!$B$4:$T$67,MATCH('UP3'!$M$2,'R.UP3'!$B$5:$T$5,0),FALSE)</f>
        <v>50.782000000000004</v>
      </c>
      <c r="I12" s="165">
        <f>IF(G12=0,0,IF(((G12-(H12-G12))/G12)*100&lt;=0,0,IF(((G12-(H12-G12))/G12)*100&gt;=110,110,((G12-(H12-G12))/G12)*100)))</f>
        <v>110</v>
      </c>
      <c r="J12" s="103"/>
      <c r="K12" s="195"/>
      <c r="L12" s="488"/>
      <c r="M12" s="480" t="s">
        <v>153</v>
      </c>
      <c r="N12" s="45" t="s">
        <v>162</v>
      </c>
      <c r="O12" s="127"/>
      <c r="R12" s="103"/>
      <c r="S12" s="103"/>
      <c r="T12" s="127"/>
    </row>
    <row r="13" spans="1:20" ht="16.5">
      <c r="A13" s="200">
        <f>T.UP3!A13</f>
        <v>3</v>
      </c>
      <c r="B13" s="309" t="str">
        <f>T.UP3!B13</f>
        <v>Efisiensi Jaringan Distribusi</v>
      </c>
      <c r="C13" s="447"/>
      <c r="D13" s="97"/>
      <c r="E13" s="202">
        <f>IF(OR(H13="N/A",G13="N/A"),0,T.UP3!F13)</f>
        <v>12</v>
      </c>
      <c r="F13" s="98"/>
      <c r="G13" s="90"/>
      <c r="H13" s="282"/>
      <c r="I13" s="165">
        <f>AVERAGE(I14:I16)</f>
        <v>105.60639425821711</v>
      </c>
      <c r="J13" s="103">
        <f>ROUNDDOWN(IF(I13="N/A",0,IF(I13&gt;110,E13*110/100,E13*I13/100)),2)</f>
        <v>12.67</v>
      </c>
      <c r="K13" s="195"/>
      <c r="L13" s="195"/>
      <c r="M13" s="547" t="s">
        <v>163</v>
      </c>
      <c r="N13" s="46" t="s">
        <v>164</v>
      </c>
      <c r="O13" s="127"/>
      <c r="R13" s="103"/>
      <c r="S13" s="103"/>
      <c r="T13" s="127"/>
    </row>
    <row r="14" spans="1:20" ht="16.5">
      <c r="A14" s="200"/>
      <c r="B14" s="74" t="str">
        <f>T.UP3!B14</f>
        <v>a. Susut Distribusi Tanpa E-min (sesuai kewenangan)</v>
      </c>
      <c r="C14" s="447" t="str">
        <f>T.UP3!C14</f>
        <v>ò</v>
      </c>
      <c r="D14" s="97" t="str">
        <f>T.UP3!D14</f>
        <v>%</v>
      </c>
      <c r="E14" s="202"/>
      <c r="F14" s="98">
        <f>T.UP3!H14</f>
        <v>9</v>
      </c>
      <c r="G14" s="90">
        <f>VLOOKUP(B14,T.UP3!$B$4:$T$70,MATCH('UP3'!$M$2,T.UP3!$B$5:$T$5,0),FALSE)</f>
        <v>9.1999999999999993</v>
      </c>
      <c r="H14" s="90">
        <f>VLOOKUP(B14,'R.UP3'!$B$4:$T$67,MATCH('UP3'!$M$2,'R.UP3'!$B$5:$T$5,0),FALSE)</f>
        <v>8.2084941236385731</v>
      </c>
      <c r="I14" s="165">
        <f>IF(OR(G14="N/A",H14="N/A"),"N/A",IF((2-(H14/G14))*100&gt;=110,110,(2-(H14/G14))*100))</f>
        <v>110</v>
      </c>
      <c r="J14" s="103"/>
      <c r="K14" s="195"/>
      <c r="L14" s="488"/>
      <c r="M14" s="547" t="s">
        <v>165</v>
      </c>
      <c r="N14" s="45" t="s">
        <v>166</v>
      </c>
      <c r="O14" s="127"/>
      <c r="R14" s="103"/>
      <c r="S14" s="103"/>
      <c r="T14" s="127"/>
    </row>
    <row r="15" spans="1:20" ht="16.5">
      <c r="A15" s="200"/>
      <c r="B15" s="74" t="str">
        <f>T.UP3!B15</f>
        <v>b. Penyelesaian Temuan P2TL</v>
      </c>
      <c r="C15" s="447" t="str">
        <f>T.UP3!C15</f>
        <v>ñ</v>
      </c>
      <c r="D15" s="97" t="str">
        <f>T.UP3!D15</f>
        <v>%</v>
      </c>
      <c r="E15" s="202"/>
      <c r="F15" s="98">
        <f>T.UP3!H15</f>
        <v>100</v>
      </c>
      <c r="G15" s="90">
        <f>VLOOKUP(B15,T.UP3!$B$4:$T$70,MATCH('UP3'!$M$2,T.UP3!$B$5:$T$5,0),FALSE)</f>
        <v>70</v>
      </c>
      <c r="H15" s="282">
        <f>VLOOKUP(B15,'R.UP3'!$B$4:$T$67,MATCH('UP3'!$M$2,'R.UP3'!$B$5:$T$5,0),FALSE)</f>
        <v>91.575632804589944</v>
      </c>
      <c r="I15" s="165">
        <f>IF(OR(G15="N/A",H15="N/A"),"N/A",IF((H15/G15*100)&gt;=110,110,(H15/G15*100)))</f>
        <v>110</v>
      </c>
      <c r="J15" s="103"/>
      <c r="K15" s="195"/>
      <c r="L15" s="195"/>
      <c r="M15" s="546" t="s">
        <v>167</v>
      </c>
      <c r="N15" s="43" t="s">
        <v>168</v>
      </c>
      <c r="O15" s="127"/>
      <c r="R15" s="103"/>
      <c r="S15" s="103"/>
      <c r="T15" s="127"/>
    </row>
    <row r="16" spans="1:20" ht="16.5">
      <c r="A16" s="200"/>
      <c r="B16" s="74" t="str">
        <f>T.UP3!B16</f>
        <v>c. Penyelesaian Ganti Meter</v>
      </c>
      <c r="C16" s="447" t="str">
        <f>T.UP3!C16</f>
        <v>ñ</v>
      </c>
      <c r="D16" s="97" t="str">
        <f>T.UP3!D16</f>
        <v>Unit</v>
      </c>
      <c r="E16" s="202"/>
      <c r="F16" s="98">
        <f>T.UP3!H16</f>
        <v>4727</v>
      </c>
      <c r="G16" s="90">
        <f>VLOOKUP(B16,T.UP3!$B$4:$T$70,MATCH('UP3'!$M$2,T.UP3!$B$5:$T$5,0),FALSE)</f>
        <v>4087</v>
      </c>
      <c r="H16" s="282">
        <f>VLOOKUP(B16,'R.UP3'!$B$4:$T$67,MATCH('UP3'!$M$2,'R.UP3'!$B$5:$T$5,0),FALSE)</f>
        <v>3957</v>
      </c>
      <c r="I16" s="165">
        <f>IF(OR(G16="N/A",H16="N/A"),"N/A",IF((H16/G16*100)&gt;=110,110,(H16/G16*100)))</f>
        <v>96.819182774651338</v>
      </c>
      <c r="J16" s="103"/>
      <c r="K16" s="195"/>
      <c r="L16" s="195"/>
      <c r="M16" s="547" t="s">
        <v>169</v>
      </c>
      <c r="N16" s="45" t="s">
        <v>170</v>
      </c>
      <c r="R16" s="103"/>
      <c r="S16" s="103"/>
      <c r="T16" s="127"/>
    </row>
    <row r="17" spans="1:33" ht="16.5">
      <c r="A17" s="72" t="str">
        <f>T.UP3!A17</f>
        <v>II</v>
      </c>
      <c r="B17" s="71" t="str">
        <f>T.UP3!B17</f>
        <v>Perfomance Indicators</v>
      </c>
      <c r="C17" s="446"/>
      <c r="D17" s="50"/>
      <c r="E17" s="72">
        <f>SUM(E18:E68)</f>
        <v>60</v>
      </c>
      <c r="F17" s="72"/>
      <c r="G17" s="72"/>
      <c r="H17" s="72"/>
      <c r="I17" s="72"/>
      <c r="J17" s="268">
        <f>SUM(J18,J22,J27,J30,J33,J35,J42,J45,J49,J53,J58)</f>
        <v>60.830000000000005</v>
      </c>
      <c r="K17" s="195"/>
      <c r="L17" s="195"/>
      <c r="M17" s="548" t="s">
        <v>171</v>
      </c>
      <c r="N17" s="45" t="s">
        <v>172</v>
      </c>
      <c r="R17" s="103"/>
      <c r="S17" s="103"/>
      <c r="T17" s="127"/>
      <c r="AG17" s="376"/>
    </row>
    <row r="18" spans="1:33" ht="16.5">
      <c r="A18" s="200">
        <f>T.UP3!A18</f>
        <v>4</v>
      </c>
      <c r="B18" s="310" t="str">
        <f>T.UP3!B18</f>
        <v>Keandalan Jaringan Distribusi</v>
      </c>
      <c r="C18" s="447"/>
      <c r="D18" s="97"/>
      <c r="E18" s="202">
        <f>T.UP3!F18</f>
        <v>6</v>
      </c>
      <c r="F18" s="146"/>
      <c r="G18" s="90"/>
      <c r="H18" s="98"/>
      <c r="I18" s="165">
        <f>AVERAGE(I19:I21)</f>
        <v>110</v>
      </c>
      <c r="J18" s="103">
        <f>ROUNDDOWN(IF(I18="N/A",0,IF(I18&gt;110,E18*110/100,E18*I18/100)),2)</f>
        <v>6.6</v>
      </c>
      <c r="K18" s="195"/>
      <c r="L18" s="195"/>
      <c r="M18" s="548" t="s">
        <v>174</v>
      </c>
      <c r="N18" s="45" t="s">
        <v>175</v>
      </c>
      <c r="R18" s="268">
        <f>SUM(R19:R70)</f>
        <v>48.400000000000013</v>
      </c>
      <c r="S18" s="268">
        <f>SUM(S19:S70)</f>
        <v>53.07</v>
      </c>
    </row>
    <row r="19" spans="1:33" ht="16.5">
      <c r="A19" s="200"/>
      <c r="B19" s="160" t="str">
        <f>T.UP3!B19</f>
        <v>a. Gangguan TM &gt; 5 Menit</v>
      </c>
      <c r="C19" s="447" t="str">
        <f>T.UP3!C19</f>
        <v>ò</v>
      </c>
      <c r="D19" s="97" t="str">
        <f>T.UP3!D19</f>
        <v>Kali</v>
      </c>
      <c r="E19" s="202"/>
      <c r="F19" s="146">
        <f>T.UP3!H19</f>
        <v>166</v>
      </c>
      <c r="G19" s="90">
        <f>VLOOKUP(B19,T.UP3!$B$4:$T$70,MATCH('UP3'!$M$2,T.UP3!$B$5:$T$5,0),FALSE)</f>
        <v>134</v>
      </c>
      <c r="H19" s="98">
        <f>VLOOKUP(B19,'R.UP3'!$B$4:$T$67,MATCH('UP3'!$M$2,'R.UP3'!$B$5:$T$5,0),FALSE)</f>
        <v>98</v>
      </c>
      <c r="I19" s="165">
        <f>IF(G19=0,0,IF(((G19-(H19-G19))/G19)*100&lt;=0,0,IF(((G19-(H19-G19))/G19)*100&gt;=110,110,((G19-(H19-G19))/G19)*100)))</f>
        <v>110</v>
      </c>
      <c r="J19" s="103"/>
      <c r="K19" s="195"/>
      <c r="L19" s="195"/>
      <c r="R19" s="103">
        <v>6.42</v>
      </c>
      <c r="S19" s="103">
        <v>6.56</v>
      </c>
      <c r="T19" s="127">
        <f>R19-S19</f>
        <v>-0.13999999999999968</v>
      </c>
    </row>
    <row r="20" spans="1:33" ht="16.5">
      <c r="A20" s="200"/>
      <c r="B20" s="160" t="str">
        <f>T.UP3!B20</f>
        <v>b. Gangguan TM ≤ 5 Menit</v>
      </c>
      <c r="C20" s="447" t="str">
        <f>T.UP3!C20</f>
        <v>ò</v>
      </c>
      <c r="D20" s="97" t="str">
        <f>T.UP3!D20</f>
        <v>Kali</v>
      </c>
      <c r="E20" s="202"/>
      <c r="F20" s="146">
        <f>T.UP3!H20</f>
        <v>191</v>
      </c>
      <c r="G20" s="90">
        <f>VLOOKUP(B20,T.UP3!$B$4:$T$70,MATCH('UP3'!$M$2,T.UP3!$B$5:$T$5,0),FALSE)</f>
        <v>144</v>
      </c>
      <c r="H20" s="98">
        <f>VLOOKUP(B20,'R.UP3'!$B$4:$T$67,MATCH('UP3'!$M$2,'R.UP3'!$B$5:$T$5,0),FALSE)</f>
        <v>112</v>
      </c>
      <c r="I20" s="165">
        <f>IF(OR(G20="N/A",H20="N/A"),"N/A",IF((2-(H20/G20))*100&gt;=110,110,(2-(H20/G20))*100))</f>
        <v>110</v>
      </c>
      <c r="J20" s="204"/>
      <c r="K20" s="195"/>
      <c r="L20" s="488"/>
      <c r="R20" s="103">
        <v>6.22</v>
      </c>
      <c r="S20" s="103">
        <v>6.22</v>
      </c>
      <c r="T20" s="127">
        <f>R20-S20</f>
        <v>0</v>
      </c>
    </row>
    <row r="21" spans="1:33" ht="31.5">
      <c r="A21" s="200"/>
      <c r="B21" s="160" t="str">
        <f>T.UP3!B21</f>
        <v>c. Kerusakan Peralatan Distribusi (PHB TM dan Trafo) Sesuai Kewenangan</v>
      </c>
      <c r="C21" s="447" t="str">
        <f>T.UP3!C21</f>
        <v>ò</v>
      </c>
      <c r="D21" s="97" t="str">
        <f>T.UP3!D21</f>
        <v>Unit</v>
      </c>
      <c r="E21" s="202"/>
      <c r="F21" s="146">
        <f>T.UP3!H21</f>
        <v>5</v>
      </c>
      <c r="G21" s="91">
        <f>VLOOKUP(B21,T.UP3!$B$4:$T$70,MATCH('UP3'!$M$2,T.UP3!$B$5:$T$5,0),FALSE)</f>
        <v>5</v>
      </c>
      <c r="H21" s="98">
        <f>VLOOKUP(B21,'R.UP3'!$B$4:$T$67,MATCH('UP3'!$M$2,'R.UP3'!$B$5:$T$5,0),FALSE)</f>
        <v>3</v>
      </c>
      <c r="I21" s="165">
        <f>IFERROR(IF(OR(G21="N/A",H21="N/A"),"N/A",IF((2-(H21/G21))*100&gt;=110,110,(2-(H21/G21))*100)),100)</f>
        <v>110</v>
      </c>
      <c r="J21" s="103"/>
      <c r="K21" s="195"/>
      <c r="L21" s="488"/>
      <c r="R21" s="204"/>
      <c r="S21" s="204"/>
    </row>
    <row r="22" spans="1:33" ht="16.5">
      <c r="A22" s="200">
        <f>T.UP3!A22</f>
        <v>5</v>
      </c>
      <c r="B22" s="310" t="str">
        <f>T.UP3!B22</f>
        <v>Peningkatan Layanan</v>
      </c>
      <c r="C22" s="447"/>
      <c r="D22" s="283"/>
      <c r="E22" s="202">
        <f>T.UP3!F22</f>
        <v>6</v>
      </c>
      <c r="F22" s="101"/>
      <c r="G22" s="91"/>
      <c r="H22" s="98"/>
      <c r="I22" s="165">
        <f>AVERAGE(I23:I26)</f>
        <v>107.5</v>
      </c>
      <c r="J22" s="103">
        <f>ROUNDDOWN(IF(I22="N/A",0,IF(I22&gt;110,E22*110/100,E22*I22/100)),2)</f>
        <v>6.45</v>
      </c>
      <c r="K22" s="195"/>
      <c r="L22" s="195"/>
      <c r="R22" s="103">
        <v>4.4000000000000004</v>
      </c>
      <c r="S22" s="103">
        <v>4.4000000000000004</v>
      </c>
      <c r="T22" s="127">
        <f>R22-S22</f>
        <v>0</v>
      </c>
    </row>
    <row r="23" spans="1:33" ht="16.5">
      <c r="A23" s="200"/>
      <c r="B23" s="160" t="str">
        <f>T.UP3!B23</f>
        <v>a. Feedback Rating Negatif pada PLN Mobile - Gangguan</v>
      </c>
      <c r="C23" s="447" t="str">
        <f>T.UP3!C23</f>
        <v>ò</v>
      </c>
      <c r="D23" s="283" t="str">
        <f>T.UP3!D23</f>
        <v>%</v>
      </c>
      <c r="E23" s="202"/>
      <c r="F23" s="98">
        <f>T.UP3!H23</f>
        <v>0.09</v>
      </c>
      <c r="G23" s="90">
        <f>VLOOKUP(B23,T.UP3!$B$4:$T$70,MATCH('UP3'!$M$2,T.UP3!$B$5:$T$5,0),FALSE)</f>
        <v>0.09</v>
      </c>
      <c r="H23" s="98">
        <f>VLOOKUP(B23,'R.UP3'!$B$4:$T$67,MATCH('UP3'!$M$2,'R.UP3'!$B$5:$T$5,0),FALSE)</f>
        <v>0</v>
      </c>
      <c r="I23" s="165">
        <f>IF(OR(G23="N/A",H23="N/A"),"N/A",IF((2-(H23/G23))*100&gt;=110,110,(2-(H23/G23))*100))</f>
        <v>110</v>
      </c>
      <c r="J23" s="103"/>
      <c r="K23" s="195"/>
      <c r="L23" s="195"/>
      <c r="R23" s="103">
        <v>4.4000000000000004</v>
      </c>
      <c r="S23" s="103">
        <v>4.4000000000000004</v>
      </c>
      <c r="T23" s="127">
        <f>R23-S23</f>
        <v>0</v>
      </c>
    </row>
    <row r="24" spans="1:33" ht="16.5">
      <c r="A24" s="200"/>
      <c r="B24" s="160" t="str">
        <f>T.UP3!B24</f>
        <v>b. Pengaduan Gangguan Berulang pada PLN Mobile</v>
      </c>
      <c r="C24" s="447" t="str">
        <f>T.UP3!C24</f>
        <v>ò</v>
      </c>
      <c r="D24" s="283" t="str">
        <f>T.UP3!D24</f>
        <v>%</v>
      </c>
      <c r="E24" s="202"/>
      <c r="F24" s="98">
        <f>T.UP3!H24</f>
        <v>0.04</v>
      </c>
      <c r="G24" s="90">
        <f>VLOOKUP(B24,T.UP3!$B$4:$T$70,MATCH('UP3'!$M$2,T.UP3!$B$5:$T$5,0),FALSE)</f>
        <v>0.04</v>
      </c>
      <c r="H24" s="98">
        <f>VLOOKUP(B24,'R.UP3'!$B$4:$T$67,MATCH('UP3'!$M$2,'R.UP3'!$B$5:$T$5,0),FALSE)</f>
        <v>0</v>
      </c>
      <c r="I24" s="165">
        <f>IF(OR(G24="N/A",H24="N/A"),"N/A",IF((2-(H24/G24))*100&gt;=110,110,(2-(H24/G24))*100))</f>
        <v>110</v>
      </c>
      <c r="J24" s="103"/>
      <c r="K24" s="195"/>
      <c r="L24" s="488"/>
      <c r="O24" t="s">
        <v>255</v>
      </c>
      <c r="R24" s="103"/>
      <c r="S24" s="103"/>
      <c r="T24" s="127"/>
    </row>
    <row r="25" spans="1:33" ht="16.5">
      <c r="A25" s="200"/>
      <c r="B25" s="160" t="str">
        <f>T.UP3!B25</f>
        <v>c. Rating PLN Mobile</v>
      </c>
      <c r="C25" s="447" t="str">
        <f>T.UP3!C25</f>
        <v>ñ</v>
      </c>
      <c r="D25" s="97" t="str">
        <f>T.UP3!D25</f>
        <v>Rating</v>
      </c>
      <c r="E25" s="202"/>
      <c r="F25" s="146">
        <f>T.UP3!H25</f>
        <v>4.9000000000000004</v>
      </c>
      <c r="G25" s="90">
        <f>VLOOKUP(B25,T.UP3!$B$4:$T$70,MATCH('UP3'!$M$2,T.UP3!$B$5:$T$5,0),FALSE)</f>
        <v>4.9000000000000004</v>
      </c>
      <c r="H25" s="98">
        <f>VLOOKUP(B25,'R.UP3'!$B$4:$T$67,MATCH('UP3'!$M$2,'R.UP3'!$B$5:$T$5,0),FALSE)</f>
        <v>4.9000000000000004</v>
      </c>
      <c r="I25" s="165">
        <f>IF(OR(G25="N/A",H25="N/A"),"N/A",IF((H25/G25*100)&gt;=110,110,(H25/G25*100)))</f>
        <v>100</v>
      </c>
      <c r="J25" s="103"/>
      <c r="K25" s="195"/>
      <c r="L25" s="195"/>
      <c r="O25" t="s">
        <v>255</v>
      </c>
      <c r="R25" s="103">
        <v>0</v>
      </c>
      <c r="S25" s="103">
        <v>2.2000000000000002</v>
      </c>
      <c r="T25" s="127">
        <f>R25-S25</f>
        <v>-2.2000000000000002</v>
      </c>
      <c r="AB25" s="373"/>
    </row>
    <row r="26" spans="1:33" ht="16.5">
      <c r="A26" s="200"/>
      <c r="B26" s="160" t="str">
        <f>T.UP3!B26</f>
        <v>d. Jumlah Kali Transaksi Keuangan melalui PLN Mobile</v>
      </c>
      <c r="C26" s="447" t="str">
        <f>T.UP3!C26</f>
        <v>ñ</v>
      </c>
      <c r="D26" s="97" t="str">
        <f>T.UP3!D26</f>
        <v>Kali Transaksi</v>
      </c>
      <c r="E26" s="202"/>
      <c r="F26" s="146">
        <f>T.UP3!H26</f>
        <v>62908</v>
      </c>
      <c r="G26" s="90">
        <f>VLOOKUP(B26,T.UP3!$B$4:$T$70,MATCH('UP3'!$M$2,T.UP3!$B$5:$T$5,0),FALSE)</f>
        <v>47183</v>
      </c>
      <c r="H26" s="98">
        <f>VLOOKUP(B26,'R.UP3'!$B$4:$T$67,MATCH('UP3'!$M$2,'R.UP3'!$B$5:$T$5,0),FALSE)</f>
        <v>68090</v>
      </c>
      <c r="I26" s="165">
        <f>IF(OR(G26="N/A",H26="N/A"),"N/A",IF((H26/G26*100)&gt;=110,110,(H26/G26*100)))</f>
        <v>110</v>
      </c>
      <c r="J26" s="103"/>
      <c r="K26" s="195"/>
      <c r="L26" s="195"/>
      <c r="R26" s="103">
        <v>3.3</v>
      </c>
      <c r="S26" s="103">
        <v>3.3</v>
      </c>
      <c r="T26" s="127">
        <f>R26-S26</f>
        <v>0</v>
      </c>
    </row>
    <row r="27" spans="1:33" ht="16.5">
      <c r="A27" s="200">
        <f>T.UP3!A27</f>
        <v>6</v>
      </c>
      <c r="B27" s="310" t="str">
        <f>T.UP3!B27</f>
        <v>Dispatch Respon Time</v>
      </c>
      <c r="C27" s="447"/>
      <c r="D27" s="97"/>
      <c r="E27" s="202">
        <f>T.UP3!F27</f>
        <v>3</v>
      </c>
      <c r="F27" s="146"/>
      <c r="G27" s="90"/>
      <c r="H27" s="98"/>
      <c r="I27" s="165">
        <f>AVERAGE(I28:I29)</f>
        <v>105</v>
      </c>
      <c r="J27" s="103">
        <f>ROUNDDOWN(IF(I27="N/A",0,IF(I27&gt;110,E27*110/100,E27*I27/100)),2)</f>
        <v>3.15</v>
      </c>
      <c r="R27" s="103"/>
      <c r="S27" s="103"/>
      <c r="T27" s="127"/>
    </row>
    <row r="28" spans="1:33" ht="16.5">
      <c r="A28" s="200"/>
      <c r="B28" s="160" t="str">
        <f>T.UP3!B28</f>
        <v>a. Response Time atas Gangguan (diluar Clear Tamper)</v>
      </c>
      <c r="C28" s="447" t="str">
        <f>T.UP3!C28</f>
        <v>ò</v>
      </c>
      <c r="D28" s="97" t="str">
        <f>T.UP3!D28</f>
        <v>Menit</v>
      </c>
      <c r="E28" s="202"/>
      <c r="F28" s="146">
        <f>T.UP3!H28</f>
        <v>30</v>
      </c>
      <c r="G28" s="90">
        <f>VLOOKUP(B28,T.UP3!$B$4:$T$70,MATCH('UP3'!$M$2,T.UP3!$B$5:$T$5,0),FALSE)</f>
        <v>30</v>
      </c>
      <c r="H28" s="98">
        <f>VLOOKUP(B28,'R.UP3'!$B$4:$T$67,MATCH('UP3'!$M$2,'R.UP3'!$B$5:$T$5,0),FALSE)</f>
        <v>9.9645423134519469</v>
      </c>
      <c r="I28" s="165">
        <f>IF(OR(G28="N/A",H28="N/A"),"N/A",IF((2-(H28/G28))*100&lt;0,0,IF((2-(H28/G28))*100&gt;=110,110,(2-(H28/G28))*100)))</f>
        <v>110</v>
      </c>
      <c r="J28" s="103"/>
    </row>
    <row r="29" spans="1:33" ht="31.5">
      <c r="A29" s="200"/>
      <c r="B29" s="160" t="str">
        <f>T.UP3!B29</f>
        <v>b. Success Rate Auto Dispatch Gangguan Individual (diluar Clear Tamper)</v>
      </c>
      <c r="C29" s="447" t="str">
        <f>T.UP3!C29</f>
        <v>ñ</v>
      </c>
      <c r="D29" s="97" t="str">
        <f>T.UP3!D29</f>
        <v>%</v>
      </c>
      <c r="E29" s="202"/>
      <c r="F29" s="146">
        <f>T.UP3!H29</f>
        <v>0</v>
      </c>
      <c r="G29" s="90">
        <f>VLOOKUP(B29,T.UP3!$B$4:$T$70,MATCH('UP3'!$M$2,T.UP3!$B$5:$T$5,0),FALSE)</f>
        <v>0</v>
      </c>
      <c r="H29" s="98">
        <f>VLOOKUP(B29,'R.UP3'!$B$4:$T$67,MATCH('UP3'!$M$2,'R.UP3'!$B$5:$T$5,0),FALSE)</f>
        <v>0</v>
      </c>
      <c r="I29" s="165">
        <f>IF(G29=0,100,(IF((H29/G29*100)&gt;110,110,(H29/G29*100))))</f>
        <v>100</v>
      </c>
      <c r="J29" s="103"/>
      <c r="R29" s="103"/>
      <c r="S29" s="103"/>
      <c r="T29" s="127"/>
    </row>
    <row r="30" spans="1:33" ht="16.5">
      <c r="A30" s="200">
        <f>T.UP3!A30</f>
        <v>7</v>
      </c>
      <c r="B30" s="310" t="str">
        <f>T.UP3!B30</f>
        <v>Sistem Recovery :</v>
      </c>
      <c r="C30" s="447"/>
      <c r="D30" s="97"/>
      <c r="E30" s="202">
        <f>T.UP3!F30</f>
        <v>4</v>
      </c>
      <c r="F30" s="146"/>
      <c r="G30" s="90"/>
      <c r="H30" s="98"/>
      <c r="I30" s="165">
        <f>AVERAGE(I31:I32)</f>
        <v>110</v>
      </c>
      <c r="J30" s="103">
        <f>ROUNDDOWN(IF(I30="N/A",0,IF(I30&gt;110,E30*110/100,E30*I30/100)),2)</f>
        <v>4.4000000000000004</v>
      </c>
      <c r="R30" s="103"/>
      <c r="S30" s="103"/>
      <c r="T30" s="127"/>
    </row>
    <row r="31" spans="1:33" ht="16.5">
      <c r="A31" s="200"/>
      <c r="B31" s="160" t="str">
        <f>T.UP3!B31</f>
        <v>a. Recovery Time Gangguan Meluas TM</v>
      </c>
      <c r="C31" s="447" t="str">
        <f>T.UP3!C31</f>
        <v>ñ</v>
      </c>
      <c r="D31" s="97" t="str">
        <f>T.UP3!D31</f>
        <v>%</v>
      </c>
      <c r="E31" s="202"/>
      <c r="F31" s="146">
        <f>T.UP3!H31</f>
        <v>100</v>
      </c>
      <c r="G31" s="90">
        <f>VLOOKUP(B31,T.UP3!$B$4:$T$70,MATCH('UP3'!$M$2,T.UP3!$B$5:$T$5,0),FALSE)</f>
        <v>100</v>
      </c>
      <c r="H31" s="98">
        <f>VLOOKUP(B31,'R.UP3'!$B$4:$T$67,MATCH('UP3'!$M$2,'R.UP3'!$B$5:$T$5,0),FALSE)</f>
        <v>110</v>
      </c>
      <c r="I31" s="165">
        <f>IF(OR(G31="N/A",H31="N/A"),"N/A",IF((H31/G31*100)&gt;=110,110,(H31/G31*100)))</f>
        <v>110</v>
      </c>
      <c r="J31" s="103"/>
      <c r="R31" s="103"/>
      <c r="S31" s="103"/>
      <c r="T31" s="127"/>
    </row>
    <row r="32" spans="1:33" ht="16.5">
      <c r="A32" s="200"/>
      <c r="B32" s="160" t="str">
        <f>T.UP3!B32</f>
        <v>b. Penormalan Siaga 1 Gangguan TM</v>
      </c>
      <c r="C32" s="447" t="str">
        <f>T.UP3!C32</f>
        <v>ñ</v>
      </c>
      <c r="D32" s="97" t="str">
        <f>T.UP3!D32</f>
        <v>%</v>
      </c>
      <c r="E32" s="202"/>
      <c r="F32" s="146">
        <f>T.UP3!H32</f>
        <v>100</v>
      </c>
      <c r="G32" s="90">
        <f>VLOOKUP(B32,T.UP3!$B$4:$T$70,MATCH('UP3'!$M$2,T.UP3!$B$5:$T$5,0),FALSE)</f>
        <v>100</v>
      </c>
      <c r="H32" s="98">
        <f>VLOOKUP(B32,'R.UP3'!$B$4:$T$67,MATCH('UP3'!$M$2,'R.UP3'!$B$5:$T$5,0),FALSE)</f>
        <v>110</v>
      </c>
      <c r="I32" s="165">
        <f>IF(OR(G32="N/A",H32="N/A"),"N/A",IF((H32/G32*100)&gt;=110,110,(H32/G32*100)))</f>
        <v>110</v>
      </c>
      <c r="J32" s="103"/>
      <c r="R32" s="103"/>
      <c r="S32" s="103"/>
      <c r="T32" s="127"/>
    </row>
    <row r="33" spans="1:31" ht="16.5">
      <c r="A33" s="200">
        <f>T.UP3!A33</f>
        <v>8</v>
      </c>
      <c r="B33" s="310" t="str">
        <f>T.UP3!B33</f>
        <v>Digitalisasi Aplikasi Korporat</v>
      </c>
      <c r="C33" s="447"/>
      <c r="D33" s="97"/>
      <c r="E33" s="202">
        <f>T.UP3!F33</f>
        <v>6</v>
      </c>
      <c r="F33" s="146"/>
      <c r="G33" s="90"/>
      <c r="H33" s="98"/>
      <c r="I33" s="165">
        <f>AVERAGE(I34)</f>
        <v>101.95</v>
      </c>
      <c r="J33" s="103">
        <f>ROUNDDOWN(IF(I33="N/A",0,IF(I33&gt;110,E33*110/100,E33*I33/100)),2)</f>
        <v>6.11</v>
      </c>
      <c r="R33" s="103"/>
      <c r="S33" s="103"/>
      <c r="T33" s="127"/>
    </row>
    <row r="34" spans="1:31" ht="16.5">
      <c r="A34" s="200"/>
      <c r="B34" s="160" t="str">
        <f>T.UP3!B34</f>
        <v>a. Pengembangan EAM Distribusi</v>
      </c>
      <c r="C34" s="447" t="str">
        <f>T.UP3!C34</f>
        <v>ñ</v>
      </c>
      <c r="D34" s="97" t="str">
        <f>T.UP3!D34</f>
        <v>%</v>
      </c>
      <c r="E34" s="202"/>
      <c r="F34" s="146">
        <f>T.UP3!H34</f>
        <v>100</v>
      </c>
      <c r="G34" s="90">
        <f>VLOOKUP(B34,T.UP3!$B$4:$T$70,MATCH('UP3'!$M$2,T.UP3!$B$5:$T$5,0),FALSE)</f>
        <v>100</v>
      </c>
      <c r="H34" s="98">
        <f>VLOOKUP(B34,'R.UP3'!$B$4:$T$67,MATCH('UP3'!$M$2,'R.UP3'!$B$5:$T$5,0),FALSE)</f>
        <v>101.95</v>
      </c>
      <c r="I34" s="165">
        <f>IF(G34=0,100,(IF((H34/G34*100)&gt;110,110,(H34/G34*100))))</f>
        <v>101.95</v>
      </c>
      <c r="J34" s="103"/>
      <c r="L34" s="195"/>
      <c r="R34" s="103">
        <v>4.5</v>
      </c>
      <c r="S34" s="103">
        <v>4.5</v>
      </c>
      <c r="T34" s="127">
        <f>R34-S34</f>
        <v>0</v>
      </c>
      <c r="Y34" s="292"/>
    </row>
    <row r="35" spans="1:31" ht="16.5">
      <c r="A35" s="200">
        <f>T.UP3!A36</f>
        <v>9</v>
      </c>
      <c r="B35" s="310" t="str">
        <f>T.UP3!B36</f>
        <v>Percepatan Penyambungan Pelanggan</v>
      </c>
      <c r="C35" s="447"/>
      <c r="D35" s="97"/>
      <c r="E35" s="202"/>
      <c r="F35" s="101"/>
      <c r="G35" s="91"/>
      <c r="H35" s="101"/>
      <c r="I35" s="165">
        <f>AVERAGE(I36:I41)</f>
        <v>89.572902036512048</v>
      </c>
      <c r="J35" s="103">
        <f>SUM(J36:J41)</f>
        <v>8.6300000000000008</v>
      </c>
      <c r="L35" s="195"/>
      <c r="R35" s="103"/>
      <c r="S35" s="103"/>
      <c r="T35" s="127"/>
      <c r="Y35" s="292"/>
    </row>
    <row r="36" spans="1:31" ht="16.5">
      <c r="A36" s="200"/>
      <c r="B36" s="160" t="str">
        <f>T.UP3!B37</f>
        <v>a. Penambahan Daya Tersambung</v>
      </c>
      <c r="C36" s="447" t="str">
        <f>T.UP3!C37</f>
        <v>ñ</v>
      </c>
      <c r="D36" s="97" t="str">
        <f>T.UP3!D37</f>
        <v>MVA</v>
      </c>
      <c r="E36" s="202">
        <f>T.UP3!F37</f>
        <v>2</v>
      </c>
      <c r="F36" s="146">
        <f>T.UP3!H37</f>
        <v>13.36</v>
      </c>
      <c r="G36" s="91">
        <f>VLOOKUP(B36,T.UP3!$B$4:$T$70,MATCH('UP3'!$M$2,T.UP3!$B$5:$T$5,0),FALSE)</f>
        <v>8.75</v>
      </c>
      <c r="H36" s="98">
        <f>VLOOKUP(B36,'R.UP3'!$B$4:$T$67,MATCH('UP3'!$M$2,'R.UP3'!$B$5:$T$5,0),FALSE)</f>
        <v>5.7844333333333333</v>
      </c>
      <c r="I36" s="165">
        <f>IF(G36=0,110,(IF((H36/G36*100)&gt;110,110,(H36/G36*100))))</f>
        <v>66.107809523809522</v>
      </c>
      <c r="J36" s="103">
        <f t="shared" ref="J36:J41" si="0">ROUNDDOWN(IF(I36="N/A",0,IF(I36&gt;110,E36*110/100,E36*I36/100)),2)</f>
        <v>1.32</v>
      </c>
      <c r="L36" s="195"/>
      <c r="R36" s="103"/>
      <c r="S36" s="103"/>
      <c r="T36" s="127"/>
      <c r="Y36" s="292"/>
    </row>
    <row r="37" spans="1:31" ht="16.5">
      <c r="A37" s="200"/>
      <c r="B37" s="160" t="str">
        <f>T.UP3!B38</f>
        <v>b. Penambahan Jumlah Pelanggan</v>
      </c>
      <c r="C37" s="447" t="str">
        <f>T.UP3!C38</f>
        <v>ñ</v>
      </c>
      <c r="D37" s="283" t="str">
        <f>T.UP3!D38</f>
        <v>Pelanggan</v>
      </c>
      <c r="E37" s="202">
        <f>T.UP3!F38</f>
        <v>2</v>
      </c>
      <c r="F37" s="146">
        <f>T.UP3!H38</f>
        <v>10632</v>
      </c>
      <c r="G37" s="91">
        <f>VLOOKUP(B37,T.UP3!$B$4:$T$70,MATCH('UP3'!$M$2,T.UP3!$B$5:$T$5,0),FALSE)</f>
        <v>7625</v>
      </c>
      <c r="H37" s="98">
        <f>VLOOKUP(B37,'R.UP3'!$B$4:$T$67,MATCH('UP3'!$M$2,'R.UP3'!$B$5:$T$5,0),FALSE)</f>
        <v>3761</v>
      </c>
      <c r="I37" s="165">
        <f>IF(G37=0,110,(IF((H37/G37*100)&gt;110,110,(H37/G37*100))))</f>
        <v>49.324590163934431</v>
      </c>
      <c r="J37" s="103">
        <f t="shared" si="0"/>
        <v>0.98</v>
      </c>
      <c r="L37" s="195"/>
      <c r="R37" s="103"/>
      <c r="S37" s="103"/>
      <c r="T37" s="127"/>
      <c r="Y37" s="292"/>
    </row>
    <row r="38" spans="1:31" ht="16.5">
      <c r="A38" s="200"/>
      <c r="B38" s="160" t="str">
        <f>T.UP3!B39</f>
        <v>c. Jumlah Penambahan Pelanggan Produk Tematik</v>
      </c>
      <c r="C38" s="447" t="str">
        <f>T.UP3!C39</f>
        <v>ñ</v>
      </c>
      <c r="D38" s="97" t="str">
        <f>T.UP3!D39</f>
        <v>Pelanggan</v>
      </c>
      <c r="E38" s="202">
        <f>T.UP3!F39</f>
        <v>1.5</v>
      </c>
      <c r="F38" s="146">
        <f>T.UP3!H39</f>
        <v>996</v>
      </c>
      <c r="G38" s="98">
        <f>VLOOKUP(B38,T.UP3!$B$4:$T$70,MATCH('UP3'!$M$2,T.UP3!$B$5:$T$5,0),FALSE)</f>
        <v>798</v>
      </c>
      <c r="H38" s="98">
        <f>VLOOKUP(B38,'R.UP3'!$B$4:$T$67,MATCH('UP3'!$M$2,'R.UP3'!$B$5:$T$5,0),FALSE)</f>
        <v>814</v>
      </c>
      <c r="I38" s="165">
        <f>IF(G38=0,110,(IF((H38/G38*100)&gt;110,110,(H38/G38*100))))</f>
        <v>102.00501253132832</v>
      </c>
      <c r="J38" s="103">
        <f t="shared" si="0"/>
        <v>1.53</v>
      </c>
      <c r="L38" s="195"/>
      <c r="R38" s="103"/>
      <c r="S38" s="103"/>
      <c r="T38" s="127"/>
      <c r="Y38" s="292"/>
    </row>
    <row r="39" spans="1:31" ht="31.5">
      <c r="A39" s="200"/>
      <c r="B39" s="160" t="str">
        <f>T.UP3!B40</f>
        <v>d. Implementasi Kesesuaian Sektor Bisnis sesuai KBLI 2020</v>
      </c>
      <c r="C39" s="447" t="str">
        <f>T.UP3!C40</f>
        <v>ñ</v>
      </c>
      <c r="D39" s="97" t="str">
        <f>T.UP3!D40</f>
        <v>Pelanggan</v>
      </c>
      <c r="E39" s="202">
        <f>T.UP3!F40</f>
        <v>1.5</v>
      </c>
      <c r="F39" s="146">
        <f>T.UP3!H40</f>
        <v>8</v>
      </c>
      <c r="G39" s="98">
        <f>VLOOKUP(B39,T.UP3!$B$4:$T$70,MATCH('UP3'!$M$2,T.UP3!$B$5:$T$5,0),FALSE)</f>
        <v>8</v>
      </c>
      <c r="H39" s="98">
        <f>VLOOKUP(B39,'R.UP3'!$B$4:$T$67,MATCH('UP3'!$M$2,'R.UP3'!$B$5:$T$5,0),FALSE)</f>
        <v>8</v>
      </c>
      <c r="I39" s="165">
        <f>IF(G39=0,100,(IF((H39/G39*100)&gt;110,110,(H39/G39*100))))</f>
        <v>100</v>
      </c>
      <c r="J39" s="103">
        <f t="shared" si="0"/>
        <v>1.5</v>
      </c>
      <c r="L39" s="195"/>
      <c r="R39" s="103"/>
      <c r="S39" s="103"/>
      <c r="T39" s="127"/>
      <c r="Y39" s="292"/>
      <c r="AE39">
        <f>IF(AC39&gt;=100,110,IF(AC39&gt;=95,100,AC39))</f>
        <v>0</v>
      </c>
    </row>
    <row r="40" spans="1:31" ht="16.5">
      <c r="A40" s="200"/>
      <c r="B40" s="160" t="str">
        <f>T.UP3!B41</f>
        <v>e. Penambahan Jumlah Pelanggan Rumah Tangga Lisdes</v>
      </c>
      <c r="C40" s="447" t="str">
        <f>T.UP3!C41</f>
        <v>ñ</v>
      </c>
      <c r="D40" s="97" t="str">
        <f>T.UP3!D41</f>
        <v>Pelanggan</v>
      </c>
      <c r="E40" s="202">
        <f>T.UP3!F41</f>
        <v>1.5</v>
      </c>
      <c r="F40" s="146">
        <f>T.UP3!H41</f>
        <v>441</v>
      </c>
      <c r="G40" s="98">
        <f>VLOOKUP(B40,T.UP3!$B$4:$T$70,MATCH('UP3'!$M$2,T.UP3!$B$5:$T$5,0),FALSE)</f>
        <v>99</v>
      </c>
      <c r="H40" s="98">
        <f>VLOOKUP(B40,'R.UP3'!$B$4:$T$67,MATCH('UP3'!$M$2,'R.UP3'!$B$5:$T$5,0),FALSE)</f>
        <v>169</v>
      </c>
      <c r="I40" s="165">
        <f>IF(G40=0,110,(IF((H40/G40*100)&gt;110,110,(H40/G40*100))))</f>
        <v>110</v>
      </c>
      <c r="J40" s="103">
        <f t="shared" si="0"/>
        <v>1.65</v>
      </c>
      <c r="K40" s="195"/>
      <c r="L40" s="195"/>
      <c r="R40" s="103">
        <v>1.97</v>
      </c>
      <c r="S40" s="103">
        <v>1.97</v>
      </c>
      <c r="T40" s="127">
        <f>R40-S40</f>
        <v>0</v>
      </c>
    </row>
    <row r="41" spans="1:31" ht="31.5">
      <c r="A41" s="200"/>
      <c r="B41" s="160" t="str">
        <f>T.UP3!B42</f>
        <v>f. Peningkatan kWh Penjualan dari Pelanggan Rumah Tangga Lisdes</v>
      </c>
      <c r="C41" s="447" t="str">
        <f>T.UP3!C42</f>
        <v>ñ</v>
      </c>
      <c r="D41" s="97" t="str">
        <f>T.UP3!D42</f>
        <v>KWh</v>
      </c>
      <c r="E41" s="202">
        <f>T.UP3!F42</f>
        <v>1.5</v>
      </c>
      <c r="F41" s="146">
        <f>T.UP3!H42</f>
        <v>58950.990000000005</v>
      </c>
      <c r="G41" s="90">
        <f>VLOOKUP(B41,T.UP3!$B$4:$T$70,MATCH('UP3'!$M$2,T.UP3!$B$5:$T$5,0),FALSE)</f>
        <v>13233.896000000001</v>
      </c>
      <c r="H41" s="98">
        <f>VLOOKUP(B41,'R.UP3'!$B$4:$T$67,MATCH('UP3'!$M$2,'R.UP3'!$B$5:$T$5,0),FALSE)</f>
        <v>64005.7</v>
      </c>
      <c r="I41" s="165">
        <f>IF(OR(G41="N/A",H41="N/A"),"N/A",IF((H41/G41*100)&gt;=110,110,(H41/G41*100)))</f>
        <v>110</v>
      </c>
      <c r="J41" s="103">
        <f t="shared" si="0"/>
        <v>1.65</v>
      </c>
      <c r="K41" s="195"/>
      <c r="L41" s="195"/>
      <c r="R41" s="103"/>
      <c r="S41" s="103"/>
      <c r="T41" s="127"/>
    </row>
    <row r="42" spans="1:31" ht="16.5">
      <c r="A42" s="200">
        <f>T.UP3!A43</f>
        <v>10</v>
      </c>
      <c r="B42" s="310" t="str">
        <f>T.UP3!B43</f>
        <v>Pengelolaan Pembacaan Meter</v>
      </c>
      <c r="C42" s="447"/>
      <c r="D42" s="97"/>
      <c r="E42" s="202">
        <f>T.UP3!F43</f>
        <v>4</v>
      </c>
      <c r="F42" s="146"/>
      <c r="G42" s="90"/>
      <c r="H42" s="98"/>
      <c r="I42" s="165">
        <f>AVERAGE(I43:I44)</f>
        <v>105</v>
      </c>
      <c r="J42" s="103">
        <f>ROUNDDOWN(IF(I42="N/A",0,IF(I42&gt;110,E42*110/100,E42*I42/100)),2)</f>
        <v>4.2</v>
      </c>
      <c r="K42" s="195"/>
      <c r="L42" s="195"/>
      <c r="R42" s="103">
        <v>1.61</v>
      </c>
      <c r="S42" s="103">
        <v>1.61</v>
      </c>
      <c r="T42" s="127">
        <f>R42-S42</f>
        <v>0</v>
      </c>
    </row>
    <row r="43" spans="1:31" ht="16.5">
      <c r="A43" s="200"/>
      <c r="B43" s="160" t="str">
        <f>T.UP3!B44</f>
        <v>a. Jumlah Pengguna Swa Cam</v>
      </c>
      <c r="C43" s="447" t="str">
        <f>T.UP3!C44</f>
        <v>ñ</v>
      </c>
      <c r="D43" s="97" t="str">
        <f>T.UP3!D44</f>
        <v>Pelanggan</v>
      </c>
      <c r="E43" s="202"/>
      <c r="F43" s="146">
        <f>T.UP3!H44</f>
        <v>4728</v>
      </c>
      <c r="G43" s="91">
        <f>VLOOKUP(B43,T.UP3!$B$4:$T$70,MATCH('UP3'!$M$2,T.UP3!$B$5:$T$5,0),FALSE)</f>
        <v>4728</v>
      </c>
      <c r="H43" s="101">
        <f>VLOOKUP(B43,'R.UP3'!$B$4:$T$67,MATCH('UP3'!$M$2,'R.UP3'!$B$5:$T$5,0),FALSE)</f>
        <v>5579</v>
      </c>
      <c r="I43" s="165">
        <f>IF(OR(G43="N/A",H43="N/A"),"N/A",IF((H43/G43*100)&gt;=110,110,(H43/G43*100)))</f>
        <v>110</v>
      </c>
      <c r="J43" s="103"/>
      <c r="K43" s="195"/>
      <c r="L43" s="195"/>
      <c r="N43" s="127"/>
      <c r="R43" s="103">
        <v>1.77</v>
      </c>
      <c r="S43" s="103">
        <v>1.91</v>
      </c>
      <c r="T43" s="127">
        <f>R43-S43</f>
        <v>-0.1399999999999999</v>
      </c>
      <c r="U43" s="271"/>
      <c r="V43" s="350"/>
    </row>
    <row r="44" spans="1:31" ht="31.5">
      <c r="A44" s="200"/>
      <c r="B44" s="160" t="str">
        <f>T.UP3!B45</f>
        <v>b. Tindak Lanjut LBKB (Laporan Bulanan Kelainan Baca Meter)</v>
      </c>
      <c r="C44" s="447" t="str">
        <f>T.UP3!C45</f>
        <v>ò</v>
      </c>
      <c r="D44" s="97" t="str">
        <f>T.UP3!D45</f>
        <v>Pelanggan</v>
      </c>
      <c r="E44" s="202"/>
      <c r="F44" s="146">
        <f>T.UP3!H45</f>
        <v>0</v>
      </c>
      <c r="G44" s="91">
        <f>VLOOKUP(B44,T.UP3!$B$4:$T$70,MATCH('UP3'!$M$2,T.UP3!$B$5:$T$5,0),FALSE)</f>
        <v>0</v>
      </c>
      <c r="H44" s="101">
        <f>VLOOKUP(B44,'R.UP3'!$B$4:$T$67,MATCH('UP3'!$M$2,'R.UP3'!$B$5:$T$5,0),FALSE)</f>
        <v>0</v>
      </c>
      <c r="I44" s="165">
        <f>IF(G44=0,100,(IF((H44/G44*100)&gt;110,110,(H44/G44*100))))</f>
        <v>100</v>
      </c>
      <c r="J44" s="103"/>
      <c r="K44" s="195"/>
      <c r="L44" s="195"/>
      <c r="R44" s="103"/>
      <c r="S44" s="103"/>
      <c r="V44" s="350"/>
    </row>
    <row r="45" spans="1:31" ht="16.5">
      <c r="A45" s="200">
        <f>T.UP3!A46</f>
        <v>11</v>
      </c>
      <c r="B45" s="310" t="str">
        <f>T.UP3!B46</f>
        <v>Percepatan Cash In</v>
      </c>
      <c r="C45" s="447"/>
      <c r="D45" s="97" t="str">
        <f>T.UP3!D46</f>
        <v>%</v>
      </c>
      <c r="E45" s="202">
        <f>T.UP3!F46</f>
        <v>6</v>
      </c>
      <c r="F45" s="146"/>
      <c r="G45" s="91"/>
      <c r="H45" s="101"/>
      <c r="I45" s="165">
        <f>AVERAGE(I46:I48)</f>
        <v>102.51182087876118</v>
      </c>
      <c r="J45" s="103">
        <f>ROUNDDOWN(IF(I45="N/A",0,IF(I45&gt;110,E45*110/100,E45*I45/100)),2)</f>
        <v>6.15</v>
      </c>
      <c r="K45" s="195"/>
      <c r="L45" s="195"/>
      <c r="R45" s="103">
        <v>4.4000000000000004</v>
      </c>
      <c r="S45" s="103">
        <v>4.4000000000000004</v>
      </c>
      <c r="T45" s="127">
        <f>R45-S45</f>
        <v>0</v>
      </c>
    </row>
    <row r="46" spans="1:31" ht="31.5">
      <c r="A46" s="200"/>
      <c r="B46" s="160" t="str">
        <f>T.UP3!B47</f>
        <v>a. Pencapaian Rata-Rata Saldo Tanggal 20 diluar Konsumen Instansi (Kementerian &amp; Lembaga)</v>
      </c>
      <c r="C46" s="447" t="str">
        <f>T.UP3!C47</f>
        <v>ò</v>
      </c>
      <c r="D46" s="97" t="str">
        <f>T.UP3!D47</f>
        <v>Rp. Juta</v>
      </c>
      <c r="E46" s="202">
        <f>T.UP3!F47</f>
        <v>0</v>
      </c>
      <c r="F46" s="146">
        <f>T.UP3!H47</f>
        <v>1175</v>
      </c>
      <c r="G46" s="91">
        <f>VLOOKUP(B46,T.UP3!$B$4:$T$70,MATCH('UP3'!$M$2,T.UP3!$B$5:$T$5,0),FALSE)</f>
        <v>1175</v>
      </c>
      <c r="H46" s="101">
        <f>VLOOKUP(B46,'R.UP3'!$B$4:$T$67,MATCH('UP3'!$M$2,'R.UP3'!$B$5:$T$5,0),FALSE)</f>
        <v>1001.4119882222224</v>
      </c>
      <c r="I46" s="165">
        <f>IF(OR(G46="N/A",H46="N/A"),"N/A",IF((2-(H46/G46))*100&gt;=110,110,(2-(H46/G46))*100))</f>
        <v>110</v>
      </c>
      <c r="J46" s="103"/>
      <c r="K46" s="195"/>
      <c r="L46" s="195"/>
      <c r="R46" s="103"/>
      <c r="S46" s="103"/>
      <c r="T46" s="127"/>
    </row>
    <row r="47" spans="1:31" ht="31.5">
      <c r="A47" s="200"/>
      <c r="B47" s="160" t="str">
        <f>T.UP3!B48</f>
        <v>b. Pencapaian Saldo Rata-Rata Akhir Bulan diluar Konsumen Instansi (Kementerian &amp; Lembaga)</v>
      </c>
      <c r="C47" s="447" t="str">
        <f>T.UP3!C48</f>
        <v>ò</v>
      </c>
      <c r="D47" s="97" t="str">
        <f>T.UP3!D48</f>
        <v>Rp. Juta</v>
      </c>
      <c r="E47" s="202"/>
      <c r="F47" s="146">
        <f>T.UP3!H48</f>
        <v>286.27</v>
      </c>
      <c r="G47" s="90">
        <f>VLOOKUP(B47,T.UP3!$B$4:$T$70,MATCH('UP3'!$M$2,T.UP3!$B$5:$T$5,0),FALSE)</f>
        <v>286.27</v>
      </c>
      <c r="H47" s="98">
        <f>VLOOKUP(B47,'R.UP3'!$B$4:$T$67,MATCH('UP3'!$M$2,'R.UP3'!$B$5:$T$5,0),FALSE)</f>
        <v>321.95223111111113</v>
      </c>
      <c r="I47" s="165">
        <f>IF(OR(G47="N/A",H47="N/A"),"N/A",IF((2-(H47/G47))*100&gt;=110,110,(2-(H47/G47))*100))</f>
        <v>87.53546263628354</v>
      </c>
      <c r="J47" s="103"/>
      <c r="K47" s="195"/>
      <c r="L47" s="195"/>
      <c r="R47" s="103"/>
      <c r="S47" s="103"/>
      <c r="T47" s="127"/>
    </row>
    <row r="48" spans="1:31" ht="43.15" customHeight="1">
      <c r="A48" s="200"/>
      <c r="B48" s="160" t="str">
        <f>T.UP3!B49</f>
        <v>c. Pencapaian Pelunasan PRR</v>
      </c>
      <c r="C48" s="447" t="str">
        <f>T.UP3!C49</f>
        <v>ñ</v>
      </c>
      <c r="D48" s="97" t="str">
        <f>T.UP3!D49</f>
        <v>Rp. Juta</v>
      </c>
      <c r="E48" s="202"/>
      <c r="F48" s="146">
        <f>T.UP3!H49</f>
        <v>9.31</v>
      </c>
      <c r="G48" s="90">
        <f>VLOOKUP(B48,T.UP3!$B$4:$T$70,MATCH('UP3'!$M$2,T.UP3!$B$5:$T$5,0),FALSE)</f>
        <v>6.52</v>
      </c>
      <c r="H48" s="98">
        <f>VLOOKUP(B48,'R.UP3'!$B$4:$T$67,MATCH('UP3'!$M$2,'R.UP3'!$B$5:$T$5,0),FALSE)</f>
        <v>16.879501000000001</v>
      </c>
      <c r="I48" s="165">
        <f>IF(OR(G48="N/A",H48="N/A"),"N/A",IF((H48/G48*100)&gt;=110,110,(H48/G48*100)))</f>
        <v>110</v>
      </c>
      <c r="J48" s="103"/>
      <c r="O48" s="270"/>
      <c r="R48" s="94"/>
      <c r="S48" s="94"/>
    </row>
    <row r="49" spans="1:56" ht="40.15" customHeight="1">
      <c r="A49" s="200">
        <f>T.UP3!A50</f>
        <v>12</v>
      </c>
      <c r="B49" s="310" t="str">
        <f>T.UP3!B50</f>
        <v>Pengendalian  Anggaran</v>
      </c>
      <c r="C49" s="447"/>
      <c r="D49" s="97"/>
      <c r="E49" s="202">
        <f>T.UP3!F50</f>
        <v>6</v>
      </c>
      <c r="F49" s="146"/>
      <c r="G49" s="90"/>
      <c r="H49" s="98"/>
      <c r="I49" s="165">
        <f>AVERAGE(I50:I52)</f>
        <v>100.66666666666667</v>
      </c>
      <c r="J49" s="103">
        <f t="shared" ref="J49:J58" si="1">ROUNDDOWN(IF(I49="N/A",0,IF(I49&gt;110,E49*110/100,E49*I49/100)),2)</f>
        <v>6.04</v>
      </c>
      <c r="L49" s="488"/>
      <c r="R49" s="94"/>
      <c r="S49" s="94"/>
    </row>
    <row r="50" spans="1:56" ht="18" customHeight="1">
      <c r="A50" s="200"/>
      <c r="B50" s="160" t="str">
        <f>T.UP3!B51</f>
        <v>a. Pengendalian Penggunaan Anggaran Investasi sesuai RKAP</v>
      </c>
      <c r="C50" s="447" t="str">
        <f>T.UP3!C51</f>
        <v>ó</v>
      </c>
      <c r="D50" s="97" t="str">
        <f>T.UP3!D51</f>
        <v>%</v>
      </c>
      <c r="E50" s="202"/>
      <c r="F50" s="146" t="str">
        <f>T.UP3!H51</f>
        <v>95-100</v>
      </c>
      <c r="G50" s="90" t="str">
        <f>VLOOKUP(B50,T.UP3!$B$4:$T$70,MATCH('UP3'!$M$2,T.UP3!$B$5:$T$5,0),FALSE)</f>
        <v>95-100</v>
      </c>
      <c r="H50" s="98">
        <f>VLOOKUP(B50,'R.UP3'!$B$4:$T$67,MATCH('UP3'!$M$2,'R.UP3'!$B$5:$T$5,0),FALSE)</f>
        <v>96</v>
      </c>
      <c r="I50" s="165">
        <f>MAX(0,_xlfn.IFS(H50&lt;95,H50/95,
AND(H50&gt;=95,H50&lt;=100),1+((H50-95)/(100-95))*0.1,H50&gt;
100,1-(H50-100)/(190-100)))*100</f>
        <v>102</v>
      </c>
      <c r="J50" s="103"/>
      <c r="R50" s="94"/>
      <c r="S50" s="94"/>
    </row>
    <row r="51" spans="1:56" ht="16.5">
      <c r="A51" s="200"/>
      <c r="B51" s="160" t="str">
        <f>T.UP3!B52</f>
        <v>b. Usulan Penghapusan ATTB</v>
      </c>
      <c r="C51" s="447" t="str">
        <f>T.UP3!C52</f>
        <v>ñ</v>
      </c>
      <c r="D51" s="97" t="str">
        <f>T.UP3!D52</f>
        <v>Rp. Milyar</v>
      </c>
      <c r="E51" s="202"/>
      <c r="F51" s="146">
        <f>T.UP3!H52</f>
        <v>3.16</v>
      </c>
      <c r="G51" s="90">
        <f>VLOOKUP(B51,T.UP3!$B$4:$T$70,MATCH('UP3'!$M$2,T.UP3!$B$5:$T$5,0),FALSE)</f>
        <v>0</v>
      </c>
      <c r="H51" s="98">
        <f>VLOOKUP(B51,'R.UP3'!$B$4:$T$67,MATCH('UP3'!$M$2,'R.UP3'!$B$5:$T$5,0),FALSE)</f>
        <v>0</v>
      </c>
      <c r="I51" s="165">
        <f>IF(G51=0,100,(IF((H51/G51*100)&gt;110,110,(H51/G51*100))))</f>
        <v>100</v>
      </c>
      <c r="J51" s="103"/>
      <c r="R51" s="94"/>
      <c r="S51" s="94"/>
    </row>
    <row r="52" spans="1:56" ht="16.5">
      <c r="A52" s="200"/>
      <c r="B52" s="160" t="str">
        <f>T.UP3!B53</f>
        <v>c. Usulan Penghapusan PRR</v>
      </c>
      <c r="C52" s="447" t="str">
        <f>T.UP3!C53</f>
        <v>ñ</v>
      </c>
      <c r="D52" s="97" t="str">
        <f>T.UP3!D53</f>
        <v>Rp. Milyar</v>
      </c>
      <c r="E52" s="202"/>
      <c r="F52" s="146">
        <f>T.UP3!H53</f>
        <v>34.29</v>
      </c>
      <c r="G52" s="90">
        <f>VLOOKUP(B52,T.UP3!$B$4:$T$70,MATCH('UP3'!$M$2,T.UP3!$B$5:$T$5,0),FALSE)</f>
        <v>0</v>
      </c>
      <c r="H52" s="98">
        <f>VLOOKUP(B52,'R.UP3'!$B$4:$T$67,MATCH('UP3'!$M$2,'R.UP3'!$B$5:$T$5,0),FALSE)</f>
        <v>0</v>
      </c>
      <c r="I52" s="165">
        <f>IF(OR(G52="N/A",H52="N/A"),"N/A",IF(AND(G52=0,H52=0),100,H52/G52*100))</f>
        <v>100</v>
      </c>
      <c r="J52" s="103"/>
      <c r="K52" s="195"/>
      <c r="R52" s="103">
        <v>0.81</v>
      </c>
      <c r="S52" s="103">
        <v>1.1000000000000001</v>
      </c>
      <c r="T52" s="127">
        <f>R52-S52</f>
        <v>-0.29000000000000004</v>
      </c>
    </row>
    <row r="53" spans="1:56" ht="16.5">
      <c r="A53" s="200">
        <f>T.UP3!A54</f>
        <v>13</v>
      </c>
      <c r="B53" s="310" t="str">
        <f>T.UP3!B54</f>
        <v>Manajemen SDM, Komunikasi, dan TJSL</v>
      </c>
      <c r="C53" s="447"/>
      <c r="D53" s="97"/>
      <c r="E53" s="202"/>
      <c r="F53" s="146"/>
      <c r="G53" s="90"/>
      <c r="H53" s="98"/>
      <c r="I53" s="165">
        <f>AVERAGE(I54:I57)</f>
        <v>100</v>
      </c>
      <c r="J53" s="103">
        <f>SUM(J54:J57)</f>
        <v>5</v>
      </c>
      <c r="K53" s="195"/>
      <c r="L53" s="195"/>
      <c r="R53" s="103">
        <v>1.1000000000000001</v>
      </c>
      <c r="S53" s="103">
        <v>1.1000000000000001</v>
      </c>
      <c r="T53" s="127">
        <f>R53-S53</f>
        <v>0</v>
      </c>
    </row>
    <row r="54" spans="1:56" ht="16.5">
      <c r="A54" s="200"/>
      <c r="B54" s="160" t="str">
        <f>T.UP3!B55</f>
        <v>a. HCR, OCR, dan Produktivitas Pegawai</v>
      </c>
      <c r="C54" s="447" t="str">
        <f>T.UP3!C55</f>
        <v>ñ</v>
      </c>
      <c r="D54" s="97" t="str">
        <f>T.UP3!D55</f>
        <v>%</v>
      </c>
      <c r="E54" s="202">
        <v>2</v>
      </c>
      <c r="F54" s="146">
        <f>T.UP3!H55</f>
        <v>100</v>
      </c>
      <c r="G54" s="90">
        <f>VLOOKUP(B54,T.UP3!$B$4:$T$70,MATCH('UP3'!$M$2,T.UP3!$B$5:$T$5,0),FALSE)</f>
        <v>100</v>
      </c>
      <c r="H54" s="327">
        <f>VLOOKUP(B54,'R.UP3'!$B$4:$T$67,MATCH('UP3'!$M$2,'R.UP3'!$B$5:$T$5,0),FALSE)</f>
        <v>100</v>
      </c>
      <c r="I54" s="165">
        <f>IF(G54=0,100,(IF((H54/G54*100)&gt;110,110,(H54/G54*100))))</f>
        <v>100</v>
      </c>
      <c r="J54" s="103">
        <f t="shared" si="1"/>
        <v>2</v>
      </c>
      <c r="K54" s="195"/>
      <c r="L54" s="195"/>
      <c r="R54" s="103">
        <v>1.1000000000000001</v>
      </c>
      <c r="S54" s="103">
        <v>1.1000000000000001</v>
      </c>
      <c r="T54" s="127">
        <f>R54-S54</f>
        <v>0</v>
      </c>
    </row>
    <row r="55" spans="1:56" ht="16.5">
      <c r="A55" s="200"/>
      <c r="B55" s="160" t="str">
        <f>T.UP3!B56</f>
        <v>b. Produktivitas Unit</v>
      </c>
      <c r="C55" s="447" t="str">
        <f>T.UP3!C56</f>
        <v>ñ</v>
      </c>
      <c r="D55" s="97" t="str">
        <f>T.UP3!D56</f>
        <v>%</v>
      </c>
      <c r="E55" s="202">
        <v>1</v>
      </c>
      <c r="F55" s="146">
        <f>T.UP3!H56</f>
        <v>100</v>
      </c>
      <c r="G55" s="90">
        <f>VLOOKUP(B55,T.UP3!$B$4:$T$70,MATCH('UP3'!$M$2,T.UP3!$B$5:$T$5,0),FALSE)</f>
        <v>100</v>
      </c>
      <c r="H55" s="327">
        <f>VLOOKUP(B55,'R.UP3'!$B$4:$T$67,MATCH('UP3'!$M$2,'R.UP3'!$B$5:$T$5,0),FALSE)</f>
        <v>90</v>
      </c>
      <c r="I55" s="165">
        <f>IF(G55=0,100,(IF((H55/G55*100)&gt;110,110,(H55/G55*100))))</f>
        <v>90</v>
      </c>
      <c r="J55" s="103">
        <f t="shared" si="1"/>
        <v>0.9</v>
      </c>
      <c r="K55" s="195"/>
      <c r="L55" s="195"/>
      <c r="R55" s="103">
        <v>2.2000000000000002</v>
      </c>
      <c r="S55" s="103">
        <v>2.2000000000000002</v>
      </c>
      <c r="T55" s="127">
        <f>R55-S55</f>
        <v>0</v>
      </c>
      <c r="BD55" s="21"/>
    </row>
    <row r="56" spans="1:56" ht="16.5">
      <c r="A56" s="200"/>
      <c r="B56" s="160" t="str">
        <f>T.UP3!B57</f>
        <v>c. Pengelolaan Komunikasi dan TJSL</v>
      </c>
      <c r="C56" s="447" t="str">
        <f>T.UP3!C57</f>
        <v>ñ</v>
      </c>
      <c r="D56" s="97" t="str">
        <f>T.UP3!D57</f>
        <v>%</v>
      </c>
      <c r="E56" s="202">
        <v>1</v>
      </c>
      <c r="F56" s="146">
        <f>T.UP3!H57</f>
        <v>100</v>
      </c>
      <c r="G56" s="90">
        <f>VLOOKUP(B56,T.UP3!$B$4:$T$70,MATCH('UP3'!$M$2,T.UP3!$B$5:$T$5,0),FALSE)</f>
        <v>100</v>
      </c>
      <c r="H56" s="98">
        <f>VLOOKUP(B56,'R.UP3'!$B$4:$T$67,MATCH('UP3'!$M$2,'R.UP3'!$B$5:$T$5,0),FALSE)</f>
        <v>110</v>
      </c>
      <c r="I56" s="165">
        <f>IF(OR(G56="N/A",H56="N/A"),"N/A",IF(AND(G56=0,H56=0),100,H56/G56*100))</f>
        <v>110.00000000000001</v>
      </c>
      <c r="J56" s="103">
        <f t="shared" si="1"/>
        <v>1.1000000000000001</v>
      </c>
      <c r="K56" s="195"/>
      <c r="L56" s="195"/>
      <c r="R56" s="103"/>
      <c r="S56" s="103"/>
      <c r="T56" s="127"/>
      <c r="BD56" s="21"/>
    </row>
    <row r="57" spans="1:56" ht="16.5">
      <c r="A57" s="200"/>
      <c r="B57" s="160" t="str">
        <f>T.UP3!B58</f>
        <v>d. Peningkatan Layanan dan Budaya K3</v>
      </c>
      <c r="C57" s="447" t="str">
        <f>T.UP3!C58</f>
        <v>ñ</v>
      </c>
      <c r="D57" s="97" t="str">
        <f>T.UP3!D58</f>
        <v>%</v>
      </c>
      <c r="E57" s="202">
        <v>1</v>
      </c>
      <c r="F57" s="146">
        <f>T.UP3!H58</f>
        <v>100</v>
      </c>
      <c r="G57" s="90">
        <f>VLOOKUP(B57,T.UP3!$B$4:$T$70,MATCH('UP3'!$M$2,T.UP3!$B$5:$T$5,0),FALSE)</f>
        <v>100</v>
      </c>
      <c r="H57" s="98">
        <f>VLOOKUP(B57,'R.UP3'!$B$4:$T$67,MATCH('UP3'!$M$2,'R.UP3'!$B$5:$T$5,0),FALSE)</f>
        <v>100</v>
      </c>
      <c r="I57" s="165">
        <f>IF(OR(G57="N/A",H57="N/A"),"N/A",IF(AND(G57=0,H57=0),100,H57/G57*100))</f>
        <v>100</v>
      </c>
      <c r="J57" s="103">
        <f t="shared" si="1"/>
        <v>1</v>
      </c>
      <c r="K57" s="195"/>
      <c r="L57" s="195"/>
      <c r="R57" s="103">
        <v>2.2000000000000002</v>
      </c>
      <c r="S57" s="103">
        <v>2.2000000000000002</v>
      </c>
      <c r="T57" s="127">
        <f>R57-S57</f>
        <v>0</v>
      </c>
    </row>
    <row r="58" spans="1:56" ht="16.5">
      <c r="A58" s="200">
        <f>T.UP3!A59</f>
        <v>14</v>
      </c>
      <c r="B58" s="310" t="str">
        <f>T.UP3!B59</f>
        <v>Perbaikan Proses Bisnis dan Keberlanjutan</v>
      </c>
      <c r="C58" s="447"/>
      <c r="D58" s="97"/>
      <c r="E58" s="202">
        <f>T.UP3!F59</f>
        <v>4</v>
      </c>
      <c r="F58" s="146"/>
      <c r="G58" s="286"/>
      <c r="H58" s="169"/>
      <c r="I58" s="352">
        <f>AVERAGE(I59:I62)</f>
        <v>102.5</v>
      </c>
      <c r="J58" s="103">
        <f t="shared" si="1"/>
        <v>4.0999999999999996</v>
      </c>
      <c r="K58" s="195"/>
      <c r="L58" s="195"/>
      <c r="R58" s="103">
        <v>2</v>
      </c>
      <c r="S58" s="103">
        <v>2</v>
      </c>
      <c r="T58" s="127">
        <f>R58-S58</f>
        <v>0</v>
      </c>
    </row>
    <row r="59" spans="1:56" ht="16.5">
      <c r="A59" s="200"/>
      <c r="B59" s="160" t="str">
        <f>T.UP3!B60</f>
        <v>a. Implementasi PLN Bisnis Ekselen</v>
      </c>
      <c r="C59" s="447" t="str">
        <f>T.UP3!C60</f>
        <v>ñ</v>
      </c>
      <c r="D59" s="97" t="str">
        <f>T.UP3!D60</f>
        <v>%</v>
      </c>
      <c r="E59" s="202"/>
      <c r="F59" s="146">
        <f>T.UP3!H60</f>
        <v>100</v>
      </c>
      <c r="G59" s="286">
        <f>VLOOKUP(B59,T.UP3!$B$4:$T$70,MATCH('UP3'!$M$2,T.UP3!$B$5:$T$5,0),FALSE)</f>
        <v>100</v>
      </c>
      <c r="H59" s="169">
        <f>VLOOKUP(B59,'R.UP3'!$B$4:$T$67,MATCH('UP3'!$M$2,'R.UP3'!$B$5:$T$5,0),FALSE)</f>
        <v>100</v>
      </c>
      <c r="I59" s="352">
        <f>IF(OR(G59="N/A",H59="N/A"),"N/A",IF(AND(G59=0,H59=0),100,H59/G59*100))</f>
        <v>100</v>
      </c>
      <c r="J59" s="103"/>
      <c r="K59" s="195"/>
      <c r="L59" s="195"/>
      <c r="R59" s="103"/>
      <c r="S59" s="103"/>
      <c r="T59" s="127"/>
    </row>
    <row r="60" spans="1:56" ht="16.5">
      <c r="A60" s="200"/>
      <c r="B60" s="160" t="str">
        <f>T.UP3!B61</f>
        <v>b. Maturity Level Gudang</v>
      </c>
      <c r="C60" s="447" t="str">
        <f>T.UP3!C61</f>
        <v>ñ</v>
      </c>
      <c r="D60" s="97" t="str">
        <f>T.UP3!D61</f>
        <v>Skor</v>
      </c>
      <c r="E60" s="202"/>
      <c r="F60" s="146">
        <f>T.UP3!H58</f>
        <v>100</v>
      </c>
      <c r="G60" s="286">
        <f>VLOOKUP(B60,T.UP3!$B$4:$T$70,MATCH('UP3'!$M$2,T.UP3!$B$5:$T$5,0),FALSE)</f>
        <v>3.5</v>
      </c>
      <c r="H60" s="98">
        <f>VLOOKUP(B60,'R.UP3'!$B$4:$T$67,MATCH('UP3'!$M$2,'R.UP3'!$B$5:$T$5,0),FALSE)</f>
        <v>3.5</v>
      </c>
      <c r="I60" s="352">
        <f>IFERROR(IF(OR(G60="N/A",H60="N/A"),"N/A",IF((H60/G60*100)&gt;=110,110,(H60/G60*100))),100)</f>
        <v>100</v>
      </c>
      <c r="J60" s="103"/>
      <c r="K60" s="195"/>
      <c r="L60" s="195"/>
      <c r="R60" s="103"/>
      <c r="S60" s="103"/>
      <c r="T60" s="127"/>
    </row>
    <row r="61" spans="1:56" ht="16.5">
      <c r="A61" s="200"/>
      <c r="B61" s="160" t="str">
        <f>T.UP3!B62</f>
        <v>c. Maturity Level Sustainbility</v>
      </c>
      <c r="C61" s="447" t="str">
        <f>T.UP3!C62</f>
        <v>ñ</v>
      </c>
      <c r="D61" s="97" t="str">
        <f>T.UP3!D62</f>
        <v>%</v>
      </c>
      <c r="E61" s="202"/>
      <c r="F61" s="146">
        <f>T.UP3!H59</f>
        <v>0</v>
      </c>
      <c r="G61" s="90">
        <f>VLOOKUP(B61,T.UP3!$B$4:$T$70,MATCH('UP3'!$M$2,T.UP3!$B$5:$T$5,0),FALSE)</f>
        <v>100</v>
      </c>
      <c r="H61" s="353">
        <f>VLOOKUP(B61,'R.UP3'!$B$4:$T$67,MATCH('UP3'!$M$2,'R.UP3'!$B$5:$T$5,0),FALSE)</f>
        <v>110</v>
      </c>
      <c r="I61" s="165">
        <f>IF(OR(G61="N/A",H61="N/A"),"N/A",IF((H61/G61*100)&gt;=110,110,(H61/G61*100)))</f>
        <v>110</v>
      </c>
      <c r="J61" s="103"/>
      <c r="K61" s="195"/>
      <c r="L61" s="195"/>
      <c r="R61" s="103"/>
      <c r="S61" s="103"/>
      <c r="T61" s="127"/>
    </row>
    <row r="62" spans="1:56" ht="31.5">
      <c r="A62" s="200"/>
      <c r="B62" s="160" t="str">
        <f>T.UP3!B63</f>
        <v>d. Implementasi Roadmap Perbaikan Penerapan Manajemen Risiko dan Pencapaian Perlakuan Risiko</v>
      </c>
      <c r="C62" s="447" t="str">
        <f>T.UP3!C63</f>
        <v>ñ</v>
      </c>
      <c r="D62" s="97" t="str">
        <f>T.UP3!D63</f>
        <v>%</v>
      </c>
      <c r="E62" s="202"/>
      <c r="F62" s="146">
        <f>T.UP3!H60</f>
        <v>100</v>
      </c>
      <c r="G62" s="90">
        <f>VLOOKUP(B62,T.UP3!$B$4:$T$70,MATCH('UP3'!$M$2,T.UP3!$B$5:$T$5,0),FALSE)</f>
        <v>100</v>
      </c>
      <c r="H62" s="98">
        <f>VLOOKUP(B62,'R.UP3'!$B$4:$T$67,MATCH('UP3'!$M$2,'R.UP3'!$B$5:$T$5,0),FALSE)</f>
        <v>100</v>
      </c>
      <c r="I62" s="165">
        <f>IF(OR(G62="N/A",H62="N/A"),"N/A",IF((H62/G62*100)&gt;=110,110,(H62/G62*100)))</f>
        <v>100</v>
      </c>
      <c r="J62" s="103"/>
      <c r="K62" s="195"/>
      <c r="L62" s="195"/>
      <c r="R62" s="103"/>
      <c r="S62" s="103"/>
    </row>
    <row r="63" spans="1:56" ht="16.5">
      <c r="A63" s="200">
        <f>T.UP3!A64</f>
        <v>15</v>
      </c>
      <c r="B63" s="310" t="str">
        <f>T.UP3!B64</f>
        <v>Kepatuhan :</v>
      </c>
      <c r="C63" s="447"/>
      <c r="D63" s="97"/>
      <c r="E63" s="202"/>
      <c r="F63" s="146"/>
      <c r="G63" s="90"/>
      <c r="H63" s="98"/>
      <c r="I63" s="165"/>
      <c r="J63" s="103"/>
      <c r="K63" s="195"/>
      <c r="L63" s="195"/>
      <c r="R63" s="103">
        <v>0</v>
      </c>
      <c r="S63" s="103">
        <v>0.9</v>
      </c>
      <c r="T63" s="127">
        <f>R63-S63</f>
        <v>-0.9</v>
      </c>
    </row>
    <row r="64" spans="1:56" ht="16.5">
      <c r="A64" s="200"/>
      <c r="B64" s="160" t="str">
        <f>T.UP3!B65</f>
        <v>a. Pengelolaan K3, Keamanan dan Lingkungan Hidup</v>
      </c>
      <c r="C64" s="447"/>
      <c r="D64" s="97"/>
      <c r="E64" s="202" t="str">
        <f>T.UP3!F65</f>
        <v>Max-8</v>
      </c>
      <c r="F64" s="98"/>
      <c r="G64" s="90"/>
      <c r="H64" s="98"/>
      <c r="I64" s="165"/>
      <c r="J64" s="103"/>
      <c r="K64" s="195"/>
      <c r="L64" s="195"/>
      <c r="R64" s="103">
        <v>0</v>
      </c>
      <c r="S64" s="103">
        <v>1</v>
      </c>
      <c r="T64" s="127">
        <f>R64-S64</f>
        <v>-1</v>
      </c>
    </row>
    <row r="65" spans="1:19" ht="31.5">
      <c r="A65" s="200"/>
      <c r="B65" s="160" t="str">
        <f>T.UP3!B66</f>
        <v>b. Maturity Level Implementasi Sistem Manajemen Anti Penyuapan (SMAP)</v>
      </c>
      <c r="C65" s="447"/>
      <c r="D65" s="97"/>
      <c r="E65" s="202" t="str">
        <f>T.UP3!F66</f>
        <v>Max-4</v>
      </c>
      <c r="F65" s="98"/>
      <c r="G65" s="90"/>
      <c r="H65" s="98"/>
      <c r="I65" s="165"/>
      <c r="J65" s="103"/>
      <c r="K65" s="195"/>
      <c r="L65" s="195"/>
      <c r="R65" s="103"/>
      <c r="S65" s="103"/>
    </row>
    <row r="66" spans="1:19" ht="31.5">
      <c r="A66" s="200"/>
      <c r="B66" s="160" t="str">
        <f>T.UP3!B67</f>
        <v>c. Ketepatan penyampaian pelaporan dan
Akurasi Data Kinerja</v>
      </c>
      <c r="C66" s="447"/>
      <c r="D66" s="97"/>
      <c r="E66" s="202" t="str">
        <f>T.UP3!F67</f>
        <v>Max-10</v>
      </c>
      <c r="F66" s="146"/>
      <c r="G66" s="98"/>
      <c r="H66" s="90"/>
      <c r="I66" s="99"/>
      <c r="J66" s="103"/>
      <c r="K66" s="195"/>
      <c r="L66" s="195"/>
      <c r="R66" s="103"/>
      <c r="S66" s="103"/>
    </row>
    <row r="67" spans="1:19" ht="16.5">
      <c r="A67" s="200"/>
      <c r="B67" s="160" t="str">
        <f>T.UP3!B68</f>
        <v>d. Tindak Lanjut Temuan Auditor</v>
      </c>
      <c r="C67" s="447"/>
      <c r="D67" s="97"/>
      <c r="E67" s="202" t="str">
        <f>T.UP3!F68</f>
        <v>Max-5</v>
      </c>
      <c r="F67" s="146"/>
      <c r="G67" s="98"/>
      <c r="H67" s="90"/>
      <c r="I67" s="99"/>
      <c r="J67" s="103"/>
      <c r="K67" s="195"/>
      <c r="L67" s="195"/>
      <c r="R67" s="103"/>
      <c r="S67" s="103"/>
    </row>
    <row r="68" spans="1:19" ht="31.5">
      <c r="A68" s="200"/>
      <c r="B68" s="160" t="str">
        <f>T.UP3!B69</f>
        <v>e. Pencapaian Beyond RKAP</v>
      </c>
      <c r="C68" s="447"/>
      <c r="D68" s="97"/>
      <c r="E68" s="476" t="str">
        <f>T.UP3!F69</f>
        <v>Max-2
Max+2</v>
      </c>
      <c r="F68" s="146"/>
      <c r="G68" s="98"/>
      <c r="H68" s="98"/>
      <c r="I68" s="99"/>
      <c r="J68" s="103"/>
      <c r="K68" s="195"/>
      <c r="L68" s="195"/>
      <c r="M68" s="270"/>
      <c r="R68" s="103"/>
      <c r="S68" s="103"/>
    </row>
    <row r="69" spans="1:19" ht="16.5">
      <c r="A69" s="70"/>
      <c r="B69" s="80" t="s">
        <v>104</v>
      </c>
      <c r="C69" s="457"/>
      <c r="D69" s="81"/>
      <c r="E69" s="82">
        <f>E7+E17</f>
        <v>100</v>
      </c>
      <c r="F69" s="82"/>
      <c r="G69" s="82"/>
      <c r="H69" s="82"/>
      <c r="I69" s="82"/>
      <c r="J69" s="104">
        <f>J7+J17</f>
        <v>102.5</v>
      </c>
      <c r="K69" s="195"/>
      <c r="L69" s="195"/>
      <c r="R69" s="103"/>
      <c r="S69" s="103"/>
    </row>
    <row r="70" spans="1:19" ht="16.5">
      <c r="A70" s="73"/>
      <c r="B70" s="83" t="s">
        <v>105</v>
      </c>
      <c r="C70" s="451"/>
      <c r="D70" s="85"/>
      <c r="E70" s="86">
        <v>100</v>
      </c>
      <c r="F70" s="86"/>
      <c r="G70" s="86"/>
      <c r="H70" s="86"/>
      <c r="I70" s="86"/>
      <c r="J70" s="152">
        <f>E70/E69*J69</f>
        <v>102.5</v>
      </c>
      <c r="K70" s="195"/>
      <c r="L70" s="195"/>
      <c r="R70" s="103"/>
      <c r="S70" s="103"/>
    </row>
    <row r="71" spans="1:19" ht="15.75">
      <c r="R71" s="104">
        <v>98.610000000000014</v>
      </c>
      <c r="S71" s="104">
        <v>103.58</v>
      </c>
    </row>
    <row r="72" spans="1:19" ht="15.75">
      <c r="A72" s="124"/>
      <c r="B72" s="124"/>
      <c r="C72" s="124"/>
      <c r="D72" s="124"/>
      <c r="E72" s="124"/>
      <c r="F72" s="124"/>
      <c r="G72" s="124"/>
      <c r="H72" s="124"/>
      <c r="I72" s="124"/>
      <c r="J72" s="124"/>
      <c r="R72" s="152">
        <v>102.71875000000003</v>
      </c>
      <c r="S72" s="152">
        <v>103.58</v>
      </c>
    </row>
  </sheetData>
  <mergeCells count="6">
    <mergeCell ref="G4:J4"/>
    <mergeCell ref="A4:A5"/>
    <mergeCell ref="B4:C5"/>
    <mergeCell ref="D4:D5"/>
    <mergeCell ref="E4:E5"/>
    <mergeCell ref="F4:F5"/>
  </mergeCells>
  <phoneticPr fontId="137" type="noConversion"/>
  <conditionalFormatting sqref="C8:C16">
    <cfRule type="iconSet" priority="48204">
      <iconSet iconSet="3ArrowsGray" showValue="0">
        <cfvo type="percent" val="0"/>
        <cfvo type="num" val="2"/>
        <cfvo type="num" val="3"/>
      </iconSet>
    </cfRule>
  </conditionalFormatting>
  <conditionalFormatting sqref="C18:C68">
    <cfRule type="iconSet" priority="48215">
      <iconSet iconSet="3ArrowsGray" showValue="0">
        <cfvo type="percent" val="0"/>
        <cfvo type="num" val="2"/>
        <cfvo type="num" val="3"/>
      </iconSet>
    </cfRule>
  </conditionalFormatting>
  <conditionalFormatting sqref="I8">
    <cfRule type="iconSet" priority="777">
      <iconSet>
        <cfvo type="percent" val="0"/>
        <cfvo type="num" val="95"/>
        <cfvo type="num" val="100"/>
      </iconSet>
    </cfRule>
    <cfRule type="iconSet" priority="780">
      <iconSet>
        <cfvo type="percent" val="0"/>
        <cfvo type="num" val="95"/>
        <cfvo type="num" val="100"/>
      </iconSet>
    </cfRule>
    <cfRule type="iconSet" priority="779">
      <iconSet>
        <cfvo type="percent" val="0"/>
        <cfvo type="num" val="70"/>
        <cfvo type="num" val="90"/>
      </iconSet>
    </cfRule>
    <cfRule type="iconSet" priority="778">
      <iconSet>
        <cfvo type="percent" val="0"/>
        <cfvo type="num" val="70"/>
        <cfvo type="num" val="90"/>
      </iconSet>
    </cfRule>
    <cfRule type="iconSet" priority="776">
      <iconSet>
        <cfvo type="percent" val="0"/>
        <cfvo type="num" val="95"/>
        <cfvo type="num" val="100"/>
      </iconSet>
    </cfRule>
    <cfRule type="iconSet" priority="775">
      <iconSet>
        <cfvo type="percent" val="0"/>
        <cfvo type="num" val="95"/>
        <cfvo type="num" val="100"/>
      </iconSet>
    </cfRule>
    <cfRule type="iconSet" priority="772">
      <iconSet>
        <cfvo type="percent" val="0"/>
        <cfvo type="num" val="95"/>
        <cfvo type="num" val="100"/>
      </iconSet>
    </cfRule>
    <cfRule type="iconSet" priority="773">
      <iconSet>
        <cfvo type="percent" val="0"/>
        <cfvo type="num" val="70"/>
        <cfvo type="num" val="90"/>
      </iconSet>
    </cfRule>
    <cfRule type="iconSet" priority="774">
      <iconSet>
        <cfvo type="percent" val="0"/>
        <cfvo type="num" val="70"/>
        <cfvo type="num" val="90"/>
      </iconSet>
    </cfRule>
  </conditionalFormatting>
  <conditionalFormatting sqref="I9">
    <cfRule type="iconSet" priority="544">
      <iconSet>
        <cfvo type="percent" val="0"/>
        <cfvo type="num" val="95"/>
        <cfvo type="num" val="100"/>
      </iconSet>
    </cfRule>
    <cfRule type="iconSet" priority="545">
      <iconSet>
        <cfvo type="percent" val="0"/>
        <cfvo type="num" val="95"/>
        <cfvo type="num" val="100"/>
      </iconSet>
    </cfRule>
    <cfRule type="iconSet" priority="543">
      <iconSet>
        <cfvo type="percent" val="0"/>
        <cfvo type="num" val="95"/>
        <cfvo type="num" val="100"/>
      </iconSet>
    </cfRule>
    <cfRule type="iconSet" priority="542">
      <iconSet>
        <cfvo type="percent" val="0"/>
        <cfvo type="num" val="70"/>
        <cfvo type="num" val="90"/>
      </iconSet>
    </cfRule>
    <cfRule type="iconSet" priority="541">
      <iconSet>
        <cfvo type="percent" val="0"/>
        <cfvo type="num" val="70"/>
        <cfvo type="num" val="90"/>
      </iconSet>
    </cfRule>
    <cfRule type="iconSet" priority="540">
      <iconSet>
        <cfvo type="percent" val="0"/>
        <cfvo type="num" val="95"/>
        <cfvo type="num" val="100"/>
      </iconSet>
    </cfRule>
    <cfRule type="iconSet" priority="546">
      <iconSet>
        <cfvo type="percent" val="0"/>
        <cfvo type="num" val="70"/>
        <cfvo type="num" val="90"/>
      </iconSet>
    </cfRule>
    <cfRule type="iconSet" priority="547">
      <iconSet>
        <cfvo type="percent" val="0"/>
        <cfvo type="num" val="70"/>
        <cfvo type="num" val="90"/>
      </iconSet>
    </cfRule>
    <cfRule type="iconSet" priority="548">
      <iconSet>
        <cfvo type="percent" val="0"/>
        <cfvo type="num" val="95"/>
        <cfvo type="num" val="100"/>
      </iconSet>
    </cfRule>
  </conditionalFormatting>
  <conditionalFormatting sqref="I10:I16">
    <cfRule type="iconSet" priority="48210">
      <iconSet>
        <cfvo type="percent" val="0"/>
        <cfvo type="num" val="95"/>
        <cfvo type="num" val="100"/>
      </iconSet>
    </cfRule>
    <cfRule type="iconSet" priority="48209">
      <iconSet>
        <cfvo type="percent" val="0"/>
        <cfvo type="num" val="95"/>
        <cfvo type="num" val="100"/>
      </iconSet>
    </cfRule>
    <cfRule type="iconSet" priority="48208">
      <iconSet>
        <cfvo type="percent" val="0"/>
        <cfvo type="num" val="70"/>
        <cfvo type="num" val="90"/>
      </iconSet>
    </cfRule>
    <cfRule type="iconSet" priority="48207">
      <iconSet>
        <cfvo type="percent" val="0"/>
        <cfvo type="num" val="70"/>
        <cfvo type="num" val="90"/>
      </iconSet>
    </cfRule>
    <cfRule type="iconSet" priority="48206">
      <iconSet>
        <cfvo type="percent" val="0"/>
        <cfvo type="num" val="95"/>
        <cfvo type="num" val="100"/>
      </iconSet>
    </cfRule>
    <cfRule type="iconSet" priority="48212">
      <iconSet>
        <cfvo type="percent" val="0"/>
        <cfvo type="num" val="70"/>
        <cfvo type="num" val="90"/>
      </iconSet>
    </cfRule>
    <cfRule type="iconSet" priority="48211">
      <iconSet>
        <cfvo type="percent" val="0"/>
        <cfvo type="num" val="95"/>
        <cfvo type="num" val="100"/>
      </iconSet>
    </cfRule>
    <cfRule type="iconSet" priority="48213">
      <iconSet>
        <cfvo type="percent" val="0"/>
        <cfvo type="num" val="70"/>
        <cfvo type="num" val="90"/>
      </iconSet>
    </cfRule>
    <cfRule type="iconSet" priority="48214">
      <iconSet>
        <cfvo type="percent" val="0"/>
        <cfvo type="num" val="95"/>
        <cfvo type="num" val="100"/>
      </iconSet>
    </cfRule>
  </conditionalFormatting>
  <conditionalFormatting sqref="I18:I24">
    <cfRule type="iconSet" priority="100">
      <iconSet>
        <cfvo type="percent" val="0"/>
        <cfvo type="num" val="70"/>
        <cfvo type="num" val="90"/>
      </iconSet>
    </cfRule>
    <cfRule type="iconSet" priority="99">
      <iconSet>
        <cfvo type="percent" val="0"/>
        <cfvo type="num" val="95"/>
        <cfvo type="num" val="100"/>
      </iconSet>
    </cfRule>
    <cfRule type="iconSet" priority="107">
      <iconSet>
        <cfvo type="percent" val="0"/>
        <cfvo type="num" val="95"/>
        <cfvo type="num" val="100"/>
      </iconSet>
    </cfRule>
    <cfRule type="iconSet" priority="106">
      <iconSet>
        <cfvo type="percent" val="0"/>
        <cfvo type="num" val="70"/>
        <cfvo type="num" val="90"/>
      </iconSet>
    </cfRule>
    <cfRule type="iconSet" priority="105">
      <iconSet>
        <cfvo type="percent" val="0"/>
        <cfvo type="num" val="70"/>
        <cfvo type="num" val="90"/>
      </iconSet>
    </cfRule>
    <cfRule type="iconSet" priority="104">
      <iconSet>
        <cfvo type="percent" val="0"/>
        <cfvo type="num" val="95"/>
        <cfvo type="num" val="100"/>
      </iconSet>
    </cfRule>
    <cfRule type="iconSet" priority="103">
      <iconSet>
        <cfvo type="percent" val="0"/>
        <cfvo type="num" val="95"/>
        <cfvo type="num" val="100"/>
      </iconSet>
    </cfRule>
    <cfRule type="iconSet" priority="102">
      <iconSet>
        <cfvo type="percent" val="0"/>
        <cfvo type="num" val="95"/>
        <cfvo type="num" val="100"/>
      </iconSet>
    </cfRule>
    <cfRule type="iconSet" priority="101">
      <iconSet>
        <cfvo type="percent" val="0"/>
        <cfvo type="num" val="70"/>
        <cfvo type="num" val="90"/>
      </iconSet>
    </cfRule>
  </conditionalFormatting>
  <conditionalFormatting sqref="I25:I40">
    <cfRule type="iconSet" priority="48225">
      <iconSet>
        <cfvo type="percent" val="0"/>
        <cfvo type="num" val="95"/>
        <cfvo type="num" val="100"/>
      </iconSet>
    </cfRule>
    <cfRule type="iconSet" priority="48217">
      <iconSet>
        <cfvo type="percent" val="0"/>
        <cfvo type="num" val="95"/>
        <cfvo type="num" val="100"/>
      </iconSet>
    </cfRule>
    <cfRule type="iconSet" priority="48218">
      <iconSet>
        <cfvo type="percent" val="0"/>
        <cfvo type="num" val="70"/>
        <cfvo type="num" val="90"/>
      </iconSet>
    </cfRule>
    <cfRule type="iconSet" priority="48219">
      <iconSet>
        <cfvo type="percent" val="0"/>
        <cfvo type="num" val="70"/>
        <cfvo type="num" val="90"/>
      </iconSet>
    </cfRule>
    <cfRule type="iconSet" priority="48220">
      <iconSet>
        <cfvo type="percent" val="0"/>
        <cfvo type="num" val="95"/>
        <cfvo type="num" val="100"/>
      </iconSet>
    </cfRule>
    <cfRule type="iconSet" priority="48221">
      <iconSet>
        <cfvo type="percent" val="0"/>
        <cfvo type="num" val="95"/>
        <cfvo type="num" val="100"/>
      </iconSet>
    </cfRule>
    <cfRule type="iconSet" priority="48222">
      <iconSet>
        <cfvo type="percent" val="0"/>
        <cfvo type="num" val="95"/>
        <cfvo type="num" val="100"/>
      </iconSet>
    </cfRule>
    <cfRule type="iconSet" priority="48223">
      <iconSet>
        <cfvo type="percent" val="0"/>
        <cfvo type="num" val="70"/>
        <cfvo type="num" val="90"/>
      </iconSet>
    </cfRule>
    <cfRule type="iconSet" priority="48224">
      <iconSet>
        <cfvo type="percent" val="0"/>
        <cfvo type="num" val="70"/>
        <cfvo type="num" val="90"/>
      </iconSet>
    </cfRule>
  </conditionalFormatting>
  <conditionalFormatting sqref="I41:I42">
    <cfRule type="iconSet" priority="64">
      <iconSet>
        <cfvo type="percent" val="0"/>
        <cfvo type="num" val="70"/>
        <cfvo type="num" val="90"/>
      </iconSet>
    </cfRule>
    <cfRule type="iconSet" priority="63">
      <iconSet>
        <cfvo type="percent" val="0"/>
        <cfvo type="num" val="95"/>
        <cfvo type="num" val="100"/>
      </iconSet>
    </cfRule>
    <cfRule type="iconSet" priority="70">
      <iconSet>
        <cfvo type="percent" val="0"/>
        <cfvo type="num" val="70"/>
        <cfvo type="num" val="90"/>
      </iconSet>
    </cfRule>
    <cfRule type="iconSet" priority="69">
      <iconSet>
        <cfvo type="percent" val="0"/>
        <cfvo type="num" val="70"/>
        <cfvo type="num" val="90"/>
      </iconSet>
    </cfRule>
    <cfRule type="iconSet" priority="68">
      <iconSet>
        <cfvo type="percent" val="0"/>
        <cfvo type="num" val="95"/>
        <cfvo type="num" val="100"/>
      </iconSet>
    </cfRule>
    <cfRule type="iconSet" priority="67">
      <iconSet>
        <cfvo type="percent" val="0"/>
        <cfvo type="num" val="95"/>
        <cfvo type="num" val="100"/>
      </iconSet>
    </cfRule>
    <cfRule type="iconSet" priority="71">
      <iconSet>
        <cfvo type="percent" val="0"/>
        <cfvo type="num" val="95"/>
        <cfvo type="num" val="100"/>
      </iconSet>
    </cfRule>
    <cfRule type="iconSet" priority="66">
      <iconSet>
        <cfvo type="percent" val="0"/>
        <cfvo type="num" val="95"/>
        <cfvo type="num" val="100"/>
      </iconSet>
    </cfRule>
    <cfRule type="iconSet" priority="65">
      <iconSet>
        <cfvo type="percent" val="0"/>
        <cfvo type="num" val="70"/>
        <cfvo type="num" val="90"/>
      </iconSet>
    </cfRule>
  </conditionalFormatting>
  <conditionalFormatting sqref="I43:I45">
    <cfRule type="iconSet" priority="61">
      <iconSet>
        <cfvo type="percent" val="0"/>
        <cfvo type="num" val="70"/>
        <cfvo type="num" val="90"/>
      </iconSet>
    </cfRule>
    <cfRule type="iconSet" priority="62">
      <iconSet>
        <cfvo type="percent" val="0"/>
        <cfvo type="num" val="95"/>
        <cfvo type="num" val="100"/>
      </iconSet>
    </cfRule>
    <cfRule type="iconSet" priority="54">
      <iconSet>
        <cfvo type="percent" val="0"/>
        <cfvo type="num" val="95"/>
        <cfvo type="num" val="100"/>
      </iconSet>
    </cfRule>
    <cfRule type="iconSet" priority="55">
      <iconSet>
        <cfvo type="percent" val="0"/>
        <cfvo type="num" val="70"/>
        <cfvo type="num" val="90"/>
      </iconSet>
    </cfRule>
    <cfRule type="iconSet" priority="57">
      <iconSet>
        <cfvo type="percent" val="0"/>
        <cfvo type="num" val="95"/>
        <cfvo type="num" val="100"/>
      </iconSet>
    </cfRule>
    <cfRule type="iconSet" priority="58">
      <iconSet>
        <cfvo type="percent" val="0"/>
        <cfvo type="num" val="95"/>
        <cfvo type="num" val="100"/>
      </iconSet>
    </cfRule>
    <cfRule type="iconSet" priority="60">
      <iconSet>
        <cfvo type="percent" val="0"/>
        <cfvo type="num" val="70"/>
        <cfvo type="num" val="90"/>
      </iconSet>
    </cfRule>
    <cfRule type="iconSet" priority="59">
      <iconSet>
        <cfvo type="percent" val="0"/>
        <cfvo type="num" val="95"/>
        <cfvo type="num" val="100"/>
      </iconSet>
    </cfRule>
    <cfRule type="iconSet" priority="56">
      <iconSet>
        <cfvo type="percent" val="0"/>
        <cfvo type="num" val="70"/>
        <cfvo type="num" val="90"/>
      </iconSet>
    </cfRule>
  </conditionalFormatting>
  <conditionalFormatting sqref="I46:I50">
    <cfRule type="iconSet" priority="53">
      <iconSet>
        <cfvo type="percent" val="0"/>
        <cfvo type="num" val="95"/>
        <cfvo type="num" val="100"/>
      </iconSet>
    </cfRule>
    <cfRule type="iconSet" priority="52">
      <iconSet>
        <cfvo type="percent" val="0"/>
        <cfvo type="num" val="70"/>
        <cfvo type="num" val="90"/>
      </iconSet>
    </cfRule>
    <cfRule type="iconSet" priority="51">
      <iconSet>
        <cfvo type="percent" val="0"/>
        <cfvo type="num" val="70"/>
        <cfvo type="num" val="90"/>
      </iconSet>
    </cfRule>
    <cfRule type="iconSet" priority="50">
      <iconSet>
        <cfvo type="percent" val="0"/>
        <cfvo type="num" val="95"/>
        <cfvo type="num" val="100"/>
      </iconSet>
    </cfRule>
    <cfRule type="iconSet" priority="48">
      <iconSet>
        <cfvo type="percent" val="0"/>
        <cfvo type="num" val="95"/>
        <cfvo type="num" val="100"/>
      </iconSet>
    </cfRule>
    <cfRule type="iconSet" priority="47">
      <iconSet>
        <cfvo type="percent" val="0"/>
        <cfvo type="num" val="70"/>
        <cfvo type="num" val="90"/>
      </iconSet>
    </cfRule>
    <cfRule type="iconSet" priority="46">
      <iconSet>
        <cfvo type="percent" val="0"/>
        <cfvo type="num" val="70"/>
        <cfvo type="num" val="90"/>
      </iconSet>
    </cfRule>
    <cfRule type="iconSet" priority="45">
      <iconSet>
        <cfvo type="percent" val="0"/>
        <cfvo type="num" val="95"/>
        <cfvo type="num" val="100"/>
      </iconSet>
    </cfRule>
    <cfRule type="iconSet" priority="49">
      <iconSet>
        <cfvo type="percent" val="0"/>
        <cfvo type="num" val="95"/>
        <cfvo type="num" val="100"/>
      </iconSet>
    </cfRule>
  </conditionalFormatting>
  <conditionalFormatting sqref="I51:I54">
    <cfRule type="iconSet" priority="37">
      <iconSet>
        <cfvo type="percent" val="0"/>
        <cfvo type="num" val="70"/>
        <cfvo type="num" val="90"/>
      </iconSet>
    </cfRule>
    <cfRule type="iconSet" priority="36">
      <iconSet>
        <cfvo type="percent" val="0"/>
        <cfvo type="num" val="95"/>
        <cfvo type="num" val="100"/>
      </iconSet>
    </cfRule>
    <cfRule type="iconSet" priority="44">
      <iconSet>
        <cfvo type="percent" val="0"/>
        <cfvo type="num" val="95"/>
        <cfvo type="num" val="100"/>
      </iconSet>
    </cfRule>
    <cfRule type="iconSet" priority="43">
      <iconSet>
        <cfvo type="percent" val="0"/>
        <cfvo type="num" val="70"/>
        <cfvo type="num" val="90"/>
      </iconSet>
    </cfRule>
    <cfRule type="iconSet" priority="42">
      <iconSet>
        <cfvo type="percent" val="0"/>
        <cfvo type="num" val="70"/>
        <cfvo type="num" val="90"/>
      </iconSet>
    </cfRule>
    <cfRule type="iconSet" priority="41">
      <iconSet>
        <cfvo type="percent" val="0"/>
        <cfvo type="num" val="95"/>
        <cfvo type="num" val="100"/>
      </iconSet>
    </cfRule>
    <cfRule type="iconSet" priority="40">
      <iconSet>
        <cfvo type="percent" val="0"/>
        <cfvo type="num" val="95"/>
        <cfvo type="num" val="100"/>
      </iconSet>
    </cfRule>
    <cfRule type="iconSet" priority="39">
      <iconSet>
        <cfvo type="percent" val="0"/>
        <cfvo type="num" val="95"/>
        <cfvo type="num" val="100"/>
      </iconSet>
    </cfRule>
    <cfRule type="iconSet" priority="38">
      <iconSet>
        <cfvo type="percent" val="0"/>
        <cfvo type="num" val="70"/>
        <cfvo type="num" val="90"/>
      </iconSet>
    </cfRule>
  </conditionalFormatting>
  <conditionalFormatting sqref="I55:I57">
    <cfRule type="iconSet" priority="584">
      <iconSet>
        <cfvo type="percent" val="0"/>
        <cfvo type="num" val="95"/>
        <cfvo type="num" val="100"/>
      </iconSet>
    </cfRule>
    <cfRule type="iconSet" priority="583">
      <iconSet>
        <cfvo type="percent" val="0"/>
        <cfvo type="num" val="70"/>
        <cfvo type="num" val="90"/>
      </iconSet>
    </cfRule>
    <cfRule type="iconSet" priority="582">
      <iconSet>
        <cfvo type="percent" val="0"/>
        <cfvo type="num" val="70"/>
        <cfvo type="num" val="90"/>
      </iconSet>
    </cfRule>
    <cfRule type="iconSet" priority="581">
      <iconSet>
        <cfvo type="percent" val="0"/>
        <cfvo type="num" val="95"/>
        <cfvo type="num" val="100"/>
      </iconSet>
    </cfRule>
    <cfRule type="iconSet" priority="580">
      <iconSet>
        <cfvo type="percent" val="0"/>
        <cfvo type="num" val="95"/>
        <cfvo type="num" val="100"/>
      </iconSet>
    </cfRule>
    <cfRule type="iconSet" priority="579">
      <iconSet>
        <cfvo type="percent" val="0"/>
        <cfvo type="num" val="95"/>
        <cfvo type="num" val="100"/>
      </iconSet>
    </cfRule>
    <cfRule type="iconSet" priority="576">
      <iconSet>
        <cfvo type="percent" val="0"/>
        <cfvo type="num" val="95"/>
        <cfvo type="num" val="100"/>
      </iconSet>
    </cfRule>
    <cfRule type="iconSet" priority="577">
      <iconSet>
        <cfvo type="percent" val="0"/>
        <cfvo type="num" val="70"/>
        <cfvo type="num" val="90"/>
      </iconSet>
    </cfRule>
    <cfRule type="iconSet" priority="578">
      <iconSet>
        <cfvo type="percent" val="0"/>
        <cfvo type="num" val="70"/>
        <cfvo type="num" val="90"/>
      </iconSet>
    </cfRule>
  </conditionalFormatting>
  <conditionalFormatting sqref="I58:I62">
    <cfRule type="iconSet" priority="31">
      <iconSet>
        <cfvo type="percent" val="0"/>
        <cfvo type="num" val="95"/>
        <cfvo type="num" val="100"/>
      </iconSet>
    </cfRule>
    <cfRule type="iconSet" priority="32">
      <iconSet>
        <cfvo type="percent" val="0"/>
        <cfvo type="num" val="95"/>
        <cfvo type="num" val="100"/>
      </iconSet>
    </cfRule>
    <cfRule type="iconSet" priority="33">
      <iconSet>
        <cfvo type="percent" val="0"/>
        <cfvo type="num" val="70"/>
        <cfvo type="num" val="90"/>
      </iconSet>
    </cfRule>
    <cfRule type="iconSet" priority="34">
      <iconSet>
        <cfvo type="percent" val="0"/>
        <cfvo type="num" val="70"/>
        <cfvo type="num" val="90"/>
      </iconSet>
    </cfRule>
    <cfRule type="iconSet" priority="35">
      <iconSet>
        <cfvo type="percent" val="0"/>
        <cfvo type="num" val="95"/>
        <cfvo type="num" val="100"/>
      </iconSet>
    </cfRule>
    <cfRule type="iconSet" priority="27">
      <iconSet>
        <cfvo type="percent" val="0"/>
        <cfvo type="num" val="95"/>
        <cfvo type="num" val="100"/>
      </iconSet>
    </cfRule>
    <cfRule type="iconSet" priority="28">
      <iconSet>
        <cfvo type="percent" val="0"/>
        <cfvo type="num" val="70"/>
        <cfvo type="num" val="90"/>
      </iconSet>
    </cfRule>
    <cfRule type="iconSet" priority="29">
      <iconSet>
        <cfvo type="percent" val="0"/>
        <cfvo type="num" val="70"/>
        <cfvo type="num" val="90"/>
      </iconSet>
    </cfRule>
    <cfRule type="iconSet" priority="30">
      <iconSet>
        <cfvo type="percent" val="0"/>
        <cfvo type="num" val="95"/>
        <cfvo type="num" val="100"/>
      </iconSet>
    </cfRule>
  </conditionalFormatting>
  <conditionalFormatting sqref="I63:I65">
    <cfRule type="iconSet" priority="23">
      <iconSet>
        <cfvo type="percent" val="0"/>
        <cfvo type="num" val="95"/>
        <cfvo type="num" val="100"/>
      </iconSet>
    </cfRule>
    <cfRule type="iconSet" priority="18">
      <iconSet>
        <cfvo type="percent" val="0"/>
        <cfvo type="num" val="95"/>
        <cfvo type="num" val="100"/>
      </iconSet>
    </cfRule>
    <cfRule type="iconSet" priority="19">
      <iconSet>
        <cfvo type="percent" val="0"/>
        <cfvo type="num" val="70"/>
        <cfvo type="num" val="90"/>
      </iconSet>
    </cfRule>
    <cfRule type="iconSet" priority="20">
      <iconSet>
        <cfvo type="percent" val="0"/>
        <cfvo type="num" val="70"/>
        <cfvo type="num" val="90"/>
      </iconSet>
    </cfRule>
    <cfRule type="iconSet" priority="21">
      <iconSet>
        <cfvo type="percent" val="0"/>
        <cfvo type="num" val="95"/>
        <cfvo type="num" val="100"/>
      </iconSet>
    </cfRule>
    <cfRule type="iconSet" priority="22">
      <iconSet>
        <cfvo type="percent" val="0"/>
        <cfvo type="num" val="95"/>
        <cfvo type="num" val="100"/>
      </iconSet>
    </cfRule>
    <cfRule type="iconSet" priority="24">
      <iconSet>
        <cfvo type="percent" val="0"/>
        <cfvo type="num" val="70"/>
        <cfvo type="num" val="90"/>
      </iconSet>
    </cfRule>
    <cfRule type="iconSet" priority="25">
      <iconSet>
        <cfvo type="percent" val="0"/>
        <cfvo type="num" val="70"/>
        <cfvo type="num" val="90"/>
      </iconSet>
    </cfRule>
    <cfRule type="iconSet" priority="26">
      <iconSet>
        <cfvo type="percent" val="0"/>
        <cfvo type="num" val="95"/>
        <cfvo type="num" val="100"/>
      </iconSet>
    </cfRule>
  </conditionalFormatting>
  <conditionalFormatting sqref="I66:I67">
    <cfRule type="iconSet" priority="1166">
      <iconSet>
        <cfvo type="percent" val="0"/>
        <cfvo type="num" val="95"/>
        <cfvo type="num" val="100"/>
      </iconSet>
    </cfRule>
    <cfRule type="iconSet" priority="1167">
      <iconSet>
        <cfvo type="percent" val="0"/>
        <cfvo type="num" val="70"/>
        <cfvo type="num" val="90"/>
      </iconSet>
    </cfRule>
    <cfRule type="iconSet" priority="1168">
      <iconSet>
        <cfvo type="percent" val="0"/>
        <cfvo type="num" val="70"/>
        <cfvo type="num" val="90"/>
      </iconSet>
    </cfRule>
    <cfRule type="iconSet" priority="1169">
      <iconSet>
        <cfvo type="percent" val="0"/>
        <cfvo type="num" val="95"/>
        <cfvo type="num" val="100"/>
      </iconSet>
    </cfRule>
    <cfRule type="iconSet" priority="1170">
      <iconSet>
        <cfvo type="percent" val="0"/>
        <cfvo type="num" val="95"/>
        <cfvo type="num" val="100"/>
      </iconSet>
    </cfRule>
    <cfRule type="iconSet" priority="1171">
      <iconSet>
        <cfvo type="percent" val="0"/>
        <cfvo type="num" val="70"/>
        <cfvo type="num" val="90"/>
      </iconSet>
    </cfRule>
    <cfRule type="iconSet" priority="1172">
      <iconSet>
        <cfvo type="percent" val="0"/>
        <cfvo type="num" val="70"/>
        <cfvo type="num" val="90"/>
      </iconSet>
    </cfRule>
    <cfRule type="iconSet" priority="1173">
      <iconSet>
        <cfvo type="percent" val="0"/>
        <cfvo type="num" val="95"/>
        <cfvo type="num" val="100"/>
      </iconSet>
    </cfRule>
    <cfRule type="iconSet" priority="1174">
      <iconSet>
        <cfvo type="percent" val="0"/>
        <cfvo type="num" val="95"/>
        <cfvo type="num" val="100"/>
      </iconSet>
    </cfRule>
    <cfRule type="iconSet" priority="1175">
      <iconSet>
        <cfvo type="percent" val="0"/>
        <cfvo type="num" val="70"/>
        <cfvo type="num" val="90"/>
      </iconSet>
    </cfRule>
    <cfRule type="iconSet" priority="1176">
      <iconSet>
        <cfvo type="percent" val="0"/>
        <cfvo type="num" val="70"/>
        <cfvo type="num" val="90"/>
      </iconSet>
    </cfRule>
    <cfRule type="iconSet" priority="1177">
      <iconSet>
        <cfvo type="percent" val="0"/>
        <cfvo type="num" val="95"/>
        <cfvo type="num" val="100"/>
      </iconSet>
    </cfRule>
    <cfRule type="iconSet" priority="1160">
      <iconSet>
        <cfvo type="percent" val="0"/>
        <cfvo type="num" val="70"/>
        <cfvo type="num" val="90"/>
      </iconSet>
    </cfRule>
    <cfRule type="iconSet" priority="1150">
      <iconSet>
        <cfvo type="percent" val="0"/>
        <cfvo type="num" val="95"/>
        <cfvo type="num" val="100"/>
      </iconSet>
    </cfRule>
    <cfRule type="iconSet" priority="1151">
      <iconSet>
        <cfvo type="percent" val="0"/>
        <cfvo type="num" val="70"/>
        <cfvo type="num" val="90"/>
      </iconSet>
    </cfRule>
    <cfRule type="iconSet" priority="1152">
      <iconSet>
        <cfvo type="percent" val="0"/>
        <cfvo type="num" val="70"/>
        <cfvo type="num" val="90"/>
      </iconSet>
    </cfRule>
    <cfRule type="iconSet" priority="1153">
      <iconSet>
        <cfvo type="percent" val="0"/>
        <cfvo type="num" val="95"/>
        <cfvo type="num" val="100"/>
      </iconSet>
    </cfRule>
    <cfRule type="iconSet" priority="1154">
      <iconSet>
        <cfvo type="percent" val="0"/>
        <cfvo type="num" val="95"/>
        <cfvo type="num" val="100"/>
      </iconSet>
    </cfRule>
    <cfRule type="iconSet" priority="1155">
      <iconSet>
        <cfvo type="percent" val="0"/>
        <cfvo type="num" val="70"/>
        <cfvo type="num" val="90"/>
      </iconSet>
    </cfRule>
    <cfRule type="iconSet" priority="1156">
      <iconSet>
        <cfvo type="percent" val="0"/>
        <cfvo type="num" val="70"/>
        <cfvo type="num" val="90"/>
      </iconSet>
    </cfRule>
    <cfRule type="iconSet" priority="1157">
      <iconSet>
        <cfvo type="percent" val="0"/>
        <cfvo type="num" val="95"/>
        <cfvo type="num" val="100"/>
      </iconSet>
    </cfRule>
    <cfRule type="iconSet" priority="1158">
      <iconSet>
        <cfvo type="percent" val="0"/>
        <cfvo type="num" val="95"/>
        <cfvo type="num" val="100"/>
      </iconSet>
    </cfRule>
    <cfRule type="iconSet" priority="1159">
      <iconSet>
        <cfvo type="percent" val="0"/>
        <cfvo type="num" val="70"/>
        <cfvo type="num" val="90"/>
      </iconSet>
    </cfRule>
    <cfRule type="iconSet" priority="1161">
      <iconSet>
        <cfvo type="percent" val="0"/>
        <cfvo type="num" val="95"/>
        <cfvo type="num" val="100"/>
      </iconSet>
    </cfRule>
    <cfRule type="iconSet" priority="1162">
      <iconSet>
        <cfvo type="percent" val="0"/>
        <cfvo type="num" val="95"/>
        <cfvo type="num" val="100"/>
      </iconSet>
    </cfRule>
    <cfRule type="iconSet" priority="1163">
      <iconSet>
        <cfvo type="percent" val="0"/>
        <cfvo type="num" val="70"/>
        <cfvo type="num" val="90"/>
      </iconSet>
    </cfRule>
    <cfRule type="iconSet" priority="1164">
      <iconSet>
        <cfvo type="percent" val="0"/>
        <cfvo type="num" val="70"/>
        <cfvo type="num" val="90"/>
      </iconSet>
    </cfRule>
    <cfRule type="iconSet" priority="1165">
      <iconSet>
        <cfvo type="percent" val="0"/>
        <cfvo type="num" val="95"/>
        <cfvo type="num" val="100"/>
      </iconSet>
    </cfRule>
  </conditionalFormatting>
  <conditionalFormatting sqref="I66:I68">
    <cfRule type="iconSet" priority="40682">
      <iconSet>
        <cfvo type="percent" val="0"/>
        <cfvo type="num" val="70"/>
        <cfvo type="num" val="90"/>
      </iconSet>
    </cfRule>
    <cfRule type="iconSet" priority="40683">
      <iconSet>
        <cfvo type="percent" val="0"/>
        <cfvo type="num" val="95"/>
        <cfvo type="num" val="100"/>
      </iconSet>
    </cfRule>
    <cfRule type="iconSet" priority="40688">
      <iconSet>
        <cfvo type="percent" val="0"/>
        <cfvo type="num" val="95"/>
        <cfvo type="num" val="100"/>
      </iconSet>
    </cfRule>
  </conditionalFormatting>
  <conditionalFormatting sqref="I68">
    <cfRule type="iconSet" priority="1129">
      <iconSet>
        <cfvo type="percent" val="0"/>
        <cfvo type="num" val="95"/>
        <cfvo type="num" val="100"/>
      </iconSet>
    </cfRule>
    <cfRule type="iconSet" priority="1130">
      <iconSet>
        <cfvo type="percent" val="0"/>
        <cfvo type="num" val="95"/>
        <cfvo type="num" val="100"/>
      </iconSet>
    </cfRule>
    <cfRule type="iconSet" priority="1131">
      <iconSet>
        <cfvo type="percent" val="0"/>
        <cfvo type="num" val="70"/>
        <cfvo type="num" val="90"/>
      </iconSet>
    </cfRule>
    <cfRule type="iconSet" priority="1132">
      <iconSet>
        <cfvo type="percent" val="0"/>
        <cfvo type="num" val="70"/>
        <cfvo type="num" val="90"/>
      </iconSet>
    </cfRule>
    <cfRule type="iconSet" priority="1133">
      <iconSet>
        <cfvo type="percent" val="0"/>
        <cfvo type="num" val="95"/>
        <cfvo type="num" val="100"/>
      </iconSet>
    </cfRule>
    <cfRule type="iconSet" priority="1134">
      <iconSet>
        <cfvo type="percent" val="0"/>
        <cfvo type="num" val="95"/>
        <cfvo type="num" val="100"/>
      </iconSet>
    </cfRule>
    <cfRule type="iconSet" priority="1135">
      <iconSet>
        <cfvo type="percent" val="0"/>
        <cfvo type="num" val="70"/>
        <cfvo type="num" val="90"/>
      </iconSet>
    </cfRule>
    <cfRule type="iconSet" priority="1136">
      <iconSet>
        <cfvo type="percent" val="0"/>
        <cfvo type="num" val="70"/>
        <cfvo type="num" val="90"/>
      </iconSet>
    </cfRule>
    <cfRule type="iconSet" priority="1137">
      <iconSet>
        <cfvo type="percent" val="0"/>
        <cfvo type="num" val="95"/>
        <cfvo type="num" val="100"/>
      </iconSet>
    </cfRule>
    <cfRule type="iconSet" priority="1139">
      <iconSet>
        <cfvo type="percent" val="0"/>
        <cfvo type="num" val="70"/>
        <cfvo type="num" val="90"/>
      </iconSet>
    </cfRule>
    <cfRule type="iconSet" priority="1140">
      <iconSet>
        <cfvo type="percent" val="0"/>
        <cfvo type="num" val="70"/>
        <cfvo type="num" val="90"/>
      </iconSet>
    </cfRule>
    <cfRule type="iconSet" priority="1141">
      <iconSet>
        <cfvo type="percent" val="0"/>
        <cfvo type="num" val="95"/>
        <cfvo type="num" val="100"/>
      </iconSet>
    </cfRule>
    <cfRule type="iconSet" priority="1142">
      <iconSet>
        <cfvo type="percent" val="0"/>
        <cfvo type="num" val="95"/>
        <cfvo type="num" val="100"/>
      </iconSet>
    </cfRule>
    <cfRule type="iconSet" priority="40686">
      <iconSet>
        <cfvo type="percent" val="0"/>
        <cfvo type="num" val="70"/>
        <cfvo type="num" val="90"/>
      </iconSet>
    </cfRule>
    <cfRule type="iconSet" priority="1149">
      <iconSet>
        <cfvo type="percent" val="0"/>
        <cfvo type="num" val="95"/>
        <cfvo type="num" val="100"/>
      </iconSet>
    </cfRule>
    <cfRule type="iconSet" priority="1148">
      <iconSet>
        <cfvo type="percent" val="0"/>
        <cfvo type="num" val="70"/>
        <cfvo type="num" val="90"/>
      </iconSet>
    </cfRule>
    <cfRule type="iconSet" priority="1147">
      <iconSet>
        <cfvo type="percent" val="0"/>
        <cfvo type="num" val="70"/>
        <cfvo type="num" val="90"/>
      </iconSet>
    </cfRule>
    <cfRule type="iconSet" priority="1146">
      <iconSet>
        <cfvo type="percent" val="0"/>
        <cfvo type="num" val="95"/>
        <cfvo type="num" val="100"/>
      </iconSet>
    </cfRule>
    <cfRule type="iconSet" priority="1145">
      <iconSet>
        <cfvo type="percent" val="0"/>
        <cfvo type="num" val="95"/>
        <cfvo type="num" val="100"/>
      </iconSet>
    </cfRule>
    <cfRule type="iconSet" priority="1144">
      <iconSet>
        <cfvo type="percent" val="0"/>
        <cfvo type="num" val="70"/>
        <cfvo type="num" val="90"/>
      </iconSet>
    </cfRule>
    <cfRule type="iconSet" priority="1138">
      <iconSet>
        <cfvo type="percent" val="0"/>
        <cfvo type="num" val="95"/>
        <cfvo type="num" val="100"/>
      </iconSet>
    </cfRule>
    <cfRule type="iconSet" priority="1143">
      <iconSet>
        <cfvo type="percent" val="0"/>
        <cfvo type="num" val="70"/>
        <cfvo type="num" val="90"/>
      </iconSet>
    </cfRule>
    <cfRule type="iconSet" priority="1122">
      <iconSet>
        <cfvo type="percent" val="0"/>
        <cfvo type="num" val="95"/>
        <cfvo type="num" val="100"/>
      </iconSet>
    </cfRule>
    <cfRule type="iconSet" priority="1123">
      <iconSet>
        <cfvo type="percent" val="0"/>
        <cfvo type="num" val="70"/>
        <cfvo type="num" val="90"/>
      </iconSet>
    </cfRule>
    <cfRule type="iconSet" priority="1124">
      <iconSet>
        <cfvo type="percent" val="0"/>
        <cfvo type="num" val="70"/>
        <cfvo type="num" val="90"/>
      </iconSet>
    </cfRule>
    <cfRule type="iconSet" priority="1125">
      <iconSet>
        <cfvo type="percent" val="0"/>
        <cfvo type="num" val="95"/>
        <cfvo type="num" val="100"/>
      </iconSet>
    </cfRule>
    <cfRule type="iconSet" priority="1126">
      <iconSet>
        <cfvo type="percent" val="0"/>
        <cfvo type="num" val="95"/>
        <cfvo type="num" val="100"/>
      </iconSet>
    </cfRule>
    <cfRule type="iconSet" priority="1127">
      <iconSet>
        <cfvo type="percent" val="0"/>
        <cfvo type="num" val="70"/>
        <cfvo type="num" val="90"/>
      </iconSet>
    </cfRule>
    <cfRule type="iconSet" priority="1128">
      <iconSet>
        <cfvo type="percent" val="0"/>
        <cfvo type="num" val="70"/>
        <cfvo type="num" val="90"/>
      </iconSet>
    </cfRule>
    <cfRule type="iconSet" priority="40687">
      <iconSet>
        <cfvo type="percent" val="0"/>
        <cfvo type="num" val="95"/>
        <cfvo type="num" val="100"/>
      </iconSet>
    </cfRule>
  </conditionalFormatting>
  <conditionalFormatting sqref="V43">
    <cfRule type="iconSet" priority="7">
      <iconSet iconSet="3ArrowsGray" showValue="0">
        <cfvo type="percent" val="0"/>
        <cfvo type="num" val="2"/>
        <cfvo type="num" val="3"/>
      </iconSet>
    </cfRule>
    <cfRule type="iconSet" priority="8">
      <iconSet iconSet="3ArrowsGray" showValue="0">
        <cfvo type="percent" val="0"/>
        <cfvo type="num" val="2"/>
        <cfvo type="num" val="3"/>
      </iconSet>
    </cfRule>
  </conditionalFormatting>
  <conditionalFormatting sqref="V44">
    <cfRule type="iconSet" priority="6">
      <iconSet iconSet="3ArrowsGray" showValue="0">
        <cfvo type="percent" val="0"/>
        <cfvo type="num" val="2"/>
        <cfvo type="num" val="3"/>
      </iconSet>
    </cfRule>
    <cfRule type="iconSet" priority="5">
      <iconSet iconSet="3ArrowsGray" showValue="0">
        <cfvo type="percent" val="0"/>
        <cfvo type="num" val="2"/>
        <cfvo type="num" val="3"/>
      </iconSet>
    </cfRule>
  </conditionalFormatting>
  <dataValidations count="1">
    <dataValidation type="list" allowBlank="1" showInputMessage="1" showErrorMessage="1" sqref="M2" xr:uid="{00000000-0002-0000-0A00-000000000000}">
      <formula1>$M$7:$M$18</formula1>
    </dataValidation>
  </dataValidations>
  <printOptions horizontalCentered="1"/>
  <pageMargins left="0.25" right="0.25" top="0.75" bottom="0.75" header="0.3" footer="0.3"/>
  <pageSetup paperSize="9" fitToWidth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  <pageSetUpPr fitToPage="1"/>
  </sheetPr>
  <dimension ref="A1:U53"/>
  <sheetViews>
    <sheetView workbookViewId="0"/>
  </sheetViews>
  <sheetFormatPr defaultRowHeight="15"/>
  <cols>
    <col min="1" max="1" width="5.7109375" customWidth="1"/>
    <col min="2" max="2" width="48" customWidth="1"/>
    <col min="3" max="3" width="2.85546875" customWidth="1"/>
    <col min="4" max="4" width="11.5703125" bestFit="1" customWidth="1"/>
    <col min="5" max="5" width="9.140625" customWidth="1"/>
    <col min="6" max="6" width="10.85546875" customWidth="1"/>
    <col min="7" max="8" width="12.7109375" customWidth="1"/>
    <col min="9" max="9" width="12.7109375" style="105" customWidth="1"/>
    <col min="10" max="10" width="12.7109375" customWidth="1"/>
    <col min="11" max="11" width="6.28515625" style="194" customWidth="1"/>
    <col min="12" max="12" width="4.85546875" style="194" bestFit="1" customWidth="1"/>
    <col min="13" max="13" width="11.7109375" customWidth="1"/>
    <col min="18" max="19" width="12.7109375" hidden="1" customWidth="1"/>
    <col min="20" max="20" width="0" hidden="1" customWidth="1"/>
    <col min="21" max="21" width="12.28515625" hidden="1" customWidth="1"/>
  </cols>
  <sheetData>
    <row r="1" spans="1:20" ht="16.5" thickBot="1">
      <c r="A1" s="38"/>
      <c r="B1" s="39" t="s">
        <v>122</v>
      </c>
      <c r="C1" s="38"/>
      <c r="D1" s="38"/>
      <c r="E1" s="38"/>
      <c r="F1" s="40"/>
    </row>
    <row r="2" spans="1:20" ht="16.5" thickBot="1">
      <c r="A2" s="38"/>
      <c r="B2" s="39" t="s">
        <v>252</v>
      </c>
      <c r="C2" s="38"/>
      <c r="D2" s="38"/>
      <c r="E2" s="38"/>
      <c r="F2" s="40"/>
      <c r="M2" s="41" t="s">
        <v>165</v>
      </c>
      <c r="N2" s="137" t="s">
        <v>154</v>
      </c>
    </row>
    <row r="3" spans="1:20" ht="15.75">
      <c r="A3" s="42"/>
      <c r="B3" s="138" t="s">
        <v>7</v>
      </c>
      <c r="C3" s="40"/>
      <c r="D3" s="38"/>
      <c r="E3" s="38"/>
      <c r="F3" s="40"/>
    </row>
    <row r="4" spans="1:20" ht="16.5" customHeight="1">
      <c r="A4" s="670" t="s">
        <v>8</v>
      </c>
      <c r="B4" s="672" t="s">
        <v>9</v>
      </c>
      <c r="C4" s="673"/>
      <c r="D4" s="670" t="s">
        <v>93</v>
      </c>
      <c r="E4" s="670" t="s">
        <v>99</v>
      </c>
      <c r="F4" s="670" t="s">
        <v>257</v>
      </c>
      <c r="G4" s="661" t="str">
        <f>VLOOKUP(M2,M7:N18,2,FALSE)</f>
        <v>S.D. AGUSTUS</v>
      </c>
      <c r="H4" s="662"/>
      <c r="I4" s="662"/>
      <c r="J4" s="663"/>
    </row>
    <row r="5" spans="1:20" ht="19.149999999999999" customHeight="1">
      <c r="A5" s="671"/>
      <c r="B5" s="674"/>
      <c r="C5" s="675"/>
      <c r="D5" s="671"/>
      <c r="E5" s="671"/>
      <c r="F5" s="671"/>
      <c r="G5" s="506" t="s">
        <v>100</v>
      </c>
      <c r="H5" s="504" t="s">
        <v>254</v>
      </c>
      <c r="I5" s="504" t="s">
        <v>102</v>
      </c>
      <c r="J5" s="504" t="s">
        <v>103</v>
      </c>
      <c r="R5" s="504"/>
      <c r="S5" s="504"/>
    </row>
    <row r="6" spans="1:20" ht="15.75">
      <c r="A6" s="507">
        <v>1</v>
      </c>
      <c r="B6" s="477">
        <v>2</v>
      </c>
      <c r="C6" s="252"/>
      <c r="D6" s="507">
        <v>3</v>
      </c>
      <c r="E6" s="507">
        <v>4</v>
      </c>
      <c r="F6" s="507">
        <v>5</v>
      </c>
      <c r="G6" s="478">
        <v>6</v>
      </c>
      <c r="H6" s="630">
        <v>7</v>
      </c>
      <c r="I6" s="630">
        <v>8</v>
      </c>
      <c r="J6" s="504">
        <v>9</v>
      </c>
      <c r="R6" s="504"/>
      <c r="S6" s="504"/>
    </row>
    <row r="7" spans="1:20" ht="20.100000000000001" customHeight="1">
      <c r="A7" s="72" t="str">
        <f>T.UP3!A7</f>
        <v>I</v>
      </c>
      <c r="B7" s="66" t="str">
        <f>T.UP3!B7</f>
        <v>Key Performance Indikator</v>
      </c>
      <c r="C7" s="67"/>
      <c r="D7" s="50"/>
      <c r="E7" s="68" t="e">
        <f>SUM(E8:E15)</f>
        <v>#REF!</v>
      </c>
      <c r="F7" s="68"/>
      <c r="G7" s="68"/>
      <c r="H7" s="68"/>
      <c r="I7" s="68"/>
      <c r="J7" s="102" t="e">
        <f>SUM(J8:J15)</f>
        <v>#REF!</v>
      </c>
      <c r="M7" s="546" t="s">
        <v>94</v>
      </c>
      <c r="N7" s="43" t="s">
        <v>156</v>
      </c>
      <c r="R7" s="102">
        <f>R8+R9+R10</f>
        <v>40.96</v>
      </c>
      <c r="S7" s="102">
        <f>S8+S9+S10</f>
        <v>41.25</v>
      </c>
    </row>
    <row r="8" spans="1:20" ht="21" customHeight="1">
      <c r="A8" s="69">
        <f>T.UP3!A8</f>
        <v>1</v>
      </c>
      <c r="B8" s="74" t="str">
        <f>T.UP3!B8</f>
        <v>Penjualan Tenaga Listrik</v>
      </c>
      <c r="C8" s="75" t="str">
        <f>T.UP3!C8</f>
        <v>ñ</v>
      </c>
      <c r="D8" s="97" t="str">
        <f>T.UP3!D8</f>
        <v>GWh</v>
      </c>
      <c r="E8" s="202">
        <f>IF(OR(H8="N/A",G8="N/A"),0,T.UP3!F8)</f>
        <v>14</v>
      </c>
      <c r="F8" s="98">
        <f>T.UP3!H8</f>
        <v>231.47</v>
      </c>
      <c r="G8" s="90">
        <f>VLOOKUP(B8,T.UP3!$B$4:$T$70,MATCH('PROG. JUNI'!$M$2,T.UP3!$B$5:$T$5,0),FALSE)</f>
        <v>151.71</v>
      </c>
      <c r="H8" s="98">
        <f>VLOOKUP(B8,'R.UP3'!$B$4:$S$54,MATCH('PROG. JUNI'!$M$2,'R.UP3'!$B$5:$S$5,0),FALSE)</f>
        <v>148.05997696200001</v>
      </c>
      <c r="I8" s="165">
        <f>IF(OR(G8="N/A",H8="N/A"),"N/A",IF(AND(G8=0,H8=0),0,H8/G8*100))</f>
        <v>97.594078809570888</v>
      </c>
      <c r="J8" s="103">
        <f>ROUNDDOWN(IF(I8="N/A",0,IF(I8&gt;110,E8*110/100,E8*I8/100)),2)</f>
        <v>13.66</v>
      </c>
      <c r="K8" s="195" t="s">
        <v>157</v>
      </c>
      <c r="L8" s="195"/>
      <c r="M8" s="547" t="s">
        <v>95</v>
      </c>
      <c r="N8" s="44" t="s">
        <v>158</v>
      </c>
      <c r="R8" s="103">
        <v>13.56</v>
      </c>
      <c r="S8" s="103">
        <v>13.53</v>
      </c>
      <c r="T8" s="127">
        <f>R8-S8</f>
        <v>3.0000000000001137E-2</v>
      </c>
    </row>
    <row r="9" spans="1:20" ht="21" customHeight="1">
      <c r="A9" s="69">
        <f>T.UP3!A9</f>
        <v>2</v>
      </c>
      <c r="B9" s="74" t="str">
        <f>T.UP3!B9</f>
        <v>Keandalan Sistem</v>
      </c>
      <c r="C9" s="75"/>
      <c r="D9" s="97"/>
      <c r="E9" s="202">
        <f>IF(OR(H9="N/A",G9="N/A"),0,T.UP3!F9)</f>
        <v>14</v>
      </c>
      <c r="F9" s="98"/>
      <c r="G9" s="90"/>
      <c r="H9" s="98"/>
      <c r="I9" s="165">
        <f>AVERAGE(I10:I12)</f>
        <v>110</v>
      </c>
      <c r="J9" s="103">
        <f>ROUNDDOWN(IF(I9="N/A",0,IF(I9&gt;110,E9*110/100,E9*I9/100)),2)</f>
        <v>15.4</v>
      </c>
      <c r="K9" s="195"/>
      <c r="L9" s="195"/>
      <c r="M9" s="547" t="s">
        <v>96</v>
      </c>
      <c r="N9" s="45" t="s">
        <v>159</v>
      </c>
      <c r="R9" s="103">
        <v>15.4</v>
      </c>
      <c r="S9" s="103">
        <v>15.4</v>
      </c>
      <c r="T9" s="127">
        <f>R9-S9</f>
        <v>0</v>
      </c>
    </row>
    <row r="10" spans="1:20" ht="21" customHeight="1">
      <c r="A10" s="69"/>
      <c r="B10" s="74" t="str">
        <f>T.UP3!B10</f>
        <v>a. SAIDI Sesuai Kewenangannya</v>
      </c>
      <c r="C10" s="75" t="str">
        <f>T.UP3!C10</f>
        <v>ò</v>
      </c>
      <c r="D10" s="97" t="str">
        <f>T.UP3!D10</f>
        <v>Menit/Plg</v>
      </c>
      <c r="E10" s="202"/>
      <c r="F10" s="98">
        <f>T.UP3!H10</f>
        <v>280.67</v>
      </c>
      <c r="G10" s="90">
        <f>VLOOKUP(B10,T.UP3!$B$4:$T$70,MATCH('PROG. JUNI'!$M$2,T.UP3!$B$5:$T$5,0),FALSE)</f>
        <v>187.11</v>
      </c>
      <c r="H10" s="98">
        <f>VLOOKUP(B10,'R.UP3'!$B$4:$S$54,MATCH('PROG. JUNI'!$M$2,'R.UP3'!$B$5:$S$5,0),FALSE)</f>
        <v>149.85371016749113</v>
      </c>
      <c r="I10" s="165">
        <v>110</v>
      </c>
      <c r="J10" s="103"/>
      <c r="K10" s="195" t="s">
        <v>157</v>
      </c>
      <c r="L10" s="195"/>
      <c r="M10" s="547" t="s">
        <v>97</v>
      </c>
      <c r="N10" s="45" t="s">
        <v>160</v>
      </c>
      <c r="O10" s="127"/>
      <c r="R10" s="103">
        <v>12</v>
      </c>
      <c r="S10" s="103">
        <v>12.32</v>
      </c>
      <c r="T10" s="127">
        <f>R10-S10</f>
        <v>-0.32000000000000028</v>
      </c>
    </row>
    <row r="11" spans="1:20" ht="21" customHeight="1">
      <c r="A11" s="69"/>
      <c r="B11" s="74" t="str">
        <f>T.UP3!B11</f>
        <v>b. SAIFI Sesuai Kewenangannya</v>
      </c>
      <c r="C11" s="75" t="str">
        <f>T.UP3!C11</f>
        <v>ò</v>
      </c>
      <c r="D11" s="97" t="str">
        <f>T.UP3!D11</f>
        <v>Kali/Plg</v>
      </c>
      <c r="E11" s="202"/>
      <c r="F11" s="98">
        <f>T.UP3!H11</f>
        <v>2.97</v>
      </c>
      <c r="G11" s="90">
        <f>VLOOKUP(B11,T.UP3!$B$4:$T$70,MATCH('PROG. JUNI'!$M$2,T.UP3!$B$5:$T$5,0),FALSE)</f>
        <v>1.98</v>
      </c>
      <c r="H11" s="98">
        <f>VLOOKUP(B11,'R.UP3'!$B$4:$S$54,MATCH('PROG. JUNI'!$M$2,'R.UP3'!$B$5:$S$5,0),FALSE)</f>
        <v>1.5900798533510785</v>
      </c>
      <c r="I11" s="165">
        <v>110</v>
      </c>
      <c r="J11" s="103"/>
      <c r="K11" s="195" t="s">
        <v>157</v>
      </c>
      <c r="L11" s="195"/>
      <c r="M11" s="547" t="s">
        <v>98</v>
      </c>
      <c r="N11" s="45" t="s">
        <v>161</v>
      </c>
      <c r="O11" s="127"/>
      <c r="R11" s="103"/>
      <c r="S11" s="103"/>
      <c r="T11" s="127"/>
    </row>
    <row r="12" spans="1:20" ht="21" customHeight="1">
      <c r="A12" s="69"/>
      <c r="B12" s="74" t="str">
        <f>T.UP3!B12</f>
        <v>c. ENS</v>
      </c>
      <c r="C12" s="75" t="str">
        <f>T.UP3!C12</f>
        <v>ò</v>
      </c>
      <c r="D12" s="97" t="str">
        <f>T.UP3!D12</f>
        <v>MWh</v>
      </c>
      <c r="E12" s="202"/>
      <c r="F12" s="98">
        <f>T.UP3!H12</f>
        <v>107.87</v>
      </c>
      <c r="G12" s="90">
        <f>VLOOKUP(B12,T.UP3!$B$4:$T$70,MATCH('PROG. JUNI'!$M$2,T.UP3!$B$5:$T$5,0),FALSE)</f>
        <v>71.91</v>
      </c>
      <c r="H12" s="98">
        <f>VLOOKUP(B12,'R.UP3'!$B$4:$S$54,MATCH('PROG. JUNI'!$M$2,'R.UP3'!$B$5:$S$5,0),FALSE)</f>
        <v>46.248000000000005</v>
      </c>
      <c r="I12" s="290">
        <v>110</v>
      </c>
      <c r="J12" s="103"/>
      <c r="K12" s="195" t="s">
        <v>157</v>
      </c>
      <c r="L12" s="195"/>
      <c r="M12" s="480" t="s">
        <v>153</v>
      </c>
      <c r="N12" s="45" t="s">
        <v>162</v>
      </c>
      <c r="O12" s="127"/>
      <c r="R12" s="103"/>
      <c r="S12" s="103"/>
      <c r="T12" s="127"/>
    </row>
    <row r="13" spans="1:20" ht="21" customHeight="1">
      <c r="A13" s="69" t="e">
        <f>T.UP3!#REF!</f>
        <v>#REF!</v>
      </c>
      <c r="B13" s="74" t="e">
        <f>T.UP3!#REF!</f>
        <v>#REF!</v>
      </c>
      <c r="C13" s="75"/>
      <c r="D13" s="97"/>
      <c r="E13" s="202" t="e">
        <f>IF(OR(H13="N/A",G13="N/A"),0,T.UP3!#REF!)</f>
        <v>#REF!</v>
      </c>
      <c r="F13" s="98"/>
      <c r="G13" s="90"/>
      <c r="H13" s="282"/>
      <c r="I13" s="165">
        <f>AVERAGE(I14:I15)</f>
        <v>101.35598141695704</v>
      </c>
      <c r="J13" s="103" t="e">
        <f>ROUNDDOWN(IF(I13="N/A",0,IF(I13&gt;110,E13*110/100,E13*I13/100)),2)</f>
        <v>#REF!</v>
      </c>
      <c r="K13" s="195"/>
      <c r="L13" s="195"/>
      <c r="M13" s="547" t="s">
        <v>163</v>
      </c>
      <c r="N13" s="46" t="s">
        <v>164</v>
      </c>
      <c r="O13" s="127"/>
      <c r="R13" s="103"/>
      <c r="S13" s="103"/>
      <c r="T13" s="127"/>
    </row>
    <row r="14" spans="1:20" ht="21" customHeight="1">
      <c r="A14" s="69"/>
      <c r="B14" s="74" t="str">
        <f>T.UP3!B16</f>
        <v>c. Penyelesaian Ganti Meter</v>
      </c>
      <c r="C14" s="75" t="str">
        <f>T.UP3!C16</f>
        <v>ñ</v>
      </c>
      <c r="D14" s="97" t="str">
        <f>T.UP3!D16</f>
        <v>Unit</v>
      </c>
      <c r="E14" s="202"/>
      <c r="F14" s="98">
        <f>T.UP3!H16</f>
        <v>4727</v>
      </c>
      <c r="G14" s="90">
        <f>VLOOKUP(B14,T.UP3!$B$4:$T$70,MATCH('PROG. JUNI'!$M$2,T.UP3!$B$5:$T$5,0),FALSE)</f>
        <v>3444</v>
      </c>
      <c r="H14" s="98">
        <f>VLOOKUP(B14,'R.UP3'!$B$4:$S$54,MATCH('PROG. JUNI'!$M$2,'R.UP3'!$B$5:$S$5,0),FALSE)</f>
        <v>3695</v>
      </c>
      <c r="I14" s="165">
        <f>IF(OR(G14="N/A",H14="N/A"),"N/A",IF(AND(G14=0,H14=0),0,(2-H14/G14)*100))</f>
        <v>92.711962833914058</v>
      </c>
      <c r="J14" s="103"/>
      <c r="K14" s="195" t="s">
        <v>157</v>
      </c>
      <c r="L14" s="195"/>
      <c r="M14" s="547" t="s">
        <v>165</v>
      </c>
      <c r="N14" s="45" t="s">
        <v>166</v>
      </c>
      <c r="O14" s="127"/>
      <c r="R14" s="103"/>
      <c r="S14" s="103"/>
      <c r="T14" s="127"/>
    </row>
    <row r="15" spans="1:20" ht="21" customHeight="1">
      <c r="A15" s="69"/>
      <c r="B15" s="74" t="e">
        <f>T.UP3!#REF!</f>
        <v>#REF!</v>
      </c>
      <c r="C15" s="75" t="e">
        <f>T.UP3!#REF!</f>
        <v>#REF!</v>
      </c>
      <c r="D15" s="97" t="e">
        <f>T.UP3!#REF!</f>
        <v>#REF!</v>
      </c>
      <c r="E15" s="202"/>
      <c r="F15" s="101" t="e">
        <f>T.UP3!#REF!</f>
        <v>#REF!</v>
      </c>
      <c r="G15" s="91" t="e">
        <f>VLOOKUP(B15,T.UP3!$B$4:$T$70,MATCH('PROG. JUNI'!$M$2,T.UP3!$B$5:$T$5,0),FALSE)</f>
        <v>#REF!</v>
      </c>
      <c r="H15" s="101" t="e">
        <f>VLOOKUP(B15,'R.UP3'!$B$4:$S$54,MATCH('PROG. JUNI'!$M$2,'R.UP3'!$B$5:$S$5,0),FALSE)</f>
        <v>#REF!</v>
      </c>
      <c r="I15" s="290">
        <v>110</v>
      </c>
      <c r="J15" s="103"/>
      <c r="K15" s="195" t="s">
        <v>157</v>
      </c>
      <c r="L15" s="195"/>
      <c r="M15" s="546" t="s">
        <v>167</v>
      </c>
      <c r="N15" s="43" t="s">
        <v>168</v>
      </c>
      <c r="O15" s="127"/>
      <c r="R15" s="103"/>
      <c r="S15" s="103"/>
      <c r="T15" s="127"/>
    </row>
    <row r="16" spans="1:20" ht="24.6" customHeight="1">
      <c r="A16" s="72" t="str">
        <f>T.UP3!A17</f>
        <v>II</v>
      </c>
      <c r="B16" s="71" t="str">
        <f>T.UP3!B17</f>
        <v>Perfomance Indicators</v>
      </c>
      <c r="C16" s="67"/>
      <c r="D16" s="50"/>
      <c r="E16" s="72" t="e">
        <f>SUM(E17:E49)</f>
        <v>#REF!</v>
      </c>
      <c r="F16" s="72"/>
      <c r="G16" s="72"/>
      <c r="H16" s="72"/>
      <c r="I16" s="72"/>
      <c r="J16" s="268" t="e">
        <f>SUM(J17:J49)</f>
        <v>#REF!</v>
      </c>
      <c r="K16" s="195"/>
      <c r="L16" s="195"/>
      <c r="M16" s="547" t="s">
        <v>169</v>
      </c>
      <c r="N16" s="45" t="s">
        <v>170</v>
      </c>
      <c r="R16" s="268">
        <f>SUM(R17:R47)</f>
        <v>57.650000000000013</v>
      </c>
      <c r="S16" s="268">
        <f>SUM(S17:S47)</f>
        <v>62.33</v>
      </c>
    </row>
    <row r="17" spans="1:21" ht="20.100000000000001" customHeight="1">
      <c r="A17" s="69" t="e">
        <f>T.UP3!#REF!</f>
        <v>#REF!</v>
      </c>
      <c r="B17" s="160" t="e">
        <f>T.UP3!#REF!</f>
        <v>#REF!</v>
      </c>
      <c r="C17" s="75"/>
      <c r="D17" s="97"/>
      <c r="E17" s="202">
        <f>IF(OR(H17="N/A",G17="N/A"),0,T.UP3!F18)</f>
        <v>6</v>
      </c>
      <c r="F17" s="146"/>
      <c r="G17" s="186"/>
      <c r="H17" s="186"/>
      <c r="I17" s="165">
        <f>AVERAGE(I18:I21)</f>
        <v>107.5</v>
      </c>
      <c r="J17" s="103">
        <f>ROUNDDOWN(IF(I17="N/A",0,IF(I17&gt;110,E17*110/100,E17*I17/100)),2)</f>
        <v>6.45</v>
      </c>
      <c r="K17" s="195"/>
      <c r="L17" s="195"/>
      <c r="M17" s="547" t="s">
        <v>171</v>
      </c>
      <c r="N17" s="45" t="s">
        <v>172</v>
      </c>
      <c r="R17" s="103">
        <v>5.95</v>
      </c>
      <c r="S17" s="103">
        <v>5.96</v>
      </c>
      <c r="T17" s="127">
        <f>R17-S17</f>
        <v>-9.9999999999997868E-3</v>
      </c>
    </row>
    <row r="18" spans="1:21" ht="16.5">
      <c r="A18" s="69">
        <f>T.UP3!A18</f>
        <v>4</v>
      </c>
      <c r="B18" s="160" t="str">
        <f>T.UP3!B18</f>
        <v>Keandalan Jaringan Distribusi</v>
      </c>
      <c r="C18" s="75" t="str">
        <f>T.UP3!C19</f>
        <v>ò</v>
      </c>
      <c r="D18" s="97" t="str">
        <f>T.UP3!D19</f>
        <v>Kali</v>
      </c>
      <c r="E18" s="202"/>
      <c r="F18" s="98">
        <f>T.UP3!H19</f>
        <v>166</v>
      </c>
      <c r="G18" s="90">
        <f>VLOOKUP(B18,T.UP3!$B$4:$T$70,MATCH('PROG. JUNI'!$M$2,T.UP3!$B$5:$T$5,0),FALSE)</f>
        <v>0</v>
      </c>
      <c r="H18" s="98">
        <f>VLOOKUP(B18,'R.UP3'!$B$4:$S$54,MATCH('PROG. JUNI'!$M$2,'R.UP3'!$B$5:$S$5,0),FALSE)</f>
        <v>0</v>
      </c>
      <c r="I18" s="165">
        <v>110</v>
      </c>
      <c r="J18" s="103"/>
      <c r="K18" s="195" t="s">
        <v>157</v>
      </c>
      <c r="L18" s="195"/>
      <c r="M18" s="548" t="s">
        <v>174</v>
      </c>
      <c r="N18" s="45" t="s">
        <v>175</v>
      </c>
      <c r="R18" s="103">
        <v>6.42</v>
      </c>
      <c r="S18" s="103">
        <v>6.56</v>
      </c>
      <c r="T18" s="127">
        <f>R18-S18</f>
        <v>-0.13999999999999968</v>
      </c>
    </row>
    <row r="19" spans="1:21" ht="16.5">
      <c r="A19" s="69">
        <f>T.UP3!A19</f>
        <v>0</v>
      </c>
      <c r="B19" s="160" t="str">
        <f>T.UP3!B19</f>
        <v>a. Gangguan TM &gt; 5 Menit</v>
      </c>
      <c r="C19" s="75" t="str">
        <f>T.UP3!C20</f>
        <v>ò</v>
      </c>
      <c r="D19" s="97" t="str">
        <f>T.UP3!D20</f>
        <v>Kali</v>
      </c>
      <c r="E19" s="202"/>
      <c r="F19" s="98">
        <f>T.UP3!H20</f>
        <v>191</v>
      </c>
      <c r="G19" s="90">
        <f>VLOOKUP(B19,T.UP3!$B$4:$T$70,MATCH('PROG. JUNI'!$M$2,T.UP3!$B$5:$T$5,0),FALSE)</f>
        <v>119</v>
      </c>
      <c r="H19" s="98">
        <f>VLOOKUP(B19,'R.UP3'!$B$4:$S$54,MATCH('PROG. JUNI'!$M$2,'R.UP3'!$B$5:$S$5,0),FALSE)</f>
        <v>87</v>
      </c>
      <c r="I19" s="165">
        <v>110</v>
      </c>
      <c r="J19" s="103"/>
      <c r="K19" s="195" t="s">
        <v>157</v>
      </c>
      <c r="L19" s="195"/>
      <c r="R19" s="103">
        <v>6.22</v>
      </c>
      <c r="S19" s="103">
        <v>6.22</v>
      </c>
      <c r="T19" s="127">
        <f>R19-S19</f>
        <v>0</v>
      </c>
    </row>
    <row r="20" spans="1:21" ht="16.5">
      <c r="A20" s="69">
        <f>T.UP3!A20</f>
        <v>0</v>
      </c>
      <c r="B20" s="160" t="str">
        <f>T.UP3!B20</f>
        <v>b. Gangguan TM ≤ 5 Menit</v>
      </c>
      <c r="C20" s="75" t="str">
        <f>T.UP3!C21</f>
        <v>ò</v>
      </c>
      <c r="D20" s="97" t="str">
        <f>T.UP3!D21</f>
        <v>Unit</v>
      </c>
      <c r="E20" s="202"/>
      <c r="F20" s="98">
        <f>T.UP3!H21</f>
        <v>5</v>
      </c>
      <c r="G20" s="90">
        <f>VLOOKUP(B20,T.UP3!$B$4:$T$70,MATCH('PROG. JUNI'!$M$2,T.UP3!$B$5:$T$5,0),FALSE)</f>
        <v>128</v>
      </c>
      <c r="H20" s="98">
        <f>VLOOKUP(B20,'R.UP3'!$B$4:$S$54,MATCH('PROG. JUNI'!$M$2,'R.UP3'!$B$5:$S$5,0),FALSE)</f>
        <v>96</v>
      </c>
      <c r="I20" s="165">
        <v>110</v>
      </c>
      <c r="J20" s="204"/>
      <c r="K20" s="195" t="s">
        <v>157</v>
      </c>
      <c r="R20" s="204"/>
      <c r="S20" s="204"/>
    </row>
    <row r="21" spans="1:21" ht="19.149999999999999" customHeight="1">
      <c r="A21" s="69">
        <f>T.UP3!A21</f>
        <v>0</v>
      </c>
      <c r="B21" s="160" t="str">
        <f>T.UP3!B21</f>
        <v>c. Kerusakan Peralatan Distribusi (PHB TM dan Trafo) Sesuai Kewenangan</v>
      </c>
      <c r="C21" s="75">
        <f>T.UP3!C22</f>
        <v>0</v>
      </c>
      <c r="D21" s="97">
        <f>T.UP3!D22</f>
        <v>0</v>
      </c>
      <c r="E21" s="202"/>
      <c r="F21" s="101">
        <f>T.UP3!H22</f>
        <v>0</v>
      </c>
      <c r="G21" s="91">
        <f>VLOOKUP(B21,T.UP3!$B$4:$T$70,MATCH('PROG. JUNI'!$M$2,T.UP3!$B$5:$T$5,0),FALSE)</f>
        <v>5</v>
      </c>
      <c r="H21" s="101">
        <f>VLOOKUP(B21,'R.UP3'!$B$4:$S$54,MATCH('PROG. JUNI'!$M$2,'R.UP3'!$B$5:$S$5,0),FALSE)</f>
        <v>3</v>
      </c>
      <c r="I21" s="165">
        <v>100</v>
      </c>
      <c r="J21" s="103"/>
      <c r="K21" s="195" t="s">
        <v>157</v>
      </c>
      <c r="L21" s="195"/>
      <c r="R21" s="103">
        <v>4.4000000000000004</v>
      </c>
      <c r="S21" s="103">
        <v>4.4000000000000004</v>
      </c>
      <c r="T21" s="127">
        <f>R21-S21</f>
        <v>0</v>
      </c>
    </row>
    <row r="22" spans="1:21" ht="20.100000000000001" customHeight="1">
      <c r="A22" s="69">
        <f>T.UP3!A22</f>
        <v>5</v>
      </c>
      <c r="B22" s="160" t="str">
        <f>T.UP3!B22</f>
        <v>Peningkatan Layanan</v>
      </c>
      <c r="C22" s="75"/>
      <c r="D22" s="97"/>
      <c r="E22" s="202">
        <f>IF(OR(H22="N/A",G22="N/A"),0,T.UP3!F24)</f>
        <v>0</v>
      </c>
      <c r="F22" s="146"/>
      <c r="G22" s="98"/>
      <c r="H22" s="90"/>
      <c r="I22" s="165">
        <f>AVERAGE(I23:I26)</f>
        <v>116.4320873163076</v>
      </c>
      <c r="J22" s="103">
        <f>ROUNDDOWN(IF(I22="N/A",0,IF(I22&gt;110,E22*110/100,E22*I22/100)),2)</f>
        <v>0</v>
      </c>
      <c r="K22" s="195"/>
      <c r="L22" s="195">
        <f>E22-J22</f>
        <v>0</v>
      </c>
      <c r="R22" s="103">
        <v>4.4000000000000004</v>
      </c>
      <c r="S22" s="103">
        <v>4.4000000000000004</v>
      </c>
      <c r="T22" s="127">
        <f>R22-S22</f>
        <v>0</v>
      </c>
    </row>
    <row r="23" spans="1:21" ht="16.5">
      <c r="A23" s="69">
        <f>T.UP3!A24</f>
        <v>0</v>
      </c>
      <c r="B23" s="160" t="str">
        <f>T.UP3!B24</f>
        <v>b. Pengaduan Gangguan Berulang pada PLN Mobile</v>
      </c>
      <c r="C23" s="75" t="str">
        <f>T.UP3!C25</f>
        <v>ñ</v>
      </c>
      <c r="D23" s="97" t="str">
        <f>T.UP3!D25</f>
        <v>Rating</v>
      </c>
      <c r="E23" s="202"/>
      <c r="F23" s="98">
        <f>T.UP3!H25</f>
        <v>4.9000000000000004</v>
      </c>
      <c r="G23" s="90">
        <f>VLOOKUP(B23,T.UP3!$B$4:$T$70,MATCH('PROG. JUNI'!$M$2,T.UP3!$B$5:$T$5,0),FALSE)</f>
        <v>0.04</v>
      </c>
      <c r="H23" s="98">
        <f>VLOOKUP(B23,'R.UP3'!$B$4:$S$54,MATCH('PROG. JUNI'!$M$2,'R.UP3'!$B$5:$S$5,0),FALSE)</f>
        <v>0</v>
      </c>
      <c r="I23" s="165">
        <f>IF(OR(G23="N/A",H23="N/A"),"N/A",IF(AND(G23=0,H23=0),0,(2-H23/G23)*100))</f>
        <v>200</v>
      </c>
      <c r="J23" s="103"/>
      <c r="K23" s="195" t="s">
        <v>157</v>
      </c>
      <c r="L23" s="195"/>
      <c r="R23" s="103">
        <v>0</v>
      </c>
      <c r="S23" s="103">
        <v>2.2000000000000002</v>
      </c>
      <c r="T23" s="127">
        <f>R23-S23</f>
        <v>-2.2000000000000002</v>
      </c>
    </row>
    <row r="24" spans="1:21" ht="16.5">
      <c r="A24" s="69">
        <f>T.UP3!A25</f>
        <v>0</v>
      </c>
      <c r="B24" s="160" t="str">
        <f>T.UP3!B25</f>
        <v>c. Rating PLN Mobile</v>
      </c>
      <c r="C24" s="75" t="e">
        <f>T.UP3!#REF!</f>
        <v>#REF!</v>
      </c>
      <c r="D24" s="97" t="e">
        <f>T.UP3!#REF!</f>
        <v>#REF!</v>
      </c>
      <c r="E24" s="202"/>
      <c r="F24" s="98" t="e">
        <f>T.UP3!#REF!</f>
        <v>#REF!</v>
      </c>
      <c r="G24" s="90">
        <f>VLOOKUP(B24,T.UP3!$B$4:$T$70,MATCH('PROG. JUNI'!$M$2,T.UP3!$B$5:$T$5,0),FALSE)</f>
        <v>4.9000000000000004</v>
      </c>
      <c r="H24" s="98">
        <f>VLOOKUP(B24,'R.UP3'!$B$4:$S$54,MATCH('PROG. JUNI'!$M$2,'R.UP3'!$B$5:$S$5,0),FALSE)</f>
        <v>4.9000000000000004</v>
      </c>
      <c r="I24" s="165">
        <f>IF(OR(G24="N/A",H24="N/A"),"N/A",IF(AND(G24=0,H24=0),0,(2-H24/G24)*100))</f>
        <v>100</v>
      </c>
      <c r="J24" s="103"/>
      <c r="K24" s="195" t="s">
        <v>157</v>
      </c>
      <c r="L24" s="195"/>
      <c r="R24" s="103"/>
      <c r="S24" s="103"/>
    </row>
    <row r="25" spans="1:21" ht="31.5">
      <c r="A25" s="69">
        <f>T.UP3!A26</f>
        <v>0</v>
      </c>
      <c r="B25" s="160" t="str">
        <f>T.UP3!B26</f>
        <v>d. Jumlah Kali Transaksi Keuangan melalui PLN Mobile</v>
      </c>
      <c r="C25" s="75" t="str">
        <f>T.UP3!C26</f>
        <v>ñ</v>
      </c>
      <c r="D25" s="97" t="str">
        <f>T.UP3!D26</f>
        <v>Kali Transaksi</v>
      </c>
      <c r="E25" s="202"/>
      <c r="F25" s="98">
        <f>T.UP3!H26</f>
        <v>62908</v>
      </c>
      <c r="G25" s="90">
        <f>VLOOKUP(B25,T.UP3!$B$4:$T$70,MATCH('PROG. JUNI'!$M$2,T.UP3!$B$5:$T$5,0),FALSE)</f>
        <v>42054</v>
      </c>
      <c r="H25" s="98">
        <f>VLOOKUP(B25,'R.UP3'!$B$4:$S$54,MATCH('PROG. JUNI'!$M$2,'R.UP3'!$B$5:$S$5,0),FALSE)</f>
        <v>60672</v>
      </c>
      <c r="I25" s="165">
        <f>IF(OR(G25="N/A",H25="N/A"),"N/A",IF(AND(G25=0,H25=0),0,(2-H25/G25)*100))</f>
        <v>55.728349265230428</v>
      </c>
      <c r="J25" s="103"/>
      <c r="K25" s="195" t="s">
        <v>157</v>
      </c>
      <c r="L25" s="195"/>
      <c r="R25" s="103">
        <v>3.3</v>
      </c>
      <c r="S25" s="103">
        <v>3.3</v>
      </c>
      <c r="T25" s="127">
        <f t="shared" ref="T25:T30" si="0">R25-S25</f>
        <v>0</v>
      </c>
    </row>
    <row r="26" spans="1:21" ht="20.100000000000001" customHeight="1">
      <c r="A26" s="69">
        <f>T.UP3!A30</f>
        <v>7</v>
      </c>
      <c r="B26" s="160" t="str">
        <f>T.UP3!B30</f>
        <v>Sistem Recovery :</v>
      </c>
      <c r="C26" s="75" t="e">
        <f>T.UP3!#REF!</f>
        <v>#REF!</v>
      </c>
      <c r="D26" s="97" t="e">
        <f>T.UP3!#REF!</f>
        <v>#REF!</v>
      </c>
      <c r="E26" s="202"/>
      <c r="F26" s="98" t="e">
        <f>T.UP3!#REF!</f>
        <v>#REF!</v>
      </c>
      <c r="G26" s="90">
        <f>VLOOKUP(B26,T.UP3!$B$4:$T$70,MATCH('PROG. JUNI'!$M$2,T.UP3!$B$5:$T$5,0),FALSE)</f>
        <v>0</v>
      </c>
      <c r="H26" s="98">
        <f>VLOOKUP(B26,'R.UP3'!$B$4:$S$54,MATCH('PROG. JUNI'!$M$2,'R.UP3'!$B$5:$S$5,0),FALSE)</f>
        <v>0</v>
      </c>
      <c r="I26" s="165">
        <v>110</v>
      </c>
      <c r="J26" s="103"/>
      <c r="R26" s="103">
        <v>3.3</v>
      </c>
      <c r="S26" s="103">
        <v>3.3</v>
      </c>
      <c r="T26" s="127">
        <f t="shared" si="0"/>
        <v>0</v>
      </c>
    </row>
    <row r="27" spans="1:21" ht="16.5">
      <c r="A27" s="69">
        <f>T.UP3!A31</f>
        <v>0</v>
      </c>
      <c r="B27" s="160" t="str">
        <f>T.UP3!B31</f>
        <v>a. Recovery Time Gangguan Meluas TM</v>
      </c>
      <c r="C27" s="75" t="str">
        <f>T.UP3!C38</f>
        <v>ñ</v>
      </c>
      <c r="D27" s="283" t="str">
        <f>T.UP3!D38</f>
        <v>Pelanggan</v>
      </c>
      <c r="E27" s="202">
        <f>IF(OR(H27="N/A",G27="N/A"),0,T.UP3!F38)</f>
        <v>2</v>
      </c>
      <c r="F27" s="101">
        <f>T.UP3!H38</f>
        <v>10632</v>
      </c>
      <c r="G27" s="91">
        <f>VLOOKUP(B27,T.UP3!$B$4:$T$70,MATCH('PROG. JUNI'!$M$2,T.UP3!$B$5:$T$5,0),FALSE)</f>
        <v>100</v>
      </c>
      <c r="H27" s="98">
        <f>VLOOKUP(B27,'R.UP3'!$B$4:$S$54,MATCH('PROG. JUNI'!$M$2,'R.UP3'!$B$5:$S$5,0),FALSE)</f>
        <v>110</v>
      </c>
      <c r="I27" s="165">
        <f>IF(OR(G27="N/A",H27="N/A"),"N/A",IF(AND(G27=0,H27=0),0,H27/G27*100))</f>
        <v>110.00000000000001</v>
      </c>
      <c r="J27" s="103">
        <f>ROUNDDOWN(IF(I27="N/A",0,IF(I27&gt;110,E27*110/100,E27*I27/100)),2)</f>
        <v>2.2000000000000002</v>
      </c>
      <c r="K27" s="194" t="s">
        <v>157</v>
      </c>
      <c r="L27" s="195"/>
      <c r="R27" s="103">
        <v>4.5</v>
      </c>
      <c r="S27" s="103">
        <v>4.5</v>
      </c>
      <c r="T27" s="127">
        <f t="shared" si="0"/>
        <v>0</v>
      </c>
    </row>
    <row r="28" spans="1:21" ht="16.5">
      <c r="A28" s="69">
        <f>T.UP3!A32</f>
        <v>0</v>
      </c>
      <c r="B28" s="160" t="str">
        <f>T.UP3!B32</f>
        <v>b. Penormalan Siaga 1 Gangguan TM</v>
      </c>
      <c r="C28" s="75"/>
      <c r="D28" s="97"/>
      <c r="E28" s="202">
        <f>IF(OR(H28="N/A",G28="N/A"),0,T.UP3!F41)</f>
        <v>1.5</v>
      </c>
      <c r="F28" s="146"/>
      <c r="G28" s="98"/>
      <c r="H28" s="98"/>
      <c r="I28" s="165">
        <f>AVERAGE(I29:I32)</f>
        <v>102.90983606557377</v>
      </c>
      <c r="J28" s="103">
        <f>ROUNDDOWN(IF(I28="N/A",0,IF(I28&gt;110,E28*110/100,E28*I28/100)),2)</f>
        <v>1.54</v>
      </c>
      <c r="K28" s="195"/>
      <c r="L28" s="195">
        <f>E28-J28</f>
        <v>-4.0000000000000036E-2</v>
      </c>
      <c r="R28" s="103">
        <v>1.97</v>
      </c>
      <c r="S28" s="103">
        <v>1.97</v>
      </c>
      <c r="T28" s="127">
        <f t="shared" si="0"/>
        <v>0</v>
      </c>
    </row>
    <row r="29" spans="1:21" ht="16.5">
      <c r="A29" s="69">
        <f>T.UP3!A33</f>
        <v>8</v>
      </c>
      <c r="B29" s="160" t="str">
        <f>T.UP3!B33</f>
        <v>Digitalisasi Aplikasi Korporat</v>
      </c>
      <c r="C29" s="75" t="str">
        <f>T.UP3!C42</f>
        <v>ñ</v>
      </c>
      <c r="D29" s="97" t="str">
        <f>T.UP3!D42</f>
        <v>KWh</v>
      </c>
      <c r="E29" s="202"/>
      <c r="F29" s="98">
        <f>T.UP3!H42</f>
        <v>58950.990000000005</v>
      </c>
      <c r="G29" s="90">
        <f>VLOOKUP(B29,T.UP3!$B$4:$T$70,MATCH('PROG. JUNI'!$M$2,T.UP3!$B$5:$T$5,0),FALSE)</f>
        <v>0</v>
      </c>
      <c r="H29" s="98">
        <f>VLOOKUP(B29,'R.UP3'!$B$4:$S$54,MATCH('PROG. JUNI'!$M$2,'R.UP3'!$B$5:$S$5,0),FALSE)</f>
        <v>0</v>
      </c>
      <c r="I29" s="165">
        <v>110</v>
      </c>
      <c r="J29" s="103"/>
      <c r="K29" s="195" t="s">
        <v>157</v>
      </c>
      <c r="L29" s="195"/>
      <c r="R29" s="103">
        <v>1.61</v>
      </c>
      <c r="S29" s="103">
        <v>1.61</v>
      </c>
      <c r="T29" s="127">
        <f t="shared" si="0"/>
        <v>0</v>
      </c>
    </row>
    <row r="30" spans="1:21" ht="20.100000000000001" customHeight="1">
      <c r="A30" s="69">
        <f>T.UP3!A37</f>
        <v>0</v>
      </c>
      <c r="B30" s="160" t="str">
        <f>T.UP3!B37</f>
        <v>a. Penambahan Daya Tersambung</v>
      </c>
      <c r="C30" s="75">
        <f>T.UP3!C43</f>
        <v>0</v>
      </c>
      <c r="D30" s="97">
        <f>T.UP3!D43</f>
        <v>0</v>
      </c>
      <c r="E30" s="202"/>
      <c r="F30" s="98">
        <f>T.UP3!H43</f>
        <v>0</v>
      </c>
      <c r="G30" s="90">
        <f>VLOOKUP(B30,T.UP3!$B$4:$T$70,MATCH('PROG. JUNI'!$M$2,T.UP3!$B$5:$T$5,0),FALSE)</f>
        <v>7.62</v>
      </c>
      <c r="H30" s="98">
        <f>VLOOKUP(B30,'R.UP3'!$B$4:$S$54,MATCH('PROG. JUNI'!$M$2,'R.UP3'!$B$5:$S$5,0),FALSE)</f>
        <v>4.2161333333333335</v>
      </c>
      <c r="I30" s="165">
        <v>100</v>
      </c>
      <c r="J30" s="103"/>
      <c r="K30" s="195" t="s">
        <v>157</v>
      </c>
      <c r="L30" s="195"/>
      <c r="N30" s="127"/>
      <c r="R30" s="103">
        <v>1.77</v>
      </c>
      <c r="S30" s="103">
        <v>1.91</v>
      </c>
      <c r="T30" s="127">
        <f t="shared" si="0"/>
        <v>-0.1399999999999999</v>
      </c>
      <c r="U30" s="271"/>
    </row>
    <row r="31" spans="1:21" ht="16.5">
      <c r="A31" s="69">
        <f>T.UP3!A38</f>
        <v>0</v>
      </c>
      <c r="B31" s="160" t="str">
        <f>T.UP3!B38</f>
        <v>b. Penambahan Jumlah Pelanggan</v>
      </c>
      <c r="C31" s="75" t="str">
        <f>T.UP3!C44</f>
        <v>ñ</v>
      </c>
      <c r="D31" s="97" t="str">
        <f>T.UP3!D44</f>
        <v>Pelanggan</v>
      </c>
      <c r="E31" s="202"/>
      <c r="F31" s="98">
        <f>T.UP3!H44</f>
        <v>4728</v>
      </c>
      <c r="G31" s="90">
        <f>VLOOKUP(B31,T.UP3!$B$4:$T$70,MATCH('PROG. JUNI'!$M$2,T.UP3!$B$5:$T$5,0),FALSE)</f>
        <v>6645</v>
      </c>
      <c r="H31" s="98">
        <f>VLOOKUP(B31,'R.UP3'!$B$4:$S$54,MATCH('PROG. JUNI'!$M$2,'R.UP3'!$B$5:$S$5,0),FALSE)</f>
        <v>3293</v>
      </c>
      <c r="I31" s="165">
        <v>100</v>
      </c>
      <c r="J31" s="103"/>
      <c r="K31" s="195" t="s">
        <v>157</v>
      </c>
      <c r="L31" s="195"/>
      <c r="R31" s="103"/>
      <c r="S31" s="103"/>
    </row>
    <row r="32" spans="1:21" ht="20.100000000000001" customHeight="1">
      <c r="A32" s="69">
        <f>T.UP3!A39</f>
        <v>0</v>
      </c>
      <c r="B32" s="160" t="str">
        <f>T.UP3!B39</f>
        <v>c. Jumlah Penambahan Pelanggan Produk Tematik</v>
      </c>
      <c r="C32" s="75" t="e">
        <f>T.UP3!#REF!</f>
        <v>#REF!</v>
      </c>
      <c r="D32" s="97" t="e">
        <f>T.UP3!#REF!</f>
        <v>#REF!</v>
      </c>
      <c r="E32" s="202"/>
      <c r="F32" s="101" t="e">
        <f>T.UP3!#REF!</f>
        <v>#REF!</v>
      </c>
      <c r="G32" s="91">
        <f>VLOOKUP(B32,T.UP3!$B$4:$T$70,MATCH('PROG. JUNI'!$M$2,T.UP3!$B$5:$T$5,0),FALSE)</f>
        <v>732</v>
      </c>
      <c r="H32" s="101">
        <f>VLOOKUP(B32,'R.UP3'!$B$4:$S$54,MATCH('PROG. JUNI'!$M$2,'R.UP3'!$B$5:$S$5,0),FALSE)</f>
        <v>744</v>
      </c>
      <c r="I32" s="165">
        <f>IF(OR(G32="N/A",H32="N/A"),"N/A",IF(AND(G32=0,H32=0),0,H32/G32*100))</f>
        <v>101.63934426229508</v>
      </c>
      <c r="J32" s="103"/>
      <c r="K32" s="195" t="s">
        <v>157</v>
      </c>
      <c r="L32" s="195"/>
      <c r="R32" s="103">
        <v>4.4000000000000004</v>
      </c>
      <c r="S32" s="103">
        <v>4.4000000000000004</v>
      </c>
      <c r="T32" s="127">
        <f>R32-S32</f>
        <v>0</v>
      </c>
    </row>
    <row r="33" spans="1:20" ht="20.100000000000001" customHeight="1">
      <c r="A33" s="69">
        <f>T.UP3!A41</f>
        <v>0</v>
      </c>
      <c r="B33" s="160" t="str">
        <f>T.UP3!B41</f>
        <v>e. Penambahan Jumlah Pelanggan Rumah Tangga Lisdes</v>
      </c>
      <c r="C33" s="75" t="str">
        <f>T.UP3!C47</f>
        <v>ò</v>
      </c>
      <c r="D33" s="97" t="str">
        <f>T.UP3!D47</f>
        <v>Rp. Juta</v>
      </c>
      <c r="E33" s="202">
        <f>IF(OR(H33="N/A",G33="N/A"),0,T.UP3!F47)</f>
        <v>0</v>
      </c>
      <c r="F33" s="98">
        <f>T.UP3!H47</f>
        <v>1175</v>
      </c>
      <c r="G33" s="90">
        <f>VLOOKUP(B33,T.UP3!$B$4:$T$70,MATCH('PROG. JUNI'!$M$2,T.UP3!$B$5:$T$5,0),FALSE)</f>
        <v>61</v>
      </c>
      <c r="H33" s="98">
        <f>VLOOKUP(B33,'R.UP3'!$B$4:$S$54,MATCH('PROG. JUNI'!$M$2,'R.UP3'!$B$5:$S$5,0),FALSE)</f>
        <v>159</v>
      </c>
      <c r="I33" s="165">
        <f>IF(OR(G33="N/A",H33="N/A"),"N/A",IF(AND(G33=0,H33=0),0,H33/G33*100))</f>
        <v>260.65573770491801</v>
      </c>
      <c r="J33" s="103">
        <f>ROUNDDOWN(IF(I33="N/A",0,IF(I33&gt;110,E33*110/100,E33*I33/100)),2)</f>
        <v>0</v>
      </c>
      <c r="K33" s="194" t="s">
        <v>157</v>
      </c>
      <c r="R33" s="94"/>
      <c r="S33" s="94"/>
    </row>
    <row r="34" spans="1:20" ht="20.100000000000001" customHeight="1">
      <c r="A34" s="69">
        <f>T.UP3!A42</f>
        <v>0</v>
      </c>
      <c r="B34" s="160" t="str">
        <f>T.UP3!B42</f>
        <v>f. Peningkatan kWh Penjualan dari Pelanggan Rumah Tangga Lisdes</v>
      </c>
      <c r="C34" s="75"/>
      <c r="D34" s="97"/>
      <c r="E34" s="202">
        <f>IF(OR(H34="N/A",G34="N/A"),0,T.UP3!F51)</f>
        <v>0</v>
      </c>
      <c r="F34" s="146"/>
      <c r="G34" s="98"/>
      <c r="H34" s="98"/>
      <c r="I34" s="165">
        <f>AVERAGE(I35:I37)</f>
        <v>106.66666666666667</v>
      </c>
      <c r="J34" s="103">
        <f>ROUNDDOWN(IF(I34="N/A",0,IF(I34&gt;110,E34*110/100,E34*I34/100)),2)</f>
        <v>0</v>
      </c>
      <c r="K34" s="195"/>
      <c r="R34" s="103">
        <v>0.81</v>
      </c>
      <c r="S34" s="103">
        <v>1.1000000000000001</v>
      </c>
      <c r="T34" s="127">
        <f t="shared" ref="T34:T39" si="1">R34-S34</f>
        <v>-0.29000000000000004</v>
      </c>
    </row>
    <row r="35" spans="1:20" ht="16.5">
      <c r="A35" s="69">
        <f>T.UP3!A43</f>
        <v>10</v>
      </c>
      <c r="B35" s="160" t="str">
        <f>T.UP3!B43</f>
        <v>Pengelolaan Pembacaan Meter</v>
      </c>
      <c r="C35" s="75" t="e">
        <f>T.UP3!#REF!</f>
        <v>#REF!</v>
      </c>
      <c r="D35" s="97" t="e">
        <f>T.UP3!#REF!</f>
        <v>#REF!</v>
      </c>
      <c r="E35" s="202"/>
      <c r="F35" s="98" t="e">
        <f>T.UP3!#REF!</f>
        <v>#REF!</v>
      </c>
      <c r="G35" s="90">
        <f>VLOOKUP(B35,T.UP3!$B$4:$T$70,MATCH('PROG. JUNI'!$M$2,T.UP3!$B$5:$T$5,0),FALSE)</f>
        <v>0</v>
      </c>
      <c r="H35" s="98">
        <f>VLOOKUP(B35,'R.UP3'!$B$4:$S$54,MATCH('PROG. JUNI'!$M$2,'R.UP3'!$B$5:$S$5,0),FALSE)</f>
        <v>0</v>
      </c>
      <c r="I35" s="165">
        <v>110</v>
      </c>
      <c r="J35" s="103"/>
      <c r="K35" s="195" t="s">
        <v>157</v>
      </c>
      <c r="L35" s="195"/>
      <c r="R35" s="103">
        <v>1.1000000000000001</v>
      </c>
      <c r="S35" s="103">
        <v>1.1000000000000001</v>
      </c>
      <c r="T35" s="127">
        <f t="shared" si="1"/>
        <v>0</v>
      </c>
    </row>
    <row r="36" spans="1:20" ht="20.100000000000001" customHeight="1">
      <c r="A36" s="69">
        <f>T.UP3!A44</f>
        <v>0</v>
      </c>
      <c r="B36" s="160" t="str">
        <f>T.UP3!B44</f>
        <v>a. Jumlah Pengguna Swa Cam</v>
      </c>
      <c r="C36" s="75" t="e">
        <f>T.UP3!#REF!</f>
        <v>#REF!</v>
      </c>
      <c r="D36" s="97" t="e">
        <f>T.UP3!#REF!</f>
        <v>#REF!</v>
      </c>
      <c r="E36" s="202"/>
      <c r="F36" s="98" t="e">
        <f>T.UP3!#REF!</f>
        <v>#REF!</v>
      </c>
      <c r="G36" s="90">
        <f>VLOOKUP(B36,T.UP3!$B$4:$T$70,MATCH('PROG. JUNI'!$M$2,T.UP3!$B$5:$T$5,0),FALSE)</f>
        <v>4728</v>
      </c>
      <c r="H36" s="98">
        <f>VLOOKUP(B36,'R.UP3'!$B$4:$S$54,MATCH('PROG. JUNI'!$M$2,'R.UP3'!$B$5:$S$5,0),FALSE)</f>
        <v>5376</v>
      </c>
      <c r="I36" s="165">
        <v>110</v>
      </c>
      <c r="J36" s="103"/>
      <c r="K36" s="195" t="s">
        <v>157</v>
      </c>
      <c r="L36" s="195"/>
      <c r="R36" s="103">
        <v>1.1000000000000001</v>
      </c>
      <c r="S36" s="103">
        <v>1.1000000000000001</v>
      </c>
      <c r="T36" s="127">
        <f t="shared" si="1"/>
        <v>0</v>
      </c>
    </row>
    <row r="37" spans="1:20" ht="20.100000000000001" customHeight="1">
      <c r="A37" s="69">
        <f>T.UP3!A47</f>
        <v>0</v>
      </c>
      <c r="B37" s="160" t="str">
        <f>T.UP3!B47</f>
        <v>a. Pencapaian Rata-Rata Saldo Tanggal 20 diluar Konsumen Instansi (Kementerian &amp; Lembaga)</v>
      </c>
      <c r="C37" s="75" t="e">
        <f>T.UP3!#REF!</f>
        <v>#REF!</v>
      </c>
      <c r="D37" s="97" t="e">
        <f>T.UP3!#REF!</f>
        <v>#REF!</v>
      </c>
      <c r="E37" s="202"/>
      <c r="F37" s="98" t="e">
        <f>T.UP3!#REF!</f>
        <v>#REF!</v>
      </c>
      <c r="G37" s="90">
        <f>VLOOKUP(B37,T.UP3!$B$4:$T$70,MATCH('PROG. JUNI'!$M$2,T.UP3!$B$5:$T$5,0),FALSE)</f>
        <v>1175</v>
      </c>
      <c r="H37" s="98">
        <v>671.6888488106141</v>
      </c>
      <c r="I37" s="290">
        <v>100</v>
      </c>
      <c r="J37" s="103"/>
      <c r="K37" s="195" t="s">
        <v>157</v>
      </c>
      <c r="L37" s="195"/>
      <c r="R37" s="103">
        <v>2.2000000000000002</v>
      </c>
      <c r="S37" s="103">
        <v>2.2000000000000002</v>
      </c>
      <c r="T37" s="127">
        <f t="shared" si="1"/>
        <v>0</v>
      </c>
    </row>
    <row r="38" spans="1:20" ht="16.5">
      <c r="A38" s="69" t="e">
        <f>T.UP3!#REF!</f>
        <v>#REF!</v>
      </c>
      <c r="B38" s="160" t="e">
        <f>T.UP3!#REF!</f>
        <v>#REF!</v>
      </c>
      <c r="C38" s="75" t="str">
        <f>T.UP3!C52</f>
        <v>ñ</v>
      </c>
      <c r="D38" s="97" t="str">
        <f>T.UP3!D52</f>
        <v>Rp. Milyar</v>
      </c>
      <c r="E38" s="202" t="e">
        <f>IF(OR(H38="N/A",G38="N/A"),0,T.UP3!F52)</f>
        <v>#REF!</v>
      </c>
      <c r="F38" s="146">
        <f>T.UP3!H52</f>
        <v>3.16</v>
      </c>
      <c r="G38" s="90" t="e">
        <f>VLOOKUP(B38,T.UP3!$B$4:$T$70,MATCH('PROG. JUNI'!$M$2,T.UP3!$B$5:$T$5,0),FALSE)</f>
        <v>#REF!</v>
      </c>
      <c r="H38" s="98">
        <v>69</v>
      </c>
      <c r="I38" s="165" t="e">
        <f>IF(OR(G38="N/A",H38="N/A"),"N/A",IF(AND(G38=0,H38=0),0,H38/100*100))</f>
        <v>#REF!</v>
      </c>
      <c r="J38" s="103" t="e">
        <f>ROUNDDOWN(IF(I38="N/A",0,IF(I38&gt;110,E38*110/100,E38*I38/100)),2)</f>
        <v>#REF!</v>
      </c>
      <c r="K38" s="195"/>
      <c r="L38" s="195"/>
      <c r="R38" s="103">
        <v>2.2000000000000002</v>
      </c>
      <c r="S38" s="103">
        <v>2.2000000000000002</v>
      </c>
      <c r="T38" s="127">
        <f t="shared" si="1"/>
        <v>0</v>
      </c>
    </row>
    <row r="39" spans="1:20" ht="20.100000000000001" customHeight="1">
      <c r="A39" s="69">
        <f>T.UP3!A48</f>
        <v>0</v>
      </c>
      <c r="B39" s="160" t="str">
        <f>T.UP3!B48</f>
        <v>b. Pencapaian Saldo Rata-Rata Akhir Bulan diluar Konsumen Instansi (Kementerian &amp; Lembaga)</v>
      </c>
      <c r="C39" s="75" t="e">
        <f>T.UP3!#REF!</f>
        <v>#REF!</v>
      </c>
      <c r="D39" s="97" t="e">
        <f>T.UP3!#REF!</f>
        <v>#REF!</v>
      </c>
      <c r="E39" s="202" t="e">
        <f>IF(OR(H39="N/A",G39="N/A"),0,T.UP3!#REF!)</f>
        <v>#REF!</v>
      </c>
      <c r="F39" s="98" t="e">
        <f>T.UP3!#REF!</f>
        <v>#REF!</v>
      </c>
      <c r="G39" s="90">
        <f>VLOOKUP(B39,T.UP3!$B$4:$T$70,MATCH('PROG. JUNI'!$M$2,T.UP3!$B$5:$T$5,0),FALSE)</f>
        <v>286.27</v>
      </c>
      <c r="H39" s="98">
        <f>VLOOKUP(B39,'R.UP3'!$B$4:$S$54,MATCH('PROG. JUNI'!$M$2,'R.UP3'!$B$5:$S$5,0),FALSE)</f>
        <v>356.950721875</v>
      </c>
      <c r="I39" s="290">
        <v>110</v>
      </c>
      <c r="J39" s="103" t="e">
        <f>ROUNDDOWN(IF(I39="N/A",0,IF(I39&gt;110,E39*110/100,E39*I39/100)),2)</f>
        <v>#REF!</v>
      </c>
      <c r="K39" s="195" t="s">
        <v>157</v>
      </c>
      <c r="L39" s="195"/>
      <c r="R39" s="103">
        <v>2</v>
      </c>
      <c r="S39" s="103">
        <v>2</v>
      </c>
      <c r="T39" s="127">
        <f t="shared" si="1"/>
        <v>0</v>
      </c>
    </row>
    <row r="40" spans="1:20" ht="16.5">
      <c r="A40" s="69">
        <f>T.UP3!A49</f>
        <v>0</v>
      </c>
      <c r="B40" s="160" t="str">
        <f>T.UP3!B49</f>
        <v>c. Pencapaian Pelunasan PRR</v>
      </c>
      <c r="C40" s="75" t="str">
        <f>T.UP3!C53</f>
        <v>ñ</v>
      </c>
      <c r="D40" s="97" t="str">
        <f>T.UP3!D53</f>
        <v>Rp. Milyar</v>
      </c>
      <c r="E40" s="202">
        <f>IF(OR(H40="N/A",G40="N/A"),0,T.UP3!F53)</f>
        <v>0</v>
      </c>
      <c r="F40" s="98">
        <f>T.UP3!H53</f>
        <v>34.29</v>
      </c>
      <c r="G40" s="90">
        <f>VLOOKUP(B40,T.UP3!$B$4:$T$70,MATCH('PROG. JUNI'!$M$2,T.UP3!$B$5:$T$5,0),FALSE)</f>
        <v>5.59</v>
      </c>
      <c r="H40" s="98">
        <v>100</v>
      </c>
      <c r="I40" s="290">
        <f>IF(OR(G40="N/A",H40="N/A"),"N/A",IF(AND(G40=0,H40=0),0,H40/G40*100))</f>
        <v>1788.9087656529518</v>
      </c>
      <c r="J40" s="103">
        <f>ROUNDDOWN(IF(I40="N/A",0,IF(I40&gt;110,E40*110/100,E40*I40/100)),2)</f>
        <v>0</v>
      </c>
      <c r="K40" s="195" t="s">
        <v>157</v>
      </c>
      <c r="L40" s="195"/>
      <c r="R40" s="103"/>
      <c r="S40" s="103"/>
    </row>
    <row r="41" spans="1:20" ht="16.5">
      <c r="A41" s="69">
        <f>T.UP3!A50</f>
        <v>12</v>
      </c>
      <c r="B41" s="160" t="str">
        <f>T.UP3!B50</f>
        <v>Pengendalian  Anggaran</v>
      </c>
      <c r="C41" s="75" t="str">
        <f>T.UP3!C55</f>
        <v>ñ</v>
      </c>
      <c r="D41" s="97" t="str">
        <f>T.UP3!D55</f>
        <v>%</v>
      </c>
      <c r="E41" s="202">
        <f>IF(OR(H41="N/A",G41="N/A"),0,T.UP3!F55)</f>
        <v>0</v>
      </c>
      <c r="F41" s="98">
        <f>T.UP3!H55</f>
        <v>100</v>
      </c>
      <c r="G41" s="90">
        <v>4.05</v>
      </c>
      <c r="H41" s="98">
        <v>3.3</v>
      </c>
      <c r="I41" s="165">
        <f>IF(OR(G41="N/A",H41="N/A"),"N/A",IF(AND(G41=0,H41=0),0,H41/G41*100))</f>
        <v>81.481481481481481</v>
      </c>
      <c r="J41" s="103">
        <f>ROUNDDOWN(IF(I41="N/A",0,IF(I41&gt;110,E41*110/100,E41*I41/100)),2)</f>
        <v>0</v>
      </c>
      <c r="K41" s="195" t="s">
        <v>157</v>
      </c>
      <c r="L41" s="195"/>
      <c r="R41" s="103">
        <v>0</v>
      </c>
      <c r="S41" s="103">
        <v>0.9</v>
      </c>
      <c r="T41" s="127">
        <f>R41-S41</f>
        <v>-0.9</v>
      </c>
    </row>
    <row r="42" spans="1:20" ht="20.100000000000001" customHeight="1">
      <c r="A42" s="69">
        <f>T.UP3!A51</f>
        <v>0</v>
      </c>
      <c r="B42" s="160" t="str">
        <f>T.UP3!B51</f>
        <v>a. Pengendalian Penggunaan Anggaran Investasi sesuai RKAP</v>
      </c>
      <c r="C42" s="75"/>
      <c r="D42" s="97"/>
      <c r="E42" s="202"/>
      <c r="F42" s="146"/>
      <c r="G42" s="98"/>
      <c r="H42" s="98"/>
      <c r="I42" s="165"/>
      <c r="J42" s="103"/>
      <c r="K42" s="195"/>
      <c r="L42" s="195"/>
      <c r="R42" s="103">
        <v>0</v>
      </c>
      <c r="S42" s="103">
        <v>1</v>
      </c>
      <c r="T42" s="127">
        <f>R42-S42</f>
        <v>-1</v>
      </c>
    </row>
    <row r="43" spans="1:20" ht="20.100000000000001" customHeight="1">
      <c r="A43" s="69">
        <f>T.UP3!A52</f>
        <v>0</v>
      </c>
      <c r="B43" s="160" t="str">
        <f>T.UP3!B52</f>
        <v>b. Usulan Penghapusan ATTB</v>
      </c>
      <c r="C43" s="75" t="str">
        <f>T.UP3!C58</f>
        <v>ñ</v>
      </c>
      <c r="D43" s="97" t="str">
        <f>T.UP3!D58</f>
        <v>%</v>
      </c>
      <c r="E43" s="202">
        <v>2</v>
      </c>
      <c r="F43" s="98">
        <f>T.UP3!H58</f>
        <v>100</v>
      </c>
      <c r="G43" s="90">
        <f>VLOOKUP(B43,T.UP3!$B$4:$T$70,MATCH('PROG. JUNI'!$M$2,T.UP3!$B$5:$T$5,0),FALSE)</f>
        <v>0</v>
      </c>
      <c r="H43" s="98">
        <f>VLOOKUP(B43,'R.UP3'!$B$4:$S$54,MATCH('PROG. JUNI'!$M$2,'R.UP3'!$B$5:$S$5,0),FALSE)</f>
        <v>0</v>
      </c>
      <c r="I43" s="165">
        <f>IF(OR(G43="N/A",H43="N/A"),"N/A",IF(AND(G43=0,H43=0),0,H43/G43*100))</f>
        <v>0</v>
      </c>
      <c r="J43" s="103">
        <f>ROUNDDOWN(IF(I43="N/A",0,IF(I43&gt;110,E43*110/100,E43*I43/100)),2)</f>
        <v>0</v>
      </c>
      <c r="K43" s="195" t="s">
        <v>157</v>
      </c>
      <c r="L43" s="195"/>
      <c r="R43" s="103"/>
      <c r="S43" s="103"/>
    </row>
    <row r="44" spans="1:20" ht="20.100000000000001" customHeight="1">
      <c r="A44" s="69">
        <f>T.UP3!A53</f>
        <v>0</v>
      </c>
      <c r="B44" s="160" t="str">
        <f>T.UP3!B59</f>
        <v>Perbaikan Proses Bisnis dan Keberlanjutan</v>
      </c>
      <c r="C44" s="75">
        <f>T.UP3!C59</f>
        <v>0</v>
      </c>
      <c r="D44" s="97">
        <f>T.UP3!D59</f>
        <v>0</v>
      </c>
      <c r="E44" s="202">
        <v>2</v>
      </c>
      <c r="F44" s="98">
        <f>T.UP3!H59</f>
        <v>0</v>
      </c>
      <c r="G44" s="90">
        <v>100</v>
      </c>
      <c r="H44" s="98">
        <v>100</v>
      </c>
      <c r="I44" s="290">
        <f>IF(OR(G44="N/A",H44="N/A"),"N/A",IF(AND(G44=0,H44=0),0,H44/G44*100))</f>
        <v>100</v>
      </c>
      <c r="J44" s="103">
        <f>ROUNDDOWN(IF(I44="N/A",0,IF(I44&gt;110,E44*110/100,E44*I44/100)),2)</f>
        <v>2</v>
      </c>
      <c r="K44" s="195" t="s">
        <v>157</v>
      </c>
      <c r="L44" s="195"/>
      <c r="R44" s="103"/>
      <c r="S44" s="103"/>
    </row>
    <row r="45" spans="1:20" ht="16.5">
      <c r="A45" s="69">
        <f>T.UP3!A54</f>
        <v>13</v>
      </c>
      <c r="B45" s="160" t="str">
        <f>T.UP3!B61</f>
        <v>b. Maturity Level Gudang</v>
      </c>
      <c r="C45" s="75"/>
      <c r="D45" s="97"/>
      <c r="E45" s="202"/>
      <c r="F45" s="146"/>
      <c r="G45" s="98"/>
      <c r="H45" s="90"/>
      <c r="I45" s="99"/>
      <c r="J45" s="103"/>
      <c r="K45" s="195"/>
      <c r="L45" s="195"/>
      <c r="R45" s="103"/>
      <c r="S45" s="103"/>
    </row>
    <row r="46" spans="1:20" ht="16.5">
      <c r="A46" s="69">
        <f>T.UP3!A55</f>
        <v>0</v>
      </c>
      <c r="B46" s="160" t="str">
        <f>T.UP3!B62</f>
        <v>c. Maturity Level Sustainbility</v>
      </c>
      <c r="C46" s="75"/>
      <c r="D46" s="97" t="str">
        <f>T.UP3!D62</f>
        <v>%</v>
      </c>
      <c r="E46" s="202"/>
      <c r="F46" s="146"/>
      <c r="G46" s="98"/>
      <c r="H46" s="98"/>
      <c r="I46" s="99"/>
      <c r="J46" s="103"/>
      <c r="K46" s="195"/>
      <c r="L46" s="195"/>
      <c r="R46" s="103"/>
      <c r="S46" s="103"/>
    </row>
    <row r="47" spans="1:20" ht="20.100000000000001" customHeight="1">
      <c r="A47" s="69">
        <f>T.UP3!A56</f>
        <v>0</v>
      </c>
      <c r="B47" s="160" t="str">
        <f>T.UP3!B63</f>
        <v>d. Implementasi Roadmap Perbaikan Penerapan Manajemen Risiko dan Pencapaian Perlakuan Risiko</v>
      </c>
      <c r="C47" s="75"/>
      <c r="D47" s="97" t="str">
        <f>T.UP3!D63</f>
        <v>%</v>
      </c>
      <c r="E47" s="202"/>
      <c r="F47" s="146"/>
      <c r="G47" s="98"/>
      <c r="H47" s="98"/>
      <c r="I47" s="171"/>
      <c r="J47" s="103"/>
      <c r="K47" s="195"/>
      <c r="L47" s="195"/>
      <c r="R47" s="103"/>
      <c r="S47" s="103"/>
    </row>
    <row r="48" spans="1:20" ht="31.5">
      <c r="A48" s="69">
        <f>T.UP3!A57</f>
        <v>0</v>
      </c>
      <c r="B48" s="160" t="str">
        <f>T.UP3!B67</f>
        <v>c. Ketepatan penyampaian pelaporan dan
Akurasi Data Kinerja</v>
      </c>
      <c r="C48" s="75"/>
      <c r="D48" s="97">
        <f>T.UP3!D67</f>
        <v>0</v>
      </c>
      <c r="E48" s="202"/>
      <c r="F48" s="146"/>
      <c r="G48" s="284"/>
      <c r="H48" s="284"/>
      <c r="I48" s="285"/>
      <c r="J48" s="103"/>
      <c r="K48" s="195"/>
      <c r="L48" s="195"/>
      <c r="R48" s="103"/>
      <c r="S48" s="103"/>
    </row>
    <row r="49" spans="1:19" ht="20.100000000000001" customHeight="1">
      <c r="A49" s="69">
        <f>T.UP3!A58</f>
        <v>0</v>
      </c>
      <c r="B49" s="160" t="str">
        <f>T.UP3!B69</f>
        <v>e. Pencapaian Beyond RKAP</v>
      </c>
      <c r="C49" s="75"/>
      <c r="D49" s="97">
        <f>T.UP3!D69</f>
        <v>0</v>
      </c>
      <c r="E49" s="202"/>
      <c r="F49" s="146"/>
      <c r="G49" s="284"/>
      <c r="H49" s="284"/>
      <c r="I49" s="285"/>
      <c r="J49" s="103"/>
      <c r="K49" s="195"/>
      <c r="L49" s="195"/>
      <c r="R49" s="103"/>
      <c r="S49" s="103"/>
    </row>
    <row r="50" spans="1:19" ht="15.75">
      <c r="A50" s="70"/>
      <c r="B50" s="80" t="s">
        <v>104</v>
      </c>
      <c r="C50" s="128"/>
      <c r="D50" s="81"/>
      <c r="E50" s="82" t="e">
        <f>E7+E16</f>
        <v>#REF!</v>
      </c>
      <c r="F50" s="82"/>
      <c r="G50" s="82"/>
      <c r="H50" s="82"/>
      <c r="I50" s="82"/>
      <c r="J50" s="104" t="e">
        <f>J7+J16</f>
        <v>#REF!</v>
      </c>
      <c r="R50" s="104">
        <v>98.610000000000014</v>
      </c>
      <c r="S50" s="104">
        <v>103.58</v>
      </c>
    </row>
    <row r="51" spans="1:19" ht="15.75">
      <c r="A51" s="73"/>
      <c r="B51" s="83" t="s">
        <v>105</v>
      </c>
      <c r="C51" s="84"/>
      <c r="D51" s="85"/>
      <c r="E51" s="86">
        <v>100</v>
      </c>
      <c r="F51" s="86"/>
      <c r="G51" s="86"/>
      <c r="H51" s="86"/>
      <c r="I51" s="86"/>
      <c r="J51" s="152" t="e">
        <f>E51/E50*J50</f>
        <v>#REF!</v>
      </c>
      <c r="R51" s="152">
        <v>102.71875000000003</v>
      </c>
      <c r="S51" s="152">
        <v>103.58</v>
      </c>
    </row>
    <row r="53" spans="1:19">
      <c r="A53" s="669" t="s">
        <v>258</v>
      </c>
      <c r="B53" s="669"/>
      <c r="C53" s="669"/>
      <c r="D53" s="669"/>
      <c r="E53" s="669"/>
      <c r="F53" s="669"/>
      <c r="G53" s="669"/>
      <c r="H53" s="669"/>
      <c r="I53" s="669"/>
      <c r="J53" s="669"/>
    </row>
  </sheetData>
  <mergeCells count="7">
    <mergeCell ref="A53:J53"/>
    <mergeCell ref="A4:A5"/>
    <mergeCell ref="B4:C5"/>
    <mergeCell ref="D4:D5"/>
    <mergeCell ref="E4:E5"/>
    <mergeCell ref="F4:F5"/>
    <mergeCell ref="G4:J4"/>
  </mergeCells>
  <conditionalFormatting sqref="C8:C15">
    <cfRule type="iconSet" priority="332">
      <iconSet iconSet="3ArrowsGray" showValue="0">
        <cfvo type="percent" val="0"/>
        <cfvo type="num" val="2"/>
        <cfvo type="num" val="3"/>
      </iconSet>
    </cfRule>
  </conditionalFormatting>
  <conditionalFormatting sqref="C17:C49">
    <cfRule type="iconSet" priority="334">
      <iconSet iconSet="3ArrowsGray" showValue="0">
        <cfvo type="percent" val="0"/>
        <cfvo type="num" val="2"/>
        <cfvo type="num" val="3"/>
      </iconSet>
    </cfRule>
  </conditionalFormatting>
  <conditionalFormatting sqref="I8">
    <cfRule type="iconSet" priority="263">
      <iconSet>
        <cfvo type="percent" val="0"/>
        <cfvo type="num" val="70"/>
        <cfvo type="num" val="90"/>
      </iconSet>
    </cfRule>
    <cfRule type="iconSet" priority="264">
      <iconSet>
        <cfvo type="percent" val="0"/>
        <cfvo type="num" val="70"/>
        <cfvo type="num" val="90"/>
      </iconSet>
    </cfRule>
    <cfRule type="iconSet" priority="262">
      <iconSet>
        <cfvo type="percent" val="0"/>
        <cfvo type="num" val="95"/>
        <cfvo type="num" val="100"/>
      </iconSet>
    </cfRule>
    <cfRule type="iconSet" priority="270">
      <iconSet>
        <cfvo type="percent" val="0"/>
        <cfvo type="num" val="95"/>
        <cfvo type="num" val="100"/>
      </iconSet>
    </cfRule>
    <cfRule type="iconSet" priority="269">
      <iconSet>
        <cfvo type="percent" val="0"/>
        <cfvo type="num" val="70"/>
        <cfvo type="num" val="90"/>
      </iconSet>
    </cfRule>
    <cfRule type="iconSet" priority="268">
      <iconSet>
        <cfvo type="percent" val="0"/>
        <cfvo type="num" val="70"/>
        <cfvo type="num" val="90"/>
      </iconSet>
    </cfRule>
    <cfRule type="iconSet" priority="267">
      <iconSet>
        <cfvo type="percent" val="0"/>
        <cfvo type="num" val="95"/>
        <cfvo type="num" val="100"/>
      </iconSet>
    </cfRule>
    <cfRule type="iconSet" priority="266">
      <iconSet>
        <cfvo type="percent" val="0"/>
        <cfvo type="num" val="95"/>
        <cfvo type="num" val="100"/>
      </iconSet>
    </cfRule>
    <cfRule type="iconSet" priority="265">
      <iconSet>
        <cfvo type="percent" val="0"/>
        <cfvo type="num" val="95"/>
        <cfvo type="num" val="100"/>
      </iconSet>
    </cfRule>
  </conditionalFormatting>
  <conditionalFormatting sqref="I9">
    <cfRule type="iconSet" priority="228">
      <iconSet>
        <cfvo type="percent" val="0"/>
        <cfvo type="num" val="70"/>
        <cfvo type="num" val="90"/>
      </iconSet>
    </cfRule>
    <cfRule type="iconSet" priority="227">
      <iconSet>
        <cfvo type="percent" val="0"/>
        <cfvo type="num" val="70"/>
        <cfvo type="num" val="90"/>
      </iconSet>
    </cfRule>
    <cfRule type="iconSet" priority="226">
      <iconSet>
        <cfvo type="percent" val="0"/>
        <cfvo type="num" val="95"/>
        <cfvo type="num" val="100"/>
      </iconSet>
    </cfRule>
    <cfRule type="iconSet" priority="229">
      <iconSet>
        <cfvo type="percent" val="0"/>
        <cfvo type="num" val="95"/>
        <cfvo type="num" val="100"/>
      </iconSet>
    </cfRule>
    <cfRule type="iconSet" priority="234">
      <iconSet>
        <cfvo type="percent" val="0"/>
        <cfvo type="num" val="95"/>
        <cfvo type="num" val="100"/>
      </iconSet>
    </cfRule>
    <cfRule type="iconSet" priority="233">
      <iconSet>
        <cfvo type="percent" val="0"/>
        <cfvo type="num" val="70"/>
        <cfvo type="num" val="90"/>
      </iconSet>
    </cfRule>
    <cfRule type="iconSet" priority="232">
      <iconSet>
        <cfvo type="percent" val="0"/>
        <cfvo type="num" val="70"/>
        <cfvo type="num" val="90"/>
      </iconSet>
    </cfRule>
    <cfRule type="iconSet" priority="231">
      <iconSet>
        <cfvo type="percent" val="0"/>
        <cfvo type="num" val="95"/>
        <cfvo type="num" val="100"/>
      </iconSet>
    </cfRule>
    <cfRule type="iconSet" priority="230">
      <iconSet>
        <cfvo type="percent" val="0"/>
        <cfvo type="num" val="95"/>
        <cfvo type="num" val="100"/>
      </iconSet>
    </cfRule>
  </conditionalFormatting>
  <conditionalFormatting sqref="I10">
    <cfRule type="iconSet" priority="225">
      <iconSet>
        <cfvo type="percent" val="0"/>
        <cfvo type="num" val="95"/>
        <cfvo type="num" val="100"/>
      </iconSet>
    </cfRule>
    <cfRule type="iconSet" priority="224">
      <iconSet>
        <cfvo type="percent" val="0"/>
        <cfvo type="num" val="70"/>
        <cfvo type="num" val="90"/>
      </iconSet>
    </cfRule>
    <cfRule type="iconSet" priority="223">
      <iconSet>
        <cfvo type="percent" val="0"/>
        <cfvo type="num" val="70"/>
        <cfvo type="num" val="90"/>
      </iconSet>
    </cfRule>
    <cfRule type="iconSet" priority="222">
      <iconSet>
        <cfvo type="percent" val="0"/>
        <cfvo type="num" val="95"/>
        <cfvo type="num" val="100"/>
      </iconSet>
    </cfRule>
    <cfRule type="iconSet" priority="221">
      <iconSet>
        <cfvo type="percent" val="0"/>
        <cfvo type="num" val="95"/>
        <cfvo type="num" val="100"/>
      </iconSet>
    </cfRule>
    <cfRule type="iconSet" priority="220">
      <iconSet>
        <cfvo type="percent" val="0"/>
        <cfvo type="num" val="95"/>
        <cfvo type="num" val="100"/>
      </iconSet>
    </cfRule>
    <cfRule type="iconSet" priority="219">
      <iconSet>
        <cfvo type="percent" val="0"/>
        <cfvo type="num" val="70"/>
        <cfvo type="num" val="90"/>
      </iconSet>
    </cfRule>
    <cfRule type="iconSet" priority="218">
      <iconSet>
        <cfvo type="percent" val="0"/>
        <cfvo type="num" val="70"/>
        <cfvo type="num" val="90"/>
      </iconSet>
    </cfRule>
    <cfRule type="iconSet" priority="217">
      <iconSet>
        <cfvo type="percent" val="0"/>
        <cfvo type="num" val="95"/>
        <cfvo type="num" val="100"/>
      </iconSet>
    </cfRule>
  </conditionalFormatting>
  <conditionalFormatting sqref="I11">
    <cfRule type="iconSet" priority="211">
      <iconSet>
        <cfvo type="percent" val="0"/>
        <cfvo type="num" val="95"/>
        <cfvo type="num" val="100"/>
      </iconSet>
    </cfRule>
    <cfRule type="iconSet" priority="210">
      <iconSet>
        <cfvo type="percent" val="0"/>
        <cfvo type="num" val="70"/>
        <cfvo type="num" val="90"/>
      </iconSet>
    </cfRule>
    <cfRule type="iconSet" priority="209">
      <iconSet>
        <cfvo type="percent" val="0"/>
        <cfvo type="num" val="70"/>
        <cfvo type="num" val="90"/>
      </iconSet>
    </cfRule>
    <cfRule type="iconSet" priority="208">
      <iconSet>
        <cfvo type="percent" val="0"/>
        <cfvo type="num" val="95"/>
        <cfvo type="num" val="100"/>
      </iconSet>
    </cfRule>
    <cfRule type="iconSet" priority="216">
      <iconSet>
        <cfvo type="percent" val="0"/>
        <cfvo type="num" val="95"/>
        <cfvo type="num" val="100"/>
      </iconSet>
    </cfRule>
    <cfRule type="iconSet" priority="215">
      <iconSet>
        <cfvo type="percent" val="0"/>
        <cfvo type="num" val="70"/>
        <cfvo type="num" val="90"/>
      </iconSet>
    </cfRule>
    <cfRule type="iconSet" priority="214">
      <iconSet>
        <cfvo type="percent" val="0"/>
        <cfvo type="num" val="70"/>
        <cfvo type="num" val="90"/>
      </iconSet>
    </cfRule>
    <cfRule type="iconSet" priority="213">
      <iconSet>
        <cfvo type="percent" val="0"/>
        <cfvo type="num" val="95"/>
        <cfvo type="num" val="100"/>
      </iconSet>
    </cfRule>
    <cfRule type="iconSet" priority="212">
      <iconSet>
        <cfvo type="percent" val="0"/>
        <cfvo type="num" val="95"/>
        <cfvo type="num" val="100"/>
      </iconSet>
    </cfRule>
  </conditionalFormatting>
  <conditionalFormatting sqref="I12">
    <cfRule type="iconSet" priority="203">
      <iconSet>
        <cfvo type="percent" val="0"/>
        <cfvo type="num" val="95"/>
        <cfvo type="num" val="100"/>
      </iconSet>
    </cfRule>
    <cfRule type="iconSet" priority="202">
      <iconSet>
        <cfvo type="percent" val="0"/>
        <cfvo type="num" val="95"/>
        <cfvo type="num" val="100"/>
      </iconSet>
    </cfRule>
    <cfRule type="iconSet" priority="201">
      <iconSet>
        <cfvo type="percent" val="0"/>
        <cfvo type="num" val="70"/>
        <cfvo type="num" val="90"/>
      </iconSet>
    </cfRule>
    <cfRule type="iconSet" priority="200">
      <iconSet>
        <cfvo type="percent" val="0"/>
        <cfvo type="num" val="70"/>
        <cfvo type="num" val="90"/>
      </iconSet>
    </cfRule>
    <cfRule type="iconSet" priority="199">
      <iconSet>
        <cfvo type="percent" val="0"/>
        <cfvo type="num" val="95"/>
        <cfvo type="num" val="100"/>
      </iconSet>
    </cfRule>
    <cfRule type="iconSet" priority="207">
      <iconSet>
        <cfvo type="percent" val="0"/>
        <cfvo type="num" val="95"/>
        <cfvo type="num" val="100"/>
      </iconSet>
    </cfRule>
    <cfRule type="iconSet" priority="206">
      <iconSet>
        <cfvo type="percent" val="0"/>
        <cfvo type="num" val="70"/>
        <cfvo type="num" val="90"/>
      </iconSet>
    </cfRule>
    <cfRule type="iconSet" priority="205">
      <iconSet>
        <cfvo type="percent" val="0"/>
        <cfvo type="num" val="70"/>
        <cfvo type="num" val="90"/>
      </iconSet>
    </cfRule>
    <cfRule type="iconSet" priority="204">
      <iconSet>
        <cfvo type="percent" val="0"/>
        <cfvo type="num" val="95"/>
        <cfvo type="num" val="100"/>
      </iconSet>
    </cfRule>
  </conditionalFormatting>
  <conditionalFormatting sqref="I13">
    <cfRule type="iconSet" priority="180">
      <iconSet>
        <cfvo type="percent" val="0"/>
        <cfvo type="num" val="95"/>
        <cfvo type="num" val="100"/>
      </iconSet>
    </cfRule>
    <cfRule type="iconSet" priority="174">
      <iconSet>
        <cfvo type="percent" val="0"/>
        <cfvo type="num" val="70"/>
        <cfvo type="num" val="90"/>
      </iconSet>
    </cfRule>
    <cfRule type="iconSet" priority="172">
      <iconSet>
        <cfvo type="percent" val="0"/>
        <cfvo type="num" val="95"/>
        <cfvo type="num" val="100"/>
      </iconSet>
    </cfRule>
    <cfRule type="iconSet" priority="173">
      <iconSet>
        <cfvo type="percent" val="0"/>
        <cfvo type="num" val="70"/>
        <cfvo type="num" val="90"/>
      </iconSet>
    </cfRule>
    <cfRule type="iconSet" priority="175">
      <iconSet>
        <cfvo type="percent" val="0"/>
        <cfvo type="num" val="95"/>
        <cfvo type="num" val="100"/>
      </iconSet>
    </cfRule>
    <cfRule type="iconSet" priority="179">
      <iconSet>
        <cfvo type="percent" val="0"/>
        <cfvo type="num" val="70"/>
        <cfvo type="num" val="90"/>
      </iconSet>
    </cfRule>
    <cfRule type="iconSet" priority="178">
      <iconSet>
        <cfvo type="percent" val="0"/>
        <cfvo type="num" val="70"/>
        <cfvo type="num" val="90"/>
      </iconSet>
    </cfRule>
    <cfRule type="iconSet" priority="176">
      <iconSet>
        <cfvo type="percent" val="0"/>
        <cfvo type="num" val="95"/>
        <cfvo type="num" val="100"/>
      </iconSet>
    </cfRule>
    <cfRule type="iconSet" priority="177">
      <iconSet>
        <cfvo type="percent" val="0"/>
        <cfvo type="num" val="95"/>
        <cfvo type="num" val="100"/>
      </iconSet>
    </cfRule>
  </conditionalFormatting>
  <conditionalFormatting sqref="I14">
    <cfRule type="iconSet" priority="197">
      <iconSet>
        <cfvo type="percent" val="0"/>
        <cfvo type="num" val="70"/>
        <cfvo type="num" val="90"/>
      </iconSet>
    </cfRule>
    <cfRule type="iconSet" priority="198">
      <iconSet>
        <cfvo type="percent" val="0"/>
        <cfvo type="num" val="95"/>
        <cfvo type="num" val="100"/>
      </iconSet>
    </cfRule>
    <cfRule type="iconSet" priority="191">
      <iconSet>
        <cfvo type="percent" val="0"/>
        <cfvo type="num" val="70"/>
        <cfvo type="num" val="90"/>
      </iconSet>
    </cfRule>
    <cfRule type="iconSet" priority="196">
      <iconSet>
        <cfvo type="percent" val="0"/>
        <cfvo type="num" val="70"/>
        <cfvo type="num" val="90"/>
      </iconSet>
    </cfRule>
    <cfRule type="iconSet" priority="195">
      <iconSet>
        <cfvo type="percent" val="0"/>
        <cfvo type="num" val="95"/>
        <cfvo type="num" val="100"/>
      </iconSet>
    </cfRule>
    <cfRule type="iconSet" priority="194">
      <iconSet>
        <cfvo type="percent" val="0"/>
        <cfvo type="num" val="95"/>
        <cfvo type="num" val="100"/>
      </iconSet>
    </cfRule>
    <cfRule type="iconSet" priority="193">
      <iconSet>
        <cfvo type="percent" val="0"/>
        <cfvo type="num" val="95"/>
        <cfvo type="num" val="100"/>
      </iconSet>
    </cfRule>
    <cfRule type="iconSet" priority="192">
      <iconSet>
        <cfvo type="percent" val="0"/>
        <cfvo type="num" val="70"/>
        <cfvo type="num" val="90"/>
      </iconSet>
    </cfRule>
    <cfRule type="iconSet" priority="190">
      <iconSet>
        <cfvo type="percent" val="0"/>
        <cfvo type="num" val="95"/>
        <cfvo type="num" val="100"/>
      </iconSet>
    </cfRule>
  </conditionalFormatting>
  <conditionalFormatting sqref="I15">
    <cfRule type="iconSet" priority="182">
      <iconSet>
        <cfvo type="percent" val="0"/>
        <cfvo type="num" val="70"/>
        <cfvo type="num" val="90"/>
      </iconSet>
    </cfRule>
    <cfRule type="iconSet" priority="189">
      <iconSet>
        <cfvo type="percent" val="0"/>
        <cfvo type="num" val="95"/>
        <cfvo type="num" val="100"/>
      </iconSet>
    </cfRule>
    <cfRule type="iconSet" priority="188">
      <iconSet>
        <cfvo type="percent" val="0"/>
        <cfvo type="num" val="70"/>
        <cfvo type="num" val="90"/>
      </iconSet>
    </cfRule>
    <cfRule type="iconSet" priority="187">
      <iconSet>
        <cfvo type="percent" val="0"/>
        <cfvo type="num" val="70"/>
        <cfvo type="num" val="90"/>
      </iconSet>
    </cfRule>
    <cfRule type="iconSet" priority="186">
      <iconSet>
        <cfvo type="percent" val="0"/>
        <cfvo type="num" val="95"/>
        <cfvo type="num" val="100"/>
      </iconSet>
    </cfRule>
    <cfRule type="iconSet" priority="185">
      <iconSet>
        <cfvo type="percent" val="0"/>
        <cfvo type="num" val="95"/>
        <cfvo type="num" val="100"/>
      </iconSet>
    </cfRule>
    <cfRule type="iconSet" priority="184">
      <iconSet>
        <cfvo type="percent" val="0"/>
        <cfvo type="num" val="95"/>
        <cfvo type="num" val="100"/>
      </iconSet>
    </cfRule>
    <cfRule type="iconSet" priority="183">
      <iconSet>
        <cfvo type="percent" val="0"/>
        <cfvo type="num" val="70"/>
        <cfvo type="num" val="90"/>
      </iconSet>
    </cfRule>
    <cfRule type="iconSet" priority="181">
      <iconSet>
        <cfvo type="percent" val="0"/>
        <cfvo type="num" val="95"/>
        <cfvo type="num" val="100"/>
      </iconSet>
    </cfRule>
  </conditionalFormatting>
  <conditionalFormatting sqref="I17">
    <cfRule type="iconSet" priority="161">
      <iconSet>
        <cfvo type="percent" val="0"/>
        <cfvo type="num" val="70"/>
        <cfvo type="num" val="90"/>
      </iconSet>
    </cfRule>
    <cfRule type="iconSet" priority="160">
      <iconSet>
        <cfvo type="percent" val="0"/>
        <cfvo type="num" val="70"/>
        <cfvo type="num" val="90"/>
      </iconSet>
    </cfRule>
    <cfRule type="iconSet" priority="162">
      <iconSet>
        <cfvo type="percent" val="0"/>
        <cfvo type="num" val="95"/>
        <cfvo type="num" val="100"/>
      </iconSet>
    </cfRule>
    <cfRule type="iconSet" priority="154">
      <iconSet>
        <cfvo type="percent" val="0"/>
        <cfvo type="num" val="95"/>
        <cfvo type="num" val="100"/>
      </iconSet>
    </cfRule>
    <cfRule type="iconSet" priority="155">
      <iconSet>
        <cfvo type="percent" val="0"/>
        <cfvo type="num" val="70"/>
        <cfvo type="num" val="90"/>
      </iconSet>
    </cfRule>
    <cfRule type="iconSet" priority="156">
      <iconSet>
        <cfvo type="percent" val="0"/>
        <cfvo type="num" val="70"/>
        <cfvo type="num" val="90"/>
      </iconSet>
    </cfRule>
    <cfRule type="iconSet" priority="157">
      <iconSet>
        <cfvo type="percent" val="0"/>
        <cfvo type="num" val="95"/>
        <cfvo type="num" val="100"/>
      </iconSet>
    </cfRule>
    <cfRule type="iconSet" priority="158">
      <iconSet>
        <cfvo type="percent" val="0"/>
        <cfvo type="num" val="95"/>
        <cfvo type="num" val="100"/>
      </iconSet>
    </cfRule>
    <cfRule type="iconSet" priority="159">
      <iconSet>
        <cfvo type="percent" val="0"/>
        <cfvo type="num" val="95"/>
        <cfvo type="num" val="100"/>
      </iconSet>
    </cfRule>
  </conditionalFormatting>
  <conditionalFormatting sqref="I18:I20">
    <cfRule type="iconSet" priority="168">
      <iconSet>
        <cfvo type="percent" val="0"/>
        <cfvo type="num" val="95"/>
        <cfvo type="num" val="100"/>
      </iconSet>
    </cfRule>
    <cfRule type="iconSet" priority="164">
      <iconSet>
        <cfvo type="percent" val="0"/>
        <cfvo type="num" val="70"/>
        <cfvo type="num" val="90"/>
      </iconSet>
    </cfRule>
    <cfRule type="iconSet" priority="163">
      <iconSet>
        <cfvo type="percent" val="0"/>
        <cfvo type="num" val="95"/>
        <cfvo type="num" val="100"/>
      </iconSet>
    </cfRule>
    <cfRule type="iconSet" priority="171">
      <iconSet>
        <cfvo type="percent" val="0"/>
        <cfvo type="num" val="95"/>
        <cfvo type="num" val="100"/>
      </iconSet>
    </cfRule>
    <cfRule type="iconSet" priority="170">
      <iconSet>
        <cfvo type="percent" val="0"/>
        <cfvo type="num" val="70"/>
        <cfvo type="num" val="90"/>
      </iconSet>
    </cfRule>
    <cfRule type="iconSet" priority="169">
      <iconSet>
        <cfvo type="percent" val="0"/>
        <cfvo type="num" val="70"/>
        <cfvo type="num" val="90"/>
      </iconSet>
    </cfRule>
    <cfRule type="iconSet" priority="167">
      <iconSet>
        <cfvo type="percent" val="0"/>
        <cfvo type="num" val="95"/>
        <cfvo type="num" val="100"/>
      </iconSet>
    </cfRule>
    <cfRule type="iconSet" priority="166">
      <iconSet>
        <cfvo type="percent" val="0"/>
        <cfvo type="num" val="95"/>
        <cfvo type="num" val="100"/>
      </iconSet>
    </cfRule>
    <cfRule type="iconSet" priority="165">
      <iconSet>
        <cfvo type="percent" val="0"/>
        <cfvo type="num" val="70"/>
        <cfvo type="num" val="90"/>
      </iconSet>
    </cfRule>
  </conditionalFormatting>
  <conditionalFormatting sqref="I21">
    <cfRule type="iconSet" priority="145">
      <iconSet>
        <cfvo type="percent" val="0"/>
        <cfvo type="num" val="95"/>
        <cfvo type="num" val="100"/>
      </iconSet>
    </cfRule>
    <cfRule type="iconSet" priority="146">
      <iconSet>
        <cfvo type="percent" val="0"/>
        <cfvo type="num" val="70"/>
        <cfvo type="num" val="90"/>
      </iconSet>
    </cfRule>
    <cfRule type="iconSet" priority="147">
      <iconSet>
        <cfvo type="percent" val="0"/>
        <cfvo type="num" val="70"/>
        <cfvo type="num" val="90"/>
      </iconSet>
    </cfRule>
    <cfRule type="iconSet" priority="148">
      <iconSet>
        <cfvo type="percent" val="0"/>
        <cfvo type="num" val="95"/>
        <cfvo type="num" val="100"/>
      </iconSet>
    </cfRule>
    <cfRule type="iconSet" priority="149">
      <iconSet>
        <cfvo type="percent" val="0"/>
        <cfvo type="num" val="95"/>
        <cfvo type="num" val="100"/>
      </iconSet>
    </cfRule>
    <cfRule type="iconSet" priority="150">
      <iconSet>
        <cfvo type="percent" val="0"/>
        <cfvo type="num" val="95"/>
        <cfvo type="num" val="100"/>
      </iconSet>
    </cfRule>
    <cfRule type="iconSet" priority="152">
      <iconSet>
        <cfvo type="percent" val="0"/>
        <cfvo type="num" val="70"/>
        <cfvo type="num" val="90"/>
      </iconSet>
    </cfRule>
    <cfRule type="iconSet" priority="153">
      <iconSet>
        <cfvo type="percent" val="0"/>
        <cfvo type="num" val="95"/>
        <cfvo type="num" val="100"/>
      </iconSet>
    </cfRule>
    <cfRule type="iconSet" priority="151">
      <iconSet>
        <cfvo type="percent" val="0"/>
        <cfvo type="num" val="70"/>
        <cfvo type="num" val="90"/>
      </iconSet>
    </cfRule>
  </conditionalFormatting>
  <conditionalFormatting sqref="I22">
    <cfRule type="iconSet" priority="128">
      <iconSet>
        <cfvo type="percent" val="0"/>
        <cfvo type="num" val="70"/>
        <cfvo type="num" val="90"/>
      </iconSet>
    </cfRule>
    <cfRule type="iconSet" priority="129">
      <iconSet>
        <cfvo type="percent" val="0"/>
        <cfvo type="num" val="70"/>
        <cfvo type="num" val="90"/>
      </iconSet>
    </cfRule>
    <cfRule type="iconSet" priority="130">
      <iconSet>
        <cfvo type="percent" val="0"/>
        <cfvo type="num" val="95"/>
        <cfvo type="num" val="100"/>
      </iconSet>
    </cfRule>
    <cfRule type="iconSet" priority="131">
      <iconSet>
        <cfvo type="percent" val="0"/>
        <cfvo type="num" val="95"/>
        <cfvo type="num" val="100"/>
      </iconSet>
    </cfRule>
    <cfRule type="iconSet" priority="132">
      <iconSet>
        <cfvo type="percent" val="0"/>
        <cfvo type="num" val="95"/>
        <cfvo type="num" val="100"/>
      </iconSet>
    </cfRule>
    <cfRule type="iconSet" priority="133">
      <iconSet>
        <cfvo type="percent" val="0"/>
        <cfvo type="num" val="70"/>
        <cfvo type="num" val="90"/>
      </iconSet>
    </cfRule>
    <cfRule type="iconSet" priority="134">
      <iconSet>
        <cfvo type="percent" val="0"/>
        <cfvo type="num" val="70"/>
        <cfvo type="num" val="90"/>
      </iconSet>
    </cfRule>
    <cfRule type="iconSet" priority="135">
      <iconSet>
        <cfvo type="percent" val="0"/>
        <cfvo type="num" val="95"/>
        <cfvo type="num" val="100"/>
      </iconSet>
    </cfRule>
    <cfRule type="iconSet" priority="127">
      <iconSet>
        <cfvo type="percent" val="0"/>
        <cfvo type="num" val="95"/>
        <cfvo type="num" val="100"/>
      </iconSet>
    </cfRule>
  </conditionalFormatting>
  <conditionalFormatting sqref="I23:I26">
    <cfRule type="iconSet" priority="138">
      <iconSet>
        <cfvo type="percent" val="0"/>
        <cfvo type="num" val="70"/>
        <cfvo type="num" val="90"/>
      </iconSet>
    </cfRule>
    <cfRule type="iconSet" priority="139">
      <iconSet>
        <cfvo type="percent" val="0"/>
        <cfvo type="num" val="95"/>
        <cfvo type="num" val="100"/>
      </iconSet>
    </cfRule>
    <cfRule type="iconSet" priority="136">
      <iconSet>
        <cfvo type="percent" val="0"/>
        <cfvo type="num" val="95"/>
        <cfvo type="num" val="100"/>
      </iconSet>
    </cfRule>
    <cfRule type="iconSet" priority="144">
      <iconSet>
        <cfvo type="percent" val="0"/>
        <cfvo type="num" val="95"/>
        <cfvo type="num" val="100"/>
      </iconSet>
    </cfRule>
    <cfRule type="iconSet" priority="137">
      <iconSet>
        <cfvo type="percent" val="0"/>
        <cfvo type="num" val="70"/>
        <cfvo type="num" val="90"/>
      </iconSet>
    </cfRule>
    <cfRule type="iconSet" priority="140">
      <iconSet>
        <cfvo type="percent" val="0"/>
        <cfvo type="num" val="95"/>
        <cfvo type="num" val="100"/>
      </iconSet>
    </cfRule>
    <cfRule type="iconSet" priority="141">
      <iconSet>
        <cfvo type="percent" val="0"/>
        <cfvo type="num" val="95"/>
        <cfvo type="num" val="100"/>
      </iconSet>
    </cfRule>
    <cfRule type="iconSet" priority="142">
      <iconSet>
        <cfvo type="percent" val="0"/>
        <cfvo type="num" val="70"/>
        <cfvo type="num" val="90"/>
      </iconSet>
    </cfRule>
    <cfRule type="iconSet" priority="143">
      <iconSet>
        <cfvo type="percent" val="0"/>
        <cfvo type="num" val="70"/>
        <cfvo type="num" val="90"/>
      </iconSet>
    </cfRule>
  </conditionalFormatting>
  <conditionalFormatting sqref="I27">
    <cfRule type="iconSet" priority="123">
      <iconSet>
        <cfvo type="percent" val="0"/>
        <cfvo type="num" val="95"/>
        <cfvo type="num" val="100"/>
      </iconSet>
    </cfRule>
    <cfRule type="iconSet" priority="118">
      <iconSet>
        <cfvo type="percent" val="0"/>
        <cfvo type="num" val="95"/>
        <cfvo type="num" val="100"/>
      </iconSet>
    </cfRule>
    <cfRule type="iconSet" priority="119">
      <iconSet>
        <cfvo type="percent" val="0"/>
        <cfvo type="num" val="70"/>
        <cfvo type="num" val="90"/>
      </iconSet>
    </cfRule>
    <cfRule type="iconSet" priority="120">
      <iconSet>
        <cfvo type="percent" val="0"/>
        <cfvo type="num" val="70"/>
        <cfvo type="num" val="90"/>
      </iconSet>
    </cfRule>
    <cfRule type="iconSet" priority="121">
      <iconSet>
        <cfvo type="percent" val="0"/>
        <cfvo type="num" val="95"/>
        <cfvo type="num" val="100"/>
      </iconSet>
    </cfRule>
    <cfRule type="iconSet" priority="122">
      <iconSet>
        <cfvo type="percent" val="0"/>
        <cfvo type="num" val="95"/>
        <cfvo type="num" val="100"/>
      </iconSet>
    </cfRule>
    <cfRule type="iconSet" priority="125">
      <iconSet>
        <cfvo type="percent" val="0"/>
        <cfvo type="num" val="70"/>
        <cfvo type="num" val="90"/>
      </iconSet>
    </cfRule>
    <cfRule type="iconSet" priority="126">
      <iconSet>
        <cfvo type="percent" val="0"/>
        <cfvo type="num" val="95"/>
        <cfvo type="num" val="100"/>
      </iconSet>
    </cfRule>
    <cfRule type="iconSet" priority="124">
      <iconSet>
        <cfvo type="percent" val="0"/>
        <cfvo type="num" val="70"/>
        <cfvo type="num" val="90"/>
      </iconSet>
    </cfRule>
  </conditionalFormatting>
  <conditionalFormatting sqref="I28">
    <cfRule type="iconSet" priority="89">
      <iconSet>
        <cfvo type="percent" val="0"/>
        <cfvo type="num" val="70"/>
        <cfvo type="num" val="90"/>
      </iconSet>
    </cfRule>
    <cfRule type="iconSet" priority="90">
      <iconSet>
        <cfvo type="percent" val="0"/>
        <cfvo type="num" val="95"/>
        <cfvo type="num" val="100"/>
      </iconSet>
    </cfRule>
    <cfRule type="iconSet" priority="82">
      <iconSet>
        <cfvo type="percent" val="0"/>
        <cfvo type="num" val="95"/>
        <cfvo type="num" val="100"/>
      </iconSet>
    </cfRule>
    <cfRule type="iconSet" priority="83">
      <iconSet>
        <cfvo type="percent" val="0"/>
        <cfvo type="num" val="70"/>
        <cfvo type="num" val="90"/>
      </iconSet>
    </cfRule>
    <cfRule type="iconSet" priority="84">
      <iconSet>
        <cfvo type="percent" val="0"/>
        <cfvo type="num" val="70"/>
        <cfvo type="num" val="90"/>
      </iconSet>
    </cfRule>
    <cfRule type="iconSet" priority="85">
      <iconSet>
        <cfvo type="percent" val="0"/>
        <cfvo type="num" val="95"/>
        <cfvo type="num" val="100"/>
      </iconSet>
    </cfRule>
    <cfRule type="iconSet" priority="86">
      <iconSet>
        <cfvo type="percent" val="0"/>
        <cfvo type="num" val="95"/>
        <cfvo type="num" val="100"/>
      </iconSet>
    </cfRule>
    <cfRule type="iconSet" priority="87">
      <iconSet>
        <cfvo type="percent" val="0"/>
        <cfvo type="num" val="95"/>
        <cfvo type="num" val="100"/>
      </iconSet>
    </cfRule>
    <cfRule type="iconSet" priority="88">
      <iconSet>
        <cfvo type="percent" val="0"/>
        <cfvo type="num" val="70"/>
        <cfvo type="num" val="90"/>
      </iconSet>
    </cfRule>
  </conditionalFormatting>
  <conditionalFormatting sqref="I29">
    <cfRule type="iconSet" priority="111">
      <iconSet>
        <cfvo type="percent" val="0"/>
        <cfvo type="num" val="70"/>
        <cfvo type="num" val="90"/>
      </iconSet>
    </cfRule>
    <cfRule type="iconSet" priority="112">
      <iconSet>
        <cfvo type="percent" val="0"/>
        <cfvo type="num" val="95"/>
        <cfvo type="num" val="100"/>
      </iconSet>
    </cfRule>
    <cfRule type="iconSet" priority="113">
      <iconSet>
        <cfvo type="percent" val="0"/>
        <cfvo type="num" val="95"/>
        <cfvo type="num" val="100"/>
      </iconSet>
    </cfRule>
    <cfRule type="iconSet" priority="114">
      <iconSet>
        <cfvo type="percent" val="0"/>
        <cfvo type="num" val="95"/>
        <cfvo type="num" val="100"/>
      </iconSet>
    </cfRule>
    <cfRule type="iconSet" priority="115">
      <iconSet>
        <cfvo type="percent" val="0"/>
        <cfvo type="num" val="70"/>
        <cfvo type="num" val="90"/>
      </iconSet>
    </cfRule>
    <cfRule type="iconSet" priority="116">
      <iconSet>
        <cfvo type="percent" val="0"/>
        <cfvo type="num" val="70"/>
        <cfvo type="num" val="90"/>
      </iconSet>
    </cfRule>
    <cfRule type="iconSet" priority="117">
      <iconSet>
        <cfvo type="percent" val="0"/>
        <cfvo type="num" val="95"/>
        <cfvo type="num" val="100"/>
      </iconSet>
    </cfRule>
    <cfRule type="iconSet" priority="109">
      <iconSet>
        <cfvo type="percent" val="0"/>
        <cfvo type="num" val="95"/>
        <cfvo type="num" val="100"/>
      </iconSet>
    </cfRule>
    <cfRule type="iconSet" priority="110">
      <iconSet>
        <cfvo type="percent" val="0"/>
        <cfvo type="num" val="70"/>
        <cfvo type="num" val="90"/>
      </iconSet>
    </cfRule>
  </conditionalFormatting>
  <conditionalFormatting sqref="I30">
    <cfRule type="iconSet" priority="100">
      <iconSet>
        <cfvo type="percent" val="0"/>
        <cfvo type="num" val="95"/>
        <cfvo type="num" val="100"/>
      </iconSet>
    </cfRule>
    <cfRule type="iconSet" priority="101">
      <iconSet>
        <cfvo type="percent" val="0"/>
        <cfvo type="num" val="70"/>
        <cfvo type="num" val="90"/>
      </iconSet>
    </cfRule>
    <cfRule type="iconSet" priority="102">
      <iconSet>
        <cfvo type="percent" val="0"/>
        <cfvo type="num" val="70"/>
        <cfvo type="num" val="90"/>
      </iconSet>
    </cfRule>
    <cfRule type="iconSet" priority="103">
      <iconSet>
        <cfvo type="percent" val="0"/>
        <cfvo type="num" val="95"/>
        <cfvo type="num" val="100"/>
      </iconSet>
    </cfRule>
    <cfRule type="iconSet" priority="104">
      <iconSet>
        <cfvo type="percent" val="0"/>
        <cfvo type="num" val="95"/>
        <cfvo type="num" val="100"/>
      </iconSet>
    </cfRule>
    <cfRule type="iconSet" priority="105">
      <iconSet>
        <cfvo type="percent" val="0"/>
        <cfvo type="num" val="95"/>
        <cfvo type="num" val="100"/>
      </iconSet>
    </cfRule>
    <cfRule type="iconSet" priority="106">
      <iconSet>
        <cfvo type="percent" val="0"/>
        <cfvo type="num" val="70"/>
        <cfvo type="num" val="90"/>
      </iconSet>
    </cfRule>
    <cfRule type="iconSet" priority="107">
      <iconSet>
        <cfvo type="percent" val="0"/>
        <cfvo type="num" val="70"/>
        <cfvo type="num" val="90"/>
      </iconSet>
    </cfRule>
    <cfRule type="iconSet" priority="108">
      <iconSet>
        <cfvo type="percent" val="0"/>
        <cfvo type="num" val="95"/>
        <cfvo type="num" val="100"/>
      </iconSet>
    </cfRule>
  </conditionalFormatting>
  <conditionalFormatting sqref="I31">
    <cfRule type="iconSet" priority="94">
      <iconSet>
        <cfvo type="percent" val="0"/>
        <cfvo type="num" val="95"/>
        <cfvo type="num" val="100"/>
      </iconSet>
    </cfRule>
    <cfRule type="iconSet" priority="95">
      <iconSet>
        <cfvo type="percent" val="0"/>
        <cfvo type="num" val="95"/>
        <cfvo type="num" val="100"/>
      </iconSet>
    </cfRule>
    <cfRule type="iconSet" priority="96">
      <iconSet>
        <cfvo type="percent" val="0"/>
        <cfvo type="num" val="95"/>
        <cfvo type="num" val="100"/>
      </iconSet>
    </cfRule>
    <cfRule type="iconSet" priority="97">
      <iconSet>
        <cfvo type="percent" val="0"/>
        <cfvo type="num" val="70"/>
        <cfvo type="num" val="90"/>
      </iconSet>
    </cfRule>
    <cfRule type="iconSet" priority="98">
      <iconSet>
        <cfvo type="percent" val="0"/>
        <cfvo type="num" val="70"/>
        <cfvo type="num" val="90"/>
      </iconSet>
    </cfRule>
    <cfRule type="iconSet" priority="91">
      <iconSet>
        <cfvo type="percent" val="0"/>
        <cfvo type="num" val="95"/>
        <cfvo type="num" val="100"/>
      </iconSet>
    </cfRule>
    <cfRule type="iconSet" priority="92">
      <iconSet>
        <cfvo type="percent" val="0"/>
        <cfvo type="num" val="70"/>
        <cfvo type="num" val="90"/>
      </iconSet>
    </cfRule>
    <cfRule type="iconSet" priority="93">
      <iconSet>
        <cfvo type="percent" val="0"/>
        <cfvo type="num" val="70"/>
        <cfvo type="num" val="90"/>
      </iconSet>
    </cfRule>
    <cfRule type="iconSet" priority="99">
      <iconSet>
        <cfvo type="percent" val="0"/>
        <cfvo type="num" val="95"/>
        <cfvo type="num" val="100"/>
      </iconSet>
    </cfRule>
  </conditionalFormatting>
  <conditionalFormatting sqref="I32">
    <cfRule type="iconSet" priority="7">
      <iconSet>
        <cfvo type="percent" val="0"/>
        <cfvo type="num" val="70"/>
        <cfvo type="num" val="90"/>
      </iconSet>
    </cfRule>
    <cfRule type="iconSet" priority="8">
      <iconSet>
        <cfvo type="percent" val="0"/>
        <cfvo type="num" val="70"/>
        <cfvo type="num" val="90"/>
      </iconSet>
    </cfRule>
    <cfRule type="iconSet" priority="9">
      <iconSet>
        <cfvo type="percent" val="0"/>
        <cfvo type="num" val="95"/>
        <cfvo type="num" val="100"/>
      </iconSet>
    </cfRule>
    <cfRule type="iconSet" priority="1">
      <iconSet>
        <cfvo type="percent" val="0"/>
        <cfvo type="num" val="95"/>
        <cfvo type="num" val="100"/>
      </iconSet>
    </cfRule>
    <cfRule type="iconSet" priority="2">
      <iconSet>
        <cfvo type="percent" val="0"/>
        <cfvo type="num" val="70"/>
        <cfvo type="num" val="90"/>
      </iconSet>
    </cfRule>
    <cfRule type="iconSet" priority="3">
      <iconSet>
        <cfvo type="percent" val="0"/>
        <cfvo type="num" val="70"/>
        <cfvo type="num" val="90"/>
      </iconSet>
    </cfRule>
    <cfRule type="iconSet" priority="4">
      <iconSet>
        <cfvo type="percent" val="0"/>
        <cfvo type="num" val="95"/>
        <cfvo type="num" val="100"/>
      </iconSet>
    </cfRule>
    <cfRule type="iconSet" priority="5">
      <iconSet>
        <cfvo type="percent" val="0"/>
        <cfvo type="num" val="95"/>
        <cfvo type="num" val="100"/>
      </iconSet>
    </cfRule>
    <cfRule type="iconSet" priority="6">
      <iconSet>
        <cfvo type="percent" val="0"/>
        <cfvo type="num" val="95"/>
        <cfvo type="num" val="100"/>
      </iconSet>
    </cfRule>
  </conditionalFormatting>
  <conditionalFormatting sqref="I33">
    <cfRule type="iconSet" priority="77">
      <iconSet>
        <cfvo type="percent" val="0"/>
        <cfvo type="num" val="95"/>
        <cfvo type="num" val="100"/>
      </iconSet>
    </cfRule>
    <cfRule type="iconSet" priority="76">
      <iconSet>
        <cfvo type="percent" val="0"/>
        <cfvo type="num" val="95"/>
        <cfvo type="num" val="100"/>
      </iconSet>
    </cfRule>
    <cfRule type="iconSet" priority="75">
      <iconSet>
        <cfvo type="percent" val="0"/>
        <cfvo type="num" val="70"/>
        <cfvo type="num" val="90"/>
      </iconSet>
    </cfRule>
    <cfRule type="iconSet" priority="74">
      <iconSet>
        <cfvo type="percent" val="0"/>
        <cfvo type="num" val="70"/>
        <cfvo type="num" val="90"/>
      </iconSet>
    </cfRule>
    <cfRule type="iconSet" priority="73">
      <iconSet>
        <cfvo type="percent" val="0"/>
        <cfvo type="num" val="95"/>
        <cfvo type="num" val="100"/>
      </iconSet>
    </cfRule>
    <cfRule type="iconSet" priority="80">
      <iconSet>
        <cfvo type="percent" val="0"/>
        <cfvo type="num" val="70"/>
        <cfvo type="num" val="90"/>
      </iconSet>
    </cfRule>
    <cfRule type="iconSet" priority="78">
      <iconSet>
        <cfvo type="percent" val="0"/>
        <cfvo type="num" val="95"/>
        <cfvo type="num" val="100"/>
      </iconSet>
    </cfRule>
    <cfRule type="iconSet" priority="81">
      <iconSet>
        <cfvo type="percent" val="0"/>
        <cfvo type="num" val="95"/>
        <cfvo type="num" val="100"/>
      </iconSet>
    </cfRule>
    <cfRule type="iconSet" priority="79">
      <iconSet>
        <cfvo type="percent" val="0"/>
        <cfvo type="num" val="70"/>
        <cfvo type="num" val="90"/>
      </iconSet>
    </cfRule>
  </conditionalFormatting>
  <conditionalFormatting sqref="I34">
    <cfRule type="iconSet" priority="72">
      <iconSet>
        <cfvo type="percent" val="0"/>
        <cfvo type="num" val="95"/>
        <cfvo type="num" val="100"/>
      </iconSet>
    </cfRule>
    <cfRule type="iconSet" priority="71">
      <iconSet>
        <cfvo type="percent" val="0"/>
        <cfvo type="num" val="70"/>
        <cfvo type="num" val="90"/>
      </iconSet>
    </cfRule>
    <cfRule type="iconSet" priority="70">
      <iconSet>
        <cfvo type="percent" val="0"/>
        <cfvo type="num" val="70"/>
        <cfvo type="num" val="90"/>
      </iconSet>
    </cfRule>
    <cfRule type="iconSet" priority="69">
      <iconSet>
        <cfvo type="percent" val="0"/>
        <cfvo type="num" val="95"/>
        <cfvo type="num" val="100"/>
      </iconSet>
    </cfRule>
    <cfRule type="iconSet" priority="68">
      <iconSet>
        <cfvo type="percent" val="0"/>
        <cfvo type="num" val="95"/>
        <cfvo type="num" val="100"/>
      </iconSet>
    </cfRule>
    <cfRule type="iconSet" priority="67">
      <iconSet>
        <cfvo type="percent" val="0"/>
        <cfvo type="num" val="95"/>
        <cfvo type="num" val="100"/>
      </iconSet>
    </cfRule>
    <cfRule type="iconSet" priority="66">
      <iconSet>
        <cfvo type="percent" val="0"/>
        <cfvo type="num" val="70"/>
        <cfvo type="num" val="90"/>
      </iconSet>
    </cfRule>
    <cfRule type="iconSet" priority="65">
      <iconSet>
        <cfvo type="percent" val="0"/>
        <cfvo type="num" val="70"/>
        <cfvo type="num" val="90"/>
      </iconSet>
    </cfRule>
    <cfRule type="iconSet" priority="64">
      <iconSet>
        <cfvo type="percent" val="0"/>
        <cfvo type="num" val="95"/>
        <cfvo type="num" val="100"/>
      </iconSet>
    </cfRule>
  </conditionalFormatting>
  <conditionalFormatting sqref="I35:I36">
    <cfRule type="iconSet" priority="258">
      <iconSet>
        <cfvo type="percent" val="0"/>
        <cfvo type="num" val="95"/>
        <cfvo type="num" val="100"/>
      </iconSet>
    </cfRule>
    <cfRule type="iconSet" priority="257">
      <iconSet>
        <cfvo type="percent" val="0"/>
        <cfvo type="num" val="95"/>
        <cfvo type="num" val="100"/>
      </iconSet>
    </cfRule>
    <cfRule type="iconSet" priority="256">
      <iconSet>
        <cfvo type="percent" val="0"/>
        <cfvo type="num" val="95"/>
        <cfvo type="num" val="100"/>
      </iconSet>
    </cfRule>
    <cfRule type="iconSet" priority="253">
      <iconSet>
        <cfvo type="percent" val="0"/>
        <cfvo type="num" val="95"/>
        <cfvo type="num" val="100"/>
      </iconSet>
    </cfRule>
    <cfRule type="iconSet" priority="255">
      <iconSet>
        <cfvo type="percent" val="0"/>
        <cfvo type="num" val="70"/>
        <cfvo type="num" val="90"/>
      </iconSet>
    </cfRule>
    <cfRule type="iconSet" priority="254">
      <iconSet>
        <cfvo type="percent" val="0"/>
        <cfvo type="num" val="70"/>
        <cfvo type="num" val="90"/>
      </iconSet>
    </cfRule>
    <cfRule type="iconSet" priority="261">
      <iconSet>
        <cfvo type="percent" val="0"/>
        <cfvo type="num" val="95"/>
        <cfvo type="num" val="100"/>
      </iconSet>
    </cfRule>
    <cfRule type="iconSet" priority="260">
      <iconSet>
        <cfvo type="percent" val="0"/>
        <cfvo type="num" val="70"/>
        <cfvo type="num" val="90"/>
      </iconSet>
    </cfRule>
    <cfRule type="iconSet" priority="259">
      <iconSet>
        <cfvo type="percent" val="0"/>
        <cfvo type="num" val="70"/>
        <cfvo type="num" val="90"/>
      </iconSet>
    </cfRule>
  </conditionalFormatting>
  <conditionalFormatting sqref="I37">
    <cfRule type="iconSet" priority="13">
      <iconSet>
        <cfvo type="percent" val="0"/>
        <cfvo type="num" val="95"/>
        <cfvo type="num" val="100"/>
      </iconSet>
    </cfRule>
    <cfRule type="iconSet" priority="14">
      <iconSet>
        <cfvo type="percent" val="0"/>
        <cfvo type="num" val="95"/>
        <cfvo type="num" val="100"/>
      </iconSet>
    </cfRule>
    <cfRule type="iconSet" priority="16">
      <iconSet>
        <cfvo type="percent" val="0"/>
        <cfvo type="num" val="70"/>
        <cfvo type="num" val="90"/>
      </iconSet>
    </cfRule>
    <cfRule type="iconSet" priority="10">
      <iconSet>
        <cfvo type="percent" val="0"/>
        <cfvo type="num" val="95"/>
        <cfvo type="num" val="100"/>
      </iconSet>
    </cfRule>
    <cfRule type="iconSet" priority="11">
      <iconSet>
        <cfvo type="percent" val="0"/>
        <cfvo type="num" val="70"/>
        <cfvo type="num" val="90"/>
      </iconSet>
    </cfRule>
    <cfRule type="iconSet" priority="12">
      <iconSet>
        <cfvo type="percent" val="0"/>
        <cfvo type="num" val="70"/>
        <cfvo type="num" val="90"/>
      </iconSet>
    </cfRule>
    <cfRule type="iconSet" priority="18">
      <iconSet>
        <cfvo type="percent" val="0"/>
        <cfvo type="num" val="95"/>
        <cfvo type="num" val="100"/>
      </iconSet>
    </cfRule>
    <cfRule type="iconSet" priority="17">
      <iconSet>
        <cfvo type="percent" val="0"/>
        <cfvo type="num" val="70"/>
        <cfvo type="num" val="90"/>
      </iconSet>
    </cfRule>
    <cfRule type="iconSet" priority="15">
      <iconSet>
        <cfvo type="percent" val="0"/>
        <cfvo type="num" val="95"/>
        <cfvo type="num" val="100"/>
      </iconSet>
    </cfRule>
  </conditionalFormatting>
  <conditionalFormatting sqref="I38">
    <cfRule type="iconSet" priority="249">
      <iconSet>
        <cfvo type="percent" val="0"/>
        <cfvo type="num" val="95"/>
        <cfvo type="num" val="100"/>
      </iconSet>
    </cfRule>
    <cfRule type="iconSet" priority="250">
      <iconSet>
        <cfvo type="percent" val="0"/>
        <cfvo type="num" val="70"/>
        <cfvo type="num" val="90"/>
      </iconSet>
    </cfRule>
    <cfRule type="iconSet" priority="251">
      <iconSet>
        <cfvo type="percent" val="0"/>
        <cfvo type="num" val="70"/>
        <cfvo type="num" val="90"/>
      </iconSet>
    </cfRule>
    <cfRule type="iconSet" priority="252">
      <iconSet>
        <cfvo type="percent" val="0"/>
        <cfvo type="num" val="95"/>
        <cfvo type="num" val="100"/>
      </iconSet>
    </cfRule>
    <cfRule type="iconSet" priority="244">
      <iconSet>
        <cfvo type="percent" val="0"/>
        <cfvo type="num" val="95"/>
        <cfvo type="num" val="100"/>
      </iconSet>
    </cfRule>
    <cfRule type="iconSet" priority="245">
      <iconSet>
        <cfvo type="percent" val="0"/>
        <cfvo type="num" val="70"/>
        <cfvo type="num" val="90"/>
      </iconSet>
    </cfRule>
    <cfRule type="iconSet" priority="246">
      <iconSet>
        <cfvo type="percent" val="0"/>
        <cfvo type="num" val="70"/>
        <cfvo type="num" val="90"/>
      </iconSet>
    </cfRule>
    <cfRule type="iconSet" priority="247">
      <iconSet>
        <cfvo type="percent" val="0"/>
        <cfvo type="num" val="95"/>
        <cfvo type="num" val="100"/>
      </iconSet>
    </cfRule>
    <cfRule type="iconSet" priority="248">
      <iconSet>
        <cfvo type="percent" val="0"/>
        <cfvo type="num" val="95"/>
        <cfvo type="num" val="100"/>
      </iconSet>
    </cfRule>
  </conditionalFormatting>
  <conditionalFormatting sqref="I39">
    <cfRule type="iconSet" priority="63">
      <iconSet>
        <cfvo type="percent" val="0"/>
        <cfvo type="num" val="95"/>
        <cfvo type="num" val="100"/>
      </iconSet>
    </cfRule>
    <cfRule type="iconSet" priority="62">
      <iconSet>
        <cfvo type="percent" val="0"/>
        <cfvo type="num" val="70"/>
        <cfvo type="num" val="90"/>
      </iconSet>
    </cfRule>
    <cfRule type="iconSet" priority="61">
      <iconSet>
        <cfvo type="percent" val="0"/>
        <cfvo type="num" val="70"/>
        <cfvo type="num" val="90"/>
      </iconSet>
    </cfRule>
    <cfRule type="iconSet" priority="60">
      <iconSet>
        <cfvo type="percent" val="0"/>
        <cfvo type="num" val="95"/>
        <cfvo type="num" val="100"/>
      </iconSet>
    </cfRule>
    <cfRule type="iconSet" priority="59">
      <iconSet>
        <cfvo type="percent" val="0"/>
        <cfvo type="num" val="95"/>
        <cfvo type="num" val="100"/>
      </iconSet>
    </cfRule>
    <cfRule type="iconSet" priority="58">
      <iconSet>
        <cfvo type="percent" val="0"/>
        <cfvo type="num" val="95"/>
        <cfvo type="num" val="100"/>
      </iconSet>
    </cfRule>
    <cfRule type="iconSet" priority="56">
      <iconSet>
        <cfvo type="percent" val="0"/>
        <cfvo type="num" val="70"/>
        <cfvo type="num" val="90"/>
      </iconSet>
    </cfRule>
    <cfRule type="iconSet" priority="55">
      <iconSet>
        <cfvo type="percent" val="0"/>
        <cfvo type="num" val="95"/>
        <cfvo type="num" val="100"/>
      </iconSet>
    </cfRule>
    <cfRule type="iconSet" priority="57">
      <iconSet>
        <cfvo type="percent" val="0"/>
        <cfvo type="num" val="70"/>
        <cfvo type="num" val="90"/>
      </iconSet>
    </cfRule>
  </conditionalFormatting>
  <conditionalFormatting sqref="I40">
    <cfRule type="iconSet" priority="54">
      <iconSet>
        <cfvo type="percent" val="0"/>
        <cfvo type="num" val="95"/>
        <cfvo type="num" val="100"/>
      </iconSet>
    </cfRule>
    <cfRule type="iconSet" priority="53">
      <iconSet>
        <cfvo type="percent" val="0"/>
        <cfvo type="num" val="70"/>
        <cfvo type="num" val="90"/>
      </iconSet>
    </cfRule>
    <cfRule type="iconSet" priority="52">
      <iconSet>
        <cfvo type="percent" val="0"/>
        <cfvo type="num" val="70"/>
        <cfvo type="num" val="90"/>
      </iconSet>
    </cfRule>
    <cfRule type="iconSet" priority="51">
      <iconSet>
        <cfvo type="percent" val="0"/>
        <cfvo type="num" val="95"/>
        <cfvo type="num" val="100"/>
      </iconSet>
    </cfRule>
    <cfRule type="iconSet" priority="50">
      <iconSet>
        <cfvo type="percent" val="0"/>
        <cfvo type="num" val="95"/>
        <cfvo type="num" val="100"/>
      </iconSet>
    </cfRule>
    <cfRule type="iconSet" priority="49">
      <iconSet>
        <cfvo type="percent" val="0"/>
        <cfvo type="num" val="95"/>
        <cfvo type="num" val="100"/>
      </iconSet>
    </cfRule>
    <cfRule type="iconSet" priority="48">
      <iconSet>
        <cfvo type="percent" val="0"/>
        <cfvo type="num" val="70"/>
        <cfvo type="num" val="90"/>
      </iconSet>
    </cfRule>
    <cfRule type="iconSet" priority="47">
      <iconSet>
        <cfvo type="percent" val="0"/>
        <cfvo type="num" val="70"/>
        <cfvo type="num" val="90"/>
      </iconSet>
    </cfRule>
    <cfRule type="iconSet" priority="46">
      <iconSet>
        <cfvo type="percent" val="0"/>
        <cfvo type="num" val="95"/>
        <cfvo type="num" val="100"/>
      </iconSet>
    </cfRule>
  </conditionalFormatting>
  <conditionalFormatting sqref="I41">
    <cfRule type="iconSet" priority="45">
      <iconSet>
        <cfvo type="percent" val="0"/>
        <cfvo type="num" val="95"/>
        <cfvo type="num" val="100"/>
      </iconSet>
    </cfRule>
    <cfRule type="iconSet" priority="44">
      <iconSet>
        <cfvo type="percent" val="0"/>
        <cfvo type="num" val="70"/>
        <cfvo type="num" val="90"/>
      </iconSet>
    </cfRule>
    <cfRule type="iconSet" priority="43">
      <iconSet>
        <cfvo type="percent" val="0"/>
        <cfvo type="num" val="70"/>
        <cfvo type="num" val="90"/>
      </iconSet>
    </cfRule>
    <cfRule type="iconSet" priority="41">
      <iconSet>
        <cfvo type="percent" val="0"/>
        <cfvo type="num" val="95"/>
        <cfvo type="num" val="100"/>
      </iconSet>
    </cfRule>
    <cfRule type="iconSet" priority="40">
      <iconSet>
        <cfvo type="percent" val="0"/>
        <cfvo type="num" val="95"/>
        <cfvo type="num" val="100"/>
      </iconSet>
    </cfRule>
    <cfRule type="iconSet" priority="39">
      <iconSet>
        <cfvo type="percent" val="0"/>
        <cfvo type="num" val="70"/>
        <cfvo type="num" val="90"/>
      </iconSet>
    </cfRule>
    <cfRule type="iconSet" priority="38">
      <iconSet>
        <cfvo type="percent" val="0"/>
        <cfvo type="num" val="70"/>
        <cfvo type="num" val="90"/>
      </iconSet>
    </cfRule>
    <cfRule type="iconSet" priority="37">
      <iconSet>
        <cfvo type="percent" val="0"/>
        <cfvo type="num" val="95"/>
        <cfvo type="num" val="100"/>
      </iconSet>
    </cfRule>
    <cfRule type="iconSet" priority="42">
      <iconSet>
        <cfvo type="percent" val="0"/>
        <cfvo type="num" val="95"/>
        <cfvo type="num" val="100"/>
      </iconSet>
    </cfRule>
  </conditionalFormatting>
  <conditionalFormatting sqref="I42">
    <cfRule type="iconSet" priority="243">
      <iconSet>
        <cfvo type="percent" val="0"/>
        <cfvo type="num" val="95"/>
        <cfvo type="num" val="100"/>
      </iconSet>
    </cfRule>
    <cfRule type="iconSet" priority="238">
      <iconSet>
        <cfvo type="percent" val="0"/>
        <cfvo type="num" val="95"/>
        <cfvo type="num" val="100"/>
      </iconSet>
    </cfRule>
    <cfRule type="iconSet" priority="237">
      <iconSet>
        <cfvo type="percent" val="0"/>
        <cfvo type="num" val="70"/>
        <cfvo type="num" val="90"/>
      </iconSet>
    </cfRule>
    <cfRule type="iconSet" priority="235">
      <iconSet>
        <cfvo type="percent" val="0"/>
        <cfvo type="num" val="95"/>
        <cfvo type="num" val="100"/>
      </iconSet>
    </cfRule>
    <cfRule type="iconSet" priority="236">
      <iconSet>
        <cfvo type="percent" val="0"/>
        <cfvo type="num" val="70"/>
        <cfvo type="num" val="90"/>
      </iconSet>
    </cfRule>
    <cfRule type="iconSet" priority="242">
      <iconSet>
        <cfvo type="percent" val="0"/>
        <cfvo type="num" val="70"/>
        <cfvo type="num" val="90"/>
      </iconSet>
    </cfRule>
    <cfRule type="iconSet" priority="241">
      <iconSet>
        <cfvo type="percent" val="0"/>
        <cfvo type="num" val="70"/>
        <cfvo type="num" val="90"/>
      </iconSet>
    </cfRule>
    <cfRule type="iconSet" priority="240">
      <iconSet>
        <cfvo type="percent" val="0"/>
        <cfvo type="num" val="95"/>
        <cfvo type="num" val="100"/>
      </iconSet>
    </cfRule>
    <cfRule type="iconSet" priority="239">
      <iconSet>
        <cfvo type="percent" val="0"/>
        <cfvo type="num" val="95"/>
        <cfvo type="num" val="100"/>
      </iconSet>
    </cfRule>
  </conditionalFormatting>
  <conditionalFormatting sqref="I43">
    <cfRule type="iconSet" priority="35">
      <iconSet>
        <cfvo type="percent" val="0"/>
        <cfvo type="num" val="70"/>
        <cfvo type="num" val="90"/>
      </iconSet>
    </cfRule>
    <cfRule type="iconSet" priority="34">
      <iconSet>
        <cfvo type="percent" val="0"/>
        <cfvo type="num" val="70"/>
        <cfvo type="num" val="90"/>
      </iconSet>
    </cfRule>
    <cfRule type="iconSet" priority="33">
      <iconSet>
        <cfvo type="percent" val="0"/>
        <cfvo type="num" val="95"/>
        <cfvo type="num" val="100"/>
      </iconSet>
    </cfRule>
    <cfRule type="iconSet" priority="28">
      <iconSet>
        <cfvo type="percent" val="0"/>
        <cfvo type="num" val="95"/>
        <cfvo type="num" val="100"/>
      </iconSet>
    </cfRule>
    <cfRule type="iconSet" priority="31">
      <iconSet>
        <cfvo type="percent" val="0"/>
        <cfvo type="num" val="95"/>
        <cfvo type="num" val="100"/>
      </iconSet>
    </cfRule>
    <cfRule type="iconSet" priority="30">
      <iconSet>
        <cfvo type="percent" val="0"/>
        <cfvo type="num" val="70"/>
        <cfvo type="num" val="90"/>
      </iconSet>
    </cfRule>
    <cfRule type="iconSet" priority="32">
      <iconSet>
        <cfvo type="percent" val="0"/>
        <cfvo type="num" val="95"/>
        <cfvo type="num" val="100"/>
      </iconSet>
    </cfRule>
    <cfRule type="iconSet" priority="29">
      <iconSet>
        <cfvo type="percent" val="0"/>
        <cfvo type="num" val="70"/>
        <cfvo type="num" val="90"/>
      </iconSet>
    </cfRule>
    <cfRule type="iconSet" priority="36">
      <iconSet>
        <cfvo type="percent" val="0"/>
        <cfvo type="num" val="95"/>
        <cfvo type="num" val="100"/>
      </iconSet>
    </cfRule>
  </conditionalFormatting>
  <conditionalFormatting sqref="I44">
    <cfRule type="iconSet" priority="27">
      <iconSet>
        <cfvo type="percent" val="0"/>
        <cfvo type="num" val="95"/>
        <cfvo type="num" val="100"/>
      </iconSet>
    </cfRule>
    <cfRule type="iconSet" priority="19">
      <iconSet>
        <cfvo type="percent" val="0"/>
        <cfvo type="num" val="95"/>
        <cfvo type="num" val="100"/>
      </iconSet>
    </cfRule>
    <cfRule type="iconSet" priority="20">
      <iconSet>
        <cfvo type="percent" val="0"/>
        <cfvo type="num" val="70"/>
        <cfvo type="num" val="90"/>
      </iconSet>
    </cfRule>
    <cfRule type="iconSet" priority="21">
      <iconSet>
        <cfvo type="percent" val="0"/>
        <cfvo type="num" val="70"/>
        <cfvo type="num" val="90"/>
      </iconSet>
    </cfRule>
    <cfRule type="iconSet" priority="22">
      <iconSet>
        <cfvo type="percent" val="0"/>
        <cfvo type="num" val="95"/>
        <cfvo type="num" val="100"/>
      </iconSet>
    </cfRule>
    <cfRule type="iconSet" priority="23">
      <iconSet>
        <cfvo type="percent" val="0"/>
        <cfvo type="num" val="95"/>
        <cfvo type="num" val="100"/>
      </iconSet>
    </cfRule>
    <cfRule type="iconSet" priority="24">
      <iconSet>
        <cfvo type="percent" val="0"/>
        <cfvo type="num" val="95"/>
        <cfvo type="num" val="100"/>
      </iconSet>
    </cfRule>
    <cfRule type="iconSet" priority="26">
      <iconSet>
        <cfvo type="percent" val="0"/>
        <cfvo type="num" val="70"/>
        <cfvo type="num" val="90"/>
      </iconSet>
    </cfRule>
    <cfRule type="iconSet" priority="25">
      <iconSet>
        <cfvo type="percent" val="0"/>
        <cfvo type="num" val="70"/>
        <cfvo type="num" val="90"/>
      </iconSet>
    </cfRule>
  </conditionalFormatting>
  <conditionalFormatting sqref="I45">
    <cfRule type="iconSet" priority="319">
      <iconSet>
        <cfvo type="percent" val="0"/>
        <cfvo type="num" val="95"/>
        <cfvo type="num" val="100"/>
      </iconSet>
    </cfRule>
    <cfRule type="iconSet" priority="320">
      <iconSet>
        <cfvo type="percent" val="0"/>
        <cfvo type="num" val="70"/>
        <cfvo type="num" val="90"/>
      </iconSet>
    </cfRule>
    <cfRule type="iconSet" priority="321">
      <iconSet>
        <cfvo type="percent" val="0"/>
        <cfvo type="num" val="70"/>
        <cfvo type="num" val="90"/>
      </iconSet>
    </cfRule>
    <cfRule type="iconSet" priority="322">
      <iconSet>
        <cfvo type="percent" val="0"/>
        <cfvo type="num" val="95"/>
        <cfvo type="num" val="100"/>
      </iconSet>
    </cfRule>
    <cfRule type="iconSet" priority="323">
      <iconSet>
        <cfvo type="percent" val="0"/>
        <cfvo type="num" val="95"/>
        <cfvo type="num" val="100"/>
      </iconSet>
    </cfRule>
    <cfRule type="iconSet" priority="324">
      <iconSet>
        <cfvo type="percent" val="0"/>
        <cfvo type="num" val="70"/>
        <cfvo type="num" val="90"/>
      </iconSet>
    </cfRule>
    <cfRule type="iconSet" priority="325">
      <iconSet>
        <cfvo type="percent" val="0"/>
        <cfvo type="num" val="70"/>
        <cfvo type="num" val="90"/>
      </iconSet>
    </cfRule>
    <cfRule type="iconSet" priority="326">
      <iconSet>
        <cfvo type="percent" val="0"/>
        <cfvo type="num" val="95"/>
        <cfvo type="num" val="100"/>
      </iconSet>
    </cfRule>
    <cfRule type="iconSet" priority="314">
      <iconSet>
        <cfvo type="percent" val="0"/>
        <cfvo type="num" val="95"/>
        <cfvo type="num" val="100"/>
      </iconSet>
    </cfRule>
    <cfRule type="iconSet" priority="299">
      <iconSet>
        <cfvo type="percent" val="0"/>
        <cfvo type="num" val="95"/>
        <cfvo type="num" val="100"/>
      </iconSet>
    </cfRule>
    <cfRule type="iconSet" priority="300">
      <iconSet>
        <cfvo type="percent" val="0"/>
        <cfvo type="num" val="70"/>
        <cfvo type="num" val="90"/>
      </iconSet>
    </cfRule>
    <cfRule type="iconSet" priority="301">
      <iconSet>
        <cfvo type="percent" val="0"/>
        <cfvo type="num" val="70"/>
        <cfvo type="num" val="90"/>
      </iconSet>
    </cfRule>
    <cfRule type="iconSet" priority="302">
      <iconSet>
        <cfvo type="percent" val="0"/>
        <cfvo type="num" val="95"/>
        <cfvo type="num" val="100"/>
      </iconSet>
    </cfRule>
    <cfRule type="iconSet" priority="303">
      <iconSet>
        <cfvo type="percent" val="0"/>
        <cfvo type="num" val="95"/>
        <cfvo type="num" val="100"/>
      </iconSet>
    </cfRule>
    <cfRule type="iconSet" priority="304">
      <iconSet>
        <cfvo type="percent" val="0"/>
        <cfvo type="num" val="70"/>
        <cfvo type="num" val="90"/>
      </iconSet>
    </cfRule>
    <cfRule type="iconSet" priority="305">
      <iconSet>
        <cfvo type="percent" val="0"/>
        <cfvo type="num" val="70"/>
        <cfvo type="num" val="90"/>
      </iconSet>
    </cfRule>
    <cfRule type="iconSet" priority="306">
      <iconSet>
        <cfvo type="percent" val="0"/>
        <cfvo type="num" val="95"/>
        <cfvo type="num" val="100"/>
      </iconSet>
    </cfRule>
    <cfRule type="iconSet" priority="307">
      <iconSet>
        <cfvo type="percent" val="0"/>
        <cfvo type="num" val="95"/>
        <cfvo type="num" val="100"/>
      </iconSet>
    </cfRule>
    <cfRule type="iconSet" priority="308">
      <iconSet>
        <cfvo type="percent" val="0"/>
        <cfvo type="num" val="70"/>
        <cfvo type="num" val="90"/>
      </iconSet>
    </cfRule>
    <cfRule type="iconSet" priority="309">
      <iconSet>
        <cfvo type="percent" val="0"/>
        <cfvo type="num" val="70"/>
        <cfvo type="num" val="90"/>
      </iconSet>
    </cfRule>
    <cfRule type="iconSet" priority="310">
      <iconSet>
        <cfvo type="percent" val="0"/>
        <cfvo type="num" val="95"/>
        <cfvo type="num" val="100"/>
      </iconSet>
    </cfRule>
    <cfRule type="iconSet" priority="311">
      <iconSet>
        <cfvo type="percent" val="0"/>
        <cfvo type="num" val="95"/>
        <cfvo type="num" val="100"/>
      </iconSet>
    </cfRule>
    <cfRule type="iconSet" priority="312">
      <iconSet>
        <cfvo type="percent" val="0"/>
        <cfvo type="num" val="70"/>
        <cfvo type="num" val="90"/>
      </iconSet>
    </cfRule>
    <cfRule type="iconSet" priority="313">
      <iconSet>
        <cfvo type="percent" val="0"/>
        <cfvo type="num" val="70"/>
        <cfvo type="num" val="90"/>
      </iconSet>
    </cfRule>
    <cfRule type="iconSet" priority="315">
      <iconSet>
        <cfvo type="percent" val="0"/>
        <cfvo type="num" val="95"/>
        <cfvo type="num" val="100"/>
      </iconSet>
    </cfRule>
    <cfRule type="iconSet" priority="316">
      <iconSet>
        <cfvo type="percent" val="0"/>
        <cfvo type="num" val="70"/>
        <cfvo type="num" val="90"/>
      </iconSet>
    </cfRule>
    <cfRule type="iconSet" priority="317">
      <iconSet>
        <cfvo type="percent" val="0"/>
        <cfvo type="num" val="70"/>
        <cfvo type="num" val="90"/>
      </iconSet>
    </cfRule>
    <cfRule type="iconSet" priority="318">
      <iconSet>
        <cfvo type="percent" val="0"/>
        <cfvo type="num" val="95"/>
        <cfvo type="num" val="100"/>
      </iconSet>
    </cfRule>
  </conditionalFormatting>
  <conditionalFormatting sqref="I45:I46">
    <cfRule type="iconSet" priority="327">
      <iconSet>
        <cfvo type="percent" val="0"/>
        <cfvo type="num" val="70"/>
        <cfvo type="num" val="90"/>
      </iconSet>
    </cfRule>
    <cfRule type="iconSet" priority="328">
      <iconSet>
        <cfvo type="percent" val="0"/>
        <cfvo type="num" val="95"/>
        <cfvo type="num" val="100"/>
      </iconSet>
    </cfRule>
    <cfRule type="iconSet" priority="331">
      <iconSet>
        <cfvo type="percent" val="0"/>
        <cfvo type="num" val="95"/>
        <cfvo type="num" val="100"/>
      </iconSet>
    </cfRule>
  </conditionalFormatting>
  <conditionalFormatting sqref="I46">
    <cfRule type="iconSet" priority="274">
      <iconSet>
        <cfvo type="percent" val="0"/>
        <cfvo type="num" val="95"/>
        <cfvo type="num" val="100"/>
      </iconSet>
    </cfRule>
    <cfRule type="iconSet" priority="275">
      <iconSet>
        <cfvo type="percent" val="0"/>
        <cfvo type="num" val="95"/>
        <cfvo type="num" val="100"/>
      </iconSet>
    </cfRule>
    <cfRule type="iconSet" priority="276">
      <iconSet>
        <cfvo type="percent" val="0"/>
        <cfvo type="num" val="70"/>
        <cfvo type="num" val="90"/>
      </iconSet>
    </cfRule>
    <cfRule type="iconSet" priority="277">
      <iconSet>
        <cfvo type="percent" val="0"/>
        <cfvo type="num" val="70"/>
        <cfvo type="num" val="90"/>
      </iconSet>
    </cfRule>
    <cfRule type="iconSet" priority="278">
      <iconSet>
        <cfvo type="percent" val="0"/>
        <cfvo type="num" val="95"/>
        <cfvo type="num" val="100"/>
      </iconSet>
    </cfRule>
    <cfRule type="iconSet" priority="292">
      <iconSet>
        <cfvo type="percent" val="0"/>
        <cfvo type="num" val="70"/>
        <cfvo type="num" val="90"/>
      </iconSet>
    </cfRule>
    <cfRule type="iconSet" priority="280">
      <iconSet>
        <cfvo type="percent" val="0"/>
        <cfvo type="num" val="70"/>
        <cfvo type="num" val="90"/>
      </iconSet>
    </cfRule>
    <cfRule type="iconSet" priority="281">
      <iconSet>
        <cfvo type="percent" val="0"/>
        <cfvo type="num" val="70"/>
        <cfvo type="num" val="90"/>
      </iconSet>
    </cfRule>
    <cfRule type="iconSet" priority="295">
      <iconSet>
        <cfvo type="percent" val="0"/>
        <cfvo type="num" val="95"/>
        <cfvo type="num" val="100"/>
      </iconSet>
    </cfRule>
    <cfRule type="iconSet" priority="296">
      <iconSet>
        <cfvo type="percent" val="0"/>
        <cfvo type="num" val="70"/>
        <cfvo type="num" val="90"/>
      </iconSet>
    </cfRule>
    <cfRule type="iconSet" priority="294">
      <iconSet>
        <cfvo type="percent" val="0"/>
        <cfvo type="num" val="95"/>
        <cfvo type="num" val="100"/>
      </iconSet>
    </cfRule>
    <cfRule type="iconSet" priority="297">
      <iconSet>
        <cfvo type="percent" val="0"/>
        <cfvo type="num" val="70"/>
        <cfvo type="num" val="90"/>
      </iconSet>
    </cfRule>
    <cfRule type="iconSet" priority="298">
      <iconSet>
        <cfvo type="percent" val="0"/>
        <cfvo type="num" val="95"/>
        <cfvo type="num" val="100"/>
      </iconSet>
    </cfRule>
    <cfRule type="iconSet" priority="282">
      <iconSet>
        <cfvo type="percent" val="0"/>
        <cfvo type="num" val="95"/>
        <cfvo type="num" val="100"/>
      </iconSet>
    </cfRule>
    <cfRule type="iconSet" priority="283">
      <iconSet>
        <cfvo type="percent" val="0"/>
        <cfvo type="num" val="95"/>
        <cfvo type="num" val="100"/>
      </iconSet>
    </cfRule>
    <cfRule type="iconSet" priority="284">
      <iconSet>
        <cfvo type="percent" val="0"/>
        <cfvo type="num" val="70"/>
        <cfvo type="num" val="90"/>
      </iconSet>
    </cfRule>
    <cfRule type="iconSet" priority="285">
      <iconSet>
        <cfvo type="percent" val="0"/>
        <cfvo type="num" val="70"/>
        <cfvo type="num" val="90"/>
      </iconSet>
    </cfRule>
    <cfRule type="iconSet" priority="286">
      <iconSet>
        <cfvo type="percent" val="0"/>
        <cfvo type="num" val="95"/>
        <cfvo type="num" val="100"/>
      </iconSet>
    </cfRule>
    <cfRule type="iconSet" priority="287">
      <iconSet>
        <cfvo type="percent" val="0"/>
        <cfvo type="num" val="95"/>
        <cfvo type="num" val="100"/>
      </iconSet>
    </cfRule>
    <cfRule type="iconSet" priority="288">
      <iconSet>
        <cfvo type="percent" val="0"/>
        <cfvo type="num" val="70"/>
        <cfvo type="num" val="90"/>
      </iconSet>
    </cfRule>
    <cfRule type="iconSet" priority="289">
      <iconSet>
        <cfvo type="percent" val="0"/>
        <cfvo type="num" val="70"/>
        <cfvo type="num" val="90"/>
      </iconSet>
    </cfRule>
    <cfRule type="iconSet" priority="290">
      <iconSet>
        <cfvo type="percent" val="0"/>
        <cfvo type="num" val="95"/>
        <cfvo type="num" val="100"/>
      </iconSet>
    </cfRule>
    <cfRule type="iconSet" priority="291">
      <iconSet>
        <cfvo type="percent" val="0"/>
        <cfvo type="num" val="95"/>
        <cfvo type="num" val="100"/>
      </iconSet>
    </cfRule>
    <cfRule type="iconSet" priority="271">
      <iconSet>
        <cfvo type="percent" val="0"/>
        <cfvo type="num" val="95"/>
        <cfvo type="num" val="100"/>
      </iconSet>
    </cfRule>
    <cfRule type="iconSet" priority="272">
      <iconSet>
        <cfvo type="percent" val="0"/>
        <cfvo type="num" val="70"/>
        <cfvo type="num" val="90"/>
      </iconSet>
    </cfRule>
    <cfRule type="iconSet" priority="329">
      <iconSet>
        <cfvo type="percent" val="0"/>
        <cfvo type="num" val="70"/>
        <cfvo type="num" val="90"/>
      </iconSet>
    </cfRule>
    <cfRule type="iconSet" priority="330">
      <iconSet>
        <cfvo type="percent" val="0"/>
        <cfvo type="num" val="95"/>
        <cfvo type="num" val="100"/>
      </iconSet>
    </cfRule>
    <cfRule type="iconSet" priority="273">
      <iconSet>
        <cfvo type="percent" val="0"/>
        <cfvo type="num" val="70"/>
        <cfvo type="num" val="90"/>
      </iconSet>
    </cfRule>
    <cfRule type="iconSet" priority="279">
      <iconSet>
        <cfvo type="percent" val="0"/>
        <cfvo type="num" val="95"/>
        <cfvo type="num" val="100"/>
      </iconSet>
    </cfRule>
    <cfRule type="iconSet" priority="293">
      <iconSet>
        <cfvo type="percent" val="0"/>
        <cfvo type="num" val="70"/>
        <cfvo type="num" val="90"/>
      </iconSet>
    </cfRule>
  </conditionalFormatting>
  <conditionalFormatting sqref="I47:I49">
    <cfRule type="iconSet" priority="333">
      <iconSet>
        <cfvo type="percent" val="0"/>
        <cfvo type="num" val="95"/>
        <cfvo type="num" val="100"/>
      </iconSet>
    </cfRule>
  </conditionalFormatting>
  <dataValidations count="1">
    <dataValidation type="list" allowBlank="1" showInputMessage="1" showErrorMessage="1" sqref="M2" xr:uid="{00000000-0002-0000-0B00-000000000000}">
      <formula1>$M$7:$M$18</formula1>
    </dataValidation>
  </dataValidations>
  <printOptions horizontalCentered="1"/>
  <pageMargins left="0.25" right="0.25" top="0.75" bottom="0.75" header="0.3" footer="0.3"/>
  <pageSetup paperSize="9" scale="64" fitToWidth="0" orientation="portrait" horizontalDpi="360" verticalDpi="36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  <pageSetUpPr fitToPage="1"/>
  </sheetPr>
  <dimension ref="A1:BD90"/>
  <sheetViews>
    <sheetView workbookViewId="0">
      <selection activeCell="M17" sqref="M17"/>
    </sheetView>
  </sheetViews>
  <sheetFormatPr defaultColWidth="9.140625" defaultRowHeight="15"/>
  <cols>
    <col min="1" max="1" width="8.7109375" style="1" customWidth="1"/>
    <col min="2" max="2" width="3.85546875" style="183" customWidth="1"/>
    <col min="3" max="3" width="5.7109375" style="7" customWidth="1"/>
    <col min="4" max="4" width="46.5703125" style="1" customWidth="1"/>
    <col min="5" max="5" width="9.85546875" style="458" customWidth="1"/>
    <col min="6" max="6" width="14.28515625" style="7" customWidth="1"/>
    <col min="7" max="7" width="11.140625" style="7" customWidth="1"/>
    <col min="8" max="8" width="14" style="7" customWidth="1"/>
    <col min="9" max="9" width="12.28515625" style="7" bestFit="1" customWidth="1"/>
    <col min="10" max="10" width="12.7109375" style="7" customWidth="1"/>
    <col min="11" max="11" width="13.7109375" style="7" bestFit="1" customWidth="1"/>
    <col min="12" max="12" width="12.5703125" style="7" customWidth="1"/>
    <col min="13" max="13" width="7.140625" style="1" customWidth="1"/>
    <col min="14" max="14" width="5.7109375" style="7" customWidth="1"/>
    <col min="15" max="15" width="57.7109375" style="1" customWidth="1"/>
    <col min="16" max="16" width="2.85546875" style="458" customWidth="1"/>
    <col min="17" max="17" width="12.28515625" style="7" bestFit="1" customWidth="1"/>
    <col min="18" max="18" width="9.7109375" style="7" customWidth="1"/>
    <col min="19" max="19" width="13.7109375" style="7" bestFit="1" customWidth="1"/>
    <col min="20" max="20" width="10.28515625" style="7" bestFit="1" customWidth="1"/>
    <col min="21" max="21" width="12.7109375" style="7" customWidth="1"/>
    <col min="22" max="22" width="13.28515625" style="7" customWidth="1"/>
    <col min="23" max="23" width="11.7109375" style="7" bestFit="1" customWidth="1"/>
    <col min="24" max="24" width="7.140625" style="1" customWidth="1"/>
    <col min="25" max="25" width="5.7109375" style="1" customWidth="1"/>
    <col min="26" max="26" width="56.7109375" style="1" customWidth="1"/>
    <col min="27" max="27" width="2.85546875" style="458" customWidth="1"/>
    <col min="28" max="28" width="11.42578125" style="1" customWidth="1"/>
    <col min="29" max="29" width="9.7109375" style="1" customWidth="1"/>
    <col min="30" max="30" width="11.28515625" style="1" bestFit="1" customWidth="1"/>
    <col min="31" max="31" width="9.85546875" style="1" customWidth="1"/>
    <col min="32" max="32" width="11.7109375" style="1" bestFit="1" customWidth="1"/>
    <col min="33" max="33" width="12.7109375" style="1" bestFit="1" customWidth="1"/>
    <col min="34" max="34" width="11.85546875" style="1" customWidth="1"/>
    <col min="35" max="35" width="8.5703125" style="1" customWidth="1"/>
    <col min="36" max="36" width="5.7109375" style="1" customWidth="1"/>
    <col min="37" max="37" width="58.7109375" style="1" customWidth="1"/>
    <col min="38" max="38" width="3" style="458" customWidth="1"/>
    <col min="39" max="39" width="11.42578125" style="1" customWidth="1"/>
    <col min="40" max="40" width="9.7109375" style="1" customWidth="1"/>
    <col min="41" max="41" width="12.28515625" style="1" bestFit="1" customWidth="1"/>
    <col min="42" max="42" width="9.7109375" style="1" bestFit="1" customWidth="1"/>
    <col min="43" max="43" width="13.85546875" style="1" bestFit="1" customWidth="1"/>
    <col min="44" max="44" width="12.85546875" style="7" customWidth="1"/>
    <col min="45" max="45" width="12.140625" style="1" customWidth="1"/>
    <col min="46" max="46" width="9.7109375" style="1" customWidth="1"/>
    <col min="47" max="47" width="5.7109375" style="1" customWidth="1"/>
    <col min="48" max="48" width="55.85546875" style="1" customWidth="1"/>
    <col min="49" max="49" width="2.85546875" style="458" customWidth="1"/>
    <col min="50" max="50" width="11.42578125" style="1" customWidth="1"/>
    <col min="51" max="51" width="9.7109375" style="1" customWidth="1"/>
    <col min="52" max="52" width="10.7109375" style="1" customWidth="1"/>
    <col min="53" max="53" width="9.5703125" style="1" customWidth="1"/>
    <col min="54" max="54" width="11" style="1" bestFit="1" customWidth="1"/>
    <col min="55" max="55" width="12.85546875" style="1" customWidth="1"/>
    <col min="56" max="56" width="14.140625" style="1" customWidth="1"/>
    <col min="57" max="58" width="9.140625" style="1"/>
    <col min="59" max="59" width="14" style="1" bestFit="1" customWidth="1"/>
    <col min="60" max="16384" width="9.140625" style="1"/>
  </cols>
  <sheetData>
    <row r="1" spans="1:56" ht="16.5" thickBot="1">
      <c r="A1" s="140" t="s">
        <v>167</v>
      </c>
      <c r="B1" s="182"/>
      <c r="C1" s="6" t="s">
        <v>154</v>
      </c>
      <c r="N1" s="6"/>
    </row>
    <row r="2" spans="1:56">
      <c r="J2" s="7" t="s">
        <v>259</v>
      </c>
      <c r="U2" s="7" t="s">
        <v>259</v>
      </c>
      <c r="AO2" s="22"/>
    </row>
    <row r="3" spans="1:56" ht="15.75">
      <c r="D3" s="8" t="s">
        <v>260</v>
      </c>
      <c r="E3" s="459"/>
      <c r="O3" s="8" t="str">
        <f>$D$3</f>
        <v>REALISASI KINERJA UNIT TAHUN 2025</v>
      </c>
      <c r="P3" s="459"/>
      <c r="R3" s="264"/>
      <c r="S3" s="264"/>
      <c r="T3" s="264"/>
      <c r="U3" s="264"/>
      <c r="Y3" s="7"/>
      <c r="Z3" s="8" t="str">
        <f>$D$3</f>
        <v>REALISASI KINERJA UNIT TAHUN 2025</v>
      </c>
      <c r="AA3" s="459"/>
      <c r="AB3" s="7"/>
      <c r="AC3" s="7"/>
      <c r="AD3" s="7"/>
      <c r="AJ3" s="7"/>
      <c r="AK3" s="8" t="str">
        <f>$D$3</f>
        <v>REALISASI KINERJA UNIT TAHUN 2025</v>
      </c>
      <c r="AL3" s="459"/>
      <c r="AM3" s="7"/>
      <c r="AN3" s="7"/>
      <c r="AO3" s="7"/>
      <c r="AU3" s="7"/>
      <c r="AV3" s="8" t="str">
        <f>$D$3</f>
        <v>REALISASI KINERJA UNIT TAHUN 2025</v>
      </c>
      <c r="AW3" s="459"/>
      <c r="AX3" s="7"/>
      <c r="AY3" s="7"/>
      <c r="AZ3"/>
    </row>
    <row r="4" spans="1:56" ht="15.75">
      <c r="D4" s="8" t="s">
        <v>261</v>
      </c>
      <c r="E4" s="459"/>
      <c r="O4" s="8" t="s">
        <v>262</v>
      </c>
      <c r="P4" s="459"/>
      <c r="V4" s="264"/>
      <c r="Y4" s="7"/>
      <c r="Z4" s="8" t="s">
        <v>263</v>
      </c>
      <c r="AA4" s="459"/>
      <c r="AB4" s="7"/>
      <c r="AC4" s="7"/>
      <c r="AD4" s="7"/>
      <c r="AJ4" s="7"/>
      <c r="AK4" s="8" t="s">
        <v>264</v>
      </c>
      <c r="AL4" s="459"/>
      <c r="AM4" s="7"/>
      <c r="AN4" s="7"/>
      <c r="AO4" s="7"/>
      <c r="AQ4" s="474"/>
      <c r="AU4" s="7"/>
      <c r="AV4" s="8" t="s">
        <v>265</v>
      </c>
      <c r="AW4" s="459"/>
      <c r="AX4" s="7"/>
      <c r="AY4" s="7"/>
      <c r="AZ4" s="7"/>
    </row>
    <row r="5" spans="1:56" ht="26.45" customHeight="1">
      <c r="A5" s="9" t="s">
        <v>266</v>
      </c>
      <c r="B5" s="184"/>
      <c r="C5" s="10"/>
      <c r="N5" s="10"/>
      <c r="Y5" s="10"/>
      <c r="AB5" s="7"/>
      <c r="AC5" s="7"/>
      <c r="AD5" s="7"/>
      <c r="AJ5" s="10"/>
      <c r="AM5" s="7"/>
      <c r="AN5" s="7"/>
      <c r="AO5" s="7"/>
      <c r="AU5" s="10"/>
      <c r="AX5" s="7"/>
      <c r="AY5" s="7"/>
      <c r="AZ5" s="7"/>
    </row>
    <row r="6" spans="1:56" s="11" customFormat="1">
      <c r="B6" s="185"/>
      <c r="C6" s="713" t="s">
        <v>8</v>
      </c>
      <c r="D6" s="716" t="s">
        <v>267</v>
      </c>
      <c r="E6" s="460"/>
      <c r="F6" s="718" t="s">
        <v>93</v>
      </c>
      <c r="G6" s="713" t="s">
        <v>99</v>
      </c>
      <c r="H6" s="713" t="s">
        <v>268</v>
      </c>
      <c r="I6" s="715" t="str">
        <f>VLOOKUP($A$1,$K$74:$L$85,2,FALSE)</f>
        <v>S.D. SEPTEMBER</v>
      </c>
      <c r="J6" s="715"/>
      <c r="K6" s="715"/>
      <c r="L6" s="715"/>
      <c r="N6" s="713" t="s">
        <v>8</v>
      </c>
      <c r="O6" s="716" t="s">
        <v>267</v>
      </c>
      <c r="P6" s="460"/>
      <c r="Q6" s="718" t="s">
        <v>93</v>
      </c>
      <c r="R6" s="713" t="s">
        <v>99</v>
      </c>
      <c r="S6" s="713" t="s">
        <v>268</v>
      </c>
      <c r="T6" s="715" t="str">
        <f>VLOOKUP($A$1,$K$74:$L$85,2,FALSE)</f>
        <v>S.D. SEPTEMBER</v>
      </c>
      <c r="U6" s="715"/>
      <c r="V6" s="715"/>
      <c r="W6" s="715"/>
      <c r="Y6" s="713" t="s">
        <v>8</v>
      </c>
      <c r="Z6" s="716" t="s">
        <v>267</v>
      </c>
      <c r="AA6" s="460"/>
      <c r="AB6" s="718" t="s">
        <v>93</v>
      </c>
      <c r="AC6" s="713" t="s">
        <v>99</v>
      </c>
      <c r="AD6" s="713" t="s">
        <v>268</v>
      </c>
      <c r="AE6" s="715" t="str">
        <f>VLOOKUP($A$1,$K$74:$L$85,2,FALSE)</f>
        <v>S.D. SEPTEMBER</v>
      </c>
      <c r="AF6" s="715"/>
      <c r="AG6" s="715"/>
      <c r="AH6" s="715"/>
      <c r="AJ6" s="713" t="s">
        <v>8</v>
      </c>
      <c r="AK6" s="716" t="s">
        <v>267</v>
      </c>
      <c r="AL6" s="460"/>
      <c r="AM6" s="718" t="s">
        <v>93</v>
      </c>
      <c r="AN6" s="713" t="s">
        <v>99</v>
      </c>
      <c r="AO6" s="713" t="s">
        <v>268</v>
      </c>
      <c r="AP6" s="715" t="str">
        <f>VLOOKUP($A$1,$K$74:$L$85,2,FALSE)</f>
        <v>S.D. SEPTEMBER</v>
      </c>
      <c r="AQ6" s="715"/>
      <c r="AR6" s="715"/>
      <c r="AS6" s="715"/>
      <c r="AU6" s="713" t="s">
        <v>8</v>
      </c>
      <c r="AV6" s="716" t="s">
        <v>267</v>
      </c>
      <c r="AW6" s="460"/>
      <c r="AX6" s="718" t="s">
        <v>93</v>
      </c>
      <c r="AY6" s="713" t="s">
        <v>99</v>
      </c>
      <c r="AZ6" s="713" t="s">
        <v>268</v>
      </c>
      <c r="BA6" s="715" t="str">
        <f>VLOOKUP($A$1,$K$74:$L$85,2,FALSE)</f>
        <v>S.D. SEPTEMBER</v>
      </c>
      <c r="BB6" s="715"/>
      <c r="BC6" s="715"/>
      <c r="BD6" s="715"/>
    </row>
    <row r="7" spans="1:56" s="11" customFormat="1">
      <c r="B7" s="185"/>
      <c r="C7" s="714"/>
      <c r="D7" s="717"/>
      <c r="E7" s="461"/>
      <c r="F7" s="719"/>
      <c r="G7" s="714"/>
      <c r="H7" s="714"/>
      <c r="I7" s="602" t="s">
        <v>100</v>
      </c>
      <c r="J7" s="602" t="s">
        <v>254</v>
      </c>
      <c r="K7" s="602" t="s">
        <v>102</v>
      </c>
      <c r="L7" s="602" t="s">
        <v>103</v>
      </c>
      <c r="N7" s="714"/>
      <c r="O7" s="717"/>
      <c r="P7" s="461"/>
      <c r="Q7" s="719"/>
      <c r="R7" s="714"/>
      <c r="S7" s="714"/>
      <c r="T7" s="602" t="s">
        <v>100</v>
      </c>
      <c r="U7" s="602" t="s">
        <v>254</v>
      </c>
      <c r="V7" s="602" t="s">
        <v>102</v>
      </c>
      <c r="W7" s="602" t="s">
        <v>103</v>
      </c>
      <c r="Y7" s="714"/>
      <c r="Z7" s="717"/>
      <c r="AA7" s="461"/>
      <c r="AB7" s="719"/>
      <c r="AC7" s="714"/>
      <c r="AD7" s="714"/>
      <c r="AE7" s="602" t="s">
        <v>100</v>
      </c>
      <c r="AF7" s="602" t="s">
        <v>254</v>
      </c>
      <c r="AG7" s="602" t="s">
        <v>102</v>
      </c>
      <c r="AH7" s="602" t="s">
        <v>103</v>
      </c>
      <c r="AJ7" s="714"/>
      <c r="AK7" s="717"/>
      <c r="AL7" s="461"/>
      <c r="AM7" s="719"/>
      <c r="AN7" s="714"/>
      <c r="AO7" s="714"/>
      <c r="AP7" s="602" t="s">
        <v>100</v>
      </c>
      <c r="AQ7" s="602" t="s">
        <v>254</v>
      </c>
      <c r="AR7" s="602" t="s">
        <v>102</v>
      </c>
      <c r="AS7" s="602" t="s">
        <v>103</v>
      </c>
      <c r="AU7" s="714"/>
      <c r="AV7" s="717"/>
      <c r="AW7" s="461"/>
      <c r="AX7" s="719"/>
      <c r="AY7" s="714"/>
      <c r="AZ7" s="714"/>
      <c r="BA7" s="602" t="s">
        <v>100</v>
      </c>
      <c r="BB7" s="602" t="s">
        <v>101</v>
      </c>
      <c r="BC7" s="602" t="s">
        <v>102</v>
      </c>
      <c r="BD7" s="602" t="s">
        <v>103</v>
      </c>
    </row>
    <row r="8" spans="1:56" s="11" customFormat="1">
      <c r="B8" s="185"/>
      <c r="C8" s="602">
        <v>1</v>
      </c>
      <c r="D8" s="484">
        <v>2</v>
      </c>
      <c r="E8" s="462"/>
      <c r="F8" s="603">
        <v>3</v>
      </c>
      <c r="G8" s="602">
        <v>4</v>
      </c>
      <c r="H8" s="602">
        <v>5</v>
      </c>
      <c r="I8" s="602">
        <v>6</v>
      </c>
      <c r="J8" s="602">
        <v>7</v>
      </c>
      <c r="K8" s="602">
        <v>8</v>
      </c>
      <c r="L8" s="602">
        <v>9</v>
      </c>
      <c r="N8" s="602">
        <v>1</v>
      </c>
      <c r="O8" s="484">
        <v>2</v>
      </c>
      <c r="P8" s="462"/>
      <c r="Q8" s="603">
        <v>3</v>
      </c>
      <c r="R8" s="602">
        <v>4</v>
      </c>
      <c r="S8" s="602">
        <v>5</v>
      </c>
      <c r="T8" s="602">
        <v>6</v>
      </c>
      <c r="U8" s="602">
        <v>7</v>
      </c>
      <c r="V8" s="602">
        <v>8</v>
      </c>
      <c r="W8" s="602">
        <v>9</v>
      </c>
      <c r="Y8" s="602">
        <v>1</v>
      </c>
      <c r="Z8" s="484">
        <v>2</v>
      </c>
      <c r="AA8" s="462"/>
      <c r="AB8" s="603">
        <v>3</v>
      </c>
      <c r="AC8" s="602">
        <v>4</v>
      </c>
      <c r="AD8" s="602">
        <v>5</v>
      </c>
      <c r="AE8" s="602">
        <v>6</v>
      </c>
      <c r="AF8" s="602">
        <v>7</v>
      </c>
      <c r="AG8" s="602">
        <v>8</v>
      </c>
      <c r="AH8" s="602">
        <v>9</v>
      </c>
      <c r="AJ8" s="602">
        <v>1</v>
      </c>
      <c r="AK8" s="484">
        <v>2</v>
      </c>
      <c r="AL8" s="462"/>
      <c r="AM8" s="603">
        <v>3</v>
      </c>
      <c r="AN8" s="602">
        <v>4</v>
      </c>
      <c r="AO8" s="602">
        <v>5</v>
      </c>
      <c r="AP8" s="602">
        <v>6</v>
      </c>
      <c r="AQ8" s="602">
        <v>7</v>
      </c>
      <c r="AR8" s="602">
        <v>8</v>
      </c>
      <c r="AS8" s="602">
        <v>9</v>
      </c>
      <c r="AU8" s="602">
        <v>1</v>
      </c>
      <c r="AV8" s="484">
        <v>2</v>
      </c>
      <c r="AW8" s="462"/>
      <c r="AX8" s="603">
        <v>3</v>
      </c>
      <c r="AY8" s="602">
        <v>4</v>
      </c>
      <c r="AZ8" s="602">
        <v>5</v>
      </c>
      <c r="BA8" s="602">
        <v>6</v>
      </c>
      <c r="BB8" s="602">
        <v>7</v>
      </c>
      <c r="BC8" s="602">
        <v>8</v>
      </c>
      <c r="BD8" s="602">
        <v>9</v>
      </c>
    </row>
    <row r="9" spans="1:56" s="12" customFormat="1" ht="16.5">
      <c r="B9" s="183"/>
      <c r="C9" s="47" t="s">
        <v>269</v>
      </c>
      <c r="D9" s="48" t="str">
        <f>T.TOLIS!$B$7</f>
        <v>Key Performance Indicators</v>
      </c>
      <c r="E9" s="440"/>
      <c r="F9" s="50"/>
      <c r="G9" s="62">
        <f>SUM(G10:G18)</f>
        <v>40</v>
      </c>
      <c r="H9" s="62"/>
      <c r="I9" s="62"/>
      <c r="J9" s="62"/>
      <c r="K9" s="62"/>
      <c r="L9" s="110">
        <f>SUM(L10,L11,L15)</f>
        <v>41.15</v>
      </c>
      <c r="N9" s="47" t="str">
        <f>$C$9</f>
        <v>I</v>
      </c>
      <c r="O9" s="48" t="str">
        <f>$D$9</f>
        <v>Key Performance Indicators</v>
      </c>
      <c r="P9" s="440"/>
      <c r="Q9" s="50"/>
      <c r="R9" s="62">
        <f>SUM(R10:R18)</f>
        <v>40</v>
      </c>
      <c r="S9" s="62"/>
      <c r="T9" s="62"/>
      <c r="U9" s="62"/>
      <c r="V9" s="62"/>
      <c r="W9" s="110">
        <f>SUM(W10,W11,W15)</f>
        <v>40.9</v>
      </c>
      <c r="Y9" s="47" t="str">
        <f>$C$9</f>
        <v>I</v>
      </c>
      <c r="Z9" s="48" t="str">
        <f>$D$9</f>
        <v>Key Performance Indicators</v>
      </c>
      <c r="AA9" s="440"/>
      <c r="AB9" s="50"/>
      <c r="AC9" s="62">
        <f>SUM(AC10:AC18)</f>
        <v>40</v>
      </c>
      <c r="AD9" s="62"/>
      <c r="AE9" s="62"/>
      <c r="AF9" s="62"/>
      <c r="AG9" s="62"/>
      <c r="AH9" s="110">
        <f>SUM(AH10,AH11,AH15)</f>
        <v>42.599999999999994</v>
      </c>
      <c r="AJ9" s="47" t="str">
        <f>$C$9</f>
        <v>I</v>
      </c>
      <c r="AK9" s="48" t="str">
        <f>$D$9</f>
        <v>Key Performance Indicators</v>
      </c>
      <c r="AL9" s="440"/>
      <c r="AM9" s="50"/>
      <c r="AN9" s="62">
        <f>SUM(AN10:AN18)</f>
        <v>40</v>
      </c>
      <c r="AO9" s="62"/>
      <c r="AP9" s="62"/>
      <c r="AQ9" s="62"/>
      <c r="AR9" s="62"/>
      <c r="AS9" s="110">
        <f>SUM(AS10,AS11,AS15)</f>
        <v>41.29</v>
      </c>
      <c r="AU9" s="47" t="s">
        <v>269</v>
      </c>
      <c r="AV9" s="48" t="str">
        <f>O9</f>
        <v>Key Performance Indicators</v>
      </c>
      <c r="AW9" s="440"/>
      <c r="AX9" s="50"/>
      <c r="AY9" s="62">
        <f>SUM(AY10:AY18)</f>
        <v>40</v>
      </c>
      <c r="AZ9" s="62"/>
      <c r="BA9" s="62"/>
      <c r="BB9" s="62"/>
      <c r="BC9" s="62"/>
      <c r="BD9" s="110">
        <f>SUM(BD10,BD11,BD15)</f>
        <v>42.269999999999996</v>
      </c>
    </row>
    <row r="10" spans="1:56" ht="16.5">
      <c r="C10" s="91">
        <f>T.TOLIS!A8</f>
        <v>1</v>
      </c>
      <c r="D10" s="311" t="str">
        <f>T.TOLIS!B8</f>
        <v>Penjualan Tenaga Listrik</v>
      </c>
      <c r="E10" s="441" t="str">
        <f>T.TOLIS!C8</f>
        <v>ñ</v>
      </c>
      <c r="F10" s="61" t="str">
        <f>T.TOLIS!D8</f>
        <v>GWh</v>
      </c>
      <c r="G10" s="53">
        <f>IF(J10="N/A",0,T.TOLIS!F8)</f>
        <v>14</v>
      </c>
      <c r="H10" s="90">
        <f>T.TOLIS!H8</f>
        <v>80.8</v>
      </c>
      <c r="I10" s="90">
        <f>VLOOKUP(D10,T.TOLIS!$B$4:$T$56,MATCH(ULP!$A$1,T.TOLIS!$B$5:$T$5,0),FALSE)</f>
        <v>59.74</v>
      </c>
      <c r="J10" s="90">
        <f>VLOOKUP(D10,'R.TOLIS'!$B$4:$T$64,MATCH(ULP!$A$1,'R.TOLIS'!$B$5:$T$5,0),FALSE)</f>
        <v>55.865174559000003</v>
      </c>
      <c r="K10" s="165">
        <f>IF(OR(I10="N/A",J10="N/A"),"N/A",IF((J10/I10*100)&gt;=110,110,(J10/I10*100)))</f>
        <v>93.513850952460658</v>
      </c>
      <c r="L10" s="103">
        <f>ROUNDDOWN(IF(K10="N/A",0,IF(K10&gt;110,G10*110/100,G10*K10/100)),2)</f>
        <v>13.09</v>
      </c>
      <c r="N10" s="91">
        <f>T.LEOK!A8</f>
        <v>1</v>
      </c>
      <c r="O10" s="311" t="str">
        <f>T.LEOK!B8</f>
        <v>Penjualan Tenaga Listrik</v>
      </c>
      <c r="P10" s="441" t="str">
        <f>T.LEOK!C8</f>
        <v>ñ</v>
      </c>
      <c r="Q10" s="61" t="str">
        <f>T.LEOK!D8</f>
        <v>GWh</v>
      </c>
      <c r="R10" s="53">
        <f>IF(U10="N/A",0,T.LEOK!F8)</f>
        <v>14</v>
      </c>
      <c r="S10" s="90">
        <f>T.LEOK!T8</f>
        <v>52.76</v>
      </c>
      <c r="T10" s="90">
        <f>VLOOKUP(O10,T.LEOK!$B$4:$T$56,MATCH(ULP!$A$1,T.LEOK!$B$5:$T$5,0),FALSE)</f>
        <v>39.01</v>
      </c>
      <c r="U10" s="90">
        <f>VLOOKUP(O10,'R.LEOK'!$B$4:$T$64,MATCH(ULP!$A$1,'R.LEOK'!$B$5:$T$5,0),FALSE)</f>
        <v>38.821155293000004</v>
      </c>
      <c r="V10" s="165">
        <f>IF(OR(T10="N/A",U10="N/A"),"N/A",IF((U10/T10*100)&gt;=110,110,(U10/T10*100)))</f>
        <v>99.515906928992578</v>
      </c>
      <c r="W10" s="103">
        <f>ROUNDDOWN(IF(V10="N/A",0,IF(V10&gt;110,R10*110/100,R10*V10/100)),2)</f>
        <v>13.93</v>
      </c>
      <c r="Y10" s="91">
        <f>T.BANGKIR!A8</f>
        <v>1</v>
      </c>
      <c r="Z10" s="311" t="str">
        <f>T.BANGKIR!B8</f>
        <v>Penjualan Tenaga Listrik</v>
      </c>
      <c r="AA10" s="441" t="str">
        <f>T.BANGKIR!C8</f>
        <v>ñ</v>
      </c>
      <c r="AB10" s="61" t="str">
        <f>T.BANGKIR!D8</f>
        <v>GWh</v>
      </c>
      <c r="AC10" s="53">
        <f>IF(AF10="N/A",0,T.BANGKIR!F8)</f>
        <v>14</v>
      </c>
      <c r="AD10" s="90">
        <f>T.BANGKIR!T8</f>
        <v>27.1</v>
      </c>
      <c r="AE10" s="90">
        <f>VLOOKUP(Z10,T.BANGKIR!$B$4:$T$56,MATCH(ULP!$A$1,T.BANGKIR!$B$5:$T$5,0),FALSE)</f>
        <v>20.04</v>
      </c>
      <c r="AF10" s="90">
        <f>VLOOKUP(Z10,'R.BANGKIR'!$B$4:$T$64,MATCH(ULP!$A$1,'R.BANGKIR'!$B$5:$T$5,0),FALSE)</f>
        <v>20.044852349999999</v>
      </c>
      <c r="AG10" s="165">
        <f>IF(OR(AE10="N/A",AF10="N/A"),"N/A",IF((AF10/AE10*100)&gt;=110,110,(AF10/AE10*100)))</f>
        <v>100.02421332335329</v>
      </c>
      <c r="AH10" s="103">
        <f>ROUNDDOWN(IF(AG10="N/A",0,IF(AG10&gt;110,AC10*110/100,AC10*AG10/100)),2)</f>
        <v>14</v>
      </c>
      <c r="AJ10" s="91">
        <f>T.MOUTONG!A8</f>
        <v>1</v>
      </c>
      <c r="AK10" s="311" t="str">
        <f>T.MOUTONG!B8</f>
        <v>Penjualan Tenaga Listrik</v>
      </c>
      <c r="AL10" s="441" t="str">
        <f>T.MOUTONG!C8</f>
        <v>ñ</v>
      </c>
      <c r="AM10" s="61" t="str">
        <f>T.MOUTONG!D8</f>
        <v>GWh</v>
      </c>
      <c r="AN10" s="53">
        <f>IF(AQ10="N/A",0,T.MOUTONG!F8)</f>
        <v>14</v>
      </c>
      <c r="AO10" s="90">
        <f>T.MOUTONG!T8</f>
        <v>34.83</v>
      </c>
      <c r="AP10" s="90">
        <f>VLOOKUP(AK10,T.MOUTONG!$B$4:$T$56,MATCH(ULP!$A$1,T.MOUTONG!$B$5:$T$5,0),FALSE)</f>
        <v>25.75</v>
      </c>
      <c r="AQ10" s="90">
        <f>VLOOKUP(AK10,'R.MOUTONG'!$B$4:$T$64,MATCH(ULP!$A$1,'R.MOUTONG'!$B$5:$T$5,0),FALSE)</f>
        <v>24.667147634000003</v>
      </c>
      <c r="AR10" s="165">
        <f>IF(OR(AP10="N/A",AQ10="N/A"),"N/A",IF((AQ10/AP10*100)&gt;=110,110,(AQ10/AP10*100)))</f>
        <v>95.794748093203893</v>
      </c>
      <c r="AS10" s="103">
        <f>ROUNDDOWN(IF(AR10="N/A",0,IF(AR10&gt;110,AN10*110/100,AN10*AR10/100)),2)</f>
        <v>13.41</v>
      </c>
      <c r="AU10" s="91">
        <f>T.KOTARAYA!A8</f>
        <v>1</v>
      </c>
      <c r="AV10" s="311" t="str">
        <f>T.KOTARAYA!B8</f>
        <v>Penjualan Tenaga Listrik</v>
      </c>
      <c r="AW10" s="441" t="str">
        <f>T.KOTARAYA!C8</f>
        <v>ñ</v>
      </c>
      <c r="AX10" s="288" t="str">
        <f>T.KOTARAYA!D8</f>
        <v>GWh</v>
      </c>
      <c r="AY10" s="53">
        <f>IF(BB10="N/A",0,T.KOTARAYA!F8)</f>
        <v>14</v>
      </c>
      <c r="AZ10" s="90">
        <f>T.KOTARAYA!T8</f>
        <v>35.99</v>
      </c>
      <c r="BA10" s="90">
        <f>VLOOKUP(AV10,T.KOTARAYA!$B$4:$T$56,MATCH(ULP!$A$1,T.KOTARAYA!$B$5:$T$5,0),FALSE)</f>
        <v>26.61</v>
      </c>
      <c r="BB10" s="90">
        <f>VLOOKUP(AV10,'R.KOTARAYA'!$B$4:$T$64,MATCH(ULP!$A$1,'R.KOTARAYA'!$B$5:$T$5,0),FALSE)</f>
        <v>26.957476767999996</v>
      </c>
      <c r="BC10" s="165">
        <f>IF(OR(BA10="N/A",BB10="N/A"),"N/A",IF((BB10/BA10*100)&gt;=110,110,(BB10/BA10*100)))</f>
        <v>101.30581273205561</v>
      </c>
      <c r="BD10" s="103">
        <f>ROUNDDOWN(IF(BC10="N/A",0,IF(BC10&gt;110,AY10*110/100,AY10*BC10/100)),2)</f>
        <v>14.18</v>
      </c>
    </row>
    <row r="11" spans="1:56" ht="16.5">
      <c r="C11" s="91">
        <f>T.TOLIS!A9</f>
        <v>2</v>
      </c>
      <c r="D11" s="311" t="str">
        <f>T.TOLIS!B9</f>
        <v>Keandalan Sistem</v>
      </c>
      <c r="E11" s="441"/>
      <c r="F11" s="61"/>
      <c r="G11" s="53"/>
      <c r="H11" s="90"/>
      <c r="I11" s="90"/>
      <c r="J11" s="90"/>
      <c r="K11" s="165">
        <f>AVERAGE(K12:K14)</f>
        <v>110</v>
      </c>
      <c r="L11" s="103">
        <f>SUM(L12:L14)</f>
        <v>15.399999999999999</v>
      </c>
      <c r="N11" s="91">
        <f>T.LEOK!A9</f>
        <v>2</v>
      </c>
      <c r="O11" s="311" t="str">
        <f>T.LEOK!B9</f>
        <v>Keandalan Sistem</v>
      </c>
      <c r="P11" s="441"/>
      <c r="Q11" s="61"/>
      <c r="R11" s="53"/>
      <c r="S11" s="91"/>
      <c r="T11" s="90"/>
      <c r="U11" s="90"/>
      <c r="V11" s="165">
        <f>AVERAGE(V12:V14)</f>
        <v>110</v>
      </c>
      <c r="W11" s="103">
        <f>SUM(W12:W14)</f>
        <v>15.399999999999999</v>
      </c>
      <c r="Y11" s="91">
        <f>T.BANGKIR!A9</f>
        <v>2</v>
      </c>
      <c r="Z11" s="311" t="str">
        <f>T.BANGKIR!B9</f>
        <v>Keandalan Sistem</v>
      </c>
      <c r="AA11" s="441"/>
      <c r="AB11" s="61"/>
      <c r="AC11" s="53"/>
      <c r="AD11" s="90"/>
      <c r="AE11" s="90"/>
      <c r="AF11" s="90"/>
      <c r="AG11" s="165">
        <f>AVERAGE(AG12:AG14)</f>
        <v>110</v>
      </c>
      <c r="AH11" s="103">
        <f>SUM(AH12:AH14)</f>
        <v>15.399999999999999</v>
      </c>
      <c r="AI11" s="274"/>
      <c r="AJ11" s="91">
        <f>T.MOUTONG!A9</f>
        <v>2</v>
      </c>
      <c r="AK11" s="311" t="str">
        <f>T.MOUTONG!B9</f>
        <v>Keandalan Sistem</v>
      </c>
      <c r="AL11" s="441"/>
      <c r="AM11" s="61"/>
      <c r="AN11" s="53"/>
      <c r="AO11" s="91"/>
      <c r="AP11" s="91"/>
      <c r="AQ11" s="90"/>
      <c r="AR11" s="165">
        <f>AVERAGE(AR12:AR14)</f>
        <v>110</v>
      </c>
      <c r="AS11" s="103">
        <f>SUM(AS12:AS14)</f>
        <v>15.399999999999999</v>
      </c>
      <c r="AU11" s="91">
        <f>T.KOTARAYA!A9</f>
        <v>2</v>
      </c>
      <c r="AV11" s="311" t="str">
        <f>T.KOTARAYA!B9</f>
        <v>Keandalan Sistem</v>
      </c>
      <c r="AW11" s="441"/>
      <c r="AX11" s="288"/>
      <c r="AY11" s="53"/>
      <c r="AZ11" s="90"/>
      <c r="BA11" s="90"/>
      <c r="BB11" s="90"/>
      <c r="BC11" s="165">
        <f>AVERAGE(BC12:BC14)</f>
        <v>110</v>
      </c>
      <c r="BD11" s="103">
        <f>SUM(BD12:BD14)</f>
        <v>15.399999999999999</v>
      </c>
    </row>
    <row r="12" spans="1:56" s="12" customFormat="1" ht="16.5">
      <c r="B12" s="183"/>
      <c r="C12" s="91"/>
      <c r="D12" s="52" t="str">
        <f>T.TOLIS!B10</f>
        <v>a. SAIDI (sesuai kewenangan)</v>
      </c>
      <c r="E12" s="441" t="str">
        <f>T.TOLIS!C10</f>
        <v>ò</v>
      </c>
      <c r="F12" s="61" t="str">
        <f>T.TOLIS!D10</f>
        <v>menit/plg</v>
      </c>
      <c r="G12" s="53">
        <v>6</v>
      </c>
      <c r="H12" s="90">
        <f>T.TOLIS!H10</f>
        <v>389.24</v>
      </c>
      <c r="I12" s="90">
        <f>VLOOKUP(D12,T.TOLIS!$B$4:$T$56,MATCH(ULP!$A$1,T.TOLIS!$B$5:$T$5,0),FALSE)</f>
        <v>291.93</v>
      </c>
      <c r="J12" s="90">
        <f>VLOOKUP(D12,'R.TOLIS'!$B$4:$T$64,MATCH(ULP!$A$1,'R.TOLIS'!$B$5:$T$5,0),FALSE)</f>
        <v>243.85041218034991</v>
      </c>
      <c r="K12" s="165">
        <f>IF(OR(I12="N/A",J12="N/A"),"N/A",IF((2-(J12/I12))*100&gt;=110,110,(2-(J12/I12))*100))</f>
        <v>110</v>
      </c>
      <c r="L12" s="103">
        <f>ROUNDDOWN(IF(K12="N/A",0,IF(K12&gt;110,G12*110/100,G12*K12/100)),2)</f>
        <v>6.6</v>
      </c>
      <c r="M12" s="157"/>
      <c r="N12" s="91"/>
      <c r="O12" s="52" t="str">
        <f>T.LEOK!B10</f>
        <v>a. SAIDI (sesuai kewenangan)</v>
      </c>
      <c r="P12" s="441" t="str">
        <f>T.LEOK!C10</f>
        <v>ò</v>
      </c>
      <c r="Q12" s="61" t="str">
        <f>T.LEOK!D10</f>
        <v>Menit/plg</v>
      </c>
      <c r="R12" s="53">
        <v>6</v>
      </c>
      <c r="S12" s="90">
        <f>T.LEOK!T10</f>
        <v>302.68</v>
      </c>
      <c r="T12" s="90">
        <f>VLOOKUP(O12,T.LEOK!$B$4:$T$56,MATCH(ULP!$A$1,T.LEOK!$B$5:$T$5,0),FALSE)</f>
        <v>227.01</v>
      </c>
      <c r="U12" s="90">
        <f>VLOOKUP(O12,'R.LEOK'!$B$4:$T$64,MATCH(ULP!$A$1,'R.LEOK'!$B$5:$T$5,0),FALSE)</f>
        <v>167.87464569509299</v>
      </c>
      <c r="V12" s="165">
        <f>IF(OR(T12="N/A",U12="N/A"),"N/A",IF((2-(U12/T12))*100&gt;=110,110,(2-(U12/T12))*100))</f>
        <v>110</v>
      </c>
      <c r="W12" s="103">
        <f>ROUNDDOWN(IF(V12="N/A",0,IF(V12&gt;110,R12*110/100,R12*V12/100)),2)</f>
        <v>6.6</v>
      </c>
      <c r="Y12" s="91"/>
      <c r="Z12" s="52" t="str">
        <f>T.BANGKIR!B10</f>
        <v>a. SAIDI (sesuai kewenangan)</v>
      </c>
      <c r="AA12" s="441" t="str">
        <f>T.BANGKIR!C10</f>
        <v>ò</v>
      </c>
      <c r="AB12" s="61" t="str">
        <f>T.BANGKIR!D10</f>
        <v>Menit/plg</v>
      </c>
      <c r="AC12" s="53">
        <v>6</v>
      </c>
      <c r="AD12" s="90">
        <f>T.BANGKIR!T10</f>
        <v>175.78</v>
      </c>
      <c r="AE12" s="90">
        <f>VLOOKUP(Z12,T.BANGKIR!$B$4:$T$56,MATCH(ULP!$A$1,T.BANGKIR!$B$5:$T$5,0),FALSE)</f>
        <v>131.83000000000001</v>
      </c>
      <c r="AF12" s="90">
        <f>VLOOKUP(Z12,'R.BANGKIR'!$B$4:$T$64,MATCH(ULP!$A$1,'R.BANGKIR'!$B$5:$T$5,0),FALSE)</f>
        <v>98.540400108626784</v>
      </c>
      <c r="AG12" s="165">
        <f>IF(OR(AE12="N/A",AF12="N/A"),"N/A",IF((2-(AF12/AE12))*100&gt;=110,110,(2-(AF12/AE12))*100))</f>
        <v>110</v>
      </c>
      <c r="AH12" s="103">
        <f>ROUNDDOWN(IF(AG12="N/A",0,IF(AG12&gt;110,AC12*110/100,AC12*AG12/100)),2)</f>
        <v>6.6</v>
      </c>
      <c r="AJ12" s="91"/>
      <c r="AK12" s="52" t="str">
        <f>T.MOUTONG!B10</f>
        <v>a. SAIDI (sesuai kewenangan)</v>
      </c>
      <c r="AL12" s="441" t="str">
        <f>T.MOUTONG!C10</f>
        <v>ò</v>
      </c>
      <c r="AM12" s="61" t="str">
        <f>T.MOUTONG!D10</f>
        <v>Menit/plg</v>
      </c>
      <c r="AN12" s="53">
        <v>6</v>
      </c>
      <c r="AO12" s="90">
        <f>T.MOUTONG!T10</f>
        <v>207.7</v>
      </c>
      <c r="AP12" s="90">
        <f>VLOOKUP(AK12,T.MOUTONG!$B$4:$T$56,MATCH(ULP!$A$1,T.MOUTONG!$B$5:$T$5,0),FALSE)</f>
        <v>155.77000000000001</v>
      </c>
      <c r="AQ12" s="90">
        <f>VLOOKUP(AK12,'R.MOUTONG'!$B$4:$T$64,MATCH(ULP!$A$1,'R.MOUTONG'!$B$5:$T$5,0),FALSE)</f>
        <v>94.163549824758789</v>
      </c>
      <c r="AR12" s="165">
        <f>IF(OR(AP12="N/A",AQ12="N/A"),"N/A",IF((2-(AQ12/AP12))*100&gt;=110,110,(2-(AQ12/AP12))*100))</f>
        <v>110</v>
      </c>
      <c r="AS12" s="103">
        <f>ROUNDDOWN(IF(AR12="N/A",0,IF(AR12&gt;110,AN12*110/100,AN12*AR12/100)),2)</f>
        <v>6.6</v>
      </c>
      <c r="AU12" s="91"/>
      <c r="AV12" s="52" t="str">
        <f>T.KOTARAYA!B10</f>
        <v>a. SAIDI (sesuai kewenangan)</v>
      </c>
      <c r="AW12" s="441" t="str">
        <f>T.KOTARAYA!C10</f>
        <v>ò</v>
      </c>
      <c r="AX12" s="288" t="str">
        <f>T.KOTARAYA!D10</f>
        <v>Menit/plg</v>
      </c>
      <c r="AY12" s="53">
        <v>6</v>
      </c>
      <c r="AZ12" s="90">
        <f>T.KOTARAYA!T10</f>
        <v>844.27156923076882</v>
      </c>
      <c r="BA12" s="90">
        <f>VLOOKUP(AV12,T.KOTARAYA!$B$4:$T$56,MATCH(ULP!$A$1,T.KOTARAYA!$B$5:$T$5,0),FALSE)</f>
        <v>633.20367692307673</v>
      </c>
      <c r="BB12" s="90">
        <f>VLOOKUP(AV12,'R.KOTARAYA'!$B$4:$T$64,MATCH(ULP!$A$1,'R.KOTARAYA'!$B$5:$T$5,0),FALSE)</f>
        <v>109.91086827726943</v>
      </c>
      <c r="BC12" s="165">
        <f>IF(OR(BA12="N/A",BB12="N/A"),"N/A",IF((2-(BB12/BA12))*100&gt;=110,110,(2-(BB12/BA12))*100))</f>
        <v>110</v>
      </c>
      <c r="BD12" s="103">
        <f>ROUNDDOWN(IF(BC12="N/A",0,IF(BC12&gt;110,AY12*110/100,AY12*BC12/100)),2)</f>
        <v>6.6</v>
      </c>
    </row>
    <row r="13" spans="1:56" s="12" customFormat="1" ht="16.5">
      <c r="B13" s="183"/>
      <c r="C13" s="91"/>
      <c r="D13" s="52" t="str">
        <f>T.TOLIS!B11</f>
        <v>b. SAIFI (sesuai kewenangan)</v>
      </c>
      <c r="E13" s="441" t="str">
        <f>T.TOLIS!C11</f>
        <v>ò</v>
      </c>
      <c r="F13" s="61" t="str">
        <f>T.TOLIS!D11</f>
        <v>kali/plg</v>
      </c>
      <c r="G13" s="53">
        <v>6</v>
      </c>
      <c r="H13" s="90">
        <f>T.TOLIS!H11</f>
        <v>3.53</v>
      </c>
      <c r="I13" s="90">
        <f>VLOOKUP(D13,T.TOLIS!$B$4:$T$56,MATCH(ULP!$A$1,T.TOLIS!$B$5:$T$5,0),FALSE)</f>
        <v>2.65</v>
      </c>
      <c r="J13" s="90">
        <f>VLOOKUP(D13,'R.TOLIS'!$B$4:$T$64,MATCH(ULP!$A$1,'R.TOLIS'!$B$5:$T$5,0),FALSE)</f>
        <v>2.3221105316285331</v>
      </c>
      <c r="K13" s="165">
        <f>IF(OR(I13="N/A",J13="N/A"),"N/A",IF((2-(J13/I13))*100&gt;=110,110,(2-(J13/I13))*100))</f>
        <v>110</v>
      </c>
      <c r="L13" s="103">
        <f>ROUNDDOWN(IF(K13="N/A",0,IF(K13&gt;110,G13*110/100,G13*K13/100)),2)</f>
        <v>6.6</v>
      </c>
      <c r="M13" s="157"/>
      <c r="N13" s="91"/>
      <c r="O13" s="52" t="str">
        <f>T.LEOK!B11</f>
        <v>b. SAIFI (sesuai kewenangan)</v>
      </c>
      <c r="P13" s="441" t="str">
        <f>T.LEOK!C11</f>
        <v>ò</v>
      </c>
      <c r="Q13" s="61" t="str">
        <f>T.LEOK!D11</f>
        <v>Kali/plg</v>
      </c>
      <c r="R13" s="53">
        <v>6</v>
      </c>
      <c r="S13" s="90">
        <f>T.LEOK!T11</f>
        <v>3.2</v>
      </c>
      <c r="T13" s="90">
        <f>VLOOKUP(O13,T.LEOK!$B$4:$T$56,MATCH(ULP!$A$1,T.LEOK!$B$5:$T$5,0),FALSE)</f>
        <v>2.4</v>
      </c>
      <c r="U13" s="90">
        <f>VLOOKUP(O13,'R.LEOK'!$B$4:$T$64,MATCH(ULP!$A$1,'R.LEOK'!$B$5:$T$5,0),FALSE)</f>
        <v>1.763059446765517</v>
      </c>
      <c r="V13" s="165">
        <f>IF(OR(T13="N/A",U13="N/A"),"N/A",IF((2-(U13/T13))*100&gt;=110,110,(2-(U13/T13))*100))</f>
        <v>110</v>
      </c>
      <c r="W13" s="103">
        <f>ROUNDDOWN(IF(V13="N/A",0,IF(V13&gt;110,R13*110/100,R13*V13/100)),2)</f>
        <v>6.6</v>
      </c>
      <c r="Y13" s="91"/>
      <c r="Z13" s="52" t="str">
        <f>T.BANGKIR!B11</f>
        <v>b. SAIFI (sesuai kewenangan)</v>
      </c>
      <c r="AA13" s="441" t="str">
        <f>T.BANGKIR!C11</f>
        <v>ò</v>
      </c>
      <c r="AB13" s="61" t="str">
        <f>T.BANGKIR!D11</f>
        <v>Kali/plg</v>
      </c>
      <c r="AC13" s="53">
        <v>6</v>
      </c>
      <c r="AD13" s="90">
        <f>T.BANGKIR!T11</f>
        <v>2.81</v>
      </c>
      <c r="AE13" s="90">
        <f>VLOOKUP(Z13,T.BANGKIR!$B$4:$T$56,MATCH(ULP!$A$1,T.BANGKIR!$B$5:$T$5,0),FALSE)</f>
        <v>2.1</v>
      </c>
      <c r="AF13" s="90">
        <f>VLOOKUP(Z13,'R.BANGKIR'!$B$4:$T$64,MATCH(ULP!$A$1,'R.BANGKIR'!$B$5:$T$5,0),FALSE)</f>
        <v>1.6025165203222593</v>
      </c>
      <c r="AG13" s="165">
        <f>IF(OR(AE13="N/A",AF13="N/A"),"N/A",IF((2-(AF13/AE13))*100&gt;=110,110,(2-(AF13/AE13))*100))</f>
        <v>110</v>
      </c>
      <c r="AH13" s="103">
        <f>ROUNDDOWN(IF(AG13="N/A",0,IF(AG13&gt;110,AC13*110/100,AC13*AG13/100)),2)</f>
        <v>6.6</v>
      </c>
      <c r="AJ13" s="91"/>
      <c r="AK13" s="52" t="str">
        <f>T.MOUTONG!B11</f>
        <v>b. SAIFI (sesuai kewenangan)</v>
      </c>
      <c r="AL13" s="441" t="str">
        <f>T.MOUTONG!C11</f>
        <v>ò</v>
      </c>
      <c r="AM13" s="61" t="str">
        <f>T.MOUTONG!D11</f>
        <v>Kali/plg</v>
      </c>
      <c r="AN13" s="53">
        <v>6</v>
      </c>
      <c r="AO13" s="90">
        <f>T.MOUTONG!T11</f>
        <v>2.0499999999999998</v>
      </c>
      <c r="AP13" s="90">
        <f>VLOOKUP(AK13,T.MOUTONG!$B$4:$T$56,MATCH(ULP!$A$1,T.MOUTONG!$B$5:$T$5,0),FALSE)</f>
        <v>1.54</v>
      </c>
      <c r="AQ13" s="90">
        <f>VLOOKUP(AK13,'R.MOUTONG'!$B$4:$T$64,MATCH(ULP!$A$1,'R.MOUTONG'!$B$5:$T$5,0),FALSE)</f>
        <v>1.0747263207996192</v>
      </c>
      <c r="AR13" s="165">
        <f>IF(OR(AP13="N/A",AQ13="N/A"),"N/A",IF((2-(AQ13/AP13))*100&gt;=110,110,(2-(AQ13/AP13))*100))</f>
        <v>110</v>
      </c>
      <c r="AS13" s="103">
        <f>ROUNDDOWN(IF(AR13="N/A",0,IF(AR13&gt;110,AN13*110/100,AN13*AR13/100)),2)</f>
        <v>6.6</v>
      </c>
      <c r="AU13" s="91"/>
      <c r="AV13" s="52" t="str">
        <f>T.KOTARAYA!B11</f>
        <v>b. SAIFI (sesuai kewenangan)</v>
      </c>
      <c r="AW13" s="441" t="str">
        <f>T.KOTARAYA!C11</f>
        <v>ò</v>
      </c>
      <c r="AX13" s="288" t="str">
        <f>T.KOTARAYA!D11</f>
        <v>Kali/plg</v>
      </c>
      <c r="AY13" s="53">
        <v>6</v>
      </c>
      <c r="AZ13" s="90">
        <f>T.KOTARAYA!T11</f>
        <v>2.62</v>
      </c>
      <c r="BA13" s="90">
        <f>VLOOKUP(AV13,T.KOTARAYA!$B$4:$T$56,MATCH(ULP!$A$1,T.KOTARAYA!$B$5:$T$5,0),FALSE)</f>
        <v>1.96</v>
      </c>
      <c r="BB13" s="90">
        <f>VLOOKUP(AV13,'R.KOTARAYA'!$B$4:$T$64,MATCH(ULP!$A$1,'R.KOTARAYA'!$B$5:$T$5,0),FALSE)</f>
        <v>1.452438944111645</v>
      </c>
      <c r="BC13" s="165">
        <f>IF(OR(BA13="N/A",BB13="N/A"),"N/A",IF((2-(BB13/BA13))*100&gt;=110,110,(2-(BB13/BA13))*100))</f>
        <v>110</v>
      </c>
      <c r="BD13" s="103">
        <f>ROUNDDOWN(IF(BC13="N/A",0,IF(BC13&gt;110,AY13*110/100,AY13*BC13/100)),2)</f>
        <v>6.6</v>
      </c>
    </row>
    <row r="14" spans="1:56" s="12" customFormat="1" ht="16.5">
      <c r="B14" s="183"/>
      <c r="C14" s="91"/>
      <c r="D14" s="52" t="str">
        <f>T.TOLIS!B12</f>
        <v>c. ENS (sesuai kewenangan)</v>
      </c>
      <c r="E14" s="441" t="str">
        <f>T.TOLIS!C12</f>
        <v>ò</v>
      </c>
      <c r="F14" s="61" t="str">
        <f>T.TOLIS!D12</f>
        <v>MWh</v>
      </c>
      <c r="G14" s="53">
        <v>2</v>
      </c>
      <c r="H14" s="90">
        <f>T.TOLIS!H12</f>
        <v>48.47</v>
      </c>
      <c r="I14" s="90">
        <f>VLOOKUP(D14,T.TOLIS!$B$4:$T$56,MATCH(ULP!$A$1,T.TOLIS!$B$5:$T$5,0),FALSE)</f>
        <v>36.35</v>
      </c>
      <c r="J14" s="90">
        <f>VLOOKUP(D14,'R.TOLIS'!$B$4:$T$64,MATCH(ULP!$A$1,'R.TOLIS'!$B$5:$T$5,0),FALSE)</f>
        <v>22.542999999999999</v>
      </c>
      <c r="K14" s="165">
        <f>IF(I14=0,0,IF(((I14-(J14-I14))/I14)*100&lt;=0,0,IF(((I14-(J14-I14))/I14)*100&gt;=110,110,((I14-(J14-I14))/I14)*100)))</f>
        <v>110</v>
      </c>
      <c r="L14" s="103">
        <f>ROUNDDOWN(IF(K14="N/A",0,IF(K14&gt;110,G14*110/100,G14*K14/100)),2)</f>
        <v>2.2000000000000002</v>
      </c>
      <c r="M14" s="157"/>
      <c r="N14" s="91"/>
      <c r="O14" s="52" t="str">
        <f>T.LEOK!B12</f>
        <v>c. ENS (sesuai kewenangan)</v>
      </c>
      <c r="P14" s="441" t="str">
        <f>T.LEOK!C12</f>
        <v>ò</v>
      </c>
      <c r="Q14" s="61" t="str">
        <f>T.LEOK!D12</f>
        <v>MWh</v>
      </c>
      <c r="R14" s="53">
        <v>2</v>
      </c>
      <c r="S14" s="90">
        <f>T.LEOK!T12</f>
        <v>29.39</v>
      </c>
      <c r="T14" s="90">
        <f>VLOOKUP(O14,T.LEOK!$B$4:$T$56,MATCH(ULP!$A$1,T.LEOK!$B$5:$T$5,0),FALSE)</f>
        <v>22.04</v>
      </c>
      <c r="U14" s="90">
        <f>VLOOKUP(O14,'R.LEOK'!$B$4:$T$64,MATCH(ULP!$A$1,'R.LEOK'!$B$5:$T$5,0),FALSE)</f>
        <v>14.169000000000002</v>
      </c>
      <c r="V14" s="165">
        <f>IF(T14=0,0,IF(((T14-(U14-T14))/T14)*100&lt;=0,0,IF(((T14-(U14-T14))/T14)*100&gt;=110,110,((T14-(U14-T14))/T14)*100)))</f>
        <v>110</v>
      </c>
      <c r="W14" s="103">
        <f>ROUNDDOWN(IF(V14="N/A",0,IF(V14&gt;110,R14*110/100,R14*V14/100)),2)</f>
        <v>2.2000000000000002</v>
      </c>
      <c r="Y14" s="91"/>
      <c r="Z14" s="52" t="str">
        <f>T.BANGKIR!B12</f>
        <v>c. ENS (sesuai kewenangan)</v>
      </c>
      <c r="AA14" s="441" t="str">
        <f>T.BANGKIR!C12</f>
        <v>ò</v>
      </c>
      <c r="AB14" s="61" t="str">
        <f>T.BANGKIR!D12</f>
        <v>MWh</v>
      </c>
      <c r="AC14" s="53">
        <v>2</v>
      </c>
      <c r="AD14" s="90">
        <f>T.BANGKIR!T12</f>
        <v>7.08</v>
      </c>
      <c r="AE14" s="90">
        <f>VLOOKUP(Z14,T.BANGKIR!$B$4:$T$56,MATCH(ULP!$A$1,T.BANGKIR!$B$5:$T$5,0),FALSE)</f>
        <v>5.31</v>
      </c>
      <c r="AF14" s="90">
        <f>VLOOKUP(Z14,'R.BANGKIR'!$B$4:$T$64,MATCH(ULP!$A$1,'R.BANGKIR'!$B$5:$T$5,0),FALSE)</f>
        <v>4.1610000000000005</v>
      </c>
      <c r="AG14" s="165">
        <f>IF(AE14=0,0,IF(((AE14-(AF14-AE14))/AE14)*100&lt;=0,0,IF(((AE14-(AF14-AE14))/AE14)*100&gt;=110,110,((AE14-(AF14-AE14))/AE14)*100)))</f>
        <v>110</v>
      </c>
      <c r="AH14" s="103">
        <f>ROUNDDOWN(IF(AG14="N/A",0,IF(AG14&gt;110,AC14*110/100,AC14*AG14/100)),2)</f>
        <v>2.2000000000000002</v>
      </c>
      <c r="AJ14" s="91"/>
      <c r="AK14" s="52" t="str">
        <f>T.MOUTONG!B12</f>
        <v>c. ENS (sesuai kewenangan)</v>
      </c>
      <c r="AL14" s="441" t="str">
        <f>T.MOUTONG!C12</f>
        <v>ò</v>
      </c>
      <c r="AM14" s="61" t="str">
        <f>T.MOUTONG!D12</f>
        <v>MWh</v>
      </c>
      <c r="AN14" s="53">
        <v>2</v>
      </c>
      <c r="AO14" s="90">
        <f>T.MOUTONG!T12</f>
        <v>10.34</v>
      </c>
      <c r="AP14" s="90">
        <f>VLOOKUP(AK14,T.MOUTONG!$B$4:$T$56,MATCH(ULP!$A$1,T.MOUTONG!$B$5:$T$5,0),FALSE)</f>
        <v>7.75</v>
      </c>
      <c r="AQ14" s="90">
        <f>VLOOKUP(AK14,'R.MOUTONG'!$B$4:$T$64,MATCH(ULP!$A$1,'R.MOUTONG'!$B$5:$T$5,0),FALSE)</f>
        <v>5.2640000000000011</v>
      </c>
      <c r="AR14" s="165">
        <f>IF(AP14=0,0,IF(((AP14-(AQ14-AP14))/AP14)*100&lt;=0,0,IF(((AP14-(AQ14-AP14))/AP14)*100&gt;=110,110,((AP14-(AQ14-AP14))/AP14)*100)))</f>
        <v>110</v>
      </c>
      <c r="AS14" s="103">
        <f>ROUNDDOWN(IF(AR14="N/A",0,IF(AR14&gt;110,AN14*110/100,AN14*AR14/100)),2)</f>
        <v>2.2000000000000002</v>
      </c>
      <c r="AU14" s="91"/>
      <c r="AV14" s="52" t="str">
        <f>T.KOTARAYA!B12</f>
        <v>c. ENS (sesuai kewenangan)</v>
      </c>
      <c r="AW14" s="441" t="str">
        <f>T.KOTARAYA!C12</f>
        <v>ò</v>
      </c>
      <c r="AX14" s="288" t="str">
        <f>T.KOTARAYA!D12</f>
        <v>MWh</v>
      </c>
      <c r="AY14" s="53">
        <v>2</v>
      </c>
      <c r="AZ14" s="90">
        <f>T.KOTARAYA!T12</f>
        <v>12.6</v>
      </c>
      <c r="BA14" s="90">
        <f>VLOOKUP(AV14,T.KOTARAYA!$B$4:$T$56,MATCH(ULP!$A$1,T.KOTARAYA!$B$5:$T$5,0),FALSE)</f>
        <v>9.4499999999999993</v>
      </c>
      <c r="BB14" s="90">
        <f>VLOOKUP(AV14,'R.KOTARAYA'!$B$4:$T$64,MATCH(ULP!$A$1,'R.KOTARAYA'!$B$5:$T$5,0),FALSE)</f>
        <v>4.8029999999999999</v>
      </c>
      <c r="BC14" s="165">
        <f>IF(BA14=0,0,IF(((BA14-(BB14-BA14))/BA14)*100&lt;=0,0,IF(((BA14-(BB14-BA14))/BA14)*100&gt;=110,110,((BA14-(BB14-BA14))/BA14)*100)))</f>
        <v>110</v>
      </c>
      <c r="BD14" s="103">
        <f>ROUNDDOWN(IF(BC14="N/A",0,IF(BC14&gt;110,AY14*110/100,AY14*BC14/100)),2)</f>
        <v>2.2000000000000002</v>
      </c>
    </row>
    <row r="15" spans="1:56" s="12" customFormat="1" ht="16.5">
      <c r="B15" s="183"/>
      <c r="C15" s="91">
        <f>T.TOLIS!A13</f>
        <v>3</v>
      </c>
      <c r="D15" s="311" t="str">
        <f>T.TOLIS!B13</f>
        <v>Efisiensi Jaringan Distribusi</v>
      </c>
      <c r="E15" s="441"/>
      <c r="F15" s="61"/>
      <c r="G15" s="53">
        <f>IF(J15="N/A",0,T.TOLIS!F13)</f>
        <v>12</v>
      </c>
      <c r="H15" s="90"/>
      <c r="I15" s="90"/>
      <c r="J15" s="286"/>
      <c r="K15" s="287">
        <f>AVERAGE(K16:K18)</f>
        <v>105.54248366013071</v>
      </c>
      <c r="L15" s="103">
        <f>ROUNDDOWN(IF(K15="N/A",0,IF(K15&gt;110,G15*110/100,G15*K15/100)),2)</f>
        <v>12.66</v>
      </c>
      <c r="M15" s="157"/>
      <c r="N15" s="91">
        <f>T.LEOK!A13</f>
        <v>3</v>
      </c>
      <c r="O15" s="311" t="str">
        <f>T.LEOK!B13</f>
        <v>Efisiensi Jaringan Distribusi</v>
      </c>
      <c r="P15" s="441"/>
      <c r="Q15" s="61"/>
      <c r="R15" s="53">
        <f>IF(U15="N/A",0,T.LEOK!F13)</f>
        <v>12</v>
      </c>
      <c r="S15" s="90"/>
      <c r="T15" s="90"/>
      <c r="U15" s="286"/>
      <c r="V15" s="165">
        <f>AVERAGE(V16:V18)</f>
        <v>96.465677720954446</v>
      </c>
      <c r="W15" s="103">
        <f>ROUNDDOWN(IF(V15="N/A",0,IF(V15&gt;110,R15*110/100,R15*V15/100)),2)</f>
        <v>11.57</v>
      </c>
      <c r="Y15" s="91">
        <f>T.BANGKIR!A13</f>
        <v>3</v>
      </c>
      <c r="Z15" s="311" t="str">
        <f>T.BANGKIR!B13</f>
        <v>Efisiensi Jaringan Distribusi</v>
      </c>
      <c r="AA15" s="441"/>
      <c r="AB15" s="61"/>
      <c r="AC15" s="53">
        <f>IF(AF15="N/A",0,T.BANGKIR!F13)</f>
        <v>12</v>
      </c>
      <c r="AD15" s="90"/>
      <c r="AE15" s="90"/>
      <c r="AF15" s="286"/>
      <c r="AG15" s="287">
        <f>AVERAGE(AG16:AG18)</f>
        <v>110</v>
      </c>
      <c r="AH15" s="103">
        <f>ROUNDDOWN(IF(AG15="N/A",0,IF(AG15&gt;110,AC15*110/100,AC15*AG15/100)),2)</f>
        <v>13.2</v>
      </c>
      <c r="AJ15" s="91">
        <f>T.MOUTONG!A13</f>
        <v>3</v>
      </c>
      <c r="AK15" s="311" t="str">
        <f>T.MOUTONG!B13</f>
        <v>Efisiensi Jaringan Distribusi</v>
      </c>
      <c r="AL15" s="441"/>
      <c r="AM15" s="61"/>
      <c r="AN15" s="53">
        <f>IF(AQ15="N/A",0,T.MOUTONG!F13)</f>
        <v>12</v>
      </c>
      <c r="AO15" s="90"/>
      <c r="AP15" s="90"/>
      <c r="AQ15" s="286"/>
      <c r="AR15" s="287">
        <f>AVERAGE(AR16:AR18)</f>
        <v>104.02233413109899</v>
      </c>
      <c r="AS15" s="103">
        <f>ROUNDDOWN(IF(AR15="N/A",0,IF(AR15&gt;110,AN15*110/100,AN15*AR15/100)),2)</f>
        <v>12.48</v>
      </c>
      <c r="AU15" s="91">
        <f>T.KOTARAYA!A13</f>
        <v>3</v>
      </c>
      <c r="AV15" s="311" t="str">
        <f>T.KOTARAYA!B13</f>
        <v>Efisiensi Jaringan Distribusi</v>
      </c>
      <c r="AW15" s="441"/>
      <c r="AX15" s="288"/>
      <c r="AY15" s="53">
        <f>IF(BB15="N/A",0,T.KOTARAYA!F13)</f>
        <v>12</v>
      </c>
      <c r="AZ15" s="90"/>
      <c r="BA15" s="90"/>
      <c r="BB15" s="286"/>
      <c r="BC15" s="287">
        <f>AVERAGE(BC16:BC18)</f>
        <v>105.80903373356205</v>
      </c>
      <c r="BD15" s="103">
        <f>ROUNDDOWN(IF(BC15="N/A",0,IF(BC15&gt;110,AY15*110/100,AY15*BC15/100)),2)</f>
        <v>12.69</v>
      </c>
    </row>
    <row r="16" spans="1:56" s="12" customFormat="1" ht="16.5">
      <c r="B16" s="183"/>
      <c r="C16" s="91"/>
      <c r="D16" s="52" t="str">
        <f>T.TOLIS!B14</f>
        <v>a. Susut Distribusi Tanpa E-min (sesuai kewenangan)</v>
      </c>
      <c r="E16" s="441" t="str">
        <f>T.TOLIS!C14</f>
        <v>ò</v>
      </c>
      <c r="F16" s="61" t="str">
        <f>T.TOLIS!D14</f>
        <v>%</v>
      </c>
      <c r="G16" s="53"/>
      <c r="H16" s="90">
        <f>T.TOLIS!H14</f>
        <v>9.3699999999999992</v>
      </c>
      <c r="I16" s="90">
        <f>VLOOKUP(D16,T.TOLIS!$B$4:$T$56,MATCH(ULP!$A$1,T.TOLIS!$B$5:$T$5,0),FALSE)</f>
        <v>9.58</v>
      </c>
      <c r="J16" s="286">
        <f>VLOOKUP(D16,'R.TOLIS'!$B$4:$T$64,MATCH(ULP!$A$1,'R.TOLIS'!$B$5:$T$5,0),FALSE)</f>
        <v>7.9794982755546888</v>
      </c>
      <c r="K16" s="287">
        <f>IF(I16=0,0,IF(((I16-(J16-I16))/I16)*100&lt;=0,0,IF(((I16-(J16-I16))/I16)*100&gt;=110,110,((I16-(J16-I16))/I16)*100)))</f>
        <v>110</v>
      </c>
      <c r="L16" s="103"/>
      <c r="M16" s="157"/>
      <c r="N16" s="91"/>
      <c r="O16" s="52" t="str">
        <f>T.LEOK!B14</f>
        <v>a. Susut Distribusi Tanpa E-min (sesuai kewenangan)</v>
      </c>
      <c r="P16" s="441" t="str">
        <f>T.LEOK!C14</f>
        <v>ò</v>
      </c>
      <c r="Q16" s="61" t="str">
        <f>T.LEOK!D14</f>
        <v>%</v>
      </c>
      <c r="R16" s="53"/>
      <c r="S16" s="90">
        <f>T.LEOK!T14</f>
        <v>10.35</v>
      </c>
      <c r="T16" s="90">
        <f>VLOOKUP(O16,T.LEOK!$B$4:$T$56,MATCH(ULP!$A$1,T.LEOK!$B$5:$T$5,0),FALSE)</f>
        <v>10.58</v>
      </c>
      <c r="U16" s="286">
        <f>VLOOKUP(O16,'R.LEOK'!$B$4:$T$64,MATCH(ULP!$A$1,'R.LEOK'!$B$5:$T$5,0),FALSE)</f>
        <v>11.082476818198327</v>
      </c>
      <c r="V16" s="287">
        <f>IF(T16=0,0,IF(((T16-(U16-T16))/T16)*100&lt;=0,0,IF(((T16-(U16-T16))/T16)*100&gt;=110,110,((T16-(U16-T16))/T16)*100)))</f>
        <v>95.250691699448709</v>
      </c>
      <c r="W16" s="103"/>
      <c r="Y16" s="91"/>
      <c r="Z16" s="52" t="str">
        <f>T.BANGKIR!B14</f>
        <v>a. Susut Distribusi Tanpa E-min (sesuai kewenangan)</v>
      </c>
      <c r="AA16" s="441" t="str">
        <f>T.BANGKIR!C14</f>
        <v>ò</v>
      </c>
      <c r="AB16" s="61" t="str">
        <f>T.BANGKIR!D14</f>
        <v>%</v>
      </c>
      <c r="AC16" s="53"/>
      <c r="AD16" s="90">
        <f>T.BANGKIR!T14</f>
        <v>7.8</v>
      </c>
      <c r="AE16" s="90">
        <f>VLOOKUP(Z16,T.BANGKIR!$B$4:$T$56,MATCH(ULP!$A$1,T.BANGKIR!$B$5:$T$5,0),FALSE)</f>
        <v>7.98</v>
      </c>
      <c r="AF16" s="286">
        <f>VLOOKUP(Z16,'R.BANGKIR'!$B$4:$T$64,MATCH(ULP!$A$1,'R.BANGKIR'!$B$5:$T$5,0),FALSE)</f>
        <v>3.3809757551298412</v>
      </c>
      <c r="AG16" s="287">
        <f>IF(AE16=0,0,IF(((AE16-(AF16-AE16))/AE16)*100&lt;=0,0,IF(((AE16-(AF16-AE16))/AE16)*100&gt;=110,110,((AE16-(AF16-AE16))/AE16)*100)))</f>
        <v>110</v>
      </c>
      <c r="AH16" s="103"/>
      <c r="AJ16" s="91"/>
      <c r="AK16" s="52" t="str">
        <f>T.MOUTONG!B14</f>
        <v>a. Susut Distribusi Tanpa E-min (sesuai kewenangan)</v>
      </c>
      <c r="AL16" s="441" t="str">
        <f>T.MOUTONG!C14</f>
        <v>ò</v>
      </c>
      <c r="AM16" s="61" t="str">
        <f>T.MOUTONG!D14</f>
        <v>%</v>
      </c>
      <c r="AN16" s="53"/>
      <c r="AO16" s="90">
        <f>T.MOUTONG!T14</f>
        <v>9.6</v>
      </c>
      <c r="AP16" s="90">
        <f>VLOOKUP(AK16,T.MOUTONG!$B$4:$T$56,MATCH(ULP!$A$1,T.MOUTONG!$B$5:$T$5,0),FALSE)</f>
        <v>9.82</v>
      </c>
      <c r="AQ16" s="286">
        <f>VLOOKUP(AK16,'R.MOUTONG'!$B$4:$T$64,MATCH(ULP!$A$1,'R.MOUTONG'!$B$5:$T$5,0),FALSE)</f>
        <v>9.9033668486832145</v>
      </c>
      <c r="AR16" s="287">
        <f>IF(AP16=0,0,IF(((AP16-(AQ16-AP16))/AP16)*100&lt;=0,0,IF(((AP16-(AQ16-AP16))/AP16)*100&gt;=110,110,((AP16-(AQ16-AP16))/AP16)*100)))</f>
        <v>99.1510504207412</v>
      </c>
      <c r="AS16" s="103"/>
      <c r="AU16" s="91"/>
      <c r="AV16" s="52" t="str">
        <f>T.KOTARAYA!B14</f>
        <v>a. Susut Distribusi Tanpa E-min (sesuai kewenangan)</v>
      </c>
      <c r="AW16" s="441" t="str">
        <f>T.KOTARAYA!C14</f>
        <v>ò</v>
      </c>
      <c r="AX16" s="288" t="str">
        <f>T.KOTARAYA!D14</f>
        <v>%</v>
      </c>
      <c r="AY16" s="53"/>
      <c r="AZ16" s="90">
        <f>T.KOTARAYA!T14</f>
        <v>6.25</v>
      </c>
      <c r="BA16" s="90">
        <f>VLOOKUP(AV16,T.KOTARAYA!$B$4:$T$56,MATCH(ULP!$A$1,T.KOTARAYA!$B$5:$T$5,0),FALSE)</f>
        <v>6.39</v>
      </c>
      <c r="BB16" s="286">
        <f>VLOOKUP(AV16,'R.KOTARAYA'!$B$4:$T$64,MATCH(ULP!$A$1,'R.KOTARAYA'!$B$5:$T$5,0),FALSE)</f>
        <v>-3.9737177716277801</v>
      </c>
      <c r="BC16" s="287">
        <f>IF(BA16=0,0,IF(((BA16-(BB16-BA16))/BA16)*100&lt;=0,0,IF(((BA16-(BB16-BA16))/BA16)*100&gt;=110,110,((BA16-(BB16-BA16))/BA16)*100)))</f>
        <v>110</v>
      </c>
      <c r="BD16" s="103"/>
    </row>
    <row r="17" spans="2:56" s="12" customFormat="1" ht="16.5">
      <c r="B17" s="183"/>
      <c r="C17" s="91"/>
      <c r="D17" s="52" t="str">
        <f>T.TOLIS!B16</f>
        <v>b. Penyelesaian Temuan P2TL</v>
      </c>
      <c r="E17" s="441" t="str">
        <f>T.TOLIS!C16</f>
        <v>ñ</v>
      </c>
      <c r="F17" s="61" t="str">
        <f>T.TOLIS!D16</f>
        <v>%</v>
      </c>
      <c r="G17" s="53"/>
      <c r="H17" s="90">
        <f>T.TOLIS!H16</f>
        <v>100</v>
      </c>
      <c r="I17" s="90">
        <f>VLOOKUP(D17,T.TOLIS!$B$4:$T$56,MATCH(ULP!$A$1,T.TOLIS!$B$5:$T$5,0),FALSE)</f>
        <v>73.780068728522338</v>
      </c>
      <c r="J17" s="286">
        <f>VLOOKUP(D17,'R.TOLIS'!$B$4:$T$64,MATCH(ULP!$A$1,'R.TOLIS'!$B$5:$T$5,0),FALSE)</f>
        <v>101.83328964613368</v>
      </c>
      <c r="K17" s="287">
        <f>IF(OR(I17="N/A",J17="N/A"),"N/A",IF((J17/I17*100)&gt;=110,110,(J17/I17*100)))</f>
        <v>110</v>
      </c>
      <c r="L17" s="103"/>
      <c r="M17" s="157"/>
      <c r="N17" s="91"/>
      <c r="O17" s="52" t="str">
        <f>T.LEOK!B16</f>
        <v>b. Penyelesaian Temuan P2TL</v>
      </c>
      <c r="P17" s="441" t="str">
        <f>T.LEOK!C16</f>
        <v>ñ</v>
      </c>
      <c r="Q17" s="61" t="str">
        <f>T.LEOK!D16</f>
        <v>%</v>
      </c>
      <c r="R17" s="53"/>
      <c r="S17" s="90">
        <f>T.LEOK!T16</f>
        <v>100</v>
      </c>
      <c r="T17" s="90">
        <f>VLOOKUP(O17,T.LEOK!$B$4:$T$56,MATCH(ULP!$A$1,T.LEOK!$B$5:$T$5,0),FALSE)</f>
        <v>70</v>
      </c>
      <c r="U17" s="286">
        <f>VLOOKUP(O17,'R.LEOK'!$B$4:$T$64,MATCH(ULP!$A$1,'R.LEOK'!$B$5:$T$5,0),FALSE)</f>
        <v>79.757666666666665</v>
      </c>
      <c r="V17" s="287">
        <f>IF(OR(T17="N/A",U17="N/A"),"N/A",IF((U17/T17*100)&gt;=110,110,(U17/T17*100)))</f>
        <v>110</v>
      </c>
      <c r="W17" s="103"/>
      <c r="Y17" s="91"/>
      <c r="Z17" s="52" t="str">
        <f>T.BANGKIR!B16</f>
        <v>c. Penyelesaian Temuan P2TL</v>
      </c>
      <c r="AA17" s="441" t="str">
        <f>T.BANGKIR!C16</f>
        <v>ñ</v>
      </c>
      <c r="AB17" s="61" t="str">
        <f>T.BANGKIR!D16</f>
        <v>%</v>
      </c>
      <c r="AC17" s="53"/>
      <c r="AD17" s="90">
        <f>T.BANGKIR!T16</f>
        <v>100</v>
      </c>
      <c r="AE17" s="90">
        <f>VLOOKUP(Z17,T.BANGKIR!$B$4:$T$56,MATCH(ULP!$A$1,T.BANGKIR!$B$5:$T$5,0),FALSE)</f>
        <v>70</v>
      </c>
      <c r="AF17" s="286">
        <f>VLOOKUP(Z17,'R.BANGKIR'!$B$4:$T$64,MATCH(ULP!$A$1,'R.BANGKIR'!$B$5:$T$5,0),FALSE)</f>
        <v>174.14400000000001</v>
      </c>
      <c r="AG17" s="287">
        <f>IF(OR(AE17="N/A",AF17="N/A"),"N/A",IF((AF17/AE17*100)&gt;=110,110,(AF17/AE17*100)))</f>
        <v>110</v>
      </c>
      <c r="AH17" s="103"/>
      <c r="AJ17" s="91"/>
      <c r="AK17" s="52" t="str">
        <f>T.MOUTONG!B16</f>
        <v>b. Penyelesaian Temuan P2TL</v>
      </c>
      <c r="AL17" s="441" t="str">
        <f>T.MOUTONG!C16</f>
        <v>ñ</v>
      </c>
      <c r="AM17" s="61" t="str">
        <f>T.MOUTONG!D16</f>
        <v>%</v>
      </c>
      <c r="AN17" s="53"/>
      <c r="AO17" s="90">
        <f>T.MOUTONG!T16</f>
        <v>100</v>
      </c>
      <c r="AP17" s="90">
        <f>VLOOKUP(AK17,T.MOUTONG!$B$4:$T$56,MATCH(ULP!$A$1,T.MOUTONG!$B$5:$T$5,0),FALSE)</f>
        <v>62.5</v>
      </c>
      <c r="AQ17" s="286">
        <f>VLOOKUP(AK17,'R.MOUTONG'!$B$4:$T$64,MATCH(ULP!$A$1,'R.MOUTONG'!$B$5:$T$5,0),FALSE)</f>
        <v>89.040999999999997</v>
      </c>
      <c r="AR17" s="287">
        <f>IF(OR(AP17="N/A",AQ17="N/A"),"N/A",IF((AQ17/AP17*100)&gt;=110,110,(AQ17/AP17*100)))</f>
        <v>110</v>
      </c>
      <c r="AS17" s="103"/>
      <c r="AU17" s="91"/>
      <c r="AV17" s="52" t="str">
        <f>T.KOTARAYA!B16</f>
        <v>b. Penyelesaian Temuan P2TL</v>
      </c>
      <c r="AW17" s="441" t="str">
        <f>T.KOTARAYA!C16</f>
        <v>ñ</v>
      </c>
      <c r="AX17" s="288" t="str">
        <f>T.KOTARAYA!D16</f>
        <v>%</v>
      </c>
      <c r="AY17" s="53"/>
      <c r="AZ17" s="90">
        <f>T.KOTARAYA!T16</f>
        <v>100</v>
      </c>
      <c r="BA17" s="90">
        <f>VLOOKUP(AV17,T.KOTARAYA!$B$4:$T$56,MATCH(ULP!$A$1,T.KOTARAYA!$B$5:$T$5,0),FALSE)</f>
        <v>60.526315789473685</v>
      </c>
      <c r="BB17" s="286">
        <f>VLOOKUP(AV17,'R.KOTARAYA'!$B$4:$T$64,MATCH(ULP!$A$1,'R.KOTARAYA'!$B$5:$T$5,0),FALSE)</f>
        <v>118.70166666666667</v>
      </c>
      <c r="BC17" s="287">
        <f>IF(OR(BA17="N/A",BB17="N/A"),"N/A",IF((BB17/BA17*100)&gt;=110,110,(BB17/BA17*100)))</f>
        <v>110</v>
      </c>
      <c r="BD17" s="103"/>
    </row>
    <row r="18" spans="2:56" s="12" customFormat="1" ht="16.5">
      <c r="B18" s="183"/>
      <c r="C18" s="91"/>
      <c r="D18" s="52" t="str">
        <f>T.TOLIS!B17</f>
        <v>c. Penyelesaian Ganti Meter</v>
      </c>
      <c r="E18" s="441" t="str">
        <f>T.TOLIS!C17</f>
        <v>ñ</v>
      </c>
      <c r="F18" s="61" t="str">
        <f>T.TOLIS!D17</f>
        <v>Unit</v>
      </c>
      <c r="G18" s="53"/>
      <c r="H18" s="90">
        <f>T.TOLIS!H17</f>
        <v>1457</v>
      </c>
      <c r="I18" s="90">
        <f>VLOOKUP(D18,T.TOLIS!$B$4:$T$56,MATCH(ULP!$A$1,T.TOLIS!$B$5:$T$5,0),FALSE)</f>
        <v>1275</v>
      </c>
      <c r="J18" s="286">
        <f>VLOOKUP(D18,'R.TOLIS'!$B$4:$T$64,MATCH(ULP!$A$1,'R.TOLIS'!$B$5:$T$5,0),FALSE)</f>
        <v>1232</v>
      </c>
      <c r="K18" s="287">
        <f>IF(OR(I18="N/A",J18="N/A"),"N/A",IF((J18/I18*100)&gt;=110,110,(J18/I18*100)))</f>
        <v>96.627450980392155</v>
      </c>
      <c r="L18" s="103"/>
      <c r="M18" s="157"/>
      <c r="N18" s="91"/>
      <c r="O18" s="52" t="str">
        <f>T.LEOK!B17</f>
        <v>c. Penyelesaian Ganti Meter</v>
      </c>
      <c r="P18" s="441" t="str">
        <f>T.LEOK!C17</f>
        <v>ñ</v>
      </c>
      <c r="Q18" s="61" t="str">
        <f>T.LEOK!D17</f>
        <v>Unit</v>
      </c>
      <c r="R18" s="53"/>
      <c r="S18" s="90">
        <f>T.LEOK!T17</f>
        <v>1091</v>
      </c>
      <c r="T18" s="90">
        <f>VLOOKUP(O18,T.LEOK!$B$4:$T$56,MATCH(ULP!$A$1,T.LEOK!$B$5:$T$5,0),FALSE)</f>
        <v>984</v>
      </c>
      <c r="U18" s="90">
        <f>VLOOKUP(O18,'R.LEOK'!$B$4:$T$64,MATCH(ULP!$A$1,'R.LEOK'!$B$5:$T$5,0),FALSE)</f>
        <v>828</v>
      </c>
      <c r="V18" s="165">
        <f>IF(OR(T18="N/A",U18="N/A"),"N/A",IF((U18/T18*100)&gt;=110,110,(U18/T18*100)))</f>
        <v>84.146341463414629</v>
      </c>
      <c r="W18" s="103"/>
      <c r="Y18" s="91"/>
      <c r="Z18" s="52" t="str">
        <f>T.BANGKIR!B17</f>
        <v>d. Penyelesaian Ganti Meter</v>
      </c>
      <c r="AA18" s="441" t="str">
        <f>T.BANGKIR!C17</f>
        <v>ñ</v>
      </c>
      <c r="AB18" s="61" t="str">
        <f>T.BANGKIR!D17</f>
        <v>Unit</v>
      </c>
      <c r="AC18" s="53"/>
      <c r="AD18" s="90">
        <f>T.BANGKIR!T17</f>
        <v>793</v>
      </c>
      <c r="AE18" s="90">
        <f>VLOOKUP(Z18,T.BANGKIR!$B$4:$T$56,MATCH(ULP!$A$1,T.BANGKIR!$B$5:$T$5,0),FALSE)</f>
        <v>662</v>
      </c>
      <c r="AF18" s="90">
        <f>VLOOKUP(Z18,'R.BANGKIR'!$B$4:$T$64,MATCH(ULP!$A$1,'R.BANGKIR'!$B$5:$T$5,0),FALSE)</f>
        <v>729</v>
      </c>
      <c r="AG18" s="165">
        <f>IF(OR(AE18="N/A",AF18="N/A"),"N/A",IF((AF18/AE18*100)&gt;=110,110,(AF18/AE18*100)))</f>
        <v>110</v>
      </c>
      <c r="AH18" s="103"/>
      <c r="AJ18" s="91"/>
      <c r="AK18" s="52" t="str">
        <f>T.MOUTONG!B17</f>
        <v>c. Penyelesaian Ganti Meter</v>
      </c>
      <c r="AL18" s="441" t="str">
        <f>T.MOUTONG!C17</f>
        <v>ñ</v>
      </c>
      <c r="AM18" s="61" t="str">
        <f>T.MOUTONG!D17</f>
        <v>Unit</v>
      </c>
      <c r="AN18" s="53"/>
      <c r="AO18" s="90">
        <f>T.MOUTONG!T17</f>
        <v>698</v>
      </c>
      <c r="AP18" s="90">
        <f>VLOOKUP(AK18,T.MOUTONG!$B$4:$T$56,MATCH(ULP!$A$1,T.MOUTONG!$B$5:$T$5,0),FALSE)</f>
        <v>583</v>
      </c>
      <c r="AQ18" s="90">
        <f>VLOOKUP(AK18,'R.MOUTONG'!$B$4:$T$64,MATCH(ULP!$A$1,'R.MOUTONG'!$B$5:$T$5,0),FALSE)</f>
        <v>600</v>
      </c>
      <c r="AR18" s="165">
        <f>IF(OR(AP18="N/A",AQ18="N/A"),"N/A",IF((AQ18/AP18*100)&gt;=110,110,(AQ18/AP18*100)))</f>
        <v>102.91595197255575</v>
      </c>
      <c r="AS18" s="103"/>
      <c r="AU18" s="91"/>
      <c r="AV18" s="52" t="str">
        <f>T.KOTARAYA!B17</f>
        <v>d. Penyelesaian Ganti Meter</v>
      </c>
      <c r="AW18" s="441" t="str">
        <f>T.KOTARAYA!C17</f>
        <v>ñ</v>
      </c>
      <c r="AX18" s="288" t="str">
        <f>T.KOTARAYA!D17</f>
        <v>Unit</v>
      </c>
      <c r="AY18" s="53">
        <f>IF(BB18="N/A",0,T.KOTARAYA!F17)</f>
        <v>0</v>
      </c>
      <c r="AZ18" s="90">
        <f>T.KOTARAYA!T17</f>
        <v>688</v>
      </c>
      <c r="BA18" s="90">
        <f>VLOOKUP(AV18,T.KOTARAYA!$B$4:$T$56,MATCH(ULP!$A$1,T.KOTARAYA!$B$5:$T$5,0),FALSE)</f>
        <v>583</v>
      </c>
      <c r="BB18" s="90">
        <f>VLOOKUP(AV18,'R.KOTARAYA'!$B$4:$T$64,MATCH(ULP!$A$1,'R.KOTARAYA'!$B$5:$T$5,0),FALSE)</f>
        <v>568</v>
      </c>
      <c r="BC18" s="165">
        <f>IF(OR(BA18="N/A",BB18="N/A"),"N/A",IF((BB18/BA18*100)&gt;=110,110,(BB18/BA18*100)))</f>
        <v>97.42710120068611</v>
      </c>
      <c r="BD18" s="103"/>
    </row>
    <row r="19" spans="2:56" s="12" customFormat="1" ht="16.5">
      <c r="B19" s="183"/>
      <c r="C19" s="54" t="str">
        <f>T.TOLIS!A18</f>
        <v>II</v>
      </c>
      <c r="D19" s="55" t="str">
        <f>T.TOLIS!B18</f>
        <v>Perfomance Indicators</v>
      </c>
      <c r="E19" s="442"/>
      <c r="F19" s="129"/>
      <c r="G19" s="139">
        <f>SUM(G20:G56)</f>
        <v>60</v>
      </c>
      <c r="H19" s="139"/>
      <c r="I19" s="139"/>
      <c r="J19" s="139"/>
      <c r="K19" s="139"/>
      <c r="L19" s="172">
        <f>SUM(L20,L24,L29,L32,L35,L40,L43,L46,L47)</f>
        <v>58.21</v>
      </c>
      <c r="M19" s="1"/>
      <c r="N19" s="54" t="str">
        <f>$C$19</f>
        <v>II</v>
      </c>
      <c r="O19" s="55" t="str">
        <f>$D$19</f>
        <v>Perfomance Indicators</v>
      </c>
      <c r="P19" s="442"/>
      <c r="Q19" s="129"/>
      <c r="R19" s="139">
        <f>SUM(R20:R56)</f>
        <v>60</v>
      </c>
      <c r="S19" s="139"/>
      <c r="T19" s="139"/>
      <c r="U19" s="139"/>
      <c r="V19" s="139"/>
      <c r="W19" s="172">
        <f>SUM(W20,W24,W29,W32,W35,W40,W43,W46,W47)</f>
        <v>58.840000000000011</v>
      </c>
      <c r="X19" s="1"/>
      <c r="Y19" s="54" t="str">
        <f>$C$19</f>
        <v>II</v>
      </c>
      <c r="Z19" s="55" t="str">
        <f>$D$19</f>
        <v>Perfomance Indicators</v>
      </c>
      <c r="AA19" s="442"/>
      <c r="AB19" s="129"/>
      <c r="AC19" s="139">
        <f>SUM(AC20:AC56)</f>
        <v>60</v>
      </c>
      <c r="AD19" s="139"/>
      <c r="AE19" s="139"/>
      <c r="AF19" s="139"/>
      <c r="AG19" s="139"/>
      <c r="AH19" s="172">
        <f>SUM(AH20,AH24,AH29,AH32,AH35,AH40,AH43,AH46,AH47)</f>
        <v>62.73</v>
      </c>
      <c r="AI19" s="1"/>
      <c r="AJ19" s="54" t="str">
        <f>$C$19</f>
        <v>II</v>
      </c>
      <c r="AK19" s="55" t="str">
        <f>$D$19</f>
        <v>Perfomance Indicators</v>
      </c>
      <c r="AL19" s="442"/>
      <c r="AM19" s="129"/>
      <c r="AN19" s="139">
        <f>SUM(AN20:AN56)</f>
        <v>60</v>
      </c>
      <c r="AO19" s="139"/>
      <c r="AP19" s="139"/>
      <c r="AQ19" s="139"/>
      <c r="AR19" s="139"/>
      <c r="AS19" s="172">
        <f>SUM(AS20,AS24,AS29,AS32,AS35,AS40,AS43,AS46,AS47)</f>
        <v>59.55</v>
      </c>
      <c r="AT19" s="1"/>
      <c r="AU19" s="54" t="str">
        <f>$C$19</f>
        <v>II</v>
      </c>
      <c r="AV19" s="55" t="str">
        <f>$D$19</f>
        <v>Perfomance Indicators</v>
      </c>
      <c r="AW19" s="442"/>
      <c r="AX19" s="129"/>
      <c r="AY19" s="139">
        <f>SUM(AY20:AY56)</f>
        <v>60</v>
      </c>
      <c r="AZ19" s="139"/>
      <c r="BA19" s="139"/>
      <c r="BB19" s="139"/>
      <c r="BC19" s="139"/>
      <c r="BD19" s="172">
        <f>SUM(BD20,BD24,BD29,BD32,BD35,BD40,BD43,BD46,BD47)</f>
        <v>61.320000000000007</v>
      </c>
    </row>
    <row r="20" spans="2:56" ht="16.5">
      <c r="C20" s="51">
        <f>T.TOLIS!A19</f>
        <v>4</v>
      </c>
      <c r="D20" s="311" t="str">
        <f>T.TOLIS!B19</f>
        <v>Keandalan Jaringan Distribusi</v>
      </c>
      <c r="E20" s="441"/>
      <c r="F20" s="61"/>
      <c r="G20" s="53">
        <f>IF(J20="N/A",0,T.TOLIS!F19)</f>
        <v>9</v>
      </c>
      <c r="H20" s="90"/>
      <c r="I20" s="90"/>
      <c r="J20" s="90"/>
      <c r="K20" s="165">
        <f>AVERAGE(K21:K23)</f>
        <v>89.333333333333329</v>
      </c>
      <c r="L20" s="103">
        <f>ROUNDDOWN(IF(OR(K20="N/A",K20&lt;0),0,IF(K20&gt;110,G20*110/100,G20*K20/100)),2)</f>
        <v>8.0399999999999991</v>
      </c>
      <c r="N20" s="91">
        <f>T.LEOK!A19</f>
        <v>4</v>
      </c>
      <c r="O20" s="311" t="str">
        <f>T.LEOK!B19</f>
        <v>Keandalan Jaringan Distribusi</v>
      </c>
      <c r="P20" s="441"/>
      <c r="Q20" s="61"/>
      <c r="R20" s="53">
        <f>IF(U20="N/A",0,T.LEOK!F19)</f>
        <v>9</v>
      </c>
      <c r="S20" s="91"/>
      <c r="T20" s="90"/>
      <c r="U20" s="90"/>
      <c r="V20" s="165">
        <f>AVERAGE(V21:V23)</f>
        <v>110</v>
      </c>
      <c r="W20" s="103">
        <f>ROUNDDOWN(IF(OR(V20="N/A",V20&lt;0),0,IF(V20&gt;110,R20*110/100,R20*V20/100)),2)</f>
        <v>9.9</v>
      </c>
      <c r="Y20" s="91">
        <f>T.BANGKIR!A19</f>
        <v>4</v>
      </c>
      <c r="Z20" s="311" t="str">
        <f>T.BANGKIR!B19</f>
        <v>Keandalan Jaringan Distribusi</v>
      </c>
      <c r="AA20" s="441"/>
      <c r="AB20" s="61"/>
      <c r="AC20" s="53">
        <f>IF(AF20="N/A",0,T.BANGKIR!F19)</f>
        <v>9</v>
      </c>
      <c r="AD20" s="91"/>
      <c r="AE20" s="91"/>
      <c r="AF20" s="90"/>
      <c r="AG20" s="165">
        <f>AVERAGE(AG21:AG23)</f>
        <v>110</v>
      </c>
      <c r="AH20" s="103">
        <f>ROUNDDOWN(IF(OR(AG20="N/A",AG20&lt;0),0,IF(AG20&gt;110,AC20*110/100,AC20*AG20/100)),2)</f>
        <v>9.9</v>
      </c>
      <c r="AJ20" s="91">
        <f>T.MOUTONG!A19</f>
        <v>4</v>
      </c>
      <c r="AK20" s="311" t="str">
        <f>T.MOUTONG!B19</f>
        <v>Keandalan Jaringan Distribusi</v>
      </c>
      <c r="AL20" s="441"/>
      <c r="AM20" s="61"/>
      <c r="AN20" s="53">
        <f>IF(AQ20="N/A",0,T.MOUTONG!F19)</f>
        <v>9</v>
      </c>
      <c r="AO20" s="91"/>
      <c r="AP20" s="91"/>
      <c r="AQ20" s="90"/>
      <c r="AR20" s="165">
        <f>AVERAGE(AR21:AR23)</f>
        <v>110</v>
      </c>
      <c r="AS20" s="103">
        <f>ROUNDDOWN(IF(OR(AR20="N/A",AR20&lt;0),0,IF(AR20&gt;110,AN20*110/100,AN20*AR20/100)),2)</f>
        <v>9.9</v>
      </c>
      <c r="AU20" s="91">
        <f>T.KOTARAYA!A19</f>
        <v>4</v>
      </c>
      <c r="AV20" s="311" t="str">
        <f>T.KOTARAYA!B19</f>
        <v>Keandalan Jaringan Distribusi</v>
      </c>
      <c r="AW20" s="441"/>
      <c r="AX20" s="288"/>
      <c r="AY20" s="53">
        <f>IF(BB20="N/A",0,T.KOTARAYA!F19)</f>
        <v>9</v>
      </c>
      <c r="AZ20" s="91"/>
      <c r="BA20" s="91"/>
      <c r="BB20" s="90"/>
      <c r="BC20" s="165">
        <f>AVERAGE(BC21:BC23)</f>
        <v>110</v>
      </c>
      <c r="BD20" s="103">
        <f>ROUNDDOWN(IF(OR(BC20="N/A",BC20&lt;0),0,IF(BC20&gt;110,AY20*110/100,AY20*BC20/100)),2)</f>
        <v>9.9</v>
      </c>
    </row>
    <row r="21" spans="2:56" ht="16.5">
      <c r="D21" s="52" t="str">
        <f>T.TOLIS!B20</f>
        <v>a. Gangguan TM &gt; 5 Menit</v>
      </c>
      <c r="E21" s="441" t="str">
        <f>T.TOLIS!C20</f>
        <v>ò</v>
      </c>
      <c r="F21" s="61" t="str">
        <f>T.TOLIS!D20</f>
        <v>Kali</v>
      </c>
      <c r="G21" s="53"/>
      <c r="H21" s="90">
        <f>T.TOLIS!H20</f>
        <v>62</v>
      </c>
      <c r="I21" s="90">
        <f>VLOOKUP(D21,T.TOLIS!$B$4:$T$56,MATCH(ULP!$A$1,T.TOLIS!$B$5:$T$5,0),FALSE)</f>
        <v>50</v>
      </c>
      <c r="J21" s="90">
        <f>VLOOKUP(D21,'R.TOLIS'!$B$4:$T$64,MATCH(ULP!$A$1,'R.TOLIS'!$B$5:$T$5,0),FALSE)</f>
        <v>46</v>
      </c>
      <c r="K21" s="165">
        <f>IF(OR(I21="N/A",J21="N/A"),"N/A",IF((2-(J21/I21))*100&gt;=110,110,(2-(J21/I21))*100))</f>
        <v>108</v>
      </c>
      <c r="L21" s="103"/>
      <c r="N21" s="91"/>
      <c r="O21" s="52" t="str">
        <f>T.LEOK!B20</f>
        <v>a. Gangguan TM &gt; 5 Menit</v>
      </c>
      <c r="P21" s="441" t="str">
        <f>T.LEOK!C20</f>
        <v>ò</v>
      </c>
      <c r="Q21" s="61" t="str">
        <f>T.LEOK!D20</f>
        <v>Kali</v>
      </c>
      <c r="R21" s="53"/>
      <c r="S21" s="90">
        <f>T.LEOK!S20</f>
        <v>29</v>
      </c>
      <c r="T21" s="90">
        <f>VLOOKUP(O21,T.LEOK!$B$4:$T$56,MATCH(ULP!$A$1,T.LEOK!$B$5:$T$5,0),FALSE)</f>
        <v>24</v>
      </c>
      <c r="U21" s="90">
        <f>VLOOKUP(O21,'R.LEOK'!$B$4:$T$64,MATCH(ULP!$A$1,'R.LEOK'!$B$5:$T$5,0),FALSE)</f>
        <v>16</v>
      </c>
      <c r="V21" s="165">
        <f>IF(OR(T21="N/A",U21="N/A"),"N/A",IF((2-(U21/T21))*100&gt;=110,110,(2-(U21/T21))*100))</f>
        <v>110</v>
      </c>
      <c r="W21" s="103"/>
      <c r="Y21" s="91"/>
      <c r="Z21" s="52" t="str">
        <f>T.BANGKIR!B20</f>
        <v>a. Gangguan TM &gt; 5 Menit</v>
      </c>
      <c r="AA21" s="441" t="str">
        <f>T.BANGKIR!C20</f>
        <v>ò</v>
      </c>
      <c r="AB21" s="61" t="str">
        <f>T.BANGKIR!D20</f>
        <v>Kali</v>
      </c>
      <c r="AC21" s="53"/>
      <c r="AD21" s="90">
        <f>T.BANGKIR!T20</f>
        <v>36</v>
      </c>
      <c r="AE21" s="90">
        <f>VLOOKUP(Z21,T.BANGKIR!$B$4:$T$56,MATCH(ULP!$A$1,T.BANGKIR!$B$5:$T$5,0),FALSE)</f>
        <v>29</v>
      </c>
      <c r="AF21" s="90">
        <f>VLOOKUP(Z21,'R.BANGKIR'!$B$4:$T$64,MATCH(ULP!$A$1,'R.BANGKIR'!$B$5:$T$5,0),FALSE)</f>
        <v>18</v>
      </c>
      <c r="AG21" s="165">
        <f>IF(OR(AE21="N/A",AF21="N/A"),"N/A",IF((2-(AF21/AE21))*100&gt;=110,110,(2-(AF21/AE21))*100))</f>
        <v>110</v>
      </c>
      <c r="AH21" s="103"/>
      <c r="AI21" s="274"/>
      <c r="AJ21" s="91"/>
      <c r="AK21" s="52" t="str">
        <f>T.MOUTONG!B20</f>
        <v>a. Gangguan TM &gt; 5 Menit</v>
      </c>
      <c r="AL21" s="441" t="str">
        <f>T.MOUTONG!C20</f>
        <v>ò</v>
      </c>
      <c r="AM21" s="61" t="str">
        <f>T.MOUTONG!D20</f>
        <v>Kali</v>
      </c>
      <c r="AN21" s="53"/>
      <c r="AO21" s="90">
        <f>T.MOUTONG!T20</f>
        <v>12</v>
      </c>
      <c r="AP21" s="90">
        <f>VLOOKUP(AK21,T.MOUTONG!$B$4:$T$56,MATCH(ULP!$A$1,T.MOUTONG!$B$5:$T$5,0),FALSE)</f>
        <v>10</v>
      </c>
      <c r="AQ21" s="90">
        <f>VLOOKUP(AK21,'R.MOUTONG'!$B$4:$T$64,MATCH(ULP!$A$1,'R.MOUTONG'!$B$5:$T$5,0),FALSE)</f>
        <v>7</v>
      </c>
      <c r="AR21" s="165">
        <f>IF(OR(AP21="N/A",AQ21="N/A"),"N/A",IF((2-(AQ21/AP21))*100&gt;=110,110,(2-(AQ21/AP21))*100))</f>
        <v>110</v>
      </c>
      <c r="AS21" s="103"/>
      <c r="AU21" s="91"/>
      <c r="AV21" s="52" t="str">
        <f>T.KOTARAYA!B20</f>
        <v>a. Gangguan TM &gt; 5 Menit</v>
      </c>
      <c r="AW21" s="441" t="str">
        <f>T.KOTARAYA!C20</f>
        <v>ò</v>
      </c>
      <c r="AX21" s="288" t="str">
        <f>T.KOTARAYA!D20</f>
        <v>Kali</v>
      </c>
      <c r="AY21" s="53"/>
      <c r="AZ21" s="90">
        <f>T.KOTARAYA!T20</f>
        <v>26</v>
      </c>
      <c r="BA21" s="90">
        <f>VLOOKUP(AV21,T.KOTARAYA!$B$4:$T$56,MATCH(ULP!$A$1,T.KOTARAYA!$B$5:$T$5,0),FALSE)</f>
        <v>21</v>
      </c>
      <c r="BB21" s="90">
        <f>VLOOKUP(AV21,'R.KOTARAYA'!$B$4:$T$64,MATCH(ULP!$A$1,'R.KOTARAYA'!$B$5:$T$5,0),FALSE)</f>
        <v>11</v>
      </c>
      <c r="BC21" s="165">
        <f>IF(OR(BA21="N/A",BB21="N/A"),"N/A",IF((2-(BB21/BA21))*100&gt;=110,110,(2-(BB21/BA21))*100))</f>
        <v>110</v>
      </c>
      <c r="BD21" s="103"/>
    </row>
    <row r="22" spans="2:56" ht="16.5">
      <c r="C22" s="51"/>
      <c r="D22" s="52" t="str">
        <f>T.TOLIS!B21</f>
        <v>b. Gangguan TM ≤ 5 Menit</v>
      </c>
      <c r="E22" s="441" t="str">
        <f>T.TOLIS!C21</f>
        <v>ò</v>
      </c>
      <c r="F22" s="61" t="str">
        <f>T.TOLIS!D21</f>
        <v>Kali</v>
      </c>
      <c r="G22" s="53"/>
      <c r="H22" s="90">
        <f>T.TOLIS!H21</f>
        <v>86</v>
      </c>
      <c r="I22" s="90">
        <f>VLOOKUP(D22,T.TOLIS!$B$4:$T$56,MATCH(ULP!$A$1,T.TOLIS!$B$5:$T$5,0),FALSE)</f>
        <v>65</v>
      </c>
      <c r="J22" s="90">
        <f>VLOOKUP(D22,'R.TOLIS'!$B$4:$T$64,MATCH(ULP!$A$1,'R.TOLIS'!$B$5:$T$5,0),FALSE)</f>
        <v>55</v>
      </c>
      <c r="K22" s="165">
        <f>IF(OR(I22="N/A",J22="N/A"),"N/A",IF((2-(J22/I22))*100&gt;=110,110,(2-(J22/I22))*100))</f>
        <v>110</v>
      </c>
      <c r="L22" s="103"/>
      <c r="N22" s="91"/>
      <c r="O22" s="52" t="str">
        <f>T.LEOK!B21</f>
        <v>b. Gangguan TM ≤ 5 Menit</v>
      </c>
      <c r="P22" s="441" t="str">
        <f>T.LEOK!C21</f>
        <v>ò</v>
      </c>
      <c r="Q22" s="61" t="str">
        <f>T.LEOK!D21</f>
        <v>Kali</v>
      </c>
      <c r="R22" s="53"/>
      <c r="S22" s="90">
        <f>T.LEOK!S21</f>
        <v>40</v>
      </c>
      <c r="T22" s="90">
        <f>VLOOKUP(O22,T.LEOK!$B$4:$T$56,MATCH(ULP!$A$1,T.LEOK!$B$5:$T$5,0),FALSE)</f>
        <v>33</v>
      </c>
      <c r="U22" s="90">
        <f>VLOOKUP(O22,'R.LEOK'!$B$4:$T$64,MATCH(ULP!$A$1,'R.LEOK'!$B$5:$T$5,0),FALSE)</f>
        <v>21</v>
      </c>
      <c r="V22" s="165">
        <f>IF(OR(T22="N/A",U22="N/A"),"N/A",IF((2-(U22/T22))*100&gt;=110,110,(2-(U22/T22))*100))</f>
        <v>110</v>
      </c>
      <c r="W22" s="103"/>
      <c r="Y22" s="91"/>
      <c r="Z22" s="52" t="str">
        <f>T.BANGKIR!B21</f>
        <v>b. Gangguan TM ≤ 5 Menit</v>
      </c>
      <c r="AA22" s="441" t="str">
        <f>T.BANGKIR!C21</f>
        <v>ò</v>
      </c>
      <c r="AB22" s="61" t="str">
        <f>T.BANGKIR!D21</f>
        <v>Kali</v>
      </c>
      <c r="AC22" s="53"/>
      <c r="AD22" s="90">
        <f>T.BANGKIR!T21</f>
        <v>21</v>
      </c>
      <c r="AE22" s="90">
        <f>VLOOKUP(Z22,T.BANGKIR!$B$4:$T$56,MATCH(ULP!$A$1,T.BANGKIR!$B$5:$T$5,0),FALSE)</f>
        <v>16</v>
      </c>
      <c r="AF22" s="90">
        <f>VLOOKUP(Z22,'R.BANGKIR'!$B$4:$T$64,MATCH(ULP!$A$1,'R.BANGKIR'!$B$5:$T$5,0),FALSE)</f>
        <v>12</v>
      </c>
      <c r="AG22" s="165">
        <f>IF(OR(AE22="N/A",AF22="N/A"),"N/A",IF((2-(AF22/AE22))*100&gt;=110,110,(2-(AF22/AE22))*100))</f>
        <v>110</v>
      </c>
      <c r="AH22" s="103"/>
      <c r="AJ22" s="91"/>
      <c r="AK22" s="52" t="str">
        <f>T.MOUTONG!B21</f>
        <v>b. Gangguan TM ≤ 5 Menit</v>
      </c>
      <c r="AL22" s="441" t="str">
        <f>T.MOUTONG!C21</f>
        <v>ò</v>
      </c>
      <c r="AM22" s="61" t="str">
        <f>T.MOUTONG!D21</f>
        <v>Kali</v>
      </c>
      <c r="AN22" s="53"/>
      <c r="AO22" s="90">
        <f>T.MOUTONG!T21</f>
        <v>20</v>
      </c>
      <c r="AP22" s="90">
        <f>VLOOKUP(AK22,T.MOUTONG!$B$4:$T$56,MATCH(ULP!$A$1,T.MOUTONG!$B$5:$T$5,0),FALSE)</f>
        <v>15</v>
      </c>
      <c r="AQ22" s="90">
        <f>VLOOKUP(AK22,'R.MOUTONG'!$B$4:$T$64,MATCH(ULP!$A$1,'R.MOUTONG'!$B$5:$T$5,0),FALSE)</f>
        <v>0</v>
      </c>
      <c r="AR22" s="165">
        <f>IF(OR(AP22="N/A",AQ22="N/A"),"N/A",IF((2-(AQ22/AP22))*100&gt;=110,110,(2-(AQ22/AP22))*100))</f>
        <v>110</v>
      </c>
      <c r="AS22" s="103"/>
      <c r="AU22" s="91"/>
      <c r="AV22" s="52" t="str">
        <f>T.KOTARAYA!B21</f>
        <v>b. Gangguan TM ≤ 5 Menit</v>
      </c>
      <c r="AW22" s="441" t="str">
        <f>T.KOTARAYA!C21</f>
        <v>ò</v>
      </c>
      <c r="AX22" s="288" t="str">
        <f>T.KOTARAYA!D21</f>
        <v>Kali</v>
      </c>
      <c r="AY22" s="53"/>
      <c r="AZ22" s="90">
        <f>T.KOTARAYA!T21</f>
        <v>20</v>
      </c>
      <c r="BA22" s="90">
        <f>VLOOKUP(AV22,T.KOTARAYA!$B$4:$T$56,MATCH(ULP!$A$1,T.KOTARAYA!$B$5:$T$5,0),FALSE)</f>
        <v>15</v>
      </c>
      <c r="BB22" s="90">
        <f>VLOOKUP(AV22,'R.KOTARAYA'!$B$4:$T$64,MATCH(ULP!$A$1,'R.KOTARAYA'!$B$5:$T$5,0),FALSE)</f>
        <v>12</v>
      </c>
      <c r="BC22" s="165">
        <f>IF(OR(BA22="N/A",BB22="N/A"),"N/A",IF((2-(BB22/BA22))*100&gt;=110,110,(2-(BB22/BA22))*100))</f>
        <v>110</v>
      </c>
      <c r="BD22" s="103"/>
    </row>
    <row r="23" spans="2:56" ht="33">
      <c r="C23" s="51"/>
      <c r="D23" s="52" t="str">
        <f>T.TOLIS!B22</f>
        <v>c. Kerusakan Peralatan Distribusi (PHB TM dan Trafo) Sesuai Kewenangan</v>
      </c>
      <c r="E23" s="441" t="str">
        <f>T.TOLIS!C22</f>
        <v>ò</v>
      </c>
      <c r="F23" s="61" t="str">
        <f>T.TOLIS!D22</f>
        <v>Unit</v>
      </c>
      <c r="G23" s="53"/>
      <c r="H23" s="90">
        <f>T.TOLIS!H22</f>
        <v>2</v>
      </c>
      <c r="I23" s="90">
        <f>VLOOKUP(D23,T.TOLIS!$B$4:$T$56,MATCH(ULP!$A$1,T.TOLIS!$B$5:$T$5,0),FALSE)</f>
        <v>2</v>
      </c>
      <c r="J23" s="90">
        <f>VLOOKUP(D23,'R.TOLIS'!$B$4:$T$64,MATCH(ULP!$A$1,'R.TOLIS'!$B$5:$T$5,0),FALSE)</f>
        <v>3</v>
      </c>
      <c r="K23" s="165">
        <f>IF(OR(I23="N/A",J23="N/A"),"N/A",IF((2-(J23/I23))*100&lt;0,0,IF((2-(J23/I23))*100&gt;=110,110,(2-(J23/I23))*100)))</f>
        <v>50</v>
      </c>
      <c r="L23" s="103"/>
      <c r="N23" s="91"/>
      <c r="O23" s="52" t="str">
        <f>T.LEOK!B22</f>
        <v>c. Kerusakan Peralatan Distribusi (PHB TM dan Trafo) Sesuai Kewenangan</v>
      </c>
      <c r="P23" s="441" t="str">
        <f>T.LEOK!C22</f>
        <v>ò</v>
      </c>
      <c r="Q23" s="61" t="str">
        <f>T.LEOK!D22</f>
        <v>Unit</v>
      </c>
      <c r="R23" s="53"/>
      <c r="S23" s="90">
        <f>T.LEOK!S22</f>
        <v>1</v>
      </c>
      <c r="T23" s="90">
        <f>VLOOKUP(O23,T.LEOK!$B$4:$T$56,MATCH(ULP!$A$1,T.LEOK!$B$5:$T$5,0),FALSE)</f>
        <v>1</v>
      </c>
      <c r="U23" s="90">
        <f>VLOOKUP(O23,'R.LEOK'!$B$4:$T$64,MATCH(ULP!$A$1,'R.LEOK'!$B$5:$T$5,0),FALSE)</f>
        <v>0</v>
      </c>
      <c r="V23" s="165">
        <f>IF(OR(T23="N/A",U23="N/A"),"N/A",IF((2-(U23/T23))*100&gt;=110,110,(2-(U23/T23))*100))</f>
        <v>110</v>
      </c>
      <c r="W23" s="103"/>
      <c r="Y23" s="91"/>
      <c r="Z23" s="52" t="str">
        <f>T.BANGKIR!B22</f>
        <v>c. Kerusakan Peralatan Distribusi (PHB TM dan Trafo) Sesuai Kewenangan</v>
      </c>
      <c r="AA23" s="441" t="str">
        <f>T.BANGKIR!C22</f>
        <v>ò</v>
      </c>
      <c r="AB23" s="61" t="str">
        <f>T.BANGKIR!D22</f>
        <v>Unit</v>
      </c>
      <c r="AC23" s="53"/>
      <c r="AD23" s="90">
        <f>T.BANGKIR!T22</f>
        <v>1</v>
      </c>
      <c r="AE23" s="90">
        <f>VLOOKUP(Z23,T.BANGKIR!$B$4:$T$56,MATCH(ULP!$A$1,T.BANGKIR!$B$5:$T$5,0),FALSE)</f>
        <v>1</v>
      </c>
      <c r="AF23" s="90">
        <f>VLOOKUP(Z23,'R.BANGKIR'!$B$4:$T$64,MATCH(ULP!$A$1,'R.BANGKIR'!$B$5:$T$5,0),FALSE)</f>
        <v>0</v>
      </c>
      <c r="AG23" s="165">
        <f>IF(OR(AE23="N/A",AF23="N/A"),"N/A",IF((2-(AF23/AE23))*100&gt;=110,110,(2-(AF23/AE23))*100))</f>
        <v>110</v>
      </c>
      <c r="AH23" s="103"/>
      <c r="AI23" s="274"/>
      <c r="AJ23" s="91"/>
      <c r="AK23" s="52" t="str">
        <f>T.MOUTONG!B22</f>
        <v>c. Kerusakan Peralatan Distribusi (PHB TM dan Trafo) Sesuai Kewenangan</v>
      </c>
      <c r="AL23" s="441" t="str">
        <f>T.MOUTONG!C22</f>
        <v>ò</v>
      </c>
      <c r="AM23" s="61" t="str">
        <f>T.MOUTONG!D22</f>
        <v>Unit</v>
      </c>
      <c r="AN23" s="53"/>
      <c r="AO23" s="90">
        <f>T.MOUTONG!T22</f>
        <v>1</v>
      </c>
      <c r="AP23" s="90">
        <f>VLOOKUP(AK23,T.MOUTONG!$B$4:$T$56,MATCH(ULP!$A$1,T.MOUTONG!$B$5:$T$5,0),FALSE)</f>
        <v>1</v>
      </c>
      <c r="AQ23" s="90">
        <f>VLOOKUP(AK23,'R.MOUTONG'!$B$4:$T$64,MATCH(ULP!$A$1,'R.MOUTONG'!$B$5:$T$5,0),FALSE)</f>
        <v>0</v>
      </c>
      <c r="AR23" s="165">
        <f>IF(OR(AP23="N/A",AQ23="N/A"),"N/A",IF(AND(AP23=0,AQ23=0),100,IF((2-(AQ23/AP23))*100&gt;=110,110,(2-(AQ23/AP23))*100)))</f>
        <v>110</v>
      </c>
      <c r="AS23" s="103"/>
      <c r="AU23" s="91"/>
      <c r="AV23" s="52" t="str">
        <f>T.KOTARAYA!B22</f>
        <v>c. Kerusakan Peralatan Distribusi (PHB TM dan Trafo) Sesuai Kewenangan</v>
      </c>
      <c r="AW23" s="441" t="str">
        <f>T.KOTARAYA!C22</f>
        <v>ò</v>
      </c>
      <c r="AX23" s="288" t="str">
        <f>T.KOTARAYA!D22</f>
        <v>Unit</v>
      </c>
      <c r="AY23" s="53"/>
      <c r="AZ23" s="90">
        <f>T.KOTARAYA!T22</f>
        <v>1</v>
      </c>
      <c r="BA23" s="90">
        <f>VLOOKUP(AV23,T.KOTARAYA!$B$4:$T$56,MATCH(ULP!$A$1,T.KOTARAYA!$B$5:$T$5,0),FALSE)</f>
        <v>1</v>
      </c>
      <c r="BB23" s="90">
        <f>VLOOKUP(AV23,'R.KOTARAYA'!$B$4:$T$64,MATCH(ULP!$A$1,'R.KOTARAYA'!$B$5:$T$5,0),FALSE)</f>
        <v>0</v>
      </c>
      <c r="BC23" s="165">
        <f>IF(OR(BA23="N/A",BB23="N/A"),"N/A",IF(AND(BA23=0,BB23=0),100,IF((2-(BB23/BA23))*100&gt;=110,110,(2-(BB23/BA23))*100)))</f>
        <v>110</v>
      </c>
      <c r="BD23" s="103"/>
    </row>
    <row r="24" spans="2:56" ht="16.5">
      <c r="C24" s="51"/>
      <c r="D24" s="311" t="str">
        <f>T.TOLIS!B23</f>
        <v>Peningkatan Layanan</v>
      </c>
      <c r="E24" s="441"/>
      <c r="F24" s="61"/>
      <c r="G24" s="53">
        <f>IF(J24="N/A",0,T.TOLIS!F23)</f>
        <v>8</v>
      </c>
      <c r="H24" s="90"/>
      <c r="I24" s="90"/>
      <c r="J24" s="91"/>
      <c r="K24" s="165">
        <f>AVERAGE(K25:K28)</f>
        <v>107.5</v>
      </c>
      <c r="L24" s="103">
        <f>ROUNDDOWN(IF(OR(K24="N/A",K24&lt;0),0,IF(K24&gt;110,G24*110/100,G24*K24/100)),2)</f>
        <v>8.6</v>
      </c>
      <c r="N24" s="91">
        <f>T.LEOK!A23</f>
        <v>5</v>
      </c>
      <c r="O24" s="311" t="str">
        <f>T.LEOK!B23</f>
        <v>Peningkatan Layanan</v>
      </c>
      <c r="P24" s="441"/>
      <c r="Q24" s="61"/>
      <c r="R24" s="53">
        <f>IF(U24="N/A",0,T.LEOK!F23)</f>
        <v>8</v>
      </c>
      <c r="S24" s="90">
        <f>T.LEOK!S23</f>
        <v>0</v>
      </c>
      <c r="T24" s="90">
        <f>VLOOKUP(O24,T.LEOK!$B$4:$T$56,MATCH(ULP!$A$1,T.LEOK!$B$5:$T$5,0),FALSE)</f>
        <v>0</v>
      </c>
      <c r="U24" s="90">
        <f>VLOOKUP(O24,'R.LEOK'!$B$4:$T$64,MATCH(ULP!$A$1,'R.LEOK'!$B$5:$T$5,0),FALSE)</f>
        <v>0</v>
      </c>
      <c r="V24" s="165">
        <f>AVERAGE(V25:V28)</f>
        <v>107.5</v>
      </c>
      <c r="W24" s="103">
        <f>ROUNDDOWN(IF(OR(V24="N/A",V24&lt;0),0,IF(V24&gt;110,R24*110/100,R24*V24/100)),2)</f>
        <v>8.6</v>
      </c>
      <c r="Y24" s="91">
        <f>T.BANGKIR!A23</f>
        <v>5</v>
      </c>
      <c r="Z24" s="311" t="str">
        <f>T.BANGKIR!B23</f>
        <v>Peningkatan Layanan</v>
      </c>
      <c r="AA24" s="441"/>
      <c r="AB24" s="61"/>
      <c r="AC24" s="53">
        <f>IF(AF24="N/A",0,T.BANGKIR!F23)</f>
        <v>8</v>
      </c>
      <c r="AD24" s="90"/>
      <c r="AE24" s="90"/>
      <c r="AF24" s="91"/>
      <c r="AG24" s="165">
        <f>AVERAGE(AG25:AG28)</f>
        <v>107.5</v>
      </c>
      <c r="AH24" s="103">
        <f>ROUNDDOWN(IF(OR(AG24="N/A",AG24&lt;0),0,IF(AG24&gt;110,AC24*110/100,AC24*AG24/100)),2)</f>
        <v>8.6</v>
      </c>
      <c r="AI24" s="274"/>
      <c r="AJ24" s="91">
        <f>T.MOUTONG!A23</f>
        <v>5</v>
      </c>
      <c r="AK24" s="311" t="str">
        <f>T.MOUTONG!B23</f>
        <v>Peningkatan Layanan</v>
      </c>
      <c r="AL24" s="441"/>
      <c r="AM24" s="53"/>
      <c r="AN24" s="53">
        <f>IF(AQ24="N/A",0,T.MOUTONG!F23)</f>
        <v>8</v>
      </c>
      <c r="AO24" s="90"/>
      <c r="AP24" s="90"/>
      <c r="AQ24" s="91"/>
      <c r="AR24" s="165">
        <f>AVERAGE(AR25:AR28)</f>
        <v>107.5</v>
      </c>
      <c r="AS24" s="103">
        <f>ROUNDDOWN(IF(OR(AR24="N/A",AR24&lt;0),0,IF(AR24&gt;110,AN24*110/100,AN24*AR24/100)),2)</f>
        <v>8.6</v>
      </c>
      <c r="AU24" s="91">
        <f>T.KOTARAYA!A23</f>
        <v>5</v>
      </c>
      <c r="AV24" s="311" t="str">
        <f>T.KOTARAYA!B23</f>
        <v>Peningkatan Layanan</v>
      </c>
      <c r="AW24" s="441"/>
      <c r="AX24" s="288"/>
      <c r="AY24" s="53">
        <f>IF(BB24="N/A",0,T.KOTARAYA!F23)</f>
        <v>8</v>
      </c>
      <c r="AZ24" s="91"/>
      <c r="BA24" s="91"/>
      <c r="BB24" s="91"/>
      <c r="BC24" s="165">
        <f>AVERAGE(BC25:BC28)</f>
        <v>107.5</v>
      </c>
      <c r="BD24" s="103">
        <f>ROUNDDOWN(IF(OR(BC24="N/A",BC24&lt;0),0,IF(BC24&gt;110,AY24*110/100,AY24*BC24/100)),2)</f>
        <v>8.6</v>
      </c>
    </row>
    <row r="25" spans="2:56" ht="33">
      <c r="C25" s="51">
        <f>T.TOLIS!A23</f>
        <v>5</v>
      </c>
      <c r="D25" s="52" t="str">
        <f>T.TOLIS!B24</f>
        <v>a. Feedback Rating Negatif pada PLN Mobile - Gangguan</v>
      </c>
      <c r="E25" s="441" t="str">
        <f>T.TOLIS!C24</f>
        <v>ò</v>
      </c>
      <c r="F25" s="61" t="str">
        <f>T.TOLIS!D24</f>
        <v>%</v>
      </c>
      <c r="G25" s="53"/>
      <c r="H25" s="90">
        <f>T.TOLIS!H24</f>
        <v>0.09</v>
      </c>
      <c r="I25" s="90">
        <f>VLOOKUP(D25,T.TOLIS!$B$4:$T$56,MATCH(ULP!$A$1,T.TOLIS!$B$5:$T$5,0),FALSE)</f>
        <v>0.09</v>
      </c>
      <c r="J25" s="91">
        <f>VLOOKUP(D25,'R.TOLIS'!$B$4:$T$64,MATCH(ULP!$A$1,'R.TOLIS'!$B$5:$T$5,0),FALSE)</f>
        <v>0</v>
      </c>
      <c r="K25" s="165">
        <f t="shared" ref="K25:K26" si="0">IF(OR(I25="N/A",J25="N/A"),"N/A",IF((2-(J25/I25))*100&gt;=110,110,(2-(J25/I25))*100))</f>
        <v>110</v>
      </c>
      <c r="L25" s="103"/>
      <c r="N25" s="91"/>
      <c r="O25" s="52" t="str">
        <f>T.LEOK!B24</f>
        <v>a. Feedback Rating Negatif pada PLN Mobile - Gangguan</v>
      </c>
      <c r="P25" s="441" t="str">
        <f>T.LEOK!C24</f>
        <v>ò</v>
      </c>
      <c r="Q25" s="61" t="str">
        <f>T.LEOK!D24</f>
        <v>%</v>
      </c>
      <c r="R25" s="53"/>
      <c r="S25" s="90">
        <f>T.LEOK!S24</f>
        <v>0.09</v>
      </c>
      <c r="T25" s="90">
        <f>VLOOKUP(O25,T.LEOK!$B$4:$T$56,MATCH(ULP!$A$1,T.LEOK!$B$5:$T$5,0),FALSE)</f>
        <v>0.09</v>
      </c>
      <c r="U25" s="90">
        <f>VLOOKUP(O25,'R.LEOK'!$B$4:$T$64,MATCH(ULP!$A$1,'R.LEOK'!$B$5:$T$5,0),FALSE)</f>
        <v>0</v>
      </c>
      <c r="V25" s="165">
        <f t="shared" ref="V25:V26" si="1">IF(OR(T25="N/A",U25="N/A"),"N/A",IF((2-(U25/T25))*100&gt;=110,110,(2-(U25/T25))*100))</f>
        <v>110</v>
      </c>
      <c r="W25" s="103"/>
      <c r="Y25" s="91"/>
      <c r="Z25" s="52" t="str">
        <f>T.BANGKIR!B24</f>
        <v>a. Feedback Rating Negatif pada PLN Mobile - Gangguan</v>
      </c>
      <c r="AA25" s="441" t="str">
        <f>T.BANGKIR!C24</f>
        <v>ò</v>
      </c>
      <c r="AB25" s="61" t="str">
        <f>T.BANGKIR!D24</f>
        <v>%</v>
      </c>
      <c r="AC25" s="53"/>
      <c r="AD25" s="90">
        <f>T.BANGKIR!T24</f>
        <v>0.09</v>
      </c>
      <c r="AE25" s="90">
        <f>VLOOKUP(Z25,T.BANGKIR!$B$4:$T$56,MATCH(ULP!$A$1,T.BANGKIR!$B$5:$T$5,0),FALSE)</f>
        <v>0.09</v>
      </c>
      <c r="AF25" s="91">
        <f>VLOOKUP(Z25,'R.BANGKIR'!$B$4:$T$64,MATCH(ULP!$A$1,'R.BANGKIR'!$B$5:$T$5,0),FALSE)</f>
        <v>0</v>
      </c>
      <c r="AG25" s="165">
        <f t="shared" ref="AG25:AG26" si="2">IF(OR(AE25="N/A",AF25="N/A"),"N/A",IF((2-(AF25/AE25))*100&gt;=110,110,(2-(AF25/AE25))*100))</f>
        <v>110</v>
      </c>
      <c r="AH25" s="103"/>
      <c r="AI25" s="274"/>
      <c r="AJ25" s="91"/>
      <c r="AK25" s="52" t="str">
        <f>T.MOUTONG!B24</f>
        <v>a. Feedback Rating Negatif pada PLN Mobile - Gangguan</v>
      </c>
      <c r="AL25" s="441" t="str">
        <f>T.MOUTONG!C24</f>
        <v>ò</v>
      </c>
      <c r="AM25" s="53" t="str">
        <f>T.MOUTONG!D24</f>
        <v>%</v>
      </c>
      <c r="AN25" s="53"/>
      <c r="AO25" s="90">
        <f>T.MOUTONG!T24</f>
        <v>0.09</v>
      </c>
      <c r="AP25" s="90">
        <f>VLOOKUP(AK25,T.MOUTONG!$B$4:$T$56,MATCH(ULP!$A$1,T.MOUTONG!$B$5:$T$5,0),FALSE)</f>
        <v>0.09</v>
      </c>
      <c r="AQ25" s="91">
        <f>VLOOKUP(AK25,'R.MOUTONG'!$B$4:$T$64,MATCH(ULP!$A$1,'R.MOUTONG'!$B$5:$T$5,0),FALSE)</f>
        <v>0</v>
      </c>
      <c r="AR25" s="165">
        <f t="shared" ref="AR25:AR26" si="3">IF(OR(AP25="N/A",AQ25="N/A"),"N/A",IF((2-(AQ25/AP25))*100&gt;=110,110,(2-(AQ25/AP25))*100))</f>
        <v>110</v>
      </c>
      <c r="AS25" s="103"/>
      <c r="AU25" s="91"/>
      <c r="AV25" s="52" t="str">
        <f>T.KOTARAYA!B24</f>
        <v>a. Feedback Rating Negatif pada PLN Mobile - Gangguan</v>
      </c>
      <c r="AW25" s="441" t="str">
        <f>T.KOTARAYA!C24</f>
        <v>ò</v>
      </c>
      <c r="AX25" s="288" t="str">
        <f>T.KOTARAYA!D24</f>
        <v>%</v>
      </c>
      <c r="AY25" s="53"/>
      <c r="AZ25" s="90">
        <f>T.KOTARAYA!T24</f>
        <v>0.09</v>
      </c>
      <c r="BA25" s="90">
        <f>VLOOKUP(AV25,T.KOTARAYA!$B$4:$T$56,MATCH(ULP!$A$1,T.KOTARAYA!$B$5:$T$5,0),FALSE)</f>
        <v>0.09</v>
      </c>
      <c r="BB25" s="90">
        <f>VLOOKUP(AV25,'R.KOTARAYA'!$B$4:$T$64,MATCH(ULP!$A$1,'R.KOTARAYA'!$B$5:$T$5,0),FALSE)</f>
        <v>0</v>
      </c>
      <c r="BC25" s="165">
        <f t="shared" ref="BC25:BC26" si="4">IF(OR(BA25="N/A",BB25="N/A"),"N/A",IF((2-(BB25/BA25))*100&gt;=110,110,(2-(BB25/BA25))*100))</f>
        <v>110</v>
      </c>
      <c r="BD25" s="103"/>
    </row>
    <row r="26" spans="2:56" ht="16.5">
      <c r="C26" s="51"/>
      <c r="D26" s="52" t="str">
        <f>T.TOLIS!B25</f>
        <v>b. Pengaduan Gangguan Berulang pada PLN Mobile</v>
      </c>
      <c r="E26" s="441" t="str">
        <f>T.TOLIS!C25</f>
        <v>ò</v>
      </c>
      <c r="F26" s="61" t="str">
        <f>T.TOLIS!D25</f>
        <v>%</v>
      </c>
      <c r="G26" s="53"/>
      <c r="H26" s="90">
        <f>T.TOLIS!H25</f>
        <v>0.04</v>
      </c>
      <c r="I26" s="90">
        <f>VLOOKUP(D26,T.TOLIS!$B$4:$T$56,MATCH(ULP!$A$1,T.TOLIS!$B$5:$T$5,0),FALSE)</f>
        <v>0.04</v>
      </c>
      <c r="J26" s="91">
        <f>VLOOKUP(D26,'R.TOLIS'!$B$4:$T$64,MATCH(ULP!$A$1,'R.TOLIS'!$B$5:$T$5,0),FALSE)</f>
        <v>0</v>
      </c>
      <c r="K26" s="165">
        <f t="shared" si="0"/>
        <v>110</v>
      </c>
      <c r="L26" s="103"/>
      <c r="N26" s="91"/>
      <c r="O26" s="52" t="str">
        <f>T.LEOK!B25</f>
        <v>b. Pengaduan Gangguan Berulang pada PLN Mobile</v>
      </c>
      <c r="P26" s="441"/>
      <c r="Q26" s="61" t="str">
        <f>T.LEOK!D25</f>
        <v>%</v>
      </c>
      <c r="R26" s="53"/>
      <c r="S26" s="90">
        <f>T.LEOK!S25</f>
        <v>0.04</v>
      </c>
      <c r="T26" s="90">
        <f>VLOOKUP(O26,T.LEOK!$B$4:$T$56,MATCH(ULP!$A$1,T.LEOK!$B$5:$T$5,0),FALSE)</f>
        <v>0.04</v>
      </c>
      <c r="U26" s="90">
        <f>VLOOKUP(O26,'R.LEOK'!$B$4:$T$64,MATCH(ULP!$A$1,'R.LEOK'!$B$5:$T$5,0),FALSE)</f>
        <v>0</v>
      </c>
      <c r="V26" s="96">
        <f t="shared" si="1"/>
        <v>110</v>
      </c>
      <c r="W26" s="103"/>
      <c r="Y26" s="91"/>
      <c r="Z26" s="52" t="str">
        <f>T.BANGKIR!B25</f>
        <v>b. Pengaduan Gangguan Berulang pada PLN Mobile</v>
      </c>
      <c r="AA26" s="441" t="str">
        <f>T.BANGKIR!C25</f>
        <v>ò</v>
      </c>
      <c r="AB26" s="61" t="str">
        <f>T.BANGKIR!D25</f>
        <v>%</v>
      </c>
      <c r="AC26" s="53"/>
      <c r="AD26" s="90">
        <f>T.BANGKIR!T25</f>
        <v>0.04</v>
      </c>
      <c r="AE26" s="90">
        <f>VLOOKUP(Z26,T.BANGKIR!$B$4:$T$56,MATCH(ULP!$A$1,T.BANGKIR!$B$5:$T$5,0),FALSE)</f>
        <v>0.04</v>
      </c>
      <c r="AF26" s="91">
        <f>VLOOKUP(Z26,'R.BANGKIR'!$B$4:$T$64,MATCH(ULP!$A$1,'R.BANGKIR'!$B$5:$T$5,0),FALSE)</f>
        <v>0</v>
      </c>
      <c r="AG26" s="96">
        <f t="shared" si="2"/>
        <v>110</v>
      </c>
      <c r="AH26" s="103"/>
      <c r="AJ26" s="91"/>
      <c r="AK26" s="52" t="str">
        <f>T.MOUTONG!B25</f>
        <v>b. Pengaduan Gangguan Berulang pada PLN Mobile</v>
      </c>
      <c r="AL26" s="441" t="str">
        <f>T.MOUTONG!C25</f>
        <v>ò</v>
      </c>
      <c r="AM26" s="53" t="str">
        <f>T.MOUTONG!D25</f>
        <v>%</v>
      </c>
      <c r="AN26" s="53"/>
      <c r="AO26" s="90">
        <f>T.MOUTONG!T25</f>
        <v>0.04</v>
      </c>
      <c r="AP26" s="90">
        <f>VLOOKUP(AK26,T.MOUTONG!$B$4:$T$56,MATCH(ULP!$A$1,T.MOUTONG!$B$5:$T$5,0),FALSE)</f>
        <v>0.04</v>
      </c>
      <c r="AQ26" s="91">
        <f>VLOOKUP(AK26,'R.MOUTONG'!$B$4:$T$64,MATCH(ULP!$A$1,'R.MOUTONG'!$B$5:$T$5,0),FALSE)</f>
        <v>0</v>
      </c>
      <c r="AR26" s="96">
        <f t="shared" si="3"/>
        <v>110</v>
      </c>
      <c r="AS26" s="103"/>
      <c r="AU26" s="91"/>
      <c r="AV26" s="52" t="str">
        <f>T.KOTARAYA!B25</f>
        <v>b. Pengaduan Gangguan Berulang pada PLN Mobile</v>
      </c>
      <c r="AW26" s="441" t="str">
        <f>T.KOTARAYA!C25</f>
        <v>ò</v>
      </c>
      <c r="AX26" s="288" t="str">
        <f>T.KOTARAYA!D25</f>
        <v>%</v>
      </c>
      <c r="AY26" s="53"/>
      <c r="AZ26" s="90">
        <f>T.KOTARAYA!T25</f>
        <v>0.04</v>
      </c>
      <c r="BA26" s="90">
        <f>VLOOKUP(AV26,T.KOTARAYA!$B$4:$T$56,MATCH(ULP!$A$1,T.KOTARAYA!$B$5:$T$5,0),FALSE)</f>
        <v>0.04</v>
      </c>
      <c r="BB26" s="90">
        <f>VLOOKUP(AV26,'R.KOTARAYA'!$B$4:$T$64,MATCH(ULP!$A$1,'R.KOTARAYA'!$B$5:$T$5,0),FALSE)</f>
        <v>0</v>
      </c>
      <c r="BC26" s="96">
        <f t="shared" si="4"/>
        <v>110</v>
      </c>
      <c r="BD26" s="103"/>
    </row>
    <row r="27" spans="2:56" ht="16.5">
      <c r="C27" s="51"/>
      <c r="D27" s="52" t="str">
        <f>T.TOLIS!B26</f>
        <v>c. Rating PLN Mobile</v>
      </c>
      <c r="E27" s="441" t="str">
        <f>T.TOLIS!C26</f>
        <v>ñ</v>
      </c>
      <c r="F27" s="61" t="str">
        <f>T.TOLIS!D26</f>
        <v>Rating</v>
      </c>
      <c r="G27" s="53"/>
      <c r="H27" s="90">
        <f>T.TOLIS!H26</f>
        <v>4.9000000000000004</v>
      </c>
      <c r="I27" s="90">
        <f>VLOOKUP(D27,T.TOLIS!$B$4:$T$56,MATCH(ULP!$A$1,T.TOLIS!$B$5:$T$5,0),FALSE)</f>
        <v>4.9000000000000004</v>
      </c>
      <c r="J27" s="90">
        <f>VLOOKUP(D27,'R.TOLIS'!$B$4:$T$64,MATCH(ULP!$A$1,'R.TOLIS'!$B$5:$T$5,0),FALSE)</f>
        <v>4.9000000000000004</v>
      </c>
      <c r="K27" s="165">
        <f>IF(OR(I27="N/A",J27="N/A"),"N/A",IF((J27/I27*100)&gt;=110,110,(J27/I27*100)))</f>
        <v>100</v>
      </c>
      <c r="L27" s="103"/>
      <c r="N27" s="91"/>
      <c r="O27" s="52" t="str">
        <f>T.LEOK!B26</f>
        <v>c. Rating PLN Mobile</v>
      </c>
      <c r="P27" s="441" t="str">
        <f>T.LEOK!C26</f>
        <v>ñ</v>
      </c>
      <c r="Q27" s="61" t="str">
        <f>T.LEOK!D26</f>
        <v>Rating</v>
      </c>
      <c r="R27" s="53"/>
      <c r="S27" s="90">
        <f>T.LEOK!S26</f>
        <v>4.9000000000000004</v>
      </c>
      <c r="T27" s="90">
        <f>VLOOKUP(O27,T.LEOK!$B$4:$T$56,MATCH(ULP!$A$1,T.LEOK!$B$5:$T$5,0),FALSE)</f>
        <v>4.9000000000000004</v>
      </c>
      <c r="U27" s="90">
        <f>VLOOKUP(O27,'R.LEOK'!$B$4:$T$64,MATCH(ULP!$A$1,'R.LEOK'!$B$5:$T$5,0),FALSE)</f>
        <v>4.9000000000000004</v>
      </c>
      <c r="V27" s="165">
        <f>IF(OR(T27="N/A",U27="N/A"),"N/A",IF((U27/T27*100)&gt;=110,110,(U27/T27*100)))</f>
        <v>100</v>
      </c>
      <c r="W27" s="103"/>
      <c r="Y27" s="91"/>
      <c r="Z27" s="52" t="str">
        <f>T.BANGKIR!B26</f>
        <v>c. Rating PLN Mobile</v>
      </c>
      <c r="AA27" s="441" t="str">
        <f>T.BANGKIR!C26</f>
        <v>ñ</v>
      </c>
      <c r="AB27" s="61" t="str">
        <f>T.BANGKIR!D26</f>
        <v>Rating</v>
      </c>
      <c r="AC27" s="53"/>
      <c r="AD27" s="90">
        <f>T.BANGKIR!T26</f>
        <v>4.9000000000000004</v>
      </c>
      <c r="AE27" s="90">
        <f>VLOOKUP(Z27,T.BANGKIR!$B$4:$T$56,MATCH(ULP!$A$1,T.BANGKIR!$B$5:$T$5,0),FALSE)</f>
        <v>4.9000000000000004</v>
      </c>
      <c r="AF27" s="90">
        <f>VLOOKUP(Z27,'R.BANGKIR'!$B$4:$T$64,MATCH(ULP!$A$1,'R.BANGKIR'!$B$5:$T$5,0),FALSE)</f>
        <v>4.9000000000000004</v>
      </c>
      <c r="AG27" s="165">
        <f>IF(OR(AE27="N/A",AF27="N/A"),"N/A",IF((AF27/AE27*100)&gt;=110,110,(AF27/AE27*100)))</f>
        <v>100</v>
      </c>
      <c r="AH27" s="103"/>
      <c r="AJ27" s="91"/>
      <c r="AK27" s="52" t="str">
        <f>T.MOUTONG!B26</f>
        <v>c. Rating PLN Mobile</v>
      </c>
      <c r="AL27" s="441" t="str">
        <f>T.MOUTONG!C26</f>
        <v>ñ</v>
      </c>
      <c r="AM27" s="61" t="str">
        <f>T.MOUTONG!D26</f>
        <v>Rating</v>
      </c>
      <c r="AN27" s="53"/>
      <c r="AO27" s="90">
        <f>T.MOUTONG!T26</f>
        <v>4.9000000000000004</v>
      </c>
      <c r="AP27" s="90">
        <f>VLOOKUP(AK27,T.MOUTONG!$B$4:$T$56,MATCH(ULP!$A$1,T.MOUTONG!$B$5:$T$5,0),FALSE)</f>
        <v>4.9000000000000004</v>
      </c>
      <c r="AQ27" s="90">
        <f>VLOOKUP(AK27,'R.MOUTONG'!$B$4:$T$64,MATCH(ULP!$A$1,'R.MOUTONG'!$B$5:$T$5,0),FALSE)</f>
        <v>4.9000000000000004</v>
      </c>
      <c r="AR27" s="165">
        <f>IF(OR(AP27="N/A",AQ27="N/A"),"N/A",IF((AQ27/AP27*100)&gt;=110,110,(AQ27/AP27*100)))</f>
        <v>100</v>
      </c>
      <c r="AS27" s="103"/>
      <c r="AU27" s="91"/>
      <c r="AV27" s="52" t="str">
        <f>T.KOTARAYA!B26</f>
        <v>c. Rating PLN Mobile</v>
      </c>
      <c r="AW27" s="441" t="str">
        <f>T.KOTARAYA!C26</f>
        <v>ñ</v>
      </c>
      <c r="AX27" s="288" t="str">
        <f>T.KOTARAYA!D26</f>
        <v>Rating</v>
      </c>
      <c r="AY27" s="53"/>
      <c r="AZ27" s="90">
        <f>T.KOTARAYA!T26</f>
        <v>4.9000000000000004</v>
      </c>
      <c r="BA27" s="90">
        <f>VLOOKUP(AV27,T.KOTARAYA!$B$4:$T$56,MATCH(ULP!$A$1,T.KOTARAYA!$B$5:$T$5,0),FALSE)</f>
        <v>4.9000000000000004</v>
      </c>
      <c r="BB27" s="90">
        <f>VLOOKUP(AV27,'R.KOTARAYA'!$B$4:$T$64,MATCH(ULP!$A$1,'R.KOTARAYA'!$B$5:$T$5,0),FALSE)</f>
        <v>4.9000000000000004</v>
      </c>
      <c r="BC27" s="165">
        <f>IF(OR(BA27="N/A",BB27="N/A"),"N/A",IF((BB27/BA27*100)&gt;=110,110,(BB27/BA27*100)))</f>
        <v>100</v>
      </c>
      <c r="BD27" s="103"/>
    </row>
    <row r="28" spans="2:56" ht="16.5">
      <c r="C28" s="51"/>
      <c r="D28" s="52" t="str">
        <f>T.TOLIS!B27</f>
        <v>d. Jumlah Kali Transaksi Keuangan melalui PLN Mobile</v>
      </c>
      <c r="E28" s="441" t="str">
        <f>T.TOLIS!C27</f>
        <v>ñ</v>
      </c>
      <c r="F28" s="61" t="str">
        <f>T.TOLIS!D27</f>
        <v>Kali Transaksi</v>
      </c>
      <c r="G28" s="53"/>
      <c r="H28" s="90">
        <f>T.TOLIS!H27</f>
        <v>15555</v>
      </c>
      <c r="I28" s="90">
        <f>VLOOKUP(D28,T.TOLIS!$B$4:$T$56,MATCH(ULP!$A$1,T.TOLIS!$B$5:$T$5,0),FALSE)</f>
        <v>12444</v>
      </c>
      <c r="J28" s="90">
        <f>VLOOKUP(D28,'R.TOLIS'!$B$4:$T$64,MATCH(ULP!$A$1,'R.TOLIS'!$B$5:$T$5,0),FALSE)</f>
        <v>16109</v>
      </c>
      <c r="K28" s="165">
        <f>IF(OR(I28="N/A",J28="N/A"),"N/A",IF((J28/I28*100)&gt;=110,110,(J28/I28*100)))</f>
        <v>110</v>
      </c>
      <c r="L28" s="103"/>
      <c r="N28" s="91"/>
      <c r="O28" s="52" t="str">
        <f>T.LEOK!B27</f>
        <v>d. Jumlah Kali Transaksi Keuangan melalui PLN Mobile</v>
      </c>
      <c r="P28" s="441" t="str">
        <f>T.LEOK!C27</f>
        <v>ñ</v>
      </c>
      <c r="Q28" s="61" t="str">
        <f>T.LEOK!D27</f>
        <v>Kali Transaksi</v>
      </c>
      <c r="R28" s="53"/>
      <c r="S28" s="90">
        <f>T.LEOK!S27</f>
        <v>16576</v>
      </c>
      <c r="T28" s="90">
        <f>VLOOKUP(O28,T.LEOK!$B$4:$T$56,MATCH(ULP!$A$1,T.LEOK!$B$5:$T$5,0),FALSE)</f>
        <v>14219</v>
      </c>
      <c r="U28" s="90">
        <f>VLOOKUP(O28,'R.LEOK'!$B$4:$T$64,MATCH(ULP!$A$1,'R.LEOK'!$B$5:$T$5,0),FALSE)</f>
        <v>18553</v>
      </c>
      <c r="V28" s="165">
        <f>IF(OR(T28="N/A",U28="N/A"),"N/A",IF((U28/T28*100)&gt;=110,110,(U28/T28*100)))</f>
        <v>110</v>
      </c>
      <c r="W28" s="103"/>
      <c r="Y28" s="91"/>
      <c r="Z28" s="52" t="str">
        <f>T.BANGKIR!B27</f>
        <v>d. Jumlah Kali Transaksi Keuangan melalui PLN Mobile</v>
      </c>
      <c r="AA28" s="441" t="str">
        <f>T.BANGKIR!C27</f>
        <v>ñ</v>
      </c>
      <c r="AB28" s="61" t="str">
        <f>T.BANGKIR!D27</f>
        <v>Kali Transaksi</v>
      </c>
      <c r="AC28" s="53"/>
      <c r="AD28" s="90">
        <f>T.BANGKIR!T27</f>
        <v>9824</v>
      </c>
      <c r="AE28" s="90">
        <f>VLOOKUP(Z28,T.BANGKIR!$B$4:$T$56,MATCH(ULP!$A$1,T.BANGKIR!$B$5:$T$5,0),FALSE)</f>
        <v>7368</v>
      </c>
      <c r="AF28" s="90">
        <f>VLOOKUP(Z28,'R.BANGKIR'!$B$4:$T$64,MATCH(ULP!$A$1,'R.BANGKIR'!$B$5:$T$5,0),FALSE)</f>
        <v>9488</v>
      </c>
      <c r="AG28" s="165">
        <f>IF(OR(AE28="N/A",AF28="N/A"),"N/A",IF((AF28/AE28*100)&gt;=110,110,(AF28/AE28*100)))</f>
        <v>110</v>
      </c>
      <c r="AH28" s="103"/>
      <c r="AJ28" s="91"/>
      <c r="AK28" s="52" t="str">
        <f>T.MOUTONG!B27</f>
        <v>d. Jumlah Kali Transaksi Keuangan melalui PLN Mobile</v>
      </c>
      <c r="AL28" s="441" t="str">
        <f>T.MOUTONG!C27</f>
        <v>ñ</v>
      </c>
      <c r="AM28" s="61" t="str">
        <f>T.MOUTONG!D27</f>
        <v>Kali Transaksi</v>
      </c>
      <c r="AN28" s="53"/>
      <c r="AO28" s="90">
        <f>T.MOUTONG!T27</f>
        <v>9603</v>
      </c>
      <c r="AP28" s="90">
        <f>VLOOKUP(AK28,T.MOUTONG!$B$4:$T$56,MATCH(ULP!$A$1,T.MOUTONG!$B$5:$T$5,0),FALSE)</f>
        <v>7683</v>
      </c>
      <c r="AQ28" s="90">
        <f>VLOOKUP(AK28,'R.MOUTONG'!$B$4:$T$64,MATCH(ULP!$A$1,'R.MOUTONG'!$B$5:$T$5,0),FALSE)</f>
        <v>13302</v>
      </c>
      <c r="AR28" s="165">
        <f>IF(OR(AP28="N/A",AQ28="N/A"),"N/A",IF((AQ28/AP28*100)&gt;=110,110,(AQ28/AP28*100)))</f>
        <v>110</v>
      </c>
      <c r="AS28" s="103"/>
      <c r="AU28" s="91"/>
      <c r="AV28" s="52" t="str">
        <f>T.KOTARAYA!B27</f>
        <v>d. Jumlah Kali Transaksi Keuangan melalui PLN Mobile</v>
      </c>
      <c r="AW28" s="441" t="str">
        <f>T.KOTARAYA!C27</f>
        <v>ñ</v>
      </c>
      <c r="AX28" s="288" t="str">
        <f>T.KOTARAYA!D27</f>
        <v>Kali Transaksi</v>
      </c>
      <c r="AY28" s="53"/>
      <c r="AZ28" s="90">
        <f>T.KOTARAYA!T27</f>
        <v>10152</v>
      </c>
      <c r="BA28" s="90">
        <f>VLOOKUP(AV28,T.KOTARAYA!$B$4:$T$56,MATCH(ULP!$A$1,T.KOTARAYA!$B$5:$T$5,0),FALSE)</f>
        <v>8122</v>
      </c>
      <c r="BB28" s="90">
        <f>VLOOKUP(AV28,'R.KOTARAYA'!$B$4:$T$64,MATCH(ULP!$A$1,'R.KOTARAYA'!$B$5:$T$5,0),FALSE)</f>
        <v>10638</v>
      </c>
      <c r="BC28" s="165">
        <f>IF(OR(BA28="N/A",BB28="N/A"),"N/A",IF((BB28/BA28*100)&gt;=110,110,(BB28/BA28*100)))</f>
        <v>110</v>
      </c>
      <c r="BD28" s="103"/>
    </row>
    <row r="29" spans="2:56" ht="16.5">
      <c r="C29" s="51"/>
      <c r="D29" s="311" t="str">
        <f>T.TOLIS!B28</f>
        <v>Dispatch Respon Time</v>
      </c>
      <c r="E29" s="441"/>
      <c r="F29" s="61"/>
      <c r="G29" s="53">
        <f>IF(J29="N/A",0,T.TOLIS!F28)</f>
        <v>3</v>
      </c>
      <c r="H29" s="90"/>
      <c r="I29" s="90"/>
      <c r="J29" s="90"/>
      <c r="K29" s="165">
        <f>AVERAGE(K30)</f>
        <v>110</v>
      </c>
      <c r="L29" s="103">
        <f>ROUNDDOWN(IF(OR(K29="N/A",K29&lt;0),0,IF(K29&gt;110,G29*110/100,G29*K29/100)),2)</f>
        <v>3.3</v>
      </c>
      <c r="N29" s="91">
        <f>T.LEOK!A28</f>
        <v>6</v>
      </c>
      <c r="O29" s="311" t="str">
        <f>T.LEOK!B28</f>
        <v>Dispatch Respon Time</v>
      </c>
      <c r="P29" s="441"/>
      <c r="Q29" s="61"/>
      <c r="R29" s="53">
        <f>IF(U29="N/A",0,T.LEOK!F28)</f>
        <v>3</v>
      </c>
      <c r="S29" s="90"/>
      <c r="T29" s="90"/>
      <c r="U29" s="90"/>
      <c r="V29" s="165">
        <f>AVERAGE(V30)</f>
        <v>110</v>
      </c>
      <c r="W29" s="103">
        <f>ROUNDDOWN(IF(OR(V29="N/A",V29&lt;0),0,IF(V29&gt;110,R29*110/100,R29*V29/100)),2)</f>
        <v>3.3</v>
      </c>
      <c r="Y29" s="91">
        <f>T.BANGKIR!A28</f>
        <v>6</v>
      </c>
      <c r="Z29" s="311" t="str">
        <f>T.BANGKIR!B28</f>
        <v>Dispatch Respon Time</v>
      </c>
      <c r="AA29" s="441"/>
      <c r="AB29" s="61"/>
      <c r="AC29" s="53">
        <f>IF(AF29="N/A",0,T.BANGKIR!F28)</f>
        <v>3</v>
      </c>
      <c r="AD29" s="90"/>
      <c r="AE29" s="90"/>
      <c r="AF29" s="90"/>
      <c r="AG29" s="165">
        <f>AVERAGE(AG30)</f>
        <v>110</v>
      </c>
      <c r="AH29" s="103">
        <f>ROUNDDOWN(IF(OR(AG29="N/A",AG29&lt;0),0,IF(AG29&gt;110,AC29*110/100,AC29*AG29/100)),2)</f>
        <v>3.3</v>
      </c>
      <c r="AJ29" s="91">
        <f>T.MOUTONG!A28</f>
        <v>6</v>
      </c>
      <c r="AK29" s="311" t="str">
        <f>T.MOUTONG!B28</f>
        <v>Dispatch Respon Time</v>
      </c>
      <c r="AL29" s="441"/>
      <c r="AM29" s="61"/>
      <c r="AN29" s="53">
        <f>IF(AQ29="N/A",0,T.MOUTONG!F28)</f>
        <v>3</v>
      </c>
      <c r="AO29" s="90"/>
      <c r="AP29" s="90"/>
      <c r="AQ29" s="90"/>
      <c r="AR29" s="165">
        <f>AVERAGE(AR30)</f>
        <v>110</v>
      </c>
      <c r="AS29" s="103">
        <f>ROUNDDOWN(IF(OR(AR29="N/A",AR29&lt;0),0,IF(AR29&gt;110,AN29*110/100,AN29*AR29/100)),2)</f>
        <v>3.3</v>
      </c>
      <c r="AU29" s="91">
        <f>T.KOTARAYA!A28</f>
        <v>6</v>
      </c>
      <c r="AV29" s="311" t="str">
        <f>T.KOTARAYA!B28</f>
        <v>Dispatch Respon Time</v>
      </c>
      <c r="AW29" s="441"/>
      <c r="AX29" s="288"/>
      <c r="AY29" s="53">
        <f>IF(BB29="N/A",0,T.KOTARAYA!F28)</f>
        <v>3</v>
      </c>
      <c r="AZ29" s="90"/>
      <c r="BA29" s="90"/>
      <c r="BB29" s="90"/>
      <c r="BC29" s="165">
        <f>AVERAGE(BC30)</f>
        <v>110</v>
      </c>
      <c r="BD29" s="103">
        <f>ROUNDDOWN(IF(OR(BC29="N/A",BC29&lt;0),0,IF(BC29&gt;110,AY29*110/100,AY29*BC29/100)),2)</f>
        <v>3.3</v>
      </c>
    </row>
    <row r="30" spans="2:56" ht="33">
      <c r="C30" s="51">
        <f>T.TOLIS!A28</f>
        <v>6</v>
      </c>
      <c r="D30" s="52" t="str">
        <f>T.TOLIS!B29</f>
        <v>a. Response Time atas Gangguan (diluar Clear Tamper)</v>
      </c>
      <c r="E30" s="441" t="str">
        <f>T.TOLIS!C29</f>
        <v>ò</v>
      </c>
      <c r="F30" s="61" t="str">
        <f>T.TOLIS!D29</f>
        <v>Menit</v>
      </c>
      <c r="G30" s="53"/>
      <c r="H30" s="90">
        <f>T.TOLIS!H29</f>
        <v>30</v>
      </c>
      <c r="I30" s="90">
        <f>VLOOKUP(D30,T.TOLIS!$B$4:$T$56,MATCH(ULP!$A$1,T.TOLIS!$B$5:$T$5,0),FALSE)</f>
        <v>30</v>
      </c>
      <c r="J30" s="90">
        <f>VLOOKUP(D30,'R.TOLIS'!$B$4:$T$64,MATCH(ULP!$A$1,'R.TOLIS'!$B$5:$T$5,0),FALSE)</f>
        <v>12.896095961591287</v>
      </c>
      <c r="K30" s="165">
        <f>IF(OR(I30="N/A",J30="N/A"),"N/A",IF((2-(J30/I30))*100&lt;0,0,IF((2-(J30/I30))*100&gt;=110,110,(2-(J30/I30))*100)))</f>
        <v>110</v>
      </c>
      <c r="L30" s="103"/>
      <c r="N30" s="91"/>
      <c r="O30" s="52" t="str">
        <f>T.LEOK!B29</f>
        <v>a. Response Time atas Gangguan (diluar Clear Tamper)</v>
      </c>
      <c r="P30" s="441" t="str">
        <f>T.LEOK!C29</f>
        <v>ò</v>
      </c>
      <c r="Q30" s="61" t="str">
        <f>T.LEOK!D29</f>
        <v>Menit</v>
      </c>
      <c r="R30" s="53"/>
      <c r="S30" s="90">
        <f>T.LEOK!S29</f>
        <v>30</v>
      </c>
      <c r="T30" s="90">
        <f>VLOOKUP(O30,T.LEOK!$B$4:$T$56,MATCH(ULP!$A$1,T.LEOK!$B$5:$T$5,0),FALSE)</f>
        <v>30</v>
      </c>
      <c r="U30" s="90">
        <f>VLOOKUP(O30,'R.LEOK'!$B$4:$T$64,MATCH(ULP!$A$1,'R.LEOK'!$B$5:$T$5,0),FALSE)</f>
        <v>8.7027642371561775</v>
      </c>
      <c r="V30" s="165">
        <f>IF(OR(T30="N/A",U30="N/A"),"N/A",IF((2-(U30/T30))*100&lt;0,0,IF((2-(U30/T30))*100&gt;=110,110,(2-(U30/T30))*100)))</f>
        <v>110</v>
      </c>
      <c r="W30" s="103"/>
      <c r="Y30" s="91"/>
      <c r="Z30" s="52" t="str">
        <f>T.BANGKIR!B29</f>
        <v>a. Response Time atas Gangguan (diluar Clear Tamper)</v>
      </c>
      <c r="AA30" s="441" t="str">
        <f>T.BANGKIR!C29</f>
        <v>ò</v>
      </c>
      <c r="AB30" s="61" t="str">
        <f>T.BANGKIR!D29</f>
        <v>Menit</v>
      </c>
      <c r="AC30" s="53"/>
      <c r="AD30" s="90">
        <f>T.LEOK!AD29</f>
        <v>0</v>
      </c>
      <c r="AE30" s="90">
        <f>VLOOKUP(Z30,T.LEOK!$B$4:$T$56,MATCH(ULP!$A$1,T.LEOK!$B$5:$T$5,0),FALSE)</f>
        <v>30</v>
      </c>
      <c r="AF30" s="90">
        <f>VLOOKUP(Z30,'R.BANGKIR'!$B$4:$T$64,MATCH(ULP!$A$1,'R.LEOK'!$B$5:$T$5,0),FALSE)</f>
        <v>8.3605463442592161</v>
      </c>
      <c r="AG30" s="165">
        <f>IF(OR(AE30="N/A",AF30="N/A"),"N/A",IF((2-(AF30/AE30))*100&lt;0,0,IF((2-(AF30/AE30))*100&gt;=110,110,(2-(AF30/AE30))*100)))</f>
        <v>110</v>
      </c>
      <c r="AH30" s="103"/>
      <c r="AJ30" s="91"/>
      <c r="AK30" s="52" t="str">
        <f>T.MOUTONG!B29</f>
        <v>a. Response Time atas Gangguan (diluar Clear Tamper)</v>
      </c>
      <c r="AL30" s="441" t="str">
        <f>T.MOUTONG!C29</f>
        <v>ò</v>
      </c>
      <c r="AM30" s="61" t="str">
        <f>T.MOUTONG!D29</f>
        <v>Menit</v>
      </c>
      <c r="AN30" s="53"/>
      <c r="AO30" s="90">
        <f>T.LEOK!AO29</f>
        <v>0</v>
      </c>
      <c r="AP30" s="90">
        <f>VLOOKUP(AK30,T.LEOK!$B$4:$T$56,MATCH(ULP!$A$1,T.LEOK!$B$5:$T$5,0),FALSE)</f>
        <v>30</v>
      </c>
      <c r="AQ30" s="90">
        <f>VLOOKUP(AK30,'R.MOUTONG'!$B$4:$T$64,MATCH(ULP!$A$1,'R.LEOK'!$B$5:$T$5,0),FALSE)</f>
        <v>9.260615768181351</v>
      </c>
      <c r="AR30" s="165">
        <f>IF(OR(AP30="N/A",AQ30="N/A"),"N/A",IF((2-(AQ30/AP30))*100&lt;0,0,IF((2-(AQ30/AP30))*100&gt;=110,110,(2-(AQ30/AP30))*100)))</f>
        <v>110</v>
      </c>
      <c r="AS30" s="103"/>
      <c r="AU30" s="91"/>
      <c r="AV30" s="52" t="str">
        <f>T.KOTARAYA!B29</f>
        <v>a. Response Time atas Gangguan (diluar Clear Tamper)</v>
      </c>
      <c r="AW30" s="441" t="str">
        <f>T.KOTARAYA!C29</f>
        <v>ò</v>
      </c>
      <c r="AX30" s="288" t="str">
        <f>T.KOTARAYA!D29</f>
        <v>Menit</v>
      </c>
      <c r="AY30" s="53"/>
      <c r="AZ30" s="90">
        <f>T.LEOK!AZ29</f>
        <v>0</v>
      </c>
      <c r="BA30" s="90">
        <f>VLOOKUP(AV30,T.LEOK!$B$4:$T$56,MATCH(ULP!$A$1,T.LEOK!$B$5:$T$5,0),FALSE)</f>
        <v>30</v>
      </c>
      <c r="BB30" s="90">
        <f>VLOOKUP(AV30,'R.KOTARAYA'!$B$4:$T$64,MATCH(ULP!$A$1,'R.LEOK'!$B$5:$T$5,0),FALSE)</f>
        <v>10.932176444057575</v>
      </c>
      <c r="BC30" s="165">
        <f>IF(OR(BA30="N/A",BB30="N/A"),"N/A",IF((2-(BB30/BA30))*100&lt;0,0,IF((2-(BB30/BA30))*100&gt;=110,110,(2-(BB30/BA30))*100)))</f>
        <v>110</v>
      </c>
      <c r="BD30" s="103"/>
    </row>
    <row r="31" spans="2:56" ht="33">
      <c r="C31" s="51"/>
      <c r="D31" s="52" t="str">
        <f>T.TOLIS!B30</f>
        <v>b. Success Rate Auto Dispatch Gangguan Individual (diluar Clear Tamper)</v>
      </c>
      <c r="E31" s="441" t="str">
        <f>T.TOLIS!C30</f>
        <v>ñ</v>
      </c>
      <c r="F31" s="61" t="str">
        <f>T.TOLIS!D30</f>
        <v>%</v>
      </c>
      <c r="G31" s="53"/>
      <c r="H31" s="90">
        <f>T.TOLIS!H30</f>
        <v>0</v>
      </c>
      <c r="I31" s="90">
        <f>VLOOKUP(D31,T.TOLIS!$B$4:$T$56,MATCH(ULP!$A$1,T.TOLIS!$B$5:$T$5,0),FALSE)</f>
        <v>0</v>
      </c>
      <c r="J31" s="90">
        <f>VLOOKUP(D31,'R.TOLIS'!$B$4:$T$64,MATCH(ULP!$A$1,'R.TOLIS'!$B$5:$T$5,0),FALSE)</f>
        <v>0</v>
      </c>
      <c r="K31" s="165">
        <f>IF(I31=0,100,(IF((J31/I31*100)&gt;110,110,(J31/I31*100))))</f>
        <v>100</v>
      </c>
      <c r="L31" s="103"/>
      <c r="N31" s="91"/>
      <c r="O31" s="52" t="str">
        <f>T.LEOK!B30</f>
        <v>b. Success Rate Auto Dispatch Gangguan Individual (diluar Clear Tamper)</v>
      </c>
      <c r="P31" s="441" t="str">
        <f>T.LEOK!C30</f>
        <v>ñ</v>
      </c>
      <c r="Q31" s="61" t="str">
        <f>T.LEOK!D30</f>
        <v>%</v>
      </c>
      <c r="R31" s="53"/>
      <c r="S31" s="90">
        <f>T.LEOK!S30</f>
        <v>0</v>
      </c>
      <c r="T31" s="90">
        <f>VLOOKUP(O31,T.LEOK!$B$4:$T$56,MATCH(ULP!$A$1,T.LEOK!$B$5:$T$5,0),FALSE)</f>
        <v>0</v>
      </c>
      <c r="U31" s="90">
        <f>VLOOKUP(O31,'R.LEOK'!$B$4:$T$64,MATCH(ULP!$A$1,'R.LEOK'!$B$5:$T$5,0),FALSE)</f>
        <v>0</v>
      </c>
      <c r="V31" s="165">
        <f>IF(T31=0,100,(IF((U31/T31*100)&gt;110,110,(U31/T31*100))))</f>
        <v>100</v>
      </c>
      <c r="W31" s="103"/>
      <c r="Y31" s="91"/>
      <c r="Z31" s="52" t="str">
        <f>T.BANGKIR!B30</f>
        <v>b. Success Rate Auto Dispatch Gangguan Individual (diluar Clear Tamper)</v>
      </c>
      <c r="AA31" s="441" t="str">
        <f>T.BANGKIR!C30</f>
        <v>ñ</v>
      </c>
      <c r="AB31" s="61" t="str">
        <f>T.BANGKIR!D30</f>
        <v>%</v>
      </c>
      <c r="AC31" s="53"/>
      <c r="AD31" s="90">
        <f>T.LEOK!AD30</f>
        <v>0</v>
      </c>
      <c r="AE31" s="90">
        <f>VLOOKUP(Z31,T.LEOK!$B$4:$T$56,MATCH(ULP!$A$1,T.LEOK!$B$5:$T$5,0),FALSE)</f>
        <v>0</v>
      </c>
      <c r="AF31" s="90">
        <f>VLOOKUP(Z31,'R.BANGKIR'!$B$4:$T$64,MATCH(ULP!$A$1,'R.LEOK'!$B$5:$T$5,0),FALSE)</f>
        <v>0</v>
      </c>
      <c r="AG31" s="165">
        <f>IF(AE31=0,100,(IF((AF31/AE31*100)&gt;110,110,(AF31/AE31*100))))</f>
        <v>100</v>
      </c>
      <c r="AH31" s="103"/>
      <c r="AJ31" s="91"/>
      <c r="AK31" s="52" t="str">
        <f>T.MOUTONG!B30</f>
        <v>b. Success Rate Auto Dispatch Gangguan Individual (diluar Clear Tamper)</v>
      </c>
      <c r="AL31" s="441" t="str">
        <f>T.MOUTONG!C30</f>
        <v>ñ</v>
      </c>
      <c r="AM31" s="61" t="str">
        <f>T.MOUTONG!D30</f>
        <v>%</v>
      </c>
      <c r="AN31" s="53"/>
      <c r="AO31" s="90">
        <f>T.LEOK!AO30</f>
        <v>0</v>
      </c>
      <c r="AP31" s="90">
        <f>VLOOKUP(AK31,T.LEOK!$B$4:$T$56,MATCH(ULP!$A$1,T.LEOK!$B$5:$T$5,0),FALSE)</f>
        <v>0</v>
      </c>
      <c r="AQ31" s="90">
        <f>VLOOKUP(AK31,'R.LEOK'!$B$4:$T$64,MATCH(ULP!$A$1,'R.LEOK'!$B$5:$T$5,0),FALSE)</f>
        <v>0</v>
      </c>
      <c r="AR31" s="165">
        <f>IF(AP31=0,100,(IF((AQ31/AP31*100)&gt;110,110,(AQ31/AP31*100))))</f>
        <v>100</v>
      </c>
      <c r="AS31" s="103"/>
      <c r="AU31" s="91"/>
      <c r="AV31" s="52" t="str">
        <f>T.KOTARAYA!B30</f>
        <v>b. Success Rate Auto Dispatch Gangguan Individual (diluar Clear Tamper)</v>
      </c>
      <c r="AW31" s="441" t="str">
        <f>T.KOTARAYA!C30</f>
        <v>ñ</v>
      </c>
      <c r="AX31" s="288" t="str">
        <f>T.KOTARAYA!D30</f>
        <v>%</v>
      </c>
      <c r="AY31" s="53"/>
      <c r="AZ31" s="90">
        <f>T.LEOK!AZ30</f>
        <v>0</v>
      </c>
      <c r="BA31" s="90">
        <f>VLOOKUP(AV31,T.LEOK!$B$4:$T$56,MATCH(ULP!$A$1,T.LEOK!$B$5:$T$5,0),FALSE)</f>
        <v>0</v>
      </c>
      <c r="BB31" s="90">
        <f>VLOOKUP(AV31,'R.LEOK'!$B$4:$T$64,MATCH(ULP!$A$1,'R.LEOK'!$B$5:$T$5,0),FALSE)</f>
        <v>0</v>
      </c>
      <c r="BC31" s="165">
        <f>IF(BA31=0,100,(IF((BB31/BA31*100)&gt;110,110,(BB31/BA31*100))))</f>
        <v>100</v>
      </c>
      <c r="BD31" s="103"/>
    </row>
    <row r="32" spans="2:56" ht="16.5">
      <c r="C32" s="51"/>
      <c r="D32" s="311" t="str">
        <f>T.TOLIS!B31</f>
        <v>Sistem Recovery :</v>
      </c>
      <c r="E32" s="441"/>
      <c r="F32" s="61"/>
      <c r="G32" s="53">
        <f>IF(J32="N/A",0,T.TOLIS!F31)</f>
        <v>6</v>
      </c>
      <c r="H32" s="90"/>
      <c r="I32" s="90"/>
      <c r="J32" s="90"/>
      <c r="K32" s="165">
        <f>AVERAGE(K33:K34)</f>
        <v>110</v>
      </c>
      <c r="L32" s="103">
        <f>ROUNDDOWN(IF(OR(K32="N/A",K32&lt;0),0,IF(K32&gt;110,G32*110/100,G32*K32/100)),2)</f>
        <v>6.6</v>
      </c>
      <c r="N32" s="91">
        <f>T.LEOK!A31</f>
        <v>7</v>
      </c>
      <c r="O32" s="311" t="str">
        <f>T.LEOK!B31</f>
        <v>Sistem Recovery :</v>
      </c>
      <c r="P32" s="441"/>
      <c r="Q32" s="61"/>
      <c r="R32" s="53">
        <f>IF(U32="N/A",0,T.LEOK!F31)</f>
        <v>6</v>
      </c>
      <c r="S32" s="90"/>
      <c r="T32" s="90"/>
      <c r="U32" s="90"/>
      <c r="V32" s="165">
        <f>AVERAGE(V33:V34)</f>
        <v>110</v>
      </c>
      <c r="W32" s="103">
        <f>ROUNDDOWN(IF(OR(V32="N/A",V32&lt;0),0,IF(V32&gt;110,R32*110/100,R32*V32/100)),2)</f>
        <v>6.6</v>
      </c>
      <c r="Y32" s="91">
        <f>T.BANGKIR!A31</f>
        <v>7</v>
      </c>
      <c r="Z32" s="311" t="str">
        <f>T.BANGKIR!B31</f>
        <v>Sistem Recovery :</v>
      </c>
      <c r="AA32" s="441"/>
      <c r="AB32" s="61"/>
      <c r="AC32" s="53">
        <f>IF(AF32="N/A",0,T.BANGKIR!F31)</f>
        <v>6</v>
      </c>
      <c r="AD32" s="90"/>
      <c r="AE32" s="90"/>
      <c r="AF32" s="90"/>
      <c r="AG32" s="165">
        <f>AVERAGE(AG33:AG34)</f>
        <v>110</v>
      </c>
      <c r="AH32" s="103">
        <f>ROUNDDOWN(IF(OR(AG32="N/A",AG32&lt;0),0,IF(AG32&gt;110,AC32*110/100,AC32*AG32/100)),2)</f>
        <v>6.6</v>
      </c>
      <c r="AJ32" s="91">
        <f>T.MOUTONG!A31</f>
        <v>7</v>
      </c>
      <c r="AK32" s="311" t="str">
        <f>T.MOUTONG!B31</f>
        <v>Sistem Recovery :</v>
      </c>
      <c r="AL32" s="441"/>
      <c r="AM32" s="61"/>
      <c r="AN32" s="53">
        <f>IF(AQ32="N/A",0,T.MOUTONG!F31)</f>
        <v>6</v>
      </c>
      <c r="AO32" s="90"/>
      <c r="AP32" s="90"/>
      <c r="AQ32" s="90"/>
      <c r="AR32" s="165">
        <f>AVERAGE(AR33:AR34)</f>
        <v>110</v>
      </c>
      <c r="AS32" s="103">
        <f>ROUNDDOWN(IF(OR(AR32="N/A",AR32&lt;0),0,IF(AR32&gt;110,AN32*110/100,AN32*AR32/100)),2)</f>
        <v>6.6</v>
      </c>
      <c r="AU32" s="91">
        <f>T.KOTARAYA!A31</f>
        <v>7</v>
      </c>
      <c r="AV32" s="311" t="str">
        <f>T.KOTARAYA!B31</f>
        <v>Sistem Recovery :</v>
      </c>
      <c r="AW32" s="441"/>
      <c r="AX32" s="288"/>
      <c r="AY32" s="53">
        <f>IF(BB32="N/A",0,T.KOTARAYA!F31)</f>
        <v>6</v>
      </c>
      <c r="AZ32" s="90"/>
      <c r="BA32" s="90"/>
      <c r="BB32" s="90"/>
      <c r="BC32" s="165">
        <f>AVERAGE(BC33:BC34)</f>
        <v>110</v>
      </c>
      <c r="BD32" s="103">
        <f>ROUNDDOWN(IF(OR(BC32="N/A",BC32&lt;0),0,IF(BC32&gt;110,AY32*110/100,AY32*BC32/100)),2)</f>
        <v>6.6</v>
      </c>
    </row>
    <row r="33" spans="3:56" ht="16.5">
      <c r="C33" s="51">
        <f>T.TOLIS!A31</f>
        <v>7</v>
      </c>
      <c r="D33" s="52" t="str">
        <f>T.TOLIS!B32</f>
        <v>a. Recovery Time Gangguan Meluas TM</v>
      </c>
      <c r="E33" s="441" t="str">
        <f>T.TOLIS!C32</f>
        <v>ñ</v>
      </c>
      <c r="F33" s="61" t="str">
        <f>T.TOLIS!D32</f>
        <v>%</v>
      </c>
      <c r="G33" s="53"/>
      <c r="H33" s="90">
        <f>T.TOLIS!H32</f>
        <v>100</v>
      </c>
      <c r="I33" s="90">
        <f>VLOOKUP(D33,T.TOLIS!$B$4:$T$56,MATCH(ULP!$A$1,T.TOLIS!$B$5:$T$5,0),FALSE)</f>
        <v>100</v>
      </c>
      <c r="J33" s="90">
        <f>VLOOKUP(D33,'R.TOLIS'!$B$4:$T$64,MATCH(ULP!$A$1,'R.TOLIS'!$B$5:$T$5,0),FALSE)</f>
        <v>110</v>
      </c>
      <c r="K33" s="165">
        <f>IF(OR(I33="N/A",J33="N/A"),"N/A",IF((J33/I33*100)&gt;=110,110,(J33/I33*100)))</f>
        <v>110</v>
      </c>
      <c r="L33" s="103"/>
      <c r="N33" s="91"/>
      <c r="O33" s="52" t="str">
        <f>T.LEOK!B32</f>
        <v>a. Recovery Time Gangguan Meluas TM</v>
      </c>
      <c r="P33" s="441" t="str">
        <f>T.LEOK!C32</f>
        <v>ñ</v>
      </c>
      <c r="Q33" s="61" t="str">
        <f>T.LEOK!D32</f>
        <v>%</v>
      </c>
      <c r="R33" s="53"/>
      <c r="S33" s="90">
        <f>T.LEOK!S32</f>
        <v>100</v>
      </c>
      <c r="T33" s="90">
        <f>VLOOKUP(O33,T.LEOK!$B$4:$T$56,MATCH(ULP!$A$1,T.LEOK!$B$5:$T$5,0),FALSE)</f>
        <v>100</v>
      </c>
      <c r="U33" s="90">
        <f>VLOOKUP(O33,'R.LEOK'!$B$4:$T$64,MATCH(ULP!$A$1,'R.LEOK'!$B$5:$T$5,0),FALSE)</f>
        <v>110</v>
      </c>
      <c r="V33" s="165">
        <f>IF(OR(T33="N/A",U33="N/A"),"N/A",IF((U33/T33*100)&gt;=110,110,(U33/T33*100)))</f>
        <v>110</v>
      </c>
      <c r="W33" s="103"/>
      <c r="Y33" s="91"/>
      <c r="Z33" s="52" t="str">
        <f>T.BANGKIR!B32</f>
        <v>a. Recovery Time Gangguan Meluas TM</v>
      </c>
      <c r="AA33" s="441" t="str">
        <f>T.BANGKIR!C32</f>
        <v>ñ</v>
      </c>
      <c r="AB33" s="61" t="str">
        <f>T.BANGKIR!D32</f>
        <v>%</v>
      </c>
      <c r="AC33" s="53"/>
      <c r="AD33" s="90">
        <f>T.BANGKIR!T33</f>
        <v>100</v>
      </c>
      <c r="AE33" s="90">
        <f>VLOOKUP(Z33,T.BANGKIR!$B$4:$T$56,MATCH(ULP!$A$1,T.BANGKIR!$B$5:$T$5,0),FALSE)</f>
        <v>100</v>
      </c>
      <c r="AF33" s="90">
        <f>VLOOKUP(Z33,'R.BANGKIR'!$B$4:$T$64,MATCH(ULP!$A$1,'R.BANGKIR'!$B$5:$T$5,0),FALSE)</f>
        <v>110</v>
      </c>
      <c r="AG33" s="165">
        <f>IF(OR(AE33="N/A",AF33="N/A"),"N/A",IF((AF33/AE33*100)&gt;=110,110,(AF33/AE33*100)))</f>
        <v>110</v>
      </c>
      <c r="AH33" s="103"/>
      <c r="AJ33" s="91"/>
      <c r="AK33" s="52" t="str">
        <f>T.MOUTONG!B32</f>
        <v>a. Recovery Time Gangguan Meluas TM</v>
      </c>
      <c r="AL33" s="441" t="str">
        <f>T.MOUTONG!C32</f>
        <v>ñ</v>
      </c>
      <c r="AM33" s="61" t="str">
        <f>T.MOUTONG!D32</f>
        <v>%</v>
      </c>
      <c r="AN33" s="53"/>
      <c r="AO33" s="90">
        <f>T.MOUTONG!T33</f>
        <v>100</v>
      </c>
      <c r="AP33" s="90">
        <f>VLOOKUP(AK33,T.MOUTONG!$B$4:$T$56,MATCH(ULP!$A$1,T.MOUTONG!$B$5:$T$5,0),FALSE)</f>
        <v>100</v>
      </c>
      <c r="AQ33" s="90">
        <f>VLOOKUP(AK33,'R.MOUTONG'!$B$4:$T$64,MATCH(ULP!$A$1,'R.MOUTONG'!$B$5:$T$5,0),FALSE)</f>
        <v>110</v>
      </c>
      <c r="AR33" s="165">
        <f>IF(OR(AP33="N/A",AQ33="N/A"),"N/A",IF((AQ33/AP33*100)&gt;=110,110,(AQ33/AP33*100)))</f>
        <v>110</v>
      </c>
      <c r="AS33" s="103"/>
      <c r="AU33" s="91"/>
      <c r="AV33" s="52" t="str">
        <f>T.KOTARAYA!B32</f>
        <v>a. Recovery Time Gangguan Meluas TM</v>
      </c>
      <c r="AW33" s="441" t="str">
        <f>T.KOTARAYA!C32</f>
        <v>ñ</v>
      </c>
      <c r="AX33" s="288" t="str">
        <f>T.KOTARAYA!D32</f>
        <v>%</v>
      </c>
      <c r="AY33" s="53"/>
      <c r="AZ33" s="90">
        <f>T.KOTARAYA!T33</f>
        <v>100</v>
      </c>
      <c r="BA33" s="90">
        <f>VLOOKUP(AV33,T.KOTARAYA!$B$4:$T$56,MATCH(ULP!$A$1,T.KOTARAYA!$B$5:$T$5,0),FALSE)</f>
        <v>100</v>
      </c>
      <c r="BB33" s="90">
        <f>VLOOKUP(AV33,'R.KOTARAYA'!$B$4:$T$64,MATCH(ULP!$A$1,'R.KOTARAYA'!$B$5:$T$5,0),FALSE)</f>
        <v>110</v>
      </c>
      <c r="BC33" s="165">
        <f>IF(OR(BA33="N/A",BB33="N/A"),"N/A",IF((BB33/BA33*100)&gt;=110,110,(BB33/BA33*100)))</f>
        <v>110</v>
      </c>
      <c r="BD33" s="103"/>
    </row>
    <row r="34" spans="3:56" ht="16.5">
      <c r="C34" s="51"/>
      <c r="D34" s="52" t="str">
        <f>T.TOLIS!B33</f>
        <v>b. Penormalan Siaga 1 Gangguan TM</v>
      </c>
      <c r="E34" s="441" t="str">
        <f>T.TOLIS!C33</f>
        <v>ñ</v>
      </c>
      <c r="F34" s="61" t="str">
        <f>T.TOLIS!D33</f>
        <v>%</v>
      </c>
      <c r="G34" s="53"/>
      <c r="H34" s="90">
        <f>T.TOLIS!H33</f>
        <v>100</v>
      </c>
      <c r="I34" s="90">
        <f>VLOOKUP(D34,T.TOLIS!$B$4:$T$56,MATCH(ULP!$A$1,T.TOLIS!$B$5:$T$5,0),FALSE)</f>
        <v>100</v>
      </c>
      <c r="J34" s="90">
        <f>VLOOKUP(D34,'R.TOLIS'!$B$4:$T$64,MATCH(ULP!$A$1,'R.TOLIS'!$B$5:$T$5,0),FALSE)</f>
        <v>110</v>
      </c>
      <c r="K34" s="165">
        <f>IF(OR(I34="N/A",J34="N/A"),"N/A",IF((J34/I34*100)&gt;=110,110,(J34/I34*100)))</f>
        <v>110</v>
      </c>
      <c r="L34" s="103"/>
      <c r="N34" s="91"/>
      <c r="O34" s="52" t="str">
        <f>T.LEOK!B33</f>
        <v>b. Penormalan Siaga 1 Gangguan TM</v>
      </c>
      <c r="P34" s="441" t="str">
        <f>T.LEOK!C33</f>
        <v>ñ</v>
      </c>
      <c r="Q34" s="61" t="str">
        <f>T.LEOK!D33</f>
        <v>%</v>
      </c>
      <c r="R34" s="53"/>
      <c r="S34" s="90">
        <f>T.LEOK!S33</f>
        <v>100</v>
      </c>
      <c r="T34" s="90">
        <f>VLOOKUP(O34,T.LEOK!$B$4:$T$56,MATCH(ULP!$A$1,T.LEOK!$B$5:$T$5,0),FALSE)</f>
        <v>100</v>
      </c>
      <c r="U34" s="90">
        <f>VLOOKUP(O34,'R.LEOK'!$B$4:$T$64,MATCH(ULP!$A$1,'R.LEOK'!$B$5:$T$5,0),FALSE)</f>
        <v>110</v>
      </c>
      <c r="V34" s="165">
        <f>IF(OR(T34="N/A",U34="N/A"),"N/A",IF((U34/T34*100)&gt;=110,110,(U34/T34*100)))</f>
        <v>110</v>
      </c>
      <c r="W34" s="103"/>
      <c r="Y34" s="91"/>
      <c r="Z34" s="52" t="str">
        <f>T.BANGKIR!B33</f>
        <v>b. Penormalan Siaga 1 Gangguan TM</v>
      </c>
      <c r="AA34" s="441" t="str">
        <f>T.BANGKIR!C33</f>
        <v>ñ</v>
      </c>
      <c r="AB34" s="61" t="str">
        <f>T.BANGKIR!D33</f>
        <v>%</v>
      </c>
      <c r="AC34" s="53"/>
      <c r="AD34" s="90">
        <f>T.BANGKIR!T34</f>
        <v>0</v>
      </c>
      <c r="AE34" s="90">
        <f>VLOOKUP(Z34,T.BANGKIR!$B$4:$T$56,MATCH(ULP!$A$1,T.BANGKIR!$B$5:$T$5,0),FALSE)</f>
        <v>100</v>
      </c>
      <c r="AF34" s="90">
        <f>VLOOKUP(Z34,'R.BANGKIR'!$B$4:$T$64,MATCH(ULP!$A$1,'R.BANGKIR'!$B$5:$T$5,0),FALSE)</f>
        <v>110</v>
      </c>
      <c r="AG34" s="165">
        <f>IF(OR(AE34="N/A",AF34="N/A"),"N/A",IF((AF34/AE34*100)&gt;=110,110,(AF34/AE34*100)))</f>
        <v>110</v>
      </c>
      <c r="AH34" s="103"/>
      <c r="AJ34" s="91"/>
      <c r="AK34" s="52" t="str">
        <f>T.MOUTONG!B33</f>
        <v>b. Penormalan Siaga 1 Gangguan TM</v>
      </c>
      <c r="AL34" s="441" t="str">
        <f>T.MOUTONG!C33</f>
        <v>ñ</v>
      </c>
      <c r="AM34" s="61" t="str">
        <f>T.MOUTONG!D33</f>
        <v>%</v>
      </c>
      <c r="AN34" s="53"/>
      <c r="AO34" s="90">
        <f>T.MOUTONG!T34</f>
        <v>0</v>
      </c>
      <c r="AP34" s="90">
        <f>VLOOKUP(AK34,T.MOUTONG!$B$4:$T$56,MATCH(ULP!$A$1,T.MOUTONG!$B$5:$T$5,0),FALSE)</f>
        <v>100</v>
      </c>
      <c r="AQ34" s="90">
        <f>VLOOKUP(AK34,'R.MOUTONG'!$B$4:$T$64,MATCH(ULP!$A$1,'R.MOUTONG'!$B$5:$T$5,0),FALSE)</f>
        <v>110</v>
      </c>
      <c r="AR34" s="165">
        <f>IF(OR(AP34="N/A",AQ34="N/A"),"N/A",IF((AQ34/AP34*100)&gt;=110,110,(AQ34/AP34*100)))</f>
        <v>110</v>
      </c>
      <c r="AS34" s="103"/>
      <c r="AU34" s="91"/>
      <c r="AV34" s="52" t="str">
        <f>T.KOTARAYA!B33</f>
        <v>b. Penormalan Siaga 1 Gangguan TM</v>
      </c>
      <c r="AW34" s="441" t="str">
        <f>T.KOTARAYA!C33</f>
        <v>ñ</v>
      </c>
      <c r="AX34" s="288" t="str">
        <f>T.KOTARAYA!D33</f>
        <v>%</v>
      </c>
      <c r="AY34" s="53"/>
      <c r="AZ34" s="90">
        <f>T.KOTARAYA!T34</f>
        <v>0</v>
      </c>
      <c r="BA34" s="90">
        <f>VLOOKUP(AV34,T.KOTARAYA!$B$4:$T$56,MATCH(ULP!$A$1,T.KOTARAYA!$B$5:$T$5,0),FALSE)</f>
        <v>100</v>
      </c>
      <c r="BB34" s="90">
        <f>VLOOKUP(AV34,'R.KOTARAYA'!$B$4:$T$64,MATCH(ULP!$A$1,'R.KOTARAYA'!$B$5:$T$5,0),FALSE)</f>
        <v>110</v>
      </c>
      <c r="BC34" s="165">
        <f>IF(OR(BA34="N/A",BB34="N/A"),"N/A",IF((BB34/BA34*100)&gt;=110,110,(BB34/BA34*100)))</f>
        <v>110</v>
      </c>
      <c r="BD34" s="103"/>
    </row>
    <row r="35" spans="3:56" ht="16.5">
      <c r="C35" s="51"/>
      <c r="D35" s="311" t="str">
        <f>T.TOLIS!B34</f>
        <v>Percepatan Penyambungan Pelanggan</v>
      </c>
      <c r="E35" s="441"/>
      <c r="F35" s="61"/>
      <c r="G35" s="53"/>
      <c r="H35" s="90"/>
      <c r="I35" s="90"/>
      <c r="J35" s="90"/>
      <c r="K35" s="165">
        <f>AVERAGE(K36:K39)</f>
        <v>82.350650854085202</v>
      </c>
      <c r="L35" s="103">
        <f>SUM(L36:L39)</f>
        <v>7.6700000000000008</v>
      </c>
      <c r="N35" s="91">
        <f>T.LEOK!A34</f>
        <v>8</v>
      </c>
      <c r="O35" s="311" t="str">
        <f>T.LEOK!B34</f>
        <v>Percepatan Penyambungan Pelanggan</v>
      </c>
      <c r="P35" s="441"/>
      <c r="Q35" s="61"/>
      <c r="R35" s="53"/>
      <c r="S35" s="90"/>
      <c r="T35" s="90"/>
      <c r="U35" s="90"/>
      <c r="V35" s="165">
        <f>AVERAGE(V36:V39)</f>
        <v>69.222670250896059</v>
      </c>
      <c r="W35" s="103">
        <f>SUM(W36:W39)</f>
        <v>6.5200000000000005</v>
      </c>
      <c r="Y35" s="91">
        <f>T.BANGKIR!A34</f>
        <v>8</v>
      </c>
      <c r="Z35" s="311" t="str">
        <f>T.BANGKIR!B34</f>
        <v>Percepatan Penyambungan Pelanggan</v>
      </c>
      <c r="AA35" s="441"/>
      <c r="AB35" s="61"/>
      <c r="AC35" s="53"/>
      <c r="AD35" s="90"/>
      <c r="AE35" s="90"/>
      <c r="AF35" s="90"/>
      <c r="AG35" s="165">
        <f>AVERAGE(AG36:AG39)</f>
        <v>88.615447257651709</v>
      </c>
      <c r="AH35" s="103">
        <f>SUM(AH36:AH39)</f>
        <v>8.5300000000000011</v>
      </c>
      <c r="AJ35" s="91">
        <f>T.MOUTONG!A34</f>
        <v>8</v>
      </c>
      <c r="AK35" s="311" t="str">
        <f>T.MOUTONG!B34</f>
        <v>Percepatan Penyambungan Pelanggan</v>
      </c>
      <c r="AL35" s="441"/>
      <c r="AM35" s="61"/>
      <c r="AN35" s="53"/>
      <c r="AO35" s="90"/>
      <c r="AP35" s="90"/>
      <c r="AQ35" s="90"/>
      <c r="AR35" s="165">
        <f>AVERAGE(AR36:AR39)</f>
        <v>66.67466745068586</v>
      </c>
      <c r="AS35" s="103">
        <f>SUM(AS36:AS39)</f>
        <v>6.34</v>
      </c>
      <c r="AU35" s="91">
        <f>T.KOTARAYA!A34</f>
        <v>8</v>
      </c>
      <c r="AV35" s="311" t="str">
        <f>T.KOTARAYA!B34</f>
        <v>Percepatan Penyambungan Pelanggan</v>
      </c>
      <c r="AW35" s="441"/>
      <c r="AX35" s="288"/>
      <c r="AY35" s="53"/>
      <c r="AZ35" s="90"/>
      <c r="BA35" s="90"/>
      <c r="BB35" s="90"/>
      <c r="BC35" s="165">
        <f>AVERAGE(BC36:BC39)</f>
        <v>87.392173224824077</v>
      </c>
      <c r="BD35" s="103">
        <f>SUM(BD36:BD39)</f>
        <v>8.379999999999999</v>
      </c>
    </row>
    <row r="36" spans="3:56" ht="16.5">
      <c r="C36" s="51">
        <f>T.TOLIS!A34</f>
        <v>8</v>
      </c>
      <c r="D36" s="52" t="str">
        <f>T.TOLIS!B35</f>
        <v>a. Penambahan Daya Tersambung</v>
      </c>
      <c r="E36" s="441" t="str">
        <f>T.TOLIS!C35</f>
        <v>ñ</v>
      </c>
      <c r="F36" s="61" t="str">
        <f>T.TOLIS!D35</f>
        <v>MVA</v>
      </c>
      <c r="G36" s="53">
        <v>3</v>
      </c>
      <c r="H36" s="90">
        <f>T.TOLIS!H35</f>
        <v>4.59</v>
      </c>
      <c r="I36" s="90">
        <f>VLOOKUP(D36,T.TOLIS!$B$4:$T$56,MATCH(ULP!$A$1,T.TOLIS!$B$5:$T$5,0),FALSE)</f>
        <v>3.01</v>
      </c>
      <c r="J36" s="90">
        <f>VLOOKUP(D36,'R.TOLIS'!$B$4:$T$64,MATCH(ULP!$A$1,'R.TOLIS'!$B$5:$T$5,0),FALSE)</f>
        <v>1.81965</v>
      </c>
      <c r="K36" s="165">
        <f>IF(OR(I36="N/A",J36="N/A"),"N/A",IF((J36/I36*100)&gt;=110,110,(J36/I36*100)))</f>
        <v>60.45348837209302</v>
      </c>
      <c r="L36" s="103">
        <f>ROUNDDOWN(IF(OR(K36="N/A",K36&lt;0),0,IF(K36&gt;110,G36*110/100,G36*K36/100)),2)</f>
        <v>1.81</v>
      </c>
      <c r="N36" s="91"/>
      <c r="O36" s="52" t="str">
        <f>T.LEOK!B35</f>
        <v>a. Penambahan Daya Tersambung</v>
      </c>
      <c r="P36" s="441" t="str">
        <f>T.LEOK!C35</f>
        <v>ñ</v>
      </c>
      <c r="Q36" s="61" t="str">
        <f>T.LEOK!D35</f>
        <v>MVA</v>
      </c>
      <c r="R36" s="53">
        <v>3</v>
      </c>
      <c r="S36" s="90">
        <f>T.LEOK!S35</f>
        <v>2.88</v>
      </c>
      <c r="T36" s="90">
        <f>VLOOKUP(O36,T.LEOK!$B$4:$T$56,MATCH(ULP!$A$1,T.LEOK!$B$5:$T$5,0),FALSE)</f>
        <v>2.2799999999999998</v>
      </c>
      <c r="U36" s="90">
        <f>VLOOKUP(O36,'R.LEOK'!$B$4:$T$64,MATCH(ULP!$A$1,'R.LEOK'!$B$5:$T$5,0),FALSE)</f>
        <v>1.1843333333333332</v>
      </c>
      <c r="V36" s="165">
        <f>IF(OR(T36="N/A",U36="N/A"),"N/A",IF((U36/T36*100)&gt;=110,110,(U36/T36*100)))</f>
        <v>51.94444444444445</v>
      </c>
      <c r="W36" s="103">
        <f>ROUNDDOWN(IF(OR(V36="N/A",V36&lt;0),0,IF(V36&gt;110,R36*110/100,R36*V36/100)),2)</f>
        <v>1.55</v>
      </c>
      <c r="Y36" s="91"/>
      <c r="Z36" s="52" t="str">
        <f>T.BANGKIR!B35</f>
        <v>a. Penambahan Daya Tersambung</v>
      </c>
      <c r="AA36" s="441" t="str">
        <f>T.BANGKIR!C35</f>
        <v>ñ</v>
      </c>
      <c r="AB36" s="61" t="str">
        <f>T.BANGKIR!D35</f>
        <v>MVA</v>
      </c>
      <c r="AC36" s="53">
        <v>3</v>
      </c>
      <c r="AD36" s="90">
        <f>T.BANGKIR!T35</f>
        <v>1.57</v>
      </c>
      <c r="AE36" s="90">
        <f>VLOOKUP(Z36,T.BANGKIR!$B$4:$T$56,MATCH(ULP!$A$1,T.BANGKIR!$B$5:$T$5,0),FALSE)</f>
        <v>1.03</v>
      </c>
      <c r="AF36" s="90">
        <f>VLOOKUP(Z36,'R.BANGKIR'!$B$4:$T$64,MATCH(ULP!$A$1,'R.BANGKIR'!$B$5:$T$5,0),FALSE)</f>
        <v>0.86299999999999999</v>
      </c>
      <c r="AG36" s="165">
        <f>IF(OR(AE36="N/A",AF36="N/A"),"N/A",IF((AF36/AE36*100)&gt;=110,110,(AF36/AE36*100)))</f>
        <v>83.786407766990294</v>
      </c>
      <c r="AH36" s="103">
        <f>ROUNDDOWN(IF(OR(AG36="N/A",AG36&lt;0),0,IF(AG36&gt;110,AC36*110/100,AC36*AG36/100)),2)</f>
        <v>2.5099999999999998</v>
      </c>
      <c r="AJ36" s="91"/>
      <c r="AK36" s="52" t="str">
        <f>T.MOUTONG!B35</f>
        <v>a. Penambahan Daya Tersambung</v>
      </c>
      <c r="AL36" s="441" t="str">
        <f>T.MOUTONG!C35</f>
        <v>ñ</v>
      </c>
      <c r="AM36" s="61" t="str">
        <f>T.MOUTONG!D35</f>
        <v>MVA</v>
      </c>
      <c r="AN36" s="53">
        <v>3</v>
      </c>
      <c r="AO36" s="90">
        <f>T.MOUTONG!T35</f>
        <v>1.26</v>
      </c>
      <c r="AP36" s="90">
        <f>VLOOKUP(AK36,T.MOUTONG!$B$4:$T$56,MATCH(ULP!$A$1,T.MOUTONG!$B$5:$T$5,0),FALSE)</f>
        <v>0.82</v>
      </c>
      <c r="AQ36" s="90">
        <f>VLOOKUP(AK36,'R.MOUTONG'!$B$4:$T$64,MATCH(ULP!$A$1,'R.MOUTONG'!$B$5:$T$5,0),FALSE)</f>
        <v>0.53025</v>
      </c>
      <c r="AR36" s="165">
        <f>IF(OR(AP36="N/A",AQ36="N/A"),"N/A",IF((AQ36/AP36*100)&gt;=110,110,(AQ36/AP36*100)))</f>
        <v>64.66463414634147</v>
      </c>
      <c r="AS36" s="103">
        <f>ROUNDDOWN(IF(OR(AR36="N/A",AR36&lt;0),0,IF(AR36&gt;110,AN36*110/100,AN36*AR36/100)),2)</f>
        <v>1.93</v>
      </c>
      <c r="AU36" s="91"/>
      <c r="AV36" s="52" t="str">
        <f>T.KOTARAYA!B35</f>
        <v>a. Penambahan Daya Tersambung</v>
      </c>
      <c r="AW36" s="441" t="str">
        <f>T.KOTARAYA!C35</f>
        <v>ñ</v>
      </c>
      <c r="AX36" s="288" t="str">
        <f>T.KOTARAYA!D35</f>
        <v>MVA</v>
      </c>
      <c r="AY36" s="53">
        <v>3</v>
      </c>
      <c r="AZ36" s="90">
        <f>T.KOTARAYA!T35</f>
        <v>2.46</v>
      </c>
      <c r="BA36" s="90">
        <f>VLOOKUP(AV36,T.KOTARAYA!$B$4:$T$56,MATCH(ULP!$A$1,T.KOTARAYA!$B$5:$T$5,0),FALSE)</f>
        <v>1.61</v>
      </c>
      <c r="BB36" s="90">
        <f>VLOOKUP(AV36,'R.KOTARAYA'!$B$4:$T$64,MATCH(ULP!$A$1,'R.KOTARAYA'!$B$5:$T$5,0),FALSE)</f>
        <v>1.3872000000000002</v>
      </c>
      <c r="BC36" s="165">
        <f>IF(OR(BA36="N/A",BB36="N/A"),"N/A",IF((BB36/BA36*100)&gt;=110,110,(BB36/BA36*100)))</f>
        <v>86.161490683229829</v>
      </c>
      <c r="BD36" s="103">
        <f>ROUNDDOWN(IF(OR(BC36="N/A",BC36&lt;0),0,IF(BC36&gt;110,AY36*110/100,AY36*BC36/100)),2)</f>
        <v>2.58</v>
      </c>
    </row>
    <row r="37" spans="3:56" ht="16.5">
      <c r="C37" s="51"/>
      <c r="D37" s="52" t="str">
        <f>T.TOLIS!B36</f>
        <v>b. Penambahan Jumlah Pelanggan</v>
      </c>
      <c r="E37" s="441" t="str">
        <f>T.TOLIS!C36</f>
        <v>ñ</v>
      </c>
      <c r="F37" s="61" t="str">
        <f>T.TOLIS!D36</f>
        <v>Pelanggan</v>
      </c>
      <c r="G37" s="53">
        <v>3</v>
      </c>
      <c r="H37" s="91">
        <f>T.TOLIS!H36</f>
        <v>2521</v>
      </c>
      <c r="I37" s="91">
        <f>VLOOKUP(D37,T.TOLIS!$B$4:$T$56,MATCH(ULP!$A$1,T.TOLIS!$B$5:$T$5,0),FALSE)</f>
        <v>1808</v>
      </c>
      <c r="J37" s="91">
        <f>VLOOKUP(D37,'R.TOLIS'!$B$4:$T$64,MATCH(ULP!$A$1,'R.TOLIS'!$B$5:$T$5,0),FALSE)</f>
        <v>885</v>
      </c>
      <c r="K37" s="165">
        <f>IF(OR(I37="N/A",J37="N/A"),"N/A",IF((J37/I37*100)&gt;=110,110,(J37/I37*100)))</f>
        <v>48.94911504424779</v>
      </c>
      <c r="L37" s="103">
        <f t="shared" ref="L37:L40" si="5">ROUNDDOWN(IF(OR(K37="N/A",K37&lt;0),0,IF(K37&gt;110,G37*110/100,G37*K37/100)),2)</f>
        <v>1.46</v>
      </c>
      <c r="N37" s="91"/>
      <c r="O37" s="52" t="str">
        <f>T.LEOK!B36</f>
        <v>b. Penambahan Jumlah Pelanggan</v>
      </c>
      <c r="P37" s="441" t="str">
        <f>T.LEOK!C36</f>
        <v>ñ</v>
      </c>
      <c r="Q37" s="61" t="str">
        <f>T.LEOK!D36</f>
        <v>Pelanggan</v>
      </c>
      <c r="R37" s="53">
        <v>3</v>
      </c>
      <c r="S37" s="91">
        <f>T.LEOK!S36</f>
        <v>2346</v>
      </c>
      <c r="T37" s="91">
        <f>VLOOKUP(O37,T.LEOK!$B$4:$T$56,MATCH(ULP!$A$1,T.LEOK!$B$5:$T$5,0),FALSE)</f>
        <v>1860</v>
      </c>
      <c r="U37" s="91">
        <f>VLOOKUP(O37,'R.LEOK'!$B$4:$T$64,MATCH(ULP!$A$1,'R.LEOK'!$B$5:$T$5,0),FALSE)</f>
        <v>898</v>
      </c>
      <c r="V37" s="165">
        <f>IF(OR(T37="N/A",U37="N/A"),"N/A",IF((U37/T37*100)&gt;=110,110,(U37/T37*100)))</f>
        <v>48.27956989247312</v>
      </c>
      <c r="W37" s="103">
        <f t="shared" ref="W37:W40" si="6">ROUNDDOWN(IF(OR(V37="N/A",V37&lt;0),0,IF(V37&gt;110,R37*110/100,R37*V37/100)),2)</f>
        <v>1.44</v>
      </c>
      <c r="Y37" s="91"/>
      <c r="Z37" s="52" t="str">
        <f>T.BANGKIR!B36</f>
        <v>b. Penambahan Jumlah Pelanggan</v>
      </c>
      <c r="AA37" s="441" t="str">
        <f>T.BANGKIR!C36</f>
        <v>ñ</v>
      </c>
      <c r="AB37" s="61" t="str">
        <f>T.BANGKIR!D36</f>
        <v>Pelanggan</v>
      </c>
      <c r="AC37" s="53">
        <v>3</v>
      </c>
      <c r="AD37" s="91">
        <f>T.BANGKIR!T36</f>
        <v>1280</v>
      </c>
      <c r="AE37" s="91">
        <f>VLOOKUP(Z37,T.BANGKIR!$B$4:$T$56,MATCH(ULP!$A$1,T.BANGKIR!$B$5:$T$5,0),FALSE)</f>
        <v>918</v>
      </c>
      <c r="AF37" s="91">
        <f>VLOOKUP(Z37,'R.BANGKIR'!$B$4:$T$64,MATCH(ULP!$A$1,'R.BANGKIR'!$B$5:$T$5,0),FALSE)</f>
        <v>557</v>
      </c>
      <c r="AG37" s="165">
        <f>IF(OR(AE37="N/A",AF37="N/A"),"N/A",IF((AF37/AE37*100)&gt;=110,110,(AF37/AE37*100)))</f>
        <v>60.675381263616558</v>
      </c>
      <c r="AH37" s="103">
        <f t="shared" ref="AH37:AH40" si="7">ROUNDDOWN(IF(OR(AG37="N/A",AG37&lt;0),0,IF(AG37&gt;110,AC37*110/100,AC37*AG37/100)),2)</f>
        <v>1.82</v>
      </c>
      <c r="AJ37" s="91"/>
      <c r="AK37" s="52" t="str">
        <f>T.MOUTONG!B36</f>
        <v>b. Penambahan Jumlah Pelanggan</v>
      </c>
      <c r="AL37" s="441" t="str">
        <f>T.MOUTONG!C36</f>
        <v>ñ</v>
      </c>
      <c r="AM37" s="61" t="str">
        <f>T.MOUTONG!D36</f>
        <v>Pelanggan</v>
      </c>
      <c r="AN37" s="53">
        <v>3</v>
      </c>
      <c r="AO37" s="91">
        <f>T.MOUTONG!T36</f>
        <v>1721</v>
      </c>
      <c r="AP37" s="91">
        <f>VLOOKUP(AK37,T.MOUTONG!$B$4:$T$56,MATCH(ULP!$A$1,T.MOUTONG!$B$5:$T$5,0),FALSE)</f>
        <v>1234</v>
      </c>
      <c r="AQ37" s="91">
        <f>VLOOKUP(AK37,'R.MOUTONG'!$B$4:$T$64,MATCH(ULP!$A$1,'R.MOUTONG'!$B$5:$T$5,0),FALSE)</f>
        <v>457</v>
      </c>
      <c r="AR37" s="378">
        <f>IF(OR(AP37="N/A",AQ37="N/A"),"N/A",IF((AQ37/AP37*100)&gt;=110,110,(AQ37/AP37*100)))</f>
        <v>37.03403565640194</v>
      </c>
      <c r="AS37" s="103">
        <f t="shared" ref="AS37:AS39" si="8">ROUNDDOWN(IF(OR(AR37="N/A",AR37&lt;0),0,IF(AR37&gt;110,AN37*110/100,AN37*AR37/100)),2)</f>
        <v>1.1100000000000001</v>
      </c>
      <c r="AU37" s="91"/>
      <c r="AV37" s="52" t="str">
        <f>T.KOTARAYA!B36</f>
        <v>b. Penambahan Jumlah Pelanggan</v>
      </c>
      <c r="AW37" s="441" t="str">
        <f>T.KOTARAYA!C36</f>
        <v>ñ</v>
      </c>
      <c r="AX37" s="288" t="str">
        <f>T.KOTARAYA!D36</f>
        <v>Pelanggan</v>
      </c>
      <c r="AY37" s="53">
        <v>3</v>
      </c>
      <c r="AZ37" s="91">
        <f>T.KOTARAYA!T36</f>
        <v>2517</v>
      </c>
      <c r="BA37" s="91">
        <f>VLOOKUP(AV37,T.KOTARAYA!$B$4:$T$56,MATCH(ULP!$A$1,T.KOTARAYA!$B$5:$T$5,0),FALSE)</f>
        <v>1805</v>
      </c>
      <c r="BB37" s="91">
        <f>VLOOKUP(AV37,'R.KOTARAYA'!$B$4:$T$64,MATCH(ULP!$A$1,'R.KOTARAYA'!$B$5:$T$5,0),FALSE)</f>
        <v>964</v>
      </c>
      <c r="BC37" s="378">
        <f>IF(OR(BA37="N/A",BB37="N/A"),"N/A",IF((BB37/BA37*100)&gt;=110,110,(BB37/BA37*100)))</f>
        <v>53.407202216066487</v>
      </c>
      <c r="BD37" s="103">
        <f t="shared" ref="BD37:BD39" si="9">ROUNDDOWN(IF(OR(BC37="N/A",BC37&lt;0),0,IF(BC37&gt;110,AY37*110/100,AY37*BC37/100)),2)</f>
        <v>1.6</v>
      </c>
    </row>
    <row r="38" spans="3:56" ht="16.5">
      <c r="C38" s="51"/>
      <c r="D38" s="52" t="str">
        <f>T.TOLIS!B37</f>
        <v>c. Jumlah Penambahan Pelanggan Produk Tematik</v>
      </c>
      <c r="E38" s="441" t="str">
        <f>T.TOLIS!C37</f>
        <v>ñ</v>
      </c>
      <c r="F38" s="61" t="str">
        <f>T.TOLIS!D37</f>
        <v>Pelanggan</v>
      </c>
      <c r="G38" s="53">
        <v>2</v>
      </c>
      <c r="H38" s="90">
        <f>T.TOLIS!H37</f>
        <v>276</v>
      </c>
      <c r="I38" s="90">
        <f>VLOOKUP(D38,T.TOLIS!$B$4:$T$56,MATCH(ULP!$A$1,T.TOLIS!$B$5:$T$5,0),FALSE)</f>
        <v>222</v>
      </c>
      <c r="J38" s="90">
        <f>VLOOKUP(D38,'R.TOLIS'!$B$4:$T$64,MATCH(ULP!$A$1,'R.TOLIS'!$B$5:$T$5,0),FALSE)</f>
        <v>282</v>
      </c>
      <c r="K38" s="165">
        <f>IF(OR(I38="N/A",J38="N/A"),"N/A",IF((J38/I38*100)&gt;=110,110,(J38/I38*100)))</f>
        <v>110</v>
      </c>
      <c r="L38" s="103">
        <f t="shared" si="5"/>
        <v>2.2000000000000002</v>
      </c>
      <c r="N38" s="91"/>
      <c r="O38" s="52" t="str">
        <f>T.LEOK!B37</f>
        <v>c. Jumlah Penambahan Pelanggan Produk Tematik</v>
      </c>
      <c r="P38" s="441" t="str">
        <f>T.LEOK!C37</f>
        <v>ñ</v>
      </c>
      <c r="Q38" s="61" t="str">
        <f>T.LEOK!D37</f>
        <v>Pelanggan</v>
      </c>
      <c r="R38" s="53">
        <v>2</v>
      </c>
      <c r="S38" s="90">
        <f>T.LEOK!S37</f>
        <v>207</v>
      </c>
      <c r="T38" s="90">
        <f>VLOOKUP(O38,T.LEOK!$B$4:$T$56,MATCH(ULP!$A$1,T.LEOK!$B$5:$T$5,0),FALSE)</f>
        <v>177</v>
      </c>
      <c r="U38" s="90">
        <f>VLOOKUP(O38,'R.LEOK'!$B$4:$T$64,MATCH(ULP!$A$1,'R.LEOK'!$B$5:$T$5,0),FALSE)</f>
        <v>118</v>
      </c>
      <c r="V38" s="165">
        <f>IF(OR(T38="N/A",U38="N/A"),"N/A",IF((U38/T38*100)&gt;=110,110,(U38/T38*100)))</f>
        <v>66.666666666666657</v>
      </c>
      <c r="W38" s="103">
        <f t="shared" si="6"/>
        <v>1.33</v>
      </c>
      <c r="Y38" s="91"/>
      <c r="Z38" s="52" t="str">
        <f>T.BANGKIR!B37</f>
        <v>c. Jumlah Penambahan Pelanggan Produk Tematik</v>
      </c>
      <c r="AA38" s="441" t="str">
        <f>T.BANGKIR!C37</f>
        <v>ñ</v>
      </c>
      <c r="AB38" s="61" t="str">
        <f>T.BANGKIR!D37</f>
        <v>Pelanggan</v>
      </c>
      <c r="AC38" s="53">
        <v>2</v>
      </c>
      <c r="AD38" s="90">
        <f>T.BANGKIR!T37</f>
        <v>150</v>
      </c>
      <c r="AE38" s="90">
        <f>VLOOKUP(Z38,T.BANGKIR!$B$4:$T$56,MATCH(ULP!$A$1,T.BANGKIR!$B$5:$T$5,0),FALSE)</f>
        <v>120</v>
      </c>
      <c r="AF38" s="90">
        <f>VLOOKUP(Z38,'R.BANGKIR'!$B$4:$T$64,MATCH(ULP!$A$1,'R.BANGKIR'!$B$5:$T$5,0),FALSE)</f>
        <v>138</v>
      </c>
      <c r="AG38" s="165">
        <f>IF(OR(AE38="N/A",AF38="N/A"),"N/A",IF((AF38/AE38*100)&gt;=110,110,(AF38/AE38*100)))</f>
        <v>110</v>
      </c>
      <c r="AH38" s="103">
        <f t="shared" si="7"/>
        <v>2.2000000000000002</v>
      </c>
      <c r="AJ38" s="91"/>
      <c r="AK38" s="52" t="str">
        <f>T.MOUTONG!B37</f>
        <v>c. Jumlah Penambahan Pelanggan Produk Tematik</v>
      </c>
      <c r="AL38" s="441" t="str">
        <f>T.MOUTONG!C37</f>
        <v>ñ</v>
      </c>
      <c r="AM38" s="61" t="str">
        <f>T.MOUTONG!D37</f>
        <v>Pelanggan</v>
      </c>
      <c r="AN38" s="53">
        <v>2</v>
      </c>
      <c r="AO38" s="90">
        <f>T.MOUTONG!T37</f>
        <v>150</v>
      </c>
      <c r="AP38" s="90">
        <f>VLOOKUP(AK38,T.MOUTONG!$B$4:$T$56,MATCH(ULP!$A$1,T.MOUTONG!$B$5:$T$5,0),FALSE)</f>
        <v>120</v>
      </c>
      <c r="AQ38" s="90">
        <f>VLOOKUP(AK38,'R.MOUTONG'!$B$4:$T$64,MATCH(ULP!$A$1,'R.MOUTONG'!$B$5:$T$5,0),FALSE)</f>
        <v>78</v>
      </c>
      <c r="AR38" s="165">
        <f>IF(OR(AP38="N/A",AQ38="N/A"),"N/A",IF((AQ38/AP38*100)&gt;=110,110,(AQ38/AP38*100)))</f>
        <v>65</v>
      </c>
      <c r="AS38" s="103">
        <f t="shared" si="8"/>
        <v>1.3</v>
      </c>
      <c r="AU38" s="91"/>
      <c r="AV38" s="52" t="str">
        <f>T.KOTARAYA!B37</f>
        <v>c. Jumlah Penambahan Pelanggan Produk Tematik</v>
      </c>
      <c r="AW38" s="441" t="str">
        <f>T.KOTARAYA!C37</f>
        <v>ñ</v>
      </c>
      <c r="AX38" s="288" t="str">
        <f>T.KOTARAYA!D37</f>
        <v>Pelanggan</v>
      </c>
      <c r="AY38" s="53">
        <v>2</v>
      </c>
      <c r="AZ38" s="90">
        <f>T.KOTARAYA!T37</f>
        <v>198</v>
      </c>
      <c r="BA38" s="90">
        <f>VLOOKUP(AV38,T.KOTARAYA!$B$4:$T$56,MATCH(ULP!$A$1,T.KOTARAYA!$B$5:$T$5,0),FALSE)</f>
        <v>159</v>
      </c>
      <c r="BB38" s="90">
        <f>VLOOKUP(AV38,'R.KOTARAYA'!$B$4:$T$64,MATCH(ULP!$A$1,'R.KOTARAYA'!$B$5:$T$5,0),FALSE)</f>
        <v>198</v>
      </c>
      <c r="BC38" s="165">
        <f>IF(OR(BA38="N/A",BB38="N/A"),"N/A",IF((BB38/BA38*100)&gt;=110,110,(BB38/BA38*100)))</f>
        <v>110</v>
      </c>
      <c r="BD38" s="103">
        <f t="shared" si="9"/>
        <v>2.2000000000000002</v>
      </c>
    </row>
    <row r="39" spans="3:56" ht="33">
      <c r="C39" s="51"/>
      <c r="D39" s="52" t="str">
        <f>T.TOLIS!B38</f>
        <v>d. Implementasi Kesesuaian Sektor Bisnis sesuai KBLI 2020</v>
      </c>
      <c r="E39" s="441" t="str">
        <f>T.TOLIS!C38</f>
        <v>ñ</v>
      </c>
      <c r="F39" s="61" t="str">
        <f>T.TOLIS!D38</f>
        <v>Pelanggan</v>
      </c>
      <c r="G39" s="53">
        <v>2</v>
      </c>
      <c r="H39" s="90">
        <f>T.TOLIS!H38</f>
        <v>5</v>
      </c>
      <c r="I39" s="90">
        <f>VLOOKUP(D39,T.TOLIS!$B$4:$T$56,MATCH(ULP!$A$1,T.TOLIS!$B$5:$T$5,0),FALSE)</f>
        <v>5</v>
      </c>
      <c r="J39" s="90">
        <f>VLOOKUP(D39,'R.TOLIS'!$B$4:$T$64,MATCH(ULP!$A$1,'R.TOLIS'!$B$5:$T$5,0),FALSE)</f>
        <v>6</v>
      </c>
      <c r="K39" s="165">
        <f>IF(OR(I39="N/A",J39="N/A"),"N/A",IF((J39/I39*100)&gt;=110,110,(J39/I39*100)))</f>
        <v>110</v>
      </c>
      <c r="L39" s="103">
        <f t="shared" si="5"/>
        <v>2.2000000000000002</v>
      </c>
      <c r="N39" s="91"/>
      <c r="O39" s="52" t="str">
        <f>T.LEOK!B38</f>
        <v>d. Implementasi Kesesuaian Sektor Bisnis sesuai KBLI 2020</v>
      </c>
      <c r="P39" s="441"/>
      <c r="Q39" s="61" t="str">
        <f>T.LEOK!D38</f>
        <v>Pelanggan</v>
      </c>
      <c r="R39" s="53">
        <v>2</v>
      </c>
      <c r="S39" s="90">
        <f>T.LEOK!S38</f>
        <v>0</v>
      </c>
      <c r="T39" s="90">
        <f>VLOOKUP(O39,T.LEOK!$B$4:$T$56,MATCH(ULP!$A$1,T.LEOK!$B$5:$T$5,0),FALSE)</f>
        <v>0</v>
      </c>
      <c r="U39" s="90">
        <f>VLOOKUP(O39,'R.LEOK'!$B$4:$T$64,MATCH(ULP!$A$1,'R.LEOK'!$B$5:$T$5,0),FALSE)</f>
        <v>138</v>
      </c>
      <c r="V39" s="165">
        <f t="shared" ref="V39" si="10">IF(T39=0,110,(IF((U39/T39*100)&gt;110,110,(U39/T39*100))))</f>
        <v>110</v>
      </c>
      <c r="W39" s="103">
        <f t="shared" si="6"/>
        <v>2.2000000000000002</v>
      </c>
      <c r="Y39" s="91"/>
      <c r="Z39" s="52" t="str">
        <f>T.BANGKIR!B38</f>
        <v>d. Implementasi Kesesuaian Sektor Bisnis sesuai KBLI 2020</v>
      </c>
      <c r="AA39" s="441" t="str">
        <f>T.BANGKIR!C38</f>
        <v>ñ</v>
      </c>
      <c r="AB39" s="61" t="str">
        <f>T.BANGKIR!D38</f>
        <v>Pelanggan</v>
      </c>
      <c r="AC39" s="53">
        <v>2</v>
      </c>
      <c r="AD39" s="90">
        <f>T.BANGKIR!T38</f>
        <v>0</v>
      </c>
      <c r="AE39" s="90">
        <f>VLOOKUP(Z39,T.BANGKIR!$B$4:$T$56,MATCH(ULP!$A$1,T.BANGKIR!$B$5:$T$5,0),FALSE)</f>
        <v>0</v>
      </c>
      <c r="AF39" s="90">
        <f>VLOOKUP(Z39,'R.BANGKIR'!$B$4:$T$64,MATCH(ULP!$A$1,'R.BANGKIR'!$B$5:$T$5,0),FALSE)</f>
        <v>0</v>
      </c>
      <c r="AG39" s="165">
        <f>IF(AE39=0,100,(IF((AF39/AE39*100)&gt;110,110,(AF39/AE39*100))))</f>
        <v>100</v>
      </c>
      <c r="AH39" s="103">
        <f t="shared" si="7"/>
        <v>2</v>
      </c>
      <c r="AJ39" s="91"/>
      <c r="AK39" s="52" t="str">
        <f>T.MOUTONG!B38</f>
        <v>d. Implementasi Kesesuaian Sektor Bisnis sesuai KBLI 2020</v>
      </c>
      <c r="AL39" s="441" t="str">
        <f>T.MOUTONG!C38</f>
        <v>ñ</v>
      </c>
      <c r="AM39" s="61" t="str">
        <f>T.MOUTONG!D38</f>
        <v>Pelanggan</v>
      </c>
      <c r="AN39" s="53">
        <v>2</v>
      </c>
      <c r="AO39" s="90">
        <f>T.MOUTONG!T38</f>
        <v>2</v>
      </c>
      <c r="AP39" s="90">
        <f>VLOOKUP(AK39,T.MOUTONG!$B$4:$T$56,MATCH(ULP!$A$1,T.MOUTONG!$B$5:$T$5,0),FALSE)</f>
        <v>2</v>
      </c>
      <c r="AQ39" s="90">
        <f>VLOOKUP(AK39,'R.MOUTONG'!$B$4:$T$64,MATCH(ULP!$A$1,'R.MOUTONG'!$B$5:$T$5,0),FALSE)</f>
        <v>2</v>
      </c>
      <c r="AR39" s="165">
        <f>IF(AP39=0,100,(IF((AQ39/AP39*100)&gt;110,110,(AQ39/AP39*100))))</f>
        <v>100</v>
      </c>
      <c r="AS39" s="103">
        <f t="shared" si="8"/>
        <v>2</v>
      </c>
      <c r="AU39" s="91"/>
      <c r="AV39" s="52" t="str">
        <f>T.KOTARAYA!B38</f>
        <v>d. Implementasi Kesesuaian Sektor Bisnis sesuai KBLI 2020</v>
      </c>
      <c r="AW39" s="441" t="str">
        <f>T.KOTARAYA!C38</f>
        <v>ñ</v>
      </c>
      <c r="AX39" s="288" t="str">
        <f>T.KOTARAYA!D38</f>
        <v>Pelanggan</v>
      </c>
      <c r="AY39" s="53">
        <v>2</v>
      </c>
      <c r="AZ39" s="90">
        <f>T.KOTARAYA!T38</f>
        <v>0</v>
      </c>
      <c r="BA39" s="90">
        <f>VLOOKUP(AV39,T.KOTARAYA!$B$4:$T$56,MATCH(ULP!$A$1,T.KOTARAYA!$B$5:$T$5,0),FALSE)</f>
        <v>0</v>
      </c>
      <c r="BB39" s="90">
        <f>VLOOKUP(AV39,'R.KOTARAYA'!$B$4:$T$64,MATCH(ULP!$A$1,'R.KOTARAYA'!$B$5:$T$5,0),FALSE)</f>
        <v>0</v>
      </c>
      <c r="BC39" s="165">
        <f>IF(BA39=0,100,(IF((BB39/BA39*100)&gt;110,110,(BB39/BA39*100))))</f>
        <v>100</v>
      </c>
      <c r="BD39" s="103">
        <f t="shared" si="9"/>
        <v>2</v>
      </c>
    </row>
    <row r="40" spans="3:56" ht="16.5">
      <c r="C40" s="51"/>
      <c r="D40" s="311" t="str">
        <f>T.TOLIS!B39</f>
        <v>Percepatan Penyambungan Pelanggan Lisdes</v>
      </c>
      <c r="E40" s="441"/>
      <c r="F40" s="61"/>
      <c r="G40" s="53">
        <f>IF(J40="N/A",0,T.TOLIS!F39)</f>
        <v>4</v>
      </c>
      <c r="H40" s="90"/>
      <c r="I40" s="90"/>
      <c r="J40" s="90"/>
      <c r="K40" s="165">
        <f>AVERAGE(K41:K42)</f>
        <v>57.602437210978145</v>
      </c>
      <c r="L40" s="103">
        <f t="shared" si="5"/>
        <v>2.2999999999999998</v>
      </c>
      <c r="N40" s="91">
        <f>T.LEOK!A39</f>
        <v>9</v>
      </c>
      <c r="O40" s="311" t="str">
        <f>T.LEOK!B39</f>
        <v>Percepatan Penyambungan Pelanggan Lisdes</v>
      </c>
      <c r="P40" s="441"/>
      <c r="Q40" s="61"/>
      <c r="R40" s="53">
        <v>4</v>
      </c>
      <c r="S40" s="90"/>
      <c r="T40" s="90"/>
      <c r="U40" s="90"/>
      <c r="V40" s="165">
        <f>AVERAGE(V41:V42)</f>
        <v>63.193238811728406</v>
      </c>
      <c r="W40" s="103">
        <f t="shared" si="6"/>
        <v>2.52</v>
      </c>
      <c r="Y40" s="91">
        <f>T.BANGKIR!A39</f>
        <v>9</v>
      </c>
      <c r="Z40" s="311" t="str">
        <f>T.BANGKIR!B39</f>
        <v>Percepatan Penyambungan Pelanggan Lisdes</v>
      </c>
      <c r="AA40" s="441"/>
      <c r="AB40" s="61"/>
      <c r="AC40" s="53">
        <v>4</v>
      </c>
      <c r="AD40" s="90"/>
      <c r="AE40" s="90"/>
      <c r="AF40" s="90"/>
      <c r="AG40" s="165">
        <f>AVERAGE(AG41:AG42)</f>
        <v>110</v>
      </c>
      <c r="AH40" s="103">
        <f t="shared" si="7"/>
        <v>4.4000000000000004</v>
      </c>
      <c r="AJ40" s="91">
        <f>T.MOUTONG!A39</f>
        <v>9</v>
      </c>
      <c r="AK40" s="311" t="str">
        <f>T.MOUTONG!B39</f>
        <v>Percepatan Penyambungan Pelanggan Lisdes</v>
      </c>
      <c r="AL40" s="441"/>
      <c r="AM40" s="61"/>
      <c r="AN40" s="53">
        <f>IF(AQ40="N/A",0,T.MOUTONG!F39)</f>
        <v>4</v>
      </c>
      <c r="AO40" s="90"/>
      <c r="AP40" s="90"/>
      <c r="AQ40" s="90"/>
      <c r="AR40" s="165">
        <f>AVERAGE(AR41:AR42)</f>
        <v>110</v>
      </c>
      <c r="AS40" s="103">
        <f>ROUNDDOWN(IF(OR(AR40="N/A",AR40&lt;0),0,IF(AR40&gt;110,AN40*110/100,AN40*AR40/100)),2)</f>
        <v>4.4000000000000004</v>
      </c>
      <c r="AU40" s="91">
        <f>T.KOTARAYA!A39</f>
        <v>9</v>
      </c>
      <c r="AV40" s="311" t="str">
        <f>T.KOTARAYA!B39</f>
        <v>Percepatan Penyambungan Pelanggan Lisdes</v>
      </c>
      <c r="AW40" s="441"/>
      <c r="AX40" s="288"/>
      <c r="AY40" s="53">
        <f>IF(BB40="N/A",0,T.KOTARAYA!F39)</f>
        <v>4</v>
      </c>
      <c r="AZ40" s="90"/>
      <c r="BA40" s="90"/>
      <c r="BB40" s="90"/>
      <c r="BC40" s="165">
        <f>AVERAGE(BC41:BC42)</f>
        <v>110</v>
      </c>
      <c r="BD40" s="103">
        <f>ROUNDDOWN(IF(OR(BC40="N/A",BC40&lt;0),0,IF(BC40&gt;110,AY40*110/100,AY40*BC40/100)),2)</f>
        <v>4.4000000000000004</v>
      </c>
    </row>
    <row r="41" spans="3:56" ht="33">
      <c r="C41" s="51">
        <f>T.TOLIS!A39</f>
        <v>9</v>
      </c>
      <c r="D41" s="52" t="str">
        <f>T.TOLIS!B40</f>
        <v>a. Penambahan Jumlah Pelanggan Rumah Tangga Lisdes</v>
      </c>
      <c r="E41" s="441" t="str">
        <f>T.TOLIS!C40</f>
        <v>ñ</v>
      </c>
      <c r="F41" s="61" t="str">
        <f>T.TOLIS!D40</f>
        <v>Pelanggan</v>
      </c>
      <c r="G41" s="53"/>
      <c r="H41" s="90">
        <f>T.TOLIS!H40</f>
        <v>157</v>
      </c>
      <c r="I41" s="90">
        <f>VLOOKUP(D41,T.TOLIS!$B$4:$T$56,MATCH(ULP!$A$1,T.TOLIS!$B$5:$T$5,0),FALSE)</f>
        <v>35</v>
      </c>
      <c r="J41" s="90">
        <f>VLOOKUP(D41,'R.TOLIS'!$B$4:$T$64,MATCH(ULP!$A$1,'R.TOLIS'!$B$5:$T$5,0),FALSE)</f>
        <v>11</v>
      </c>
      <c r="K41" s="165">
        <f>IF(OR(I41="N/A",J41="N/A"),"N/A",IF(AND(I41=0,J41=0),100,J41/I41*100))</f>
        <v>31.428571428571427</v>
      </c>
      <c r="L41" s="103"/>
      <c r="N41" s="91"/>
      <c r="O41" s="52" t="str">
        <f>T.LEOK!B40</f>
        <v>a. Penambahan Jumlah Pelanggan Rumah Tangga Lisdes</v>
      </c>
      <c r="P41" s="441" t="str">
        <f>T.LEOK!C40</f>
        <v>ñ</v>
      </c>
      <c r="Q41" s="61" t="str">
        <f>T.LEOK!D40</f>
        <v>Pelanggan</v>
      </c>
      <c r="R41" s="53"/>
      <c r="S41" s="90">
        <f>T.LEOK!S40</f>
        <v>36</v>
      </c>
      <c r="T41" s="354">
        <f>VLOOKUP(O41,T.LEOK!$B$4:$T$56,MATCH(ULP!$A$1,T.LEOK!$B$5:$T$5,0),FALSE)</f>
        <v>32</v>
      </c>
      <c r="U41" s="90">
        <f>VLOOKUP(O41,'R.LEOK'!$B$4:$T$64,MATCH(ULP!$A$1,'R.LEOK'!$B$5:$T$5,0),FALSE)</f>
        <v>15</v>
      </c>
      <c r="V41" s="165">
        <f>IF(OR(T41="N/A",U41="N/A"),"N/A",IF(AND(T41=0,U41=0),100,U41/T41*100))</f>
        <v>46.875</v>
      </c>
      <c r="W41" s="103"/>
      <c r="Y41" s="91"/>
      <c r="Z41" s="52" t="str">
        <f>T.BANGKIR!B40</f>
        <v>a. Penambahan Jumlah Pelanggan Rumah Tangga Lisdes</v>
      </c>
      <c r="AA41" s="441" t="str">
        <f>T.BANGKIR!C40</f>
        <v>ñ</v>
      </c>
      <c r="AB41" s="61" t="str">
        <f>T.BANGKIR!D40</f>
        <v>Pelanggan</v>
      </c>
      <c r="AC41" s="53"/>
      <c r="AD41" s="90">
        <f>T.BANGKIR!T40</f>
        <v>128</v>
      </c>
      <c r="AE41" s="90">
        <f>VLOOKUP(Z41,T.BANGKIR!$B$4:$T$56,MATCH(ULP!$A$1,T.BANGKIR!$B$5:$T$5,0),FALSE)</f>
        <v>29</v>
      </c>
      <c r="AF41" s="90">
        <f>VLOOKUP(Z41,'R.BANGKIR'!$B$4:$T$64,MATCH(ULP!$A$1,'R.BANGKIR'!$B$5:$T$5,0),FALSE)</f>
        <v>54</v>
      </c>
      <c r="AG41" s="165">
        <f>IF(OR(AE41="N/A",AF41="N/A"),"N/A",IF((AF41/AE41*100)&gt;=110,110,(AF41/AE41*100)))</f>
        <v>110</v>
      </c>
      <c r="AH41" s="103"/>
      <c r="AJ41" s="91"/>
      <c r="AK41" s="52" t="str">
        <f>T.MOUTONG!B40</f>
        <v>a. Penambahan Jumlah Pelanggan Rumah Tangga Lisdes</v>
      </c>
      <c r="AL41" s="441" t="str">
        <f>T.MOUTONG!C40</f>
        <v>ñ</v>
      </c>
      <c r="AM41" s="61" t="str">
        <f>T.MOUTONG!D40</f>
        <v>Pelanggan</v>
      </c>
      <c r="AN41" s="53"/>
      <c r="AO41" s="90">
        <v>1</v>
      </c>
      <c r="AP41" s="90">
        <f>VLOOKUP(AK41,T.MOUTONG!$B$4:$T$56,MATCH(ULP!$A$1,T.MOUTONG!$B$5:$T$5,0),FALSE)</f>
        <v>0</v>
      </c>
      <c r="AQ41" s="90">
        <f>VLOOKUP(AK41,'R.MOUTONG'!$B$4:$T$64,MATCH(ULP!$A$1,'R.MOUTONG'!$B$5:$T$5,0),FALSE)</f>
        <v>6</v>
      </c>
      <c r="AR41" s="165">
        <f>IF(AP41=0,110,(IF((AQ41/AP41*100)&gt;110,110,(AQ41/AP41*100))))</f>
        <v>110</v>
      </c>
      <c r="AS41" s="103"/>
      <c r="AU41" s="91"/>
      <c r="AV41" s="52" t="str">
        <f>T.KOTARAYA!B40</f>
        <v>a. Penambahan Jumlah Pelanggan Rumah Tangga Lisdes</v>
      </c>
      <c r="AW41" s="441" t="str">
        <f>T.KOTARAYA!C40</f>
        <v>ñ</v>
      </c>
      <c r="AX41" s="288" t="str">
        <f>T.KOTARAYA!D40</f>
        <v>Pelanggan</v>
      </c>
      <c r="AY41" s="53"/>
      <c r="AZ41" s="90">
        <f>T.KOTARAYA!T40</f>
        <v>123</v>
      </c>
      <c r="BA41" s="90">
        <f>VLOOKUP(AV41,T.KOTARAYA!$B$4:$T$56,MATCH(ULP!$A$1,T.KOTARAYA!$B$5:$T$5,0),FALSE)</f>
        <v>27</v>
      </c>
      <c r="BB41" s="90">
        <f>VLOOKUP(AV41,'R.KOTARAYA'!$B$4:$T$64,MATCH(ULP!$A$1,'R.KOTARAYA'!$B$5:$T$5,0),FALSE)</f>
        <v>83</v>
      </c>
      <c r="BC41" s="165">
        <f>IF(BA41=0,110,(IF((BB41/BA41*100)&gt;110,110,(BB41/BA41*100))))</f>
        <v>110</v>
      </c>
      <c r="BD41" s="103"/>
    </row>
    <row r="42" spans="3:56" ht="33">
      <c r="C42" s="51"/>
      <c r="D42" s="52" t="str">
        <f>T.TOLIS!B41</f>
        <v>b. Peningkatan kWh Penjualan dari Pelanggan Rumah Tangga Lisdes</v>
      </c>
      <c r="E42" s="441" t="str">
        <f>T.TOLIS!C41</f>
        <v>ñ</v>
      </c>
      <c r="F42" s="61" t="str">
        <f>T.TOLIS!D41</f>
        <v>kWh</v>
      </c>
      <c r="G42" s="53"/>
      <c r="H42" s="90">
        <f>T.TOLIS!H41</f>
        <v>20987.087</v>
      </c>
      <c r="I42" s="90">
        <f>VLOOKUP(D42,T.TOLIS!$B$4:$T$56,MATCH(ULP!$A$1,T.TOLIS!$B$5:$T$5,0),FALSE)</f>
        <v>4678.6499999999996</v>
      </c>
      <c r="J42" s="90">
        <f>VLOOKUP(D42,'R.TOLIS'!$B$4:$T$64,MATCH(ULP!$A$1,'R.TOLIS'!$B$5:$T$5,0),FALSE)</f>
        <v>3919.6000000000004</v>
      </c>
      <c r="K42" s="165">
        <f>IF(OR(I42="N/A",J42="N/A"),"N/A",IF((J42/I42*100)&gt;=110,110,(J42/I42*100)))</f>
        <v>83.77630299338486</v>
      </c>
      <c r="L42" s="103"/>
      <c r="N42" s="91"/>
      <c r="O42" s="52" t="str">
        <f>T.LEOK!B41</f>
        <v>b. Peningkatan kWh Penjualan dari Pelanggan Rumah Tangga Lisdes</v>
      </c>
      <c r="P42" s="441" t="str">
        <f>T.LEOK!C41</f>
        <v>ñ</v>
      </c>
      <c r="Q42" s="61" t="str">
        <f>T.LEOK!D41</f>
        <v>kWh</v>
      </c>
      <c r="R42" s="53"/>
      <c r="S42" s="90">
        <f>T.LEOK!S41</f>
        <v>4665.6000000000004</v>
      </c>
      <c r="T42" s="90">
        <f>VLOOKUP(O42,T.LEOK!$B$4:$T$56,MATCH(ULP!$A$1,T.LEOK!$B$5:$T$5,0),FALSE)</f>
        <v>4147.2</v>
      </c>
      <c r="U42" s="90">
        <f>VLOOKUP(O42,'R.LEOK'!$B$4:$T$64,MATCH(ULP!$A$1,'R.LEOK'!$B$5:$T$5,0),FALSE)</f>
        <v>3297.5000000000005</v>
      </c>
      <c r="V42" s="165">
        <f>IF(OR(T42="N/A",U42="N/A"),"N/A",IF(AND(T42=0,U42=0),100,U42/T42*100))</f>
        <v>79.511477623456813</v>
      </c>
      <c r="W42" s="103"/>
      <c r="Y42" s="91"/>
      <c r="Z42" s="52" t="str">
        <f>T.BANGKIR!B41</f>
        <v>b. Peningkatan kWh Penjualan dari Pelanggan Rumah Tangga Lisdes</v>
      </c>
      <c r="AA42" s="441" t="str">
        <f>T.BANGKIR!C41</f>
        <v>ñ</v>
      </c>
      <c r="AB42" s="61" t="str">
        <f>T.BANGKIR!D41</f>
        <v>kWh</v>
      </c>
      <c r="AC42" s="53"/>
      <c r="AD42" s="90">
        <f>T.BANGKIR!T41</f>
        <v>17110.491000000002</v>
      </c>
      <c r="AE42" s="90">
        <f>VLOOKUP(Z42,T.BANGKIR!$B$4:$T$56,MATCH(ULP!$A$1,T.BANGKIR!$B$5:$T$5,0),FALSE)</f>
        <v>3876.596</v>
      </c>
      <c r="AF42" s="90">
        <f>VLOOKUP(Z42,'R.BANGKIR'!$B$4:$T$64,MATCH(ULP!$A$1,'R.BANGKIR'!$B$5:$T$5,0),FALSE)</f>
        <v>24409.8</v>
      </c>
      <c r="AG42" s="165">
        <f>IF(OR(AE42="N/A",AF42="N/A"),"N/A",IF((AF42/AE42*100)&gt;=110,110,(AF42/AE42*100)))</f>
        <v>110</v>
      </c>
      <c r="AH42" s="103"/>
      <c r="AJ42" s="91"/>
      <c r="AK42" s="52" t="str">
        <f>T.MOUTONG!B41</f>
        <v>b. Peningkatan kWh Penjualan dari Pelanggan Rumah Tangga Lisdes</v>
      </c>
      <c r="AL42" s="441" t="str">
        <f>T.MOUTONG!C41</f>
        <v>ñ</v>
      </c>
      <c r="AM42" s="61" t="str">
        <f>T.MOUTONG!D41</f>
        <v>kWh</v>
      </c>
      <c r="AN42" s="53"/>
      <c r="AO42" s="90">
        <f>T.MOUTONG!T41</f>
        <v>0</v>
      </c>
      <c r="AP42" s="90">
        <f>VLOOKUP(AK42,T.MOUTONG!$B$4:$T$56,MATCH(ULP!$A$1,T.MOUTONG!$B$5:$T$5,0),FALSE)</f>
        <v>0</v>
      </c>
      <c r="AQ42" s="90">
        <f>VLOOKUP(AK42,'R.MOUTONG'!$B$4:$T$64,MATCH(ULP!$A$1,'R.MOUTONG'!$B$5:$T$5,0),FALSE)</f>
        <v>2342.6999999999998</v>
      </c>
      <c r="AR42" s="165">
        <f>IF(AP42=0,110,(IF((AQ42/AP42*100)&gt;110,110,(AQ42/AP42*100))))</f>
        <v>110</v>
      </c>
      <c r="AS42" s="103"/>
      <c r="AU42" s="91"/>
      <c r="AV42" s="52" t="str">
        <f>T.KOTARAYA!B41</f>
        <v>b. Peningkatan kWh Penjualan dari Pelanggan Rumah Tangga Lisdes</v>
      </c>
      <c r="AW42" s="441" t="str">
        <f>T.KOTARAYA!C41</f>
        <v>ñ</v>
      </c>
      <c r="AX42" s="288" t="str">
        <f>T.KOTARAYA!D41</f>
        <v>kWh</v>
      </c>
      <c r="AY42" s="53"/>
      <c r="AZ42" s="90">
        <f>T.KOTARAYA!T41</f>
        <v>16442.113000000001</v>
      </c>
      <c r="BA42" s="90">
        <f>VLOOKUP(AV42,T.KOTARAYA!$B$4:$T$56,MATCH(ULP!$A$1,T.KOTARAYA!$B$5:$T$5,0),FALSE)</f>
        <v>3609.2440000000001</v>
      </c>
      <c r="BB42" s="90">
        <f>VLOOKUP(AV42,'R.KOTARAYA'!$B$4:$T$64,MATCH(ULP!$A$1,'R.KOTARAYA'!$B$5:$T$5,0),FALSE)</f>
        <v>30036.1</v>
      </c>
      <c r="BC42" s="165">
        <f>IF(BA42=0,110,(IF((BB42/BA42*100)&gt;110,110,(BB42/BA42*100))))</f>
        <v>110</v>
      </c>
      <c r="BD42" s="103"/>
    </row>
    <row r="43" spans="3:56" ht="16.5">
      <c r="C43" s="51">
        <f>T.TOLIS!A42</f>
        <v>10</v>
      </c>
      <c r="D43" s="311" t="str">
        <f>T.TOLIS!B42</f>
        <v>Pengelolaan Pembacaan Meter</v>
      </c>
      <c r="E43" s="441"/>
      <c r="F43" s="61"/>
      <c r="G43" s="53">
        <f>IF(J43="N/A",0,T.TOLIS!F42)</f>
        <v>8</v>
      </c>
      <c r="H43" s="90"/>
      <c r="I43" s="90"/>
      <c r="J43" s="90"/>
      <c r="K43" s="165">
        <f>AVERAGE(K44)</f>
        <v>110</v>
      </c>
      <c r="L43" s="103">
        <f>ROUNDDOWN(IF(OR(K43="N/A",K43&lt;0),0,IF(K43&gt;110,G43*110/100,G43*K43/100)),2)</f>
        <v>8.8000000000000007</v>
      </c>
      <c r="N43" s="91">
        <f>T.LEOK!A42</f>
        <v>10</v>
      </c>
      <c r="O43" s="311" t="str">
        <f>T.LEOK!B42</f>
        <v>Pengelolaan Pembacaan Meter</v>
      </c>
      <c r="P43" s="441"/>
      <c r="Q43" s="61"/>
      <c r="R43" s="53">
        <f>IF(U43="N/A",0,T.LEOK!F42)</f>
        <v>8</v>
      </c>
      <c r="S43" s="90"/>
      <c r="T43" s="90"/>
      <c r="U43" s="90"/>
      <c r="V43" s="165">
        <f>AVERAGE(V44)</f>
        <v>110</v>
      </c>
      <c r="W43" s="103">
        <f>ROUNDDOWN(IF(OR(V43="N/A",V43&lt;0),0,IF(V43&gt;110,R43*110/100,R43*V43/100)),2)</f>
        <v>8.8000000000000007</v>
      </c>
      <c r="Y43" s="91">
        <f>T.BANGKIR!A42</f>
        <v>10</v>
      </c>
      <c r="Z43" s="311" t="str">
        <f>T.BANGKIR!B42</f>
        <v>Pengelolaan Pembacaan Meter</v>
      </c>
      <c r="AA43" s="441"/>
      <c r="AB43" s="61"/>
      <c r="AC43" s="53">
        <f>IF(AF43="N/A",0,T.BANGKIR!F42)</f>
        <v>8</v>
      </c>
      <c r="AD43" s="90"/>
      <c r="AE43" s="90"/>
      <c r="AF43" s="90"/>
      <c r="AG43" s="165">
        <f>AVERAGE(AG44)</f>
        <v>110</v>
      </c>
      <c r="AH43" s="103">
        <f>ROUNDDOWN(IF(OR(AG43="N/A",AG43&lt;0),0,IF(AG43&gt;110,AC43*110/100,AC43*AG43/100)),2)</f>
        <v>8.8000000000000007</v>
      </c>
      <c r="AJ43" s="91">
        <f>T.MOUTONG!A42</f>
        <v>10</v>
      </c>
      <c r="AK43" s="311" t="str">
        <f>T.MOUTONG!B42</f>
        <v>Pengelolaan Pembacaan Meter</v>
      </c>
      <c r="AL43" s="441"/>
      <c r="AM43" s="61"/>
      <c r="AN43" s="53">
        <f>IF(AQ43="N/A",0,T.MOUTONG!F42)</f>
        <v>8</v>
      </c>
      <c r="AO43" s="90"/>
      <c r="AP43" s="90"/>
      <c r="AQ43" s="90"/>
      <c r="AR43" s="165">
        <f>AVERAGE(AR44)</f>
        <v>110</v>
      </c>
      <c r="AS43" s="103">
        <f>ROUNDDOWN(IF(OR(AR43="N/A",AR43&lt;0),0,IF(AR43&gt;110,AN43*110/100,AN43*AR43/100)),2)</f>
        <v>8.8000000000000007</v>
      </c>
      <c r="AU43" s="91">
        <f>T.KOTARAYA!A42</f>
        <v>10</v>
      </c>
      <c r="AV43" s="311" t="str">
        <f>T.KOTARAYA!B42</f>
        <v>Pengelolaan Pembacaan Meter</v>
      </c>
      <c r="AW43" s="441"/>
      <c r="AX43" s="288"/>
      <c r="AY43" s="53">
        <f>IF(BB43="N/A",0,T.KOTARAYA!F42)</f>
        <v>8</v>
      </c>
      <c r="AZ43" s="90"/>
      <c r="BA43" s="90"/>
      <c r="BB43" s="90"/>
      <c r="BC43" s="165">
        <f>AVERAGE(BC44)</f>
        <v>110</v>
      </c>
      <c r="BD43" s="103">
        <f>ROUNDDOWN(IF(OR(BC43="N/A",BC43&lt;0),0,IF(BC43&gt;110,AY43*110/100,AY43*BC43/100)),2)</f>
        <v>8.8000000000000007</v>
      </c>
    </row>
    <row r="44" spans="3:56" ht="16.5">
      <c r="C44" s="51"/>
      <c r="D44" s="52" t="str">
        <f>T.TOLIS!B43</f>
        <v>a. Jumlah Pengguna Swa Cam</v>
      </c>
      <c r="E44" s="441" t="str">
        <f>T.TOLIS!C43</f>
        <v>ñ</v>
      </c>
      <c r="F44" s="61" t="str">
        <f>T.TOLIS!D43</f>
        <v>Pelanggan</v>
      </c>
      <c r="G44" s="53"/>
      <c r="H44" s="90">
        <f>T.TOLIS!H43</f>
        <v>2110</v>
      </c>
      <c r="I44" s="90">
        <f>VLOOKUP(D44,T.TOLIS!$B$4:$T$56,MATCH(ULP!$A$1,T.TOLIS!$B$5:$T$5,0),FALSE)</f>
        <v>2110</v>
      </c>
      <c r="J44" s="90">
        <f>VLOOKUP(D44,'R.TOLIS'!$B$4:$T$64,MATCH(ULP!$A$1,'R.TOLIS'!$B$5:$T$5,0),FALSE)</f>
        <v>3004</v>
      </c>
      <c r="K44" s="165">
        <f>IF(OR(I44="N/A",J44="N/A"),"N/A",IF((J44/I44*100)&gt;=110,110,(J44/I44*100)))</f>
        <v>110</v>
      </c>
      <c r="L44" s="103"/>
      <c r="N44" s="91"/>
      <c r="O44" s="52" t="str">
        <f>T.LEOK!B43</f>
        <v>a. Jumlah Pengguna Swa Cam</v>
      </c>
      <c r="P44" s="441" t="str">
        <f>T.LEOK!C43</f>
        <v>ñ</v>
      </c>
      <c r="Q44" s="61" t="str">
        <f>T.LEOK!D43</f>
        <v>Pelanggan</v>
      </c>
      <c r="R44" s="53"/>
      <c r="S44" s="90">
        <f>T.LEOK!S43</f>
        <v>1449</v>
      </c>
      <c r="T44" s="90">
        <f>VLOOKUP(O44,T.LEOK!$B$4:$T$56,MATCH(ULP!$A$1,T.LEOK!$B$5:$T$5,0),FALSE)</f>
        <v>1449</v>
      </c>
      <c r="U44" s="90">
        <f>VLOOKUP(O44,'R.LEOK'!$B$4:$T$64,MATCH(ULP!$A$1,'R.LEOK'!$B$5:$T$5,0),FALSE)</f>
        <v>1775.3333333333333</v>
      </c>
      <c r="V44" s="165">
        <f>IF(OR(T44="N/A",U44="N/A"),"N/A",IF((U44/T44*100)&gt;=110,110,(U44/T44*100)))</f>
        <v>110</v>
      </c>
      <c r="W44" s="103"/>
      <c r="Y44" s="91"/>
      <c r="Z44" s="52" t="str">
        <f>T.BANGKIR!B43</f>
        <v>a. Jumlah Pengguna Swa Cam</v>
      </c>
      <c r="AA44" s="441" t="str">
        <f>T.BANGKIR!C43</f>
        <v>ñ</v>
      </c>
      <c r="AB44" s="61" t="str">
        <f>T.BANGKIR!D43</f>
        <v>Pelanggan</v>
      </c>
      <c r="AC44" s="53"/>
      <c r="AD44" s="90">
        <f>T.BANGKIR!T43</f>
        <v>12</v>
      </c>
      <c r="AE44" s="90">
        <f>VLOOKUP(Z44,T.BANGKIR!$B$4:$T$56,MATCH(ULP!$A$1,T.BANGKIR!$B$5:$T$5,0),FALSE)</f>
        <v>12</v>
      </c>
      <c r="AF44" s="90">
        <f>VLOOKUP(Z44,'R.BANGKIR'!$B$4:$T$64,MATCH(ULP!$A$1,'R.BANGKIR'!$B$5:$T$5,0),FALSE)</f>
        <v>37.222222222222221</v>
      </c>
      <c r="AG44" s="165">
        <f>IF(OR(AE44="N/A",AF44="N/A"),"N/A",IF((AF44/AE44*100)&gt;=110,110,(AF44/AE44*100)))</f>
        <v>110</v>
      </c>
      <c r="AH44" s="103"/>
      <c r="AJ44" s="91"/>
      <c r="AK44" s="52" t="str">
        <f>T.MOUTONG!B43</f>
        <v>a. Jumlah Pengguna Swa Cam</v>
      </c>
      <c r="AL44" s="441" t="str">
        <f>T.MOUTONG!C43</f>
        <v>ñ</v>
      </c>
      <c r="AM44" s="61" t="str">
        <f>T.MOUTONG!D43</f>
        <v>Pelanggan</v>
      </c>
      <c r="AN44" s="53"/>
      <c r="AO44" s="90">
        <f>T.MOUTONG!T43</f>
        <v>414</v>
      </c>
      <c r="AP44" s="90">
        <f>VLOOKUP(AK44,T.MOUTONG!$B$4:$T$56,MATCH(ULP!$A$1,T.MOUTONG!$B$5:$T$5,0),FALSE)</f>
        <v>414</v>
      </c>
      <c r="AQ44" s="90">
        <f>VLOOKUP(AK44,'R.MOUTONG'!$B$4:$T$64,MATCH(ULP!$A$1,'R.MOUTONG'!$B$5:$T$5,0),FALSE)</f>
        <v>599.44444444444446</v>
      </c>
      <c r="AR44" s="165">
        <f>IF(OR(AP44="N/A",AQ44="N/A"),"N/A",IF((AQ44/AP44*100)&gt;=110,110,(AQ44/AP44*100)))</f>
        <v>110</v>
      </c>
      <c r="AS44" s="103"/>
      <c r="AU44" s="91"/>
      <c r="AV44" s="52" t="str">
        <f>T.KOTARAYA!B43</f>
        <v>a. Jumlah Pengguna Swa Cam</v>
      </c>
      <c r="AW44" s="441" t="str">
        <f>T.KOTARAYA!C43</f>
        <v>ñ</v>
      </c>
      <c r="AX44" s="288" t="str">
        <f>T.KOTARAYA!D43</f>
        <v>Pelanggan</v>
      </c>
      <c r="AY44" s="53"/>
      <c r="AZ44" s="90">
        <f>T.KOTARAYA!T43</f>
        <v>743</v>
      </c>
      <c r="BA44" s="90">
        <f>VLOOKUP(AV44,T.KOTARAYA!$B$4:$T$56,MATCH(ULP!$A$1,T.KOTARAYA!$B$5:$T$5,0),FALSE)</f>
        <v>743</v>
      </c>
      <c r="BB44" s="90">
        <f>VLOOKUP(AV44,'R.KOTARAYA'!$B$4:$T$64,MATCH(ULP!$A$1,'R.KOTARAYA'!$B$5:$T$5,0),FALSE)</f>
        <v>1302.3333333333333</v>
      </c>
      <c r="BC44" s="165">
        <f>IF(OR(BA44="N/A",BB44="N/A"),"N/A",IF((BB44/BA44*100)&gt;=110,110,(BB44/BA44*100)))</f>
        <v>110</v>
      </c>
      <c r="BD44" s="103"/>
    </row>
    <row r="45" spans="3:56" ht="33">
      <c r="C45" s="51"/>
      <c r="D45" s="52" t="str">
        <f>T.TOLIS!B44</f>
        <v>b. Tindak Lanjut LBKB (Laporan Bulanan Kelainan Baca Meter)</v>
      </c>
      <c r="E45" s="441" t="str">
        <f>T.TOLIS!C44</f>
        <v>ò</v>
      </c>
      <c r="F45" s="61" t="str">
        <f>T.TOLIS!D44</f>
        <v>Pelanggan</v>
      </c>
      <c r="G45" s="53"/>
      <c r="H45" s="90">
        <f>T.TOLIS!H44</f>
        <v>0</v>
      </c>
      <c r="I45" s="90">
        <f>VLOOKUP(D45,T.TOLIS!$B$4:$T$56,MATCH(ULP!$A$1,T.TOLIS!$B$5:$T$5,0),FALSE)</f>
        <v>0</v>
      </c>
      <c r="J45" s="90">
        <f>VLOOKUP(D45,'R.TOLIS'!$B$4:$T$64,MATCH(ULP!$A$1,'R.TOLIS'!$B$5:$T$5,0),FALSE)</f>
        <v>0</v>
      </c>
      <c r="K45" s="165">
        <f>IF(I45=0,100,(IF((J45/I45*100)&gt;110,110,(J45/I45*100))))</f>
        <v>100</v>
      </c>
      <c r="L45" s="103"/>
      <c r="N45" s="91"/>
      <c r="O45" s="52" t="str">
        <f>T.LEOK!B44</f>
        <v>b. Tindak Lanjut LBKB (Laporan Bulanan Kelainan Baca Meter)</v>
      </c>
      <c r="P45" s="441" t="str">
        <f>T.LEOK!C44</f>
        <v>ò</v>
      </c>
      <c r="Q45" s="61" t="str">
        <f>T.LEOK!D44</f>
        <v>Pelanggan</v>
      </c>
      <c r="R45" s="53"/>
      <c r="S45" s="90">
        <f>T.LEOK!S44</f>
        <v>0</v>
      </c>
      <c r="T45" s="90">
        <f>VLOOKUP(O45,T.LEOK!$B$4:$T$56,MATCH(ULP!$A$1,T.LEOK!$B$5:$T$5,0),FALSE)</f>
        <v>0</v>
      </c>
      <c r="U45" s="90">
        <f>VLOOKUP(O45,'R.LEOK'!$B$4:$T$64,MATCH(ULP!$A$1,'R.LEOK'!$B$5:$T$5,0),FALSE)</f>
        <v>0</v>
      </c>
      <c r="V45" s="165">
        <f>IF(T45=0,100,(IF((U45/T45*100)&gt;110,110,(U45/T45*100))))</f>
        <v>100</v>
      </c>
      <c r="W45" s="103"/>
      <c r="Y45" s="91"/>
      <c r="Z45" s="52" t="str">
        <f>T.BANGKIR!B44</f>
        <v>b. Tindak Lanjut LBKB (Laporan Bulanan Kelainan Baca Meter)</v>
      </c>
      <c r="AA45" s="441" t="str">
        <f>T.BANGKIR!C44</f>
        <v>ò</v>
      </c>
      <c r="AB45" s="61" t="str">
        <f>T.BANGKIR!D44</f>
        <v>Pelanggan</v>
      </c>
      <c r="AC45" s="53"/>
      <c r="AD45" s="90">
        <f>T.BANGKIR!T44</f>
        <v>0</v>
      </c>
      <c r="AE45" s="90">
        <f>VLOOKUP(Z45,T.BANGKIR!$B$4:$T$56,MATCH(ULP!$A$1,T.BANGKIR!$B$5:$T$5,0),FALSE)</f>
        <v>0</v>
      </c>
      <c r="AF45" s="90">
        <f>VLOOKUP(Z45,'R.BANGKIR'!$B$4:$T$64,MATCH(ULP!$A$1,'R.BANGKIR'!$B$5:$T$5,0),FALSE)</f>
        <v>0</v>
      </c>
      <c r="AG45" s="165">
        <f>IF(AE45=0,100,(IF((AF45/AE45*100)&gt;110,110,(AF45/AE45*100))))</f>
        <v>100</v>
      </c>
      <c r="AH45" s="103"/>
      <c r="AJ45" s="91"/>
      <c r="AK45" s="52" t="str">
        <f>T.MOUTONG!B44</f>
        <v>b. Tindak Lanjut LBKB (Laporan Bulanan Kelainan Baca Meter)</v>
      </c>
      <c r="AL45" s="441" t="str">
        <f>T.MOUTONG!C44</f>
        <v>ò</v>
      </c>
      <c r="AM45" s="61" t="str">
        <f>T.MOUTONG!D44</f>
        <v>Pelanggan</v>
      </c>
      <c r="AN45" s="53"/>
      <c r="AO45" s="90">
        <f>T.MOUTONG!T44</f>
        <v>0</v>
      </c>
      <c r="AP45" s="90">
        <f>VLOOKUP(AK45,T.MOUTONG!$B$4:$T$56,MATCH(ULP!$A$1,T.MOUTONG!$B$5:$T$5,0),FALSE)</f>
        <v>0</v>
      </c>
      <c r="AQ45" s="90">
        <f>VLOOKUP(AK45,'R.MOUTONG'!$B$4:$T$64,MATCH(ULP!$A$1,'R.MOUTONG'!$B$5:$T$5,0),FALSE)</f>
        <v>0</v>
      </c>
      <c r="AR45" s="165">
        <f>IF(AP45=0,100,(IF((AQ45/AP45*100)&gt;110,110,(AQ45/AP45*100))))</f>
        <v>100</v>
      </c>
      <c r="AS45" s="103"/>
      <c r="AU45" s="91"/>
      <c r="AV45" s="52" t="str">
        <f>T.KOTARAYA!B44</f>
        <v>b. Tindak Lanjut LBKB (Laporan Bulanan Kelainan Baca Meter)</v>
      </c>
      <c r="AW45" s="441" t="str">
        <f>T.KOTARAYA!C44</f>
        <v>ò</v>
      </c>
      <c r="AX45" s="288" t="str">
        <f>T.KOTARAYA!D44</f>
        <v>Pelanggan</v>
      </c>
      <c r="AY45" s="53"/>
      <c r="AZ45" s="90">
        <f>T.KOTARAYA!T44</f>
        <v>0</v>
      </c>
      <c r="BA45" s="90">
        <f>VLOOKUP(AV45,T.KOTARAYA!$B$4:$T$56,MATCH(ULP!$A$1,T.KOTARAYA!$B$5:$T$5,0),FALSE)</f>
        <v>0</v>
      </c>
      <c r="BB45" s="90">
        <f>VLOOKUP(AV45,'R.KOTARAYA'!$B$4:$T$64,MATCH(ULP!$A$1,'R.KOTARAYA'!$B$5:$T$5,0),FALSE)</f>
        <v>0</v>
      </c>
      <c r="BC45" s="165">
        <f>IF(BA45=0,100,(IF((BB45/BA45*100)&gt;110,110,(BB45/BA45*100))))</f>
        <v>100</v>
      </c>
      <c r="BD45" s="103"/>
    </row>
    <row r="46" spans="3:56" ht="16.5">
      <c r="C46" s="51">
        <f>T.TOLIS!A45</f>
        <v>11</v>
      </c>
      <c r="D46" s="311" t="str">
        <f>T.TOLIS!B45</f>
        <v>Sisa Stand Bongkar Migrasi</v>
      </c>
      <c r="E46" s="441" t="str">
        <f>T.TOLIS!C45</f>
        <v>ñ</v>
      </c>
      <c r="F46" s="61" t="str">
        <f>T.TOLIS!D45</f>
        <v>%</v>
      </c>
      <c r="G46" s="53">
        <f>IF(J46="N/A",0,T.TOLIS!F45)</f>
        <v>3</v>
      </c>
      <c r="H46" s="90">
        <f>T.TOLIS!H45</f>
        <v>100</v>
      </c>
      <c r="I46" s="90">
        <f>VLOOKUP(D46,T.TOLIS!$B$4:$T$56,MATCH(ULP!$A$1,T.TOLIS!$B$5:$T$5,0),FALSE)</f>
        <v>100</v>
      </c>
      <c r="J46" s="90">
        <f>VLOOKUP(D46,'R.TOLIS'!$B$4:$T$64,MATCH(ULP!$A$1,'R.TOLIS'!$B$5:$T$5,0),FALSE)</f>
        <v>100</v>
      </c>
      <c r="K46" s="165">
        <f>IF(I46=0,110,(IF((J46/I46*100)&gt;110,110,(J46/I46*100))))</f>
        <v>100</v>
      </c>
      <c r="L46" s="103">
        <f>ROUNDDOWN(IF(OR(K46="N/A",K46&lt;0),0,IF(K46&gt;110,G46*110/100,G46*K46/100)),2)</f>
        <v>3</v>
      </c>
      <c r="N46" s="91">
        <f>T.LEOK!A45</f>
        <v>11</v>
      </c>
      <c r="O46" s="311" t="str">
        <f>T.LEOK!B45</f>
        <v>Sisa Stand Bongkar Migrasi</v>
      </c>
      <c r="P46" s="441" t="str">
        <f>T.LEOK!C45</f>
        <v>ñ</v>
      </c>
      <c r="Q46" s="61" t="str">
        <f>T.LEOK!D45</f>
        <v>%</v>
      </c>
      <c r="R46" s="53">
        <f>IF(U46="N/A",0,T.LEOK!F45)</f>
        <v>3</v>
      </c>
      <c r="S46" s="90">
        <f>T.LEOK!S45</f>
        <v>100</v>
      </c>
      <c r="T46" s="90">
        <f>VLOOKUP(O46,T.LEOK!$B$4:$T$56,MATCH(ULP!$A$1,T.LEOK!$B$5:$T$5,0),FALSE)</f>
        <v>100</v>
      </c>
      <c r="U46" s="90">
        <f>VLOOKUP(O46,'R.LEOK'!$B$4:$T$64,MATCH(ULP!$A$1,'R.LEOK'!$B$5:$T$5,0),FALSE)</f>
        <v>100</v>
      </c>
      <c r="V46" s="165">
        <f>IF(T46=0,110,(IF((U46/T46*100)&gt;110,110,(U46/T46*100))))</f>
        <v>100</v>
      </c>
      <c r="W46" s="103">
        <f>ROUNDDOWN(IF(OR(V46="N/A",V46&lt;0),0,IF(V46&gt;110,R46*110/100,R46*V46/100)),2)</f>
        <v>3</v>
      </c>
      <c r="Y46" s="91">
        <f>T.BANGKIR!A45</f>
        <v>11</v>
      </c>
      <c r="Z46" s="311" t="str">
        <f>T.BANGKIR!B45</f>
        <v>Sisa Stand Bongkar Migrasi</v>
      </c>
      <c r="AA46" s="441" t="str">
        <f>T.BANGKIR!C45</f>
        <v>ñ</v>
      </c>
      <c r="AB46" s="61" t="str">
        <f>T.BANGKIR!D45</f>
        <v>%</v>
      </c>
      <c r="AC46" s="53">
        <f>IF(AF46="N/A",0,T.BANGKIR!F45)</f>
        <v>3</v>
      </c>
      <c r="AD46" s="90">
        <f>T.BANGKIR!T45</f>
        <v>100</v>
      </c>
      <c r="AE46" s="91">
        <f>VLOOKUP(Z46,T.BANGKIR!$B$4:$T$56,MATCH(ULP!$A$1,T.BANGKIR!$B$5:$T$5,0),FALSE)</f>
        <v>100</v>
      </c>
      <c r="AF46" s="90">
        <f>VLOOKUP(Z46,'R.BANGKIR'!$B$4:$T$64,MATCH(ULP!$A$1,'R.BANGKIR'!$B$5:$T$5,0),FALSE)</f>
        <v>100</v>
      </c>
      <c r="AG46" s="165">
        <f>IF(AE46=0,110,(IF((AF46/AE46*100)&gt;110,110,(AF46/AE46*100))))</f>
        <v>100</v>
      </c>
      <c r="AH46" s="103">
        <f>ROUNDDOWN(IF(OR(AG46="N/A",AG46&lt;0),0,IF(AG46&gt;110,AC46*110/100,AC46*AG46/100)),2)</f>
        <v>3</v>
      </c>
      <c r="AJ46" s="91">
        <f>T.MOUTONG!A45</f>
        <v>11</v>
      </c>
      <c r="AK46" s="311" t="str">
        <f>T.MOUTONG!B45</f>
        <v>Sisa Stand Bongkar Migrasi</v>
      </c>
      <c r="AL46" s="441" t="str">
        <f>T.MOUTONG!C45</f>
        <v>ñ</v>
      </c>
      <c r="AM46" s="61" t="str">
        <f>T.MOUTONG!D45</f>
        <v>%</v>
      </c>
      <c r="AN46" s="53">
        <f>IF(AQ46="N/A",0,T.MOUTONG!F45)</f>
        <v>3</v>
      </c>
      <c r="AO46" s="90">
        <f>T.MOUTONG!T45</f>
        <v>100</v>
      </c>
      <c r="AP46" s="90">
        <f>VLOOKUP(AK46,T.MOUTONG!$B$4:$T$56,MATCH(ULP!$A$1,T.MOUTONG!$B$5:$T$5,0),FALSE)</f>
        <v>100</v>
      </c>
      <c r="AQ46" s="90">
        <f>VLOOKUP(AK46,'R.MOUTONG'!$B$4:$T$64,MATCH(ULP!$A$1,'R.MOUTONG'!$B$5:$T$5,0),FALSE)</f>
        <v>100</v>
      </c>
      <c r="AR46" s="165">
        <f>IF(AP46=0,110,(IF((AQ46/AP46*100)&gt;110,110,(AQ46/AP46*100))))</f>
        <v>100</v>
      </c>
      <c r="AS46" s="103">
        <f>ROUNDDOWN(IF(OR(AR46="N/A",AR46&lt;0),0,IF(AR46&gt;110,AN46*110/100,AN46*AR46/100)),2)</f>
        <v>3</v>
      </c>
      <c r="AU46" s="91">
        <f>T.KOTARAYA!A45</f>
        <v>11</v>
      </c>
      <c r="AV46" s="311" t="str">
        <f>T.KOTARAYA!B45</f>
        <v>Sisa Stand Bongkar Migrasi</v>
      </c>
      <c r="AW46" s="441" t="str">
        <f>T.KOTARAYA!C45</f>
        <v>ñ</v>
      </c>
      <c r="AX46" s="288" t="str">
        <f>T.KOTARAYA!D45</f>
        <v>%</v>
      </c>
      <c r="AY46" s="53">
        <f>IF(BB46="N/A",0,T.KOTARAYA!F45)</f>
        <v>3</v>
      </c>
      <c r="AZ46" s="91">
        <f>T.KOTARAYA!T45</f>
        <v>100</v>
      </c>
      <c r="BA46" s="91">
        <f>VLOOKUP(AV46,T.KOTARAYA!$B$4:$T$56,MATCH(ULP!$A$1,T.KOTARAYA!$B$5:$T$5,0),FALSE)</f>
        <v>100</v>
      </c>
      <c r="BB46" s="90">
        <f>VLOOKUP(AV46,'R.KOTARAYA'!$B$4:$T$64,MATCH(ULP!$A$1,'R.KOTARAYA'!$B$5:$T$5,0),FALSE)</f>
        <v>100</v>
      </c>
      <c r="BC46" s="165">
        <f>IF(BA46=0,110,(IF((BB46/BA46*100)&gt;110,110,(BB46/BA46*100))))</f>
        <v>100</v>
      </c>
      <c r="BD46" s="103">
        <f>ROUNDDOWN(IF(OR(BC46="N/A",BC46&lt;0),0,IF(BC46&gt;110,AY46*110/100,AY46*BC46/100)),2)</f>
        <v>3</v>
      </c>
    </row>
    <row r="47" spans="3:56" ht="16.5">
      <c r="C47" s="51">
        <f>T.TOLIS!A46</f>
        <v>12</v>
      </c>
      <c r="D47" s="311" t="str">
        <f>T.TOLIS!B46</f>
        <v>Percepatan Cash In</v>
      </c>
      <c r="E47" s="441"/>
      <c r="F47" s="61"/>
      <c r="G47" s="53">
        <f>IF(J47="N/A",0,T.TOLIS!F46)</f>
        <v>9</v>
      </c>
      <c r="H47" s="90"/>
      <c r="I47" s="90"/>
      <c r="J47" s="90"/>
      <c r="K47" s="165">
        <f>AVERAGE(K48)</f>
        <v>110</v>
      </c>
      <c r="L47" s="103">
        <f>ROUNDDOWN(IF(OR(K47="N/A",K47&lt;0),0,IF(K47&gt;110,G47*110/100,G47*K47/100)),2)</f>
        <v>9.9</v>
      </c>
      <c r="N47" s="91">
        <f>T.LEOK!A46</f>
        <v>12</v>
      </c>
      <c r="O47" s="311" t="str">
        <f>T.LEOK!B46</f>
        <v>Percepatan Cash In</v>
      </c>
      <c r="P47" s="441"/>
      <c r="Q47" s="61" t="str">
        <f>T.LEOK!D46</f>
        <v>%</v>
      </c>
      <c r="R47" s="53">
        <f>IF(U47="N/A",0,T.LEOK!F46)</f>
        <v>9</v>
      </c>
      <c r="S47" s="90"/>
      <c r="T47" s="90"/>
      <c r="U47" s="90"/>
      <c r="V47" s="165">
        <f>AVERAGE(V48:V50)</f>
        <v>106.66666666666667</v>
      </c>
      <c r="W47" s="103">
        <f>ROUNDDOWN(IF(OR(V47="N/A",V47&lt;0),0,IF(V47&gt;110,R47*110/100,R47*V47/100)),2)</f>
        <v>9.6</v>
      </c>
      <c r="Y47" s="91">
        <f>T.BANGKIR!A46</f>
        <v>12</v>
      </c>
      <c r="Z47" s="311" t="str">
        <f>T.BANGKIR!B46</f>
        <v>Percepatan Cash In</v>
      </c>
      <c r="AA47" s="441"/>
      <c r="AB47" s="61" t="str">
        <f>T.BANGKIR!D46</f>
        <v>%</v>
      </c>
      <c r="AC47" s="53">
        <f>IF(AF47="N/A",0,T.BANGKIR!F46)</f>
        <v>9</v>
      </c>
      <c r="AD47" s="90"/>
      <c r="AE47" s="91"/>
      <c r="AF47" s="90"/>
      <c r="AG47" s="165">
        <f>AVERAGE(AG48:AG50)</f>
        <v>106.66666666666667</v>
      </c>
      <c r="AH47" s="103">
        <f>ROUNDDOWN(IF(OR(AG47="N/A",AG47&lt;0),0,IF(AG47&gt;110,AC47*110/100,AC47*AG47/100)),2)</f>
        <v>9.6</v>
      </c>
      <c r="AJ47" s="91">
        <f>T.MOUTONG!A46</f>
        <v>12</v>
      </c>
      <c r="AK47" s="311" t="str">
        <f>T.MOUTONG!B46</f>
        <v>Percepatan Cash In</v>
      </c>
      <c r="AL47" s="441"/>
      <c r="AM47" s="61" t="str">
        <f>T.MOUTONG!D46</f>
        <v>%</v>
      </c>
      <c r="AN47" s="53">
        <f>IF(AQ47="N/A",0,T.MOUTONG!F46)</f>
        <v>9</v>
      </c>
      <c r="AO47" s="90"/>
      <c r="AP47" s="90"/>
      <c r="AQ47" s="90"/>
      <c r="AR47" s="165">
        <f>AVERAGE(AR48:AR50)</f>
        <v>95.714125998824898</v>
      </c>
      <c r="AS47" s="103">
        <f>ROUNDDOWN(IF(OR(AR47="N/A",AR47&lt;0),0,IF(AR47&gt;110,AN47*110/100,AN47*AR47/100)),2)</f>
        <v>8.61</v>
      </c>
      <c r="AU47" s="91">
        <f>T.KOTARAYA!A46</f>
        <v>12</v>
      </c>
      <c r="AV47" s="311" t="str">
        <f>T.KOTARAYA!B46</f>
        <v>Percepatan Cash In</v>
      </c>
      <c r="AW47" s="441"/>
      <c r="AX47" s="288" t="str">
        <f>T.KOTARAYA!D46</f>
        <v>%</v>
      </c>
      <c r="AY47" s="53">
        <f>IF(BB47="N/A",0,T.KOTARAYA!F46)</f>
        <v>9</v>
      </c>
      <c r="AZ47" s="91"/>
      <c r="BA47" s="91"/>
      <c r="BB47" s="90"/>
      <c r="BC47" s="165">
        <f>AVERAGE(BC48:BC50)</f>
        <v>92.751656662455801</v>
      </c>
      <c r="BD47" s="103">
        <f>ROUNDDOWN(IF(OR(BC47="N/A",BC47&lt;0),0,IF(BC47&gt;110,AY47*110/100,AY47*BC47/100)),2)</f>
        <v>8.34</v>
      </c>
    </row>
    <row r="48" spans="3:56" ht="33">
      <c r="C48" s="51"/>
      <c r="D48" s="52" t="str">
        <f>T.TOLIS!B47</f>
        <v>a. Persentase Rata-Rata Saldo Tanggal 20 Non Kogol 1 dan Non Kogol 2</v>
      </c>
      <c r="E48" s="441" t="str">
        <f>T.TOLIS!C47</f>
        <v>ò</v>
      </c>
      <c r="F48" s="61" t="str">
        <f>T.TOLIS!D47</f>
        <v>Rp. Juta</v>
      </c>
      <c r="G48" s="53"/>
      <c r="H48" s="90">
        <f>T.TOLIS!H47</f>
        <v>303</v>
      </c>
      <c r="I48" s="90">
        <f>VLOOKUP(D48,T.TOLIS!$B$4:$T$56,MATCH(ULP!$A$1,T.TOLIS!$B$5:$T$5,0),FALSE)</f>
        <v>303</v>
      </c>
      <c r="J48" s="90">
        <f>VLOOKUP(D48,'R.TOLIS'!$B$4:$T$64,MATCH(ULP!$A$1,'R.TOLIS'!$B$5:$T$5,0),FALSE)</f>
        <v>243.64695700000004</v>
      </c>
      <c r="K48" s="165">
        <f>IF(OR(I48="N/A",J48="N/A"),"N/A",IF((2-(J48/I48))*100&gt;=110,110,(2-(J48/I48))*100))</f>
        <v>110</v>
      </c>
      <c r="L48" s="103"/>
      <c r="N48" s="91"/>
      <c r="O48" s="52" t="str">
        <f>T.LEOK!B47</f>
        <v>a. Persentase Rata-Rata Saldo Tanggal 20 Non Kogol 1 dan Non Kogol 2</v>
      </c>
      <c r="P48" s="441" t="str">
        <f>T.LEOK!C47</f>
        <v>ò</v>
      </c>
      <c r="Q48" s="61" t="str">
        <f>T.LEOK!D47</f>
        <v>Rp. Juta</v>
      </c>
      <c r="R48" s="53"/>
      <c r="S48" s="90">
        <f>T.LEOK!S47</f>
        <v>354</v>
      </c>
      <c r="T48" s="90">
        <f>VLOOKUP(O48,T.LEOK!$B$4:$T$56,MATCH(ULP!$A$1,T.LEOK!$B$5:$T$5,0),FALSE)</f>
        <v>354</v>
      </c>
      <c r="U48" s="90">
        <f>VLOOKUP(O48,'R.LEOK'!$B$4:$T$64,MATCH(ULP!$A$1,'R.LEOK'!$B$5:$T$5,0),FALSE)</f>
        <v>214.83072299999998</v>
      </c>
      <c r="V48" s="165">
        <f>IF(OR(T48="N/A",U48="N/A"),"N/A",IF((2-(U48/T48))*100&gt;=110,110,(2-(U48/T48))*100))</f>
        <v>110</v>
      </c>
      <c r="W48" s="103"/>
      <c r="Y48" s="91"/>
      <c r="Z48" s="52" t="str">
        <f>T.BANGKIR!B47</f>
        <v>a. Persentase Rata-Rata Saldo Tanggal 20 Non Kogol 1 dan Non Kogol 2</v>
      </c>
      <c r="AA48" s="441" t="str">
        <f>T.BANGKIR!C47</f>
        <v>ò</v>
      </c>
      <c r="AB48" s="61" t="str">
        <f>T.BANGKIR!D47</f>
        <v>Rp. Juta</v>
      </c>
      <c r="AC48" s="53"/>
      <c r="AD48" s="90">
        <f>T.BANGKIR!T50</f>
        <v>0</v>
      </c>
      <c r="AE48" s="90">
        <f>VLOOKUP(Z48,T.BANGKIR!$B$4:$T$56,MATCH(ULP!$A$1,T.BANGKIR!$B$5:$T$5,0),FALSE)</f>
        <v>16</v>
      </c>
      <c r="AF48" s="90">
        <f>VLOOKUP(Z48,'R.BANGKIR'!$B$4:$T$64,MATCH(ULP!$A$1,'R.BANGKIR'!$B$5:$T$5,0),FALSE)</f>
        <v>0.44638722222222227</v>
      </c>
      <c r="AG48" s="165">
        <f>IF(OR(AE48="N/A",AF48="N/A"),"N/A",IF((2-(AF48/AE48))*100&gt;=110,110,(2-(AF48/AE48))*100))</f>
        <v>110</v>
      </c>
      <c r="AH48" s="103"/>
      <c r="AJ48" s="91"/>
      <c r="AK48" s="52" t="str">
        <f>T.MOUTONG!B47</f>
        <v>a. Persentase Rata-Rata Saldo Tanggal 20 Non Kogol 1 dan Non Kogol 2</v>
      </c>
      <c r="AL48" s="441" t="str">
        <f>T.MOUTONG!C47</f>
        <v>ò</v>
      </c>
      <c r="AM48" s="61" t="str">
        <f>T.MOUTONG!D47</f>
        <v>Rp. Juta</v>
      </c>
      <c r="AN48" s="53"/>
      <c r="AO48" s="90">
        <f>T.MOUTONG!T50</f>
        <v>0</v>
      </c>
      <c r="AP48" s="90">
        <f>VLOOKUP(AK48,T.MOUTONG!$B$4:$T$56,MATCH(ULP!$A$1,T.MOUTONG!$B$5:$T$5,0),FALSE)</f>
        <v>213</v>
      </c>
      <c r="AQ48" s="90">
        <f>VLOOKUP(AK48,'R.MOUTONG'!$B$4:$T$64,MATCH(ULP!$A$1,'R.MOUTONG'!$B$5:$T$5,0),FALSE)</f>
        <v>239.46162522222227</v>
      </c>
      <c r="AR48" s="165">
        <f>IF(OR(AP48="N/A",AQ48="N/A"),"N/A",IF((2-(AQ48/AP48))*100&gt;=110,110,(2-(AQ48/AP48))*100))</f>
        <v>87.576701773604569</v>
      </c>
      <c r="AS48" s="103"/>
      <c r="AU48" s="91"/>
      <c r="AV48" s="52" t="str">
        <f>T.KOTARAYA!B47</f>
        <v>a. Persentase Rata-Rata Saldo Tanggal 20 Non Kogol 1 dan Non Kogol 2</v>
      </c>
      <c r="AW48" s="441" t="str">
        <f>T.KOTARAYA!C47</f>
        <v>ò</v>
      </c>
      <c r="AX48" s="288" t="str">
        <f>T.KOTARAYA!D47</f>
        <v>Rp. Juta</v>
      </c>
      <c r="AY48" s="53"/>
      <c r="AZ48" s="90">
        <f>T.KOTARAYA!T50</f>
        <v>0</v>
      </c>
      <c r="BA48" s="90">
        <f>VLOOKUP(AV48,T.KOTARAYA!$B$4:$T$56,MATCH(ULP!$A$1,T.KOTARAYA!$B$5:$T$5,0),FALSE)</f>
        <v>289</v>
      </c>
      <c r="BB48" s="90">
        <f>VLOOKUP(AV48,'R.KOTARAYA'!$B$4:$T$64,MATCH(ULP!$A$1,'R.KOTARAYA'!$B$5:$T$5,0),FALSE)</f>
        <v>303.05131788888889</v>
      </c>
      <c r="BC48" s="165">
        <f>IF(OR(BA48="N/A",BB48="N/A"),"N/A",IF((2-(BB48/BA48))*100&gt;=110,110,(2-(BB48/BA48))*100))</f>
        <v>95.137952287581712</v>
      </c>
      <c r="BD48" s="103"/>
    </row>
    <row r="49" spans="2:56" ht="33">
      <c r="C49" s="51"/>
      <c r="D49" s="52" t="str">
        <f>T.TOLIS!B48</f>
        <v>b. Pencapaian Saldo Rata-Rata Akhir Bulan Non Kogol 1 dan Non Kogol 2</v>
      </c>
      <c r="E49" s="441" t="str">
        <f>T.TOLIS!C48</f>
        <v>ò</v>
      </c>
      <c r="F49" s="61" t="str">
        <f>T.TOLIS!D48</f>
        <v>Rp. Juta</v>
      </c>
      <c r="G49" s="53"/>
      <c r="H49" s="90">
        <f>T.TOLIS!H48</f>
        <v>22.07</v>
      </c>
      <c r="I49" s="90">
        <f>VLOOKUP(D49,T.TOLIS!$B$4:$T$56,MATCH(ULP!$A$1,T.TOLIS!$B$5:$T$5,0),FALSE)</f>
        <v>22.07</v>
      </c>
      <c r="J49" s="90">
        <f>VLOOKUP(D49,'R.TOLIS'!$B$4:$T$64,MATCH(ULP!$A$1,'R.TOLIS'!$B$5:$T$5,0),FALSE)</f>
        <v>24.760700222222223</v>
      </c>
      <c r="K49" s="165">
        <f>IF(OR(I49="N/A",J49="N/A"),"N/A",IF((2-(J49/I49))*100&gt;=110,110,(2-(J49/I49))*100))</f>
        <v>87.808336102300771</v>
      </c>
      <c r="L49" s="103"/>
      <c r="M49" s="157"/>
      <c r="N49" s="91"/>
      <c r="O49" s="52" t="str">
        <f>T.LEOK!B48</f>
        <v>b. Pencapaian Saldo Rata-Rata Akhir Bulan Non Kogol 1 dan Non Kogol 2</v>
      </c>
      <c r="P49" s="441"/>
      <c r="Q49" s="61" t="str">
        <f>T.LEOK!D48</f>
        <v>Rp. Juta</v>
      </c>
      <c r="R49" s="53"/>
      <c r="S49" s="90">
        <f>T.LEOK!S48</f>
        <v>4.17</v>
      </c>
      <c r="T49" s="90">
        <f>VLOOKUP(O49,T.LEOK!$B$4:$T$56,MATCH(ULP!$A$1,T.LEOK!$B$5:$T$5,0),FALSE)</f>
        <v>4.17</v>
      </c>
      <c r="U49" s="90">
        <f>VLOOKUP(O49,'R.LEOK'!$B$4:$T$64,MATCH(ULP!$A$1,'R.LEOK'!$B$5:$T$5,0),FALSE)</f>
        <v>2.399983555555556</v>
      </c>
      <c r="V49" s="165">
        <f>IF(OR(T49="N/A",U49="N/A"),"N/A",IF((2-(U49/T49))*100&gt;=110,110,(2-(U49/T49))*100))</f>
        <v>110</v>
      </c>
      <c r="W49" s="103"/>
      <c r="X49" s="12"/>
      <c r="Y49" s="91"/>
      <c r="Z49" s="52" t="str">
        <f>T.BANGKIR!B48</f>
        <v>b. Pencapaian Saldo Rata-Rata Akhir Bulan Non Kogol 1 dan Non Kogol 2</v>
      </c>
      <c r="AA49" s="441" t="str">
        <f>T.BANGKIR!C48</f>
        <v>ò</v>
      </c>
      <c r="AB49" s="61" t="str">
        <f>T.BANGKIR!D48</f>
        <v>Rp. Juta</v>
      </c>
      <c r="AC49" s="53"/>
      <c r="AD49" s="90">
        <f>T.BANGKIR!T51</f>
        <v>0</v>
      </c>
      <c r="AE49" s="90">
        <f>VLOOKUP(Z49,T.BANGKIR!$B$4:$T$56,MATCH(ULP!$A$1,T.BANGKIR!$B$5:$T$5,0),FALSE)</f>
        <v>2.72</v>
      </c>
      <c r="AF49" s="90">
        <f>VLOOKUP(Z49,'R.BANGKIR'!$B$4:$T$64,MATCH(ULP!$A$1,'R.BANGKIR'!$B$5:$T$5,0),FALSE)</f>
        <v>0.22679277777777779</v>
      </c>
      <c r="AG49" s="165">
        <f>IF(OR(AE49="N/A",AF49="N/A"),"N/A",IF((2-(AF49/AE49))*100&gt;=110,110,(2-(AF49/AE49))*100))</f>
        <v>110</v>
      </c>
      <c r="AH49" s="103"/>
      <c r="AI49" s="12"/>
      <c r="AJ49" s="91"/>
      <c r="AK49" s="52" t="str">
        <f>T.MOUTONG!B48</f>
        <v>b. Pencapaian Saldo Rata-Rata Akhir Bulan Non Kogol 1 dan Non Kogol 2</v>
      </c>
      <c r="AL49" s="441" t="str">
        <f>T.MOUTONG!C48</f>
        <v>ò</v>
      </c>
      <c r="AM49" s="61" t="str">
        <f>T.MOUTONG!D48</f>
        <v>Rp. Juta</v>
      </c>
      <c r="AN49" s="53"/>
      <c r="AO49" s="90">
        <f>T.MOUTONG!T51</f>
        <v>0</v>
      </c>
      <c r="AP49" s="90">
        <f>VLOOKUP(AK49,T.MOUTONG!$B$4:$T$56,MATCH(ULP!$A$1,T.MOUTONG!$B$5:$T$5,0),FALSE)</f>
        <v>96.04</v>
      </c>
      <c r="AQ49" s="90">
        <f>VLOOKUP(AK49,'R.MOUTONG'!$B$4:$T$64,MATCH(ULP!$A$1,'R.MOUTONG'!$B$5:$T$5,0),FALSE)</f>
        <v>106.06112455555555</v>
      </c>
      <c r="AR49" s="165">
        <f>IF(OR(AP49="N/A",AQ49="N/A"),"N/A",IF((2-(AQ49/AP49))*100&gt;=110,110,IF((2-(AQ49/AP49))*100&lt;0,0,(2-(AQ49/AP49))*100)))</f>
        <v>89.56567622287011</v>
      </c>
      <c r="AS49" s="103"/>
      <c r="AT49" s="12"/>
      <c r="AU49" s="91"/>
      <c r="AV49" s="52" t="str">
        <f>T.KOTARAYA!B48</f>
        <v>b. Pencapaian Saldo Rata-Rata Akhir Bulan Non Kogol 1 dan Non Kogol 2</v>
      </c>
      <c r="AW49" s="441" t="str">
        <f>T.KOTARAYA!C48</f>
        <v>ò</v>
      </c>
      <c r="AX49" s="288" t="str">
        <f>T.KOTARAYA!D48</f>
        <v>Rp. Juta</v>
      </c>
      <c r="AY49" s="53"/>
      <c r="AZ49" s="90">
        <f>T.KOTARAYA!T51</f>
        <v>0</v>
      </c>
      <c r="BA49" s="90">
        <f>VLOOKUP(AV49,T.KOTARAYA!$B$4:$T$56,MATCH(ULP!$A$1,T.KOTARAYA!$B$5:$T$5,0),FALSE)</f>
        <v>161.27000000000001</v>
      </c>
      <c r="BB49" s="90">
        <f>VLOOKUP(AV49,'R.KOTARAYA'!$B$4:$T$64,MATCH(ULP!$A$1,'R.KOTARAYA'!$B$5:$T$5,0),FALSE)</f>
        <v>188.49718555555557</v>
      </c>
      <c r="BC49" s="165">
        <f>IF(OR(BA49="N/A",BB49="N/A"),"N/A",IF((2-(BB49/BA49))*100&gt;=110,110,IF((2-(BB49/BA49))*100&lt;0,0,(2-(BB49/BA49))*100)))</f>
        <v>83.11701769978572</v>
      </c>
      <c r="BD49" s="103"/>
    </row>
    <row r="50" spans="2:56" s="12" customFormat="1" ht="16.5">
      <c r="B50" s="183"/>
      <c r="C50" s="51"/>
      <c r="D50" s="52" t="str">
        <f>T.TOLIS!B49</f>
        <v>c. Pencapaian Pelunasan PRR</v>
      </c>
      <c r="E50" s="441" t="str">
        <f>T.TOLIS!C49</f>
        <v>ñ</v>
      </c>
      <c r="F50" s="61" t="str">
        <f>T.TOLIS!D49</f>
        <v>Rp. Juta</v>
      </c>
      <c r="G50" s="53"/>
      <c r="H50" s="90">
        <f>T.TOLIS!H49</f>
        <v>4.21</v>
      </c>
      <c r="I50" s="90">
        <f>VLOOKUP(D50,T.TOLIS!$B$4:$T$56,MATCH(ULP!$A$1,T.TOLIS!$B$5:$T$5,0),FALSE)</f>
        <v>2.95</v>
      </c>
      <c r="J50" s="90">
        <f>VLOOKUP(D50,'R.TOLIS'!$B$4:$T$64,MATCH(ULP!$A$1,'R.TOLIS'!$B$5:$T$5,0),FALSE)</f>
        <v>12.490337</v>
      </c>
      <c r="K50" s="165">
        <f>IF(OR(I50="N/A",J50="N/A"),"N/A",IF((J50/I50*100)&gt;=110,110,(J50/I50*100)))</f>
        <v>110</v>
      </c>
      <c r="L50" s="103"/>
      <c r="M50" s="157"/>
      <c r="N50" s="91"/>
      <c r="O50" s="52" t="str">
        <f>T.LEOK!B49</f>
        <v>c. Pencapaian Pelunasan PRR</v>
      </c>
      <c r="P50" s="441"/>
      <c r="Q50" s="61" t="str">
        <f>T.LEOK!D49</f>
        <v>Rp. Juta</v>
      </c>
      <c r="R50" s="53"/>
      <c r="S50" s="90">
        <f>T.LEOK!S49</f>
        <v>0</v>
      </c>
      <c r="T50" s="90">
        <f>VLOOKUP(O50,T.LEOK!$B$4:$T$56,MATCH(ULP!$A$1,T.LEOK!$B$5:$T$5,0),FALSE)</f>
        <v>0</v>
      </c>
      <c r="U50" s="90">
        <f>VLOOKUP(O50,'R.LEOK'!$B$4:$T$64,MATCH(ULP!$A$1,'R.LEOK'!$B$5:$T$5,0),FALSE)</f>
        <v>0</v>
      </c>
      <c r="V50" s="165">
        <f>IF(OR(T50="N/A",U50="N/A"),"N/A",IF(AND(T50=0,U50=0),100,U50/T50*100))</f>
        <v>100</v>
      </c>
      <c r="W50" s="103"/>
      <c r="Y50" s="91"/>
      <c r="Z50" s="52" t="str">
        <f>T.BANGKIR!B49</f>
        <v>c. Pencapaian Pelunasan PRR</v>
      </c>
      <c r="AA50" s="441" t="str">
        <f>T.BANGKIR!C49</f>
        <v>ñ</v>
      </c>
      <c r="AB50" s="61" t="str">
        <f>T.BANGKIR!D49</f>
        <v>Rp. Juta</v>
      </c>
      <c r="AC50" s="53"/>
      <c r="AD50" s="90">
        <f>T.BANGKIR!T52</f>
        <v>0</v>
      </c>
      <c r="AE50" s="90">
        <f>VLOOKUP(Z50,T.BANGKIR!$B$4:$T$56,MATCH(ULP!$A$1,T.BANGKIR!$B$5:$T$5,0),FALSE)</f>
        <v>0</v>
      </c>
      <c r="AF50" s="90">
        <f>VLOOKUP(Z50,'R.BANGKIR'!$B$4:$T$64,MATCH(ULP!$A$1,'R.BANGKIR'!$B$5:$T$5,0),FALSE)</f>
        <v>0</v>
      </c>
      <c r="AG50" s="165">
        <f>IF(OR(AE50="N/A",AF50="N/A"),"N/A",IF(AND(AE50=0,AF50=0),100,AF50/AE50*100))</f>
        <v>100</v>
      </c>
      <c r="AH50" s="103"/>
      <c r="AJ50" s="91"/>
      <c r="AK50" s="52" t="str">
        <f>T.MOUTONG!B49</f>
        <v>c. Pencapaian Pelunasan PRR</v>
      </c>
      <c r="AL50" s="441" t="str">
        <f>T.MOUTONG!C49</f>
        <v>ñ</v>
      </c>
      <c r="AM50" s="61" t="str">
        <f>T.MOUTONG!D49</f>
        <v>Rp. Juta</v>
      </c>
      <c r="AN50" s="53"/>
      <c r="AO50" s="90">
        <f>T.MOUTONG!T52</f>
        <v>0</v>
      </c>
      <c r="AP50" s="90">
        <f>VLOOKUP(AK50,T.MOUTONG!$B$4:$T$56,MATCH(ULP!$A$1,T.MOUTONG!$B$5:$T$5,0),FALSE)</f>
        <v>3.57</v>
      </c>
      <c r="AQ50" s="90">
        <f>VLOOKUP(AK50,'R.MOUTONG'!$B$4:$T$64,MATCH(ULP!$A$1,'R.MOUTONG'!$B$5:$T$5,0),FALSE)</f>
        <v>4.3891640000000001</v>
      </c>
      <c r="AR50" s="165">
        <f>IF(OR(AP50="N/A",AQ50="N/A"),"N/A",IF((AQ50/AP50*100)&gt;=110,110,(AQ50/AP50*100)))</f>
        <v>110</v>
      </c>
      <c r="AS50" s="103"/>
      <c r="AU50" s="91"/>
      <c r="AV50" s="52" t="str">
        <f>T.KOTARAYA!B49</f>
        <v>c. Pencapaian Pelunasan PRR</v>
      </c>
      <c r="AW50" s="441" t="str">
        <f>T.KOTARAYA!C49</f>
        <v>ñ</v>
      </c>
      <c r="AX50" s="288" t="str">
        <f>T.KOTARAYA!D49</f>
        <v>Rp. Juta</v>
      </c>
      <c r="AY50" s="53"/>
      <c r="AZ50" s="90">
        <f>T.KOTARAYA!T52</f>
        <v>0</v>
      </c>
      <c r="BA50" s="90">
        <f>VLOOKUP(AV50,T.KOTARAYA!$B$4:$T$56,MATCH(ULP!$A$1,T.KOTARAYA!$B$5:$T$5,0),FALSE)</f>
        <v>0</v>
      </c>
      <c r="BB50" s="90">
        <f>VLOOKUP(AV50,'R.KOTARAYA'!$B$4:$T$64,MATCH(ULP!$A$1,'R.KOTARAYA'!$B$5:$T$5,0),FALSE)</f>
        <v>0</v>
      </c>
      <c r="BC50" s="165">
        <f>IF(OR(BA50="N/A",BB50="N/A"),"N/A",IF(AND(BA50=0,BB50=0),100,BB50/BA50*100))</f>
        <v>100</v>
      </c>
      <c r="BD50" s="103"/>
    </row>
    <row r="51" spans="2:56" s="12" customFormat="1" ht="16.5">
      <c r="B51" s="183"/>
      <c r="C51" s="334">
        <f>T.TOLIS!A50</f>
        <v>13</v>
      </c>
      <c r="D51" s="311" t="str">
        <f>T.TOLIS!B50</f>
        <v>Kepatuhan :</v>
      </c>
      <c r="E51" s="441"/>
      <c r="F51" s="61"/>
      <c r="G51" s="53"/>
      <c r="H51" s="90"/>
      <c r="I51" s="90"/>
      <c r="J51" s="90"/>
      <c r="K51" s="165"/>
      <c r="L51" s="103"/>
      <c r="M51" s="157"/>
      <c r="N51" s="91">
        <f>T.LEOK!A50</f>
        <v>13</v>
      </c>
      <c r="O51" s="311" t="str">
        <f>T.LEOK!B50</f>
        <v>Kepatuhan :</v>
      </c>
      <c r="P51" s="441"/>
      <c r="Q51" s="61"/>
      <c r="R51" s="53"/>
      <c r="S51" s="90"/>
      <c r="T51" s="90"/>
      <c r="U51" s="90"/>
      <c r="V51" s="165"/>
      <c r="W51" s="103"/>
      <c r="Y51" s="91">
        <f>T.BANGKIR!A50</f>
        <v>13</v>
      </c>
      <c r="Z51" s="311" t="str">
        <f>T.BANGKIR!B50</f>
        <v>Kepatuhan :</v>
      </c>
      <c r="AA51" s="441"/>
      <c r="AB51" s="61"/>
      <c r="AC51" s="53"/>
      <c r="AD51" s="90"/>
      <c r="AE51" s="90"/>
      <c r="AF51" s="90"/>
      <c r="AG51" s="165"/>
      <c r="AH51" s="103"/>
      <c r="AJ51" s="91">
        <f>T.MOUTONG!A50</f>
        <v>13</v>
      </c>
      <c r="AK51" s="311" t="str">
        <f>T.MOUTONG!B50</f>
        <v>Kepatuhan :</v>
      </c>
      <c r="AL51" s="441"/>
      <c r="AM51" s="61"/>
      <c r="AN51" s="53"/>
      <c r="AO51" s="90"/>
      <c r="AP51" s="90"/>
      <c r="AQ51" s="90"/>
      <c r="AR51" s="165"/>
      <c r="AS51" s="103"/>
      <c r="AU51" s="91">
        <f>T.KOTARAYA!A50</f>
        <v>13</v>
      </c>
      <c r="AV51" s="311" t="str">
        <f>T.KOTARAYA!B50</f>
        <v>Kepatuhan :</v>
      </c>
      <c r="AW51" s="441"/>
      <c r="AX51" s="288"/>
      <c r="AY51" s="53"/>
      <c r="AZ51" s="90"/>
      <c r="BA51" s="90"/>
      <c r="BB51" s="90"/>
      <c r="BC51" s="165"/>
      <c r="BD51" s="103"/>
    </row>
    <row r="52" spans="2:56" s="12" customFormat="1" ht="16.5">
      <c r="B52" s="183"/>
      <c r="C52" s="654"/>
      <c r="D52" s="52" t="str">
        <f>T.TOLIS!B51</f>
        <v>a. Pengelolaan K3, Keamanan dan Lingkungan Hidup</v>
      </c>
      <c r="E52" s="441"/>
      <c r="F52" s="61"/>
      <c r="G52" s="53" t="str">
        <f>IF(J52="N/A",0,T.TOLIS!F51)</f>
        <v>Max-8</v>
      </c>
      <c r="H52" s="90"/>
      <c r="I52" s="90"/>
      <c r="J52" s="90"/>
      <c r="K52" s="165"/>
      <c r="L52" s="103"/>
      <c r="M52" s="157"/>
      <c r="N52" s="91"/>
      <c r="O52" s="52" t="str">
        <f>T.LEOK!B51</f>
        <v>a. Pengelolaan K3, Keamanan dan Lingkungan Hidup</v>
      </c>
      <c r="P52" s="441"/>
      <c r="Q52" s="61"/>
      <c r="R52" s="53" t="str">
        <f>IF(U52="N/A",0,T.LEOK!F51)</f>
        <v>Max-8</v>
      </c>
      <c r="S52" s="90"/>
      <c r="T52" s="90"/>
      <c r="U52" s="90"/>
      <c r="V52" s="165"/>
      <c r="W52" s="103"/>
      <c r="Y52" s="91"/>
      <c r="Z52" s="311" t="str">
        <f>T.BANGKIR!B51</f>
        <v>a. Pengelolaan K3, Keamanan dan Lingkungan Hidup</v>
      </c>
      <c r="AA52" s="441"/>
      <c r="AB52" s="61"/>
      <c r="AC52" s="53" t="str">
        <f>IF(AF52="N/A",0,T.BANGKIR!F51)</f>
        <v>Max-8</v>
      </c>
      <c r="AD52" s="90"/>
      <c r="AE52" s="90"/>
      <c r="AF52" s="90"/>
      <c r="AG52" s="165"/>
      <c r="AH52" s="103"/>
      <c r="AJ52" s="91"/>
      <c r="AK52" s="52" t="str">
        <f>T.MOUTONG!B51</f>
        <v>a. Pengelolaan K3, Keamanan dan Lingkungan Hidup</v>
      </c>
      <c r="AL52" s="441"/>
      <c r="AM52" s="61"/>
      <c r="AN52" s="53" t="str">
        <f>IF(AQ52="N/A",0,T.MOUTONG!F51)</f>
        <v>Max-8</v>
      </c>
      <c r="AO52" s="90"/>
      <c r="AP52" s="90"/>
      <c r="AQ52" s="90"/>
      <c r="AR52" s="165"/>
      <c r="AS52" s="103"/>
      <c r="AU52" s="91"/>
      <c r="AV52" s="52" t="str">
        <f>T.KOTARAYA!B51</f>
        <v>a. Pengelolaan K3, Keamanan dan Lingkungan Hidup</v>
      </c>
      <c r="AW52" s="441"/>
      <c r="AX52" s="288"/>
      <c r="AY52" s="53" t="str">
        <f>IF(BB52="N/A",0,T.KOTARAYA!F51)</f>
        <v>Max-8</v>
      </c>
      <c r="AZ52" s="90"/>
      <c r="BA52" s="90"/>
      <c r="BB52" s="90"/>
      <c r="BC52" s="165"/>
      <c r="BD52" s="103"/>
    </row>
    <row r="53" spans="2:56" s="12" customFormat="1" ht="33">
      <c r="B53" s="183"/>
      <c r="C53" s="653"/>
      <c r="D53" s="52" t="str">
        <f>T.TOLIS!B52</f>
        <v>b. Maturity Level Implementasi Sistem Manajemen Anti Penyuapan (SMAP)</v>
      </c>
      <c r="E53" s="441"/>
      <c r="F53" s="61"/>
      <c r="G53" s="53" t="str">
        <f>IF(J53="N/A",0,T.TOLIS!F52)</f>
        <v>Max-4</v>
      </c>
      <c r="H53" s="90"/>
      <c r="I53" s="90"/>
      <c r="J53" s="90"/>
      <c r="K53" s="165"/>
      <c r="L53" s="103"/>
      <c r="M53" s="157"/>
      <c r="N53" s="91"/>
      <c r="O53" s="52" t="str">
        <f>T.LEOK!B52</f>
        <v>b. Maturity Level Implementasi Sistem Manajemen Anti Penyuapan (SMAP)</v>
      </c>
      <c r="P53" s="441"/>
      <c r="Q53" s="61"/>
      <c r="R53" s="53" t="str">
        <f>IF(U53="N/A",0,T.LEOK!F52)</f>
        <v>Max-4</v>
      </c>
      <c r="S53" s="90"/>
      <c r="T53" s="90"/>
      <c r="U53" s="90"/>
      <c r="V53" s="165"/>
      <c r="W53" s="103"/>
      <c r="Y53" s="91"/>
      <c r="Z53" s="52" t="str">
        <f>T.BANGKIR!B52</f>
        <v>b. Maturity Level Implementasi Sistem Manajemen Anti Penyuapan (SMAP)</v>
      </c>
      <c r="AA53" s="441"/>
      <c r="AB53" s="61"/>
      <c r="AC53" s="53" t="str">
        <f>IF(AF53="N/A",0,T.BANGKIR!F52)</f>
        <v>Max-4</v>
      </c>
      <c r="AD53" s="90"/>
      <c r="AE53" s="90"/>
      <c r="AF53" s="90"/>
      <c r="AG53" s="165"/>
      <c r="AH53" s="103"/>
      <c r="AI53" s="274"/>
      <c r="AJ53" s="91"/>
      <c r="AK53" s="52" t="str">
        <f>T.MOUTONG!B52</f>
        <v>b. Maturity Level Implementasi Sistem Manajemen Anti Penyuapan (SMAP)</v>
      </c>
      <c r="AL53" s="441"/>
      <c r="AM53" s="61"/>
      <c r="AN53" s="53" t="str">
        <f>IF(AQ53="N/A",0,T.MOUTONG!F52)</f>
        <v>Max-4</v>
      </c>
      <c r="AO53" s="90"/>
      <c r="AP53" s="90"/>
      <c r="AQ53" s="90"/>
      <c r="AR53" s="165"/>
      <c r="AS53" s="103"/>
      <c r="AU53" s="91"/>
      <c r="AV53" s="52" t="str">
        <f>T.KOTARAYA!B52</f>
        <v>b. Maturity Level Implementasi Sistem Manajemen Anti Penyuapan (SMAP)</v>
      </c>
      <c r="AW53" s="441"/>
      <c r="AX53" s="288"/>
      <c r="AY53" s="53" t="str">
        <f>IF(BB53="N/A",0,T.KOTARAYA!F52)</f>
        <v>Max-4</v>
      </c>
      <c r="AZ53" s="90"/>
      <c r="BA53" s="90"/>
      <c r="BB53" s="90"/>
      <c r="BC53" s="165"/>
      <c r="BD53" s="103"/>
    </row>
    <row r="54" spans="2:56" s="12" customFormat="1" ht="33">
      <c r="B54" s="183"/>
      <c r="C54" s="51"/>
      <c r="D54" s="52" t="str">
        <f>T.TOLIS!B53</f>
        <v>c. Ketepatan penyampaian pelaporan dan
Akurasi Data Kinerja</v>
      </c>
      <c r="E54" s="441"/>
      <c r="F54" s="61"/>
      <c r="G54" s="53" t="str">
        <f>IF(J54="N/A",0,T.TOLIS!F53)</f>
        <v>Max-10</v>
      </c>
      <c r="H54" s="90"/>
      <c r="I54" s="90"/>
      <c r="J54" s="90"/>
      <c r="K54" s="165"/>
      <c r="L54" s="103"/>
      <c r="M54" s="157"/>
      <c r="N54" s="91"/>
      <c r="O54" s="52" t="str">
        <f>T.LEOK!B53</f>
        <v>c. Ketepatan penyampaian pelaporan dan
Akurasi Data Kinerja</v>
      </c>
      <c r="P54" s="441"/>
      <c r="Q54" s="61"/>
      <c r="R54" s="53" t="str">
        <f>IF(U54="N/A",0,T.LEOK!F53)</f>
        <v>Max-10</v>
      </c>
      <c r="S54" s="90"/>
      <c r="T54" s="90"/>
      <c r="U54" s="90"/>
      <c r="V54" s="165"/>
      <c r="W54" s="103"/>
      <c r="Y54" s="91"/>
      <c r="Z54" s="52" t="str">
        <f>T.BANGKIR!B53</f>
        <v>c. Ketepatan penyampaian pelaporan dan
Akurasi Data Kinerja</v>
      </c>
      <c r="AA54" s="441"/>
      <c r="AB54" s="61"/>
      <c r="AC54" s="53" t="str">
        <f>IF(AF54="N/A",0,T.BANGKIR!F53)</f>
        <v>Max-10</v>
      </c>
      <c r="AD54" s="90"/>
      <c r="AE54" s="90"/>
      <c r="AF54" s="90"/>
      <c r="AG54" s="165"/>
      <c r="AH54" s="103"/>
      <c r="AI54" s="274"/>
      <c r="AJ54" s="91"/>
      <c r="AK54" s="52" t="str">
        <f>T.MOUTONG!B53</f>
        <v>c. Ketepatan penyampaian pelaporan dan
Akurasi Data Kinerja</v>
      </c>
      <c r="AL54" s="441"/>
      <c r="AM54" s="61"/>
      <c r="AN54" s="53" t="str">
        <f>IF(AQ54="N/A",0,T.MOUTONG!F53)</f>
        <v>Max-10</v>
      </c>
      <c r="AO54" s="90"/>
      <c r="AP54" s="90"/>
      <c r="AQ54" s="90"/>
      <c r="AR54" s="165"/>
      <c r="AS54" s="103"/>
      <c r="AU54" s="91"/>
      <c r="AV54" s="52" t="str">
        <f>T.KOTARAYA!B53</f>
        <v>c. Ketepatan penyampaian pelaporan dan
Akurasi Data Kinerja</v>
      </c>
      <c r="AW54" s="441"/>
      <c r="AX54" s="288"/>
      <c r="AY54" s="53" t="str">
        <f>IF(BB54="N/A",0,T.KOTARAYA!F53)</f>
        <v>Max-10</v>
      </c>
      <c r="AZ54" s="90"/>
      <c r="BA54" s="90"/>
      <c r="BB54" s="90"/>
      <c r="BC54" s="165"/>
      <c r="BD54" s="103"/>
    </row>
    <row r="55" spans="2:56" s="12" customFormat="1" ht="16.5">
      <c r="B55" s="183"/>
      <c r="C55" s="51"/>
      <c r="D55" s="52" t="str">
        <f>T.TOLIS!B54</f>
        <v>d. Tindak Lanjut Temuan Auditor</v>
      </c>
      <c r="E55" s="441"/>
      <c r="F55" s="61"/>
      <c r="G55" s="53" t="str">
        <f>IF(J55="N/A",0,T.TOLIS!F54)</f>
        <v>Max-5</v>
      </c>
      <c r="H55" s="90"/>
      <c r="I55" s="90"/>
      <c r="J55" s="90"/>
      <c r="K55" s="165"/>
      <c r="L55" s="103"/>
      <c r="M55" s="157"/>
      <c r="N55" s="91"/>
      <c r="O55" s="52" t="str">
        <f>T.LEOK!B54</f>
        <v>d. Tindak Lanjut Temuan Auditor</v>
      </c>
      <c r="P55" s="441"/>
      <c r="Q55" s="61"/>
      <c r="R55" s="53" t="str">
        <f>IF(U55="N/A",0,T.LEOK!F54)</f>
        <v>Max-5</v>
      </c>
      <c r="S55" s="90"/>
      <c r="T55" s="90"/>
      <c r="U55" s="90"/>
      <c r="V55" s="165"/>
      <c r="W55" s="103"/>
      <c r="Y55" s="91"/>
      <c r="Z55" s="52" t="str">
        <f>T.BANGKIR!B54</f>
        <v>d. Tindak Lanjut Temuan Auditor</v>
      </c>
      <c r="AA55" s="441"/>
      <c r="AB55" s="61"/>
      <c r="AC55" s="53" t="str">
        <f>IF(AF55="N/A",0,T.BANGKIR!F54)</f>
        <v>Max-5</v>
      </c>
      <c r="AD55" s="90"/>
      <c r="AE55" s="90"/>
      <c r="AF55" s="90"/>
      <c r="AG55" s="165"/>
      <c r="AH55" s="103"/>
      <c r="AI55" s="274"/>
      <c r="AJ55" s="91"/>
      <c r="AK55" s="52" t="str">
        <f>T.MOUTONG!B54</f>
        <v>d. Tindak Lanjut Temuan Auditor</v>
      </c>
      <c r="AL55" s="441"/>
      <c r="AM55" s="61"/>
      <c r="AN55" s="53" t="str">
        <f>IF(AQ55="N/A",0,T.MOUTONG!F54)</f>
        <v>Max-5</v>
      </c>
      <c r="AO55" s="90"/>
      <c r="AP55" s="90"/>
      <c r="AQ55" s="90"/>
      <c r="AR55" s="165"/>
      <c r="AS55" s="103"/>
      <c r="AU55" s="91"/>
      <c r="AV55" s="52" t="str">
        <f>T.KOTARAYA!B54</f>
        <v>d. Tindak Lanjut Temuan Auditor</v>
      </c>
      <c r="AW55" s="441"/>
      <c r="AX55" s="288"/>
      <c r="AY55" s="53" t="str">
        <f>IF(BB55="N/A",0,T.KOTARAYA!F54)</f>
        <v>Max-5</v>
      </c>
      <c r="AZ55" s="90"/>
      <c r="BA55" s="90"/>
      <c r="BB55" s="90"/>
      <c r="BC55" s="165"/>
      <c r="BD55" s="103"/>
    </row>
    <row r="56" spans="2:56" s="12" customFormat="1" ht="33">
      <c r="B56" s="183"/>
      <c r="C56" s="51"/>
      <c r="D56" s="52" t="str">
        <f>T.TOLIS!B55</f>
        <v>e. Pencapaian Beyond RKAP</v>
      </c>
      <c r="E56" s="441"/>
      <c r="F56" s="61"/>
      <c r="G56" s="53" t="str">
        <f>IF(J56="N/A",0,T.TOLIS!F55)</f>
        <v>Max-2
Max+2</v>
      </c>
      <c r="H56" s="90"/>
      <c r="I56" s="90"/>
      <c r="J56" s="90"/>
      <c r="K56" s="96"/>
      <c r="L56" s="103"/>
      <c r="M56" s="159"/>
      <c r="N56" s="91"/>
      <c r="O56" s="52" t="str">
        <f>T.LEOK!B55</f>
        <v>e. Pencapaian Beyond RKAP</v>
      </c>
      <c r="P56" s="441"/>
      <c r="Q56" s="61"/>
      <c r="R56" s="53" t="str">
        <f>IF(U56="N/A",0,T.LEOK!F55)</f>
        <v>Max-2
Max+2</v>
      </c>
      <c r="S56" s="90"/>
      <c r="T56" s="90"/>
      <c r="U56" s="90"/>
      <c r="V56" s="96"/>
      <c r="W56" s="103"/>
      <c r="Y56" s="91"/>
      <c r="Z56" s="52" t="str">
        <f>T.BANGKIR!B55</f>
        <v>e. Pencapaian Beyond RKAP</v>
      </c>
      <c r="AA56" s="441"/>
      <c r="AB56" s="61"/>
      <c r="AC56" s="53" t="str">
        <f>IF(AF56="N/A",0,T.BANGKIR!F55)</f>
        <v>Max-2
Max+2</v>
      </c>
      <c r="AD56" s="91"/>
      <c r="AE56" s="91"/>
      <c r="AF56" s="90"/>
      <c r="AG56" s="96"/>
      <c r="AH56" s="103"/>
      <c r="AJ56" s="91"/>
      <c r="AK56" s="52" t="str">
        <f>T.MOUTONG!B55</f>
        <v>e. Pencapaian Beyond RKAP</v>
      </c>
      <c r="AL56" s="441"/>
      <c r="AM56" s="61"/>
      <c r="AN56" s="53" t="str">
        <f>IF(AQ56="N/A",0,T.MOUTONG!F55)</f>
        <v>Max-2
Max+2</v>
      </c>
      <c r="AO56" s="91"/>
      <c r="AP56" s="91"/>
      <c r="AQ56" s="90"/>
      <c r="AR56" s="96"/>
      <c r="AS56" s="103"/>
      <c r="AU56" s="91"/>
      <c r="AV56" s="52" t="str">
        <f>T.KOTARAYA!B55</f>
        <v>e. Pencapaian Beyond RKAP</v>
      </c>
      <c r="AW56" s="441"/>
      <c r="AX56" s="288"/>
      <c r="AY56" s="53" t="str">
        <f>IF(BB56="N/A",0,T.KOTARAYA!F55)</f>
        <v>Max-2
Max+2</v>
      </c>
      <c r="AZ56" s="91"/>
      <c r="BA56" s="91"/>
      <c r="BB56" s="90"/>
      <c r="BC56" s="96"/>
      <c r="BD56" s="103"/>
    </row>
    <row r="57" spans="2:56" s="12" customFormat="1" ht="24.6" customHeight="1">
      <c r="B57" s="183"/>
      <c r="C57" s="54"/>
      <c r="D57" s="56" t="s">
        <v>104</v>
      </c>
      <c r="E57" s="463"/>
      <c r="F57" s="129"/>
      <c r="G57" s="57">
        <f>G9+G19</f>
        <v>100</v>
      </c>
      <c r="H57" s="57"/>
      <c r="I57" s="57"/>
      <c r="J57" s="57"/>
      <c r="K57" s="57"/>
      <c r="L57" s="130">
        <f>L9+L19</f>
        <v>99.36</v>
      </c>
      <c r="M57" s="14"/>
      <c r="N57" s="54"/>
      <c r="O57" s="56" t="s">
        <v>104</v>
      </c>
      <c r="P57" s="463"/>
      <c r="Q57" s="129"/>
      <c r="R57" s="57">
        <f>R9+R19</f>
        <v>100</v>
      </c>
      <c r="S57" s="57"/>
      <c r="T57" s="57"/>
      <c r="U57" s="57"/>
      <c r="V57" s="57"/>
      <c r="W57" s="130">
        <f>W9+W19</f>
        <v>99.740000000000009</v>
      </c>
      <c r="X57" s="14"/>
      <c r="Y57" s="54"/>
      <c r="Z57" s="56" t="s">
        <v>104</v>
      </c>
      <c r="AA57" s="463"/>
      <c r="AB57" s="129"/>
      <c r="AC57" s="57">
        <f>AC9+AC19</f>
        <v>100</v>
      </c>
      <c r="AD57" s="57"/>
      <c r="AE57" s="57"/>
      <c r="AF57" s="57"/>
      <c r="AG57" s="57"/>
      <c r="AH57" s="130">
        <f>AH9+AH19</f>
        <v>105.32999999999998</v>
      </c>
      <c r="AI57" s="1"/>
      <c r="AJ57" s="54"/>
      <c r="AK57" s="56" t="s">
        <v>104</v>
      </c>
      <c r="AL57" s="463"/>
      <c r="AM57" s="129"/>
      <c r="AN57" s="57">
        <f>AN9+AN19</f>
        <v>100</v>
      </c>
      <c r="AO57" s="57"/>
      <c r="AP57" s="57"/>
      <c r="AQ57" s="57"/>
      <c r="AR57" s="57"/>
      <c r="AS57" s="130">
        <f>AS9+AS19</f>
        <v>100.84</v>
      </c>
      <c r="AT57" s="1"/>
      <c r="AU57" s="54"/>
      <c r="AV57" s="56" t="s">
        <v>104</v>
      </c>
      <c r="AW57" s="463"/>
      <c r="AX57" s="129"/>
      <c r="AY57" s="57">
        <f>AY9+AY19</f>
        <v>100</v>
      </c>
      <c r="AZ57" s="57"/>
      <c r="BA57" s="57"/>
      <c r="BB57" s="57"/>
      <c r="BC57" s="57"/>
      <c r="BD57" s="130">
        <f>BD9+BD19</f>
        <v>103.59</v>
      </c>
    </row>
    <row r="58" spans="2:56" ht="16.5">
      <c r="C58" s="58"/>
      <c r="D58" s="59" t="s">
        <v>270</v>
      </c>
      <c r="E58" s="464"/>
      <c r="F58" s="153"/>
      <c r="G58" s="60">
        <v>100</v>
      </c>
      <c r="H58" s="60"/>
      <c r="I58" s="60"/>
      <c r="J58" s="60"/>
      <c r="K58" s="60"/>
      <c r="L58" s="154">
        <f>G58/G57*L57</f>
        <v>99.36</v>
      </c>
      <c r="M58" s="14"/>
      <c r="N58" s="58"/>
      <c r="O58" s="59" t="s">
        <v>270</v>
      </c>
      <c r="P58" s="464"/>
      <c r="Q58" s="153"/>
      <c r="R58" s="60">
        <v>100</v>
      </c>
      <c r="S58" s="60"/>
      <c r="T58" s="60"/>
      <c r="U58" s="60"/>
      <c r="V58" s="60"/>
      <c r="W58" s="154">
        <f>R58/R57*W57</f>
        <v>99.740000000000009</v>
      </c>
      <c r="X58" s="14"/>
      <c r="Y58" s="58"/>
      <c r="Z58" s="59" t="s">
        <v>270</v>
      </c>
      <c r="AA58" s="464"/>
      <c r="AB58" s="153"/>
      <c r="AC58" s="60">
        <v>100</v>
      </c>
      <c r="AD58" s="60"/>
      <c r="AE58" s="60"/>
      <c r="AF58" s="60"/>
      <c r="AG58" s="60"/>
      <c r="AH58" s="154">
        <f>AC58/AC57*AH57</f>
        <v>105.32999999999998</v>
      </c>
      <c r="AJ58" s="58"/>
      <c r="AK58" s="59" t="s">
        <v>270</v>
      </c>
      <c r="AL58" s="464"/>
      <c r="AM58" s="153"/>
      <c r="AN58" s="60">
        <v>100</v>
      </c>
      <c r="AO58" s="60"/>
      <c r="AP58" s="60"/>
      <c r="AQ58" s="60"/>
      <c r="AR58" s="60"/>
      <c r="AS58" s="154">
        <f>AN58/AN57*AS57</f>
        <v>100.84</v>
      </c>
      <c r="AU58" s="58"/>
      <c r="AV58" s="59" t="s">
        <v>270</v>
      </c>
      <c r="AW58" s="464"/>
      <c r="AX58" s="153"/>
      <c r="AY58" s="60">
        <v>100</v>
      </c>
      <c r="AZ58" s="60"/>
      <c r="BA58" s="60"/>
      <c r="BB58" s="60"/>
      <c r="BC58" s="60"/>
      <c r="BD58" s="154">
        <f>AY58/AY57*BD57</f>
        <v>103.59</v>
      </c>
    </row>
    <row r="59" spans="2:56">
      <c r="D59" s="7"/>
      <c r="E59" s="459"/>
      <c r="L59" s="158"/>
      <c r="M59" s="15"/>
      <c r="O59" s="7"/>
      <c r="P59" s="459"/>
      <c r="W59" s="158"/>
      <c r="X59" s="15"/>
      <c r="Y59" s="7"/>
      <c r="Z59" s="7"/>
      <c r="AA59" s="459"/>
      <c r="AB59" s="7"/>
      <c r="AC59" s="7"/>
      <c r="AD59" s="7"/>
      <c r="AE59" s="7"/>
      <c r="AF59" s="7"/>
      <c r="AG59" s="7"/>
      <c r="AH59" s="158"/>
      <c r="AJ59" s="7"/>
      <c r="AK59" s="7"/>
      <c r="AL59" s="459"/>
      <c r="AM59" s="7"/>
      <c r="AN59" s="7"/>
      <c r="AO59" s="7"/>
      <c r="AP59" s="7"/>
      <c r="AQ59" s="7"/>
      <c r="AS59" s="158"/>
      <c r="BD59" s="158"/>
    </row>
    <row r="60" spans="2:56">
      <c r="D60" s="105"/>
      <c r="E60" s="105"/>
      <c r="F60" s="105"/>
      <c r="G60" s="105"/>
      <c r="H60" s="105"/>
      <c r="I60" s="105"/>
      <c r="J60" s="105"/>
      <c r="K60" s="105"/>
      <c r="L60" s="105"/>
      <c r="M60" s="15"/>
      <c r="N60" s="669"/>
      <c r="O60" s="669"/>
      <c r="P60" s="669"/>
      <c r="Q60" s="669"/>
      <c r="R60" s="669"/>
      <c r="S60" s="669"/>
      <c r="T60" s="669"/>
      <c r="U60" s="669"/>
      <c r="V60" s="669"/>
      <c r="W60" s="669"/>
      <c r="X60" s="15"/>
      <c r="Y60" s="669"/>
      <c r="Z60" s="669"/>
      <c r="AA60" s="669"/>
      <c r="AB60" s="669"/>
      <c r="AC60" s="669"/>
      <c r="AD60" s="669"/>
      <c r="AE60" s="669"/>
      <c r="AF60" s="669"/>
      <c r="AG60" s="669"/>
      <c r="AH60" s="669"/>
      <c r="AJ60" s="669"/>
      <c r="AK60" s="669"/>
      <c r="AL60" s="669"/>
      <c r="AM60" s="669"/>
      <c r="AN60" s="669"/>
      <c r="AO60" s="669"/>
      <c r="AP60" s="669"/>
      <c r="AQ60" s="669"/>
      <c r="AR60" s="669"/>
      <c r="AS60" s="669"/>
      <c r="AU60" s="669"/>
      <c r="AV60" s="669"/>
      <c r="AW60" s="669"/>
      <c r="AX60" s="669"/>
      <c r="AY60" s="669"/>
      <c r="AZ60" s="669"/>
      <c r="BA60" s="669"/>
      <c r="BB60" s="669"/>
      <c r="BC60" s="669"/>
      <c r="BD60" s="669"/>
    </row>
    <row r="61" spans="2:56">
      <c r="C61" s="105"/>
      <c r="D61" s="7"/>
      <c r="E61" s="459"/>
      <c r="M61" s="15"/>
      <c r="O61" s="7"/>
      <c r="P61" s="459"/>
      <c r="X61" s="15"/>
      <c r="Y61" s="7"/>
      <c r="Z61" s="7"/>
      <c r="AA61" s="459"/>
      <c r="AB61" s="7"/>
      <c r="AC61" s="7"/>
      <c r="AD61" s="7"/>
      <c r="AE61" s="7"/>
      <c r="AF61" s="7"/>
      <c r="AG61" s="7"/>
      <c r="AH61" s="7"/>
      <c r="AJ61" s="7"/>
      <c r="AK61" s="7"/>
      <c r="AL61" s="459"/>
      <c r="AM61" s="7"/>
      <c r="AN61" s="7"/>
      <c r="AO61" s="7"/>
      <c r="AP61" s="7"/>
      <c r="AQ61" s="7"/>
      <c r="AS61" s="7"/>
    </row>
    <row r="62" spans="2:56">
      <c r="D62" s="7"/>
      <c r="E62" s="459"/>
      <c r="M62" s="15"/>
      <c r="O62" s="7"/>
      <c r="P62" s="459"/>
      <c r="X62" s="15"/>
      <c r="Y62" s="7"/>
      <c r="Z62" s="7"/>
      <c r="AA62" s="459"/>
      <c r="AB62" s="7"/>
      <c r="AC62" s="7"/>
      <c r="AD62" s="7"/>
      <c r="AE62" s="7"/>
      <c r="AF62" s="7"/>
      <c r="AG62" s="7"/>
      <c r="AH62" s="7"/>
      <c r="AJ62" s="7"/>
      <c r="AK62" s="7"/>
      <c r="AL62" s="459"/>
      <c r="AM62" s="7"/>
      <c r="AN62" s="7"/>
      <c r="AO62" s="7"/>
      <c r="AP62" s="7"/>
      <c r="AQ62" s="7"/>
      <c r="AS62" s="7"/>
    </row>
    <row r="63" spans="2:56">
      <c r="D63" s="7"/>
      <c r="E63" s="459"/>
      <c r="K63" s="264"/>
      <c r="M63" s="15"/>
      <c r="O63" s="7"/>
      <c r="P63" s="459"/>
      <c r="X63" s="15"/>
      <c r="Y63" s="7"/>
      <c r="Z63" s="7"/>
      <c r="AA63" s="459"/>
      <c r="AB63" s="7"/>
      <c r="AC63" s="7"/>
      <c r="AD63" s="7"/>
      <c r="AE63" s="7"/>
      <c r="AF63" s="7"/>
      <c r="AG63" s="7"/>
      <c r="AH63" s="7"/>
      <c r="AJ63" s="7"/>
      <c r="AK63" s="7"/>
      <c r="AL63" s="459"/>
      <c r="AM63" s="7"/>
      <c r="AN63" s="7"/>
      <c r="AO63" s="7"/>
      <c r="AP63" s="7"/>
      <c r="AQ63" s="7"/>
      <c r="AS63" s="7"/>
    </row>
    <row r="64" spans="2:56">
      <c r="D64" s="7"/>
      <c r="E64" s="459"/>
      <c r="M64" s="15"/>
      <c r="O64" s="7"/>
      <c r="P64" s="459"/>
      <c r="X64" s="15"/>
      <c r="Y64" s="7"/>
      <c r="Z64" s="7"/>
      <c r="AA64" s="459"/>
      <c r="AB64" s="7"/>
      <c r="AC64" s="7"/>
      <c r="AD64" s="7"/>
      <c r="AE64" s="7"/>
      <c r="AF64" s="7"/>
      <c r="AG64" s="7"/>
      <c r="AH64" s="7"/>
      <c r="AJ64" s="7"/>
      <c r="AK64" s="7"/>
      <c r="AL64" s="459"/>
      <c r="AM64" s="7"/>
      <c r="AN64" s="7"/>
      <c r="AO64" s="7"/>
      <c r="AP64" s="7"/>
      <c r="AQ64" s="7"/>
      <c r="AS64" s="7"/>
    </row>
    <row r="65" spans="1:45">
      <c r="D65" s="7"/>
      <c r="E65" s="459"/>
      <c r="M65" s="15"/>
      <c r="O65" s="7"/>
      <c r="P65" s="459"/>
      <c r="X65" s="15"/>
      <c r="Y65" s="7"/>
      <c r="Z65" s="7"/>
      <c r="AA65" s="459"/>
      <c r="AB65" s="7"/>
      <c r="AC65" s="7"/>
      <c r="AD65" s="7"/>
      <c r="AE65" s="7"/>
      <c r="AF65" s="7"/>
      <c r="AG65" s="7"/>
      <c r="AH65" s="7"/>
      <c r="AJ65" s="7"/>
      <c r="AK65" s="7"/>
      <c r="AL65" s="459"/>
      <c r="AM65" s="7"/>
      <c r="AN65" s="7"/>
      <c r="AO65" s="7"/>
      <c r="AP65" s="7"/>
      <c r="AQ65" s="7"/>
      <c r="AS65" s="7"/>
    </row>
    <row r="66" spans="1:45">
      <c r="D66" s="7"/>
      <c r="E66" s="459"/>
      <c r="M66" s="15"/>
      <c r="O66" s="7"/>
      <c r="P66" s="459"/>
      <c r="X66" s="15"/>
      <c r="Y66" s="7"/>
      <c r="Z66" s="7"/>
      <c r="AA66" s="459"/>
      <c r="AB66" s="7"/>
      <c r="AC66" s="7"/>
      <c r="AD66" s="7"/>
      <c r="AE66" s="7"/>
      <c r="AF66" s="7"/>
      <c r="AG66" s="7"/>
      <c r="AH66" s="7"/>
      <c r="AJ66" s="7"/>
      <c r="AK66" s="7"/>
      <c r="AL66" s="459"/>
      <c r="AM66" s="7"/>
      <c r="AN66" s="7"/>
      <c r="AO66" s="7"/>
      <c r="AP66" s="7"/>
      <c r="AQ66" s="7"/>
      <c r="AS66" s="7"/>
    </row>
    <row r="67" spans="1:45">
      <c r="D67" s="7"/>
      <c r="E67" s="459"/>
      <c r="M67" s="15"/>
      <c r="O67" s="7"/>
      <c r="P67" s="459"/>
      <c r="X67" s="15"/>
      <c r="Y67" s="7"/>
      <c r="Z67" s="7"/>
      <c r="AA67" s="459"/>
      <c r="AB67" s="7"/>
      <c r="AC67" s="7"/>
      <c r="AD67" s="7"/>
      <c r="AE67" s="7"/>
      <c r="AF67" s="7"/>
      <c r="AG67" s="7"/>
      <c r="AH67" s="7"/>
      <c r="AJ67" s="7"/>
      <c r="AK67" s="7"/>
      <c r="AL67" s="459"/>
      <c r="AM67" s="7"/>
      <c r="AN67" s="7"/>
      <c r="AO67" s="7"/>
      <c r="AP67" s="7"/>
      <c r="AQ67" s="7"/>
      <c r="AS67" s="7"/>
    </row>
    <row r="68" spans="1:45">
      <c r="D68" s="7"/>
      <c r="E68" s="459"/>
      <c r="M68" s="15"/>
      <c r="O68" s="7"/>
      <c r="P68" s="459"/>
      <c r="X68" s="15"/>
      <c r="Y68" s="7"/>
      <c r="Z68" s="7"/>
      <c r="AA68" s="459"/>
      <c r="AB68" s="7"/>
      <c r="AC68" s="7"/>
      <c r="AD68" s="7"/>
      <c r="AE68" s="7"/>
      <c r="AF68" s="7"/>
      <c r="AG68" s="7"/>
      <c r="AH68" s="7"/>
      <c r="AJ68" s="7"/>
      <c r="AK68" s="7"/>
      <c r="AL68" s="459"/>
      <c r="AM68" s="7"/>
      <c r="AN68" s="7"/>
      <c r="AO68" s="7"/>
      <c r="AP68" s="7"/>
      <c r="AQ68" s="7"/>
      <c r="AS68" s="7"/>
    </row>
    <row r="69" spans="1:45">
      <c r="D69" s="7"/>
      <c r="E69" s="459"/>
      <c r="M69" s="15"/>
      <c r="O69" s="7"/>
      <c r="P69" s="459"/>
      <c r="X69" s="15"/>
      <c r="Y69" s="7"/>
      <c r="Z69" s="7"/>
      <c r="AA69" s="459"/>
      <c r="AB69" s="7"/>
      <c r="AC69" s="7"/>
      <c r="AD69" s="7"/>
      <c r="AE69" s="7"/>
      <c r="AF69" s="7"/>
      <c r="AG69" s="7"/>
      <c r="AH69" s="7"/>
      <c r="AJ69" s="7"/>
      <c r="AK69" s="7"/>
      <c r="AL69" s="459"/>
      <c r="AM69" s="7"/>
      <c r="AN69" s="7"/>
      <c r="AO69" s="7"/>
      <c r="AP69" s="7"/>
      <c r="AQ69" s="7"/>
      <c r="AS69" s="7"/>
    </row>
    <row r="70" spans="1:45">
      <c r="D70" s="7"/>
      <c r="E70" s="459"/>
      <c r="M70" s="15"/>
      <c r="O70" s="7"/>
      <c r="P70" s="459"/>
      <c r="X70" s="15"/>
      <c r="Y70" s="7"/>
      <c r="Z70" s="7"/>
      <c r="AA70" s="459"/>
      <c r="AB70" s="7"/>
      <c r="AC70" s="7"/>
      <c r="AD70" s="7"/>
      <c r="AE70" s="7"/>
      <c r="AF70" s="7"/>
      <c r="AG70" s="7"/>
      <c r="AH70" s="7"/>
      <c r="AJ70" s="7"/>
      <c r="AK70" s="7"/>
      <c r="AL70" s="459"/>
      <c r="AM70" s="7"/>
      <c r="AN70" s="7"/>
      <c r="AO70" s="7"/>
      <c r="AP70" s="7"/>
      <c r="AQ70" s="7"/>
      <c r="AS70" s="7"/>
    </row>
    <row r="71" spans="1:45">
      <c r="D71" s="7"/>
      <c r="E71" s="459"/>
      <c r="M71" s="15"/>
      <c r="O71" s="7"/>
      <c r="P71" s="459"/>
      <c r="X71" s="15"/>
      <c r="Y71" s="7"/>
      <c r="Z71" s="7"/>
      <c r="AA71" s="459"/>
      <c r="AB71" s="7"/>
      <c r="AC71" s="7"/>
      <c r="AD71" s="7"/>
      <c r="AE71" s="7"/>
      <c r="AF71" s="7"/>
      <c r="AG71" s="7"/>
      <c r="AH71" s="7"/>
      <c r="AJ71" s="7"/>
      <c r="AK71" s="7"/>
      <c r="AL71" s="459"/>
      <c r="AM71" s="7"/>
      <c r="AN71" s="7"/>
      <c r="AO71" s="7"/>
      <c r="AP71" s="7"/>
      <c r="AQ71" s="7"/>
      <c r="AS71" s="7"/>
    </row>
    <row r="72" spans="1:45">
      <c r="D72" s="7"/>
      <c r="E72" s="459"/>
      <c r="M72" s="15"/>
      <c r="O72" s="7"/>
      <c r="P72" s="459"/>
      <c r="X72" s="15"/>
      <c r="Y72" s="7"/>
      <c r="Z72" s="7"/>
      <c r="AA72" s="459"/>
      <c r="AB72" s="7"/>
      <c r="AC72" s="7"/>
      <c r="AD72" s="7"/>
      <c r="AE72" s="7"/>
      <c r="AF72" s="7"/>
      <c r="AG72" s="7"/>
      <c r="AH72" s="7"/>
      <c r="AJ72" s="7"/>
      <c r="AK72" s="7"/>
      <c r="AL72" s="459"/>
      <c r="AM72" s="7"/>
      <c r="AN72" s="7"/>
      <c r="AO72" s="7"/>
      <c r="AP72" s="7"/>
      <c r="AQ72" s="7"/>
      <c r="AS72" s="7"/>
    </row>
    <row r="73" spans="1:45" ht="16.5">
      <c r="K73" s="87"/>
      <c r="L73" s="87"/>
      <c r="M73" s="13"/>
      <c r="U73" s="13"/>
      <c r="V73" s="1"/>
      <c r="W73" s="1"/>
      <c r="AO73" s="7"/>
      <c r="AR73" s="1"/>
    </row>
    <row r="74" spans="1:45">
      <c r="A74" s="1" t="s">
        <v>256</v>
      </c>
      <c r="K74" s="604" t="s">
        <v>94</v>
      </c>
      <c r="L74" s="16" t="s">
        <v>156</v>
      </c>
      <c r="M74" s="15"/>
      <c r="U74" s="15"/>
      <c r="V74" s="1"/>
      <c r="W74" s="1"/>
      <c r="AO74" s="7"/>
      <c r="AR74" s="1"/>
    </row>
    <row r="75" spans="1:45">
      <c r="K75" s="604" t="s">
        <v>95</v>
      </c>
      <c r="L75" s="16" t="s">
        <v>158</v>
      </c>
      <c r="M75" s="13"/>
      <c r="U75" s="13"/>
      <c r="V75" s="1"/>
      <c r="W75" s="1"/>
      <c r="AO75" s="7"/>
      <c r="AR75" s="1"/>
    </row>
    <row r="76" spans="1:45">
      <c r="K76" s="604" t="s">
        <v>96</v>
      </c>
      <c r="L76" s="16" t="s">
        <v>159</v>
      </c>
      <c r="M76" s="13"/>
      <c r="U76" s="13"/>
      <c r="V76" s="1"/>
      <c r="W76" s="1"/>
      <c r="AO76" s="7"/>
      <c r="AR76" s="1"/>
    </row>
    <row r="77" spans="1:45">
      <c r="K77" s="604" t="s">
        <v>97</v>
      </c>
      <c r="L77" s="16" t="s">
        <v>160</v>
      </c>
      <c r="M77" s="13"/>
      <c r="U77" s="13"/>
      <c r="V77" s="1"/>
      <c r="W77" s="1"/>
      <c r="AO77" s="7"/>
      <c r="AR77" s="1"/>
    </row>
    <row r="78" spans="1:45">
      <c r="K78" s="604" t="s">
        <v>98</v>
      </c>
      <c r="L78" s="16" t="s">
        <v>161</v>
      </c>
      <c r="U78" s="1"/>
      <c r="V78" s="1"/>
      <c r="W78" s="1"/>
      <c r="AO78" s="7"/>
      <c r="AR78" s="1"/>
    </row>
    <row r="79" spans="1:45">
      <c r="K79" s="604" t="s">
        <v>153</v>
      </c>
      <c r="L79" s="16" t="s">
        <v>162</v>
      </c>
      <c r="U79" s="1"/>
      <c r="V79" s="1"/>
      <c r="W79" s="1"/>
      <c r="AO79" s="7"/>
      <c r="AR79" s="1"/>
    </row>
    <row r="80" spans="1:45">
      <c r="K80" s="604" t="s">
        <v>163</v>
      </c>
      <c r="L80" s="16" t="s">
        <v>164</v>
      </c>
      <c r="U80" s="1"/>
      <c r="V80" s="1"/>
      <c r="W80" s="1"/>
      <c r="AO80" s="7"/>
      <c r="AR80" s="1"/>
    </row>
    <row r="81" spans="11:44">
      <c r="K81" s="604" t="s">
        <v>165</v>
      </c>
      <c r="L81" s="16" t="s">
        <v>166</v>
      </c>
      <c r="U81" s="1"/>
      <c r="V81" s="1"/>
      <c r="W81" s="1"/>
      <c r="AO81" s="7"/>
      <c r="AR81" s="1"/>
    </row>
    <row r="82" spans="11:44">
      <c r="K82" s="604" t="s">
        <v>167</v>
      </c>
      <c r="L82" s="16" t="s">
        <v>168</v>
      </c>
      <c r="U82" s="1"/>
      <c r="V82" s="1"/>
      <c r="W82" s="1"/>
      <c r="AO82" s="7"/>
      <c r="AR82" s="1"/>
    </row>
    <row r="83" spans="11:44">
      <c r="K83" s="604" t="s">
        <v>169</v>
      </c>
      <c r="L83" s="16" t="s">
        <v>170</v>
      </c>
      <c r="U83" s="1"/>
      <c r="V83" s="1"/>
      <c r="W83" s="1"/>
      <c r="AO83" s="7"/>
      <c r="AR83" s="1"/>
    </row>
    <row r="84" spans="11:44">
      <c r="K84" s="604" t="s">
        <v>171</v>
      </c>
      <c r="L84" s="16" t="s">
        <v>172</v>
      </c>
      <c r="U84" s="1"/>
      <c r="V84" s="1"/>
      <c r="W84" s="1"/>
      <c r="AO84" s="7"/>
      <c r="AR84" s="1"/>
    </row>
    <row r="85" spans="11:44">
      <c r="K85" s="604" t="s">
        <v>174</v>
      </c>
      <c r="L85" s="16" t="s">
        <v>175</v>
      </c>
      <c r="U85" s="1"/>
      <c r="V85" s="1"/>
      <c r="W85" s="1"/>
      <c r="AO85" s="7"/>
      <c r="AR85" s="1"/>
    </row>
    <row r="86" spans="11:44">
      <c r="K86" s="13"/>
      <c r="L86" s="13"/>
      <c r="U86" s="1"/>
      <c r="V86" s="1"/>
      <c r="W86" s="1"/>
      <c r="AO86" s="7"/>
      <c r="AR86" s="1"/>
    </row>
    <row r="87" spans="11:44">
      <c r="U87" s="1"/>
      <c r="V87" s="1"/>
      <c r="W87" s="1"/>
      <c r="AO87" s="7"/>
      <c r="AR87" s="1"/>
    </row>
    <row r="88" spans="11:44">
      <c r="U88" s="1"/>
      <c r="V88" s="1"/>
      <c r="W88" s="1"/>
      <c r="AO88" s="7"/>
      <c r="AR88" s="1"/>
    </row>
    <row r="89" spans="11:44">
      <c r="U89" s="1"/>
      <c r="V89" s="1"/>
      <c r="W89" s="1"/>
      <c r="AO89" s="7"/>
      <c r="AR89" s="1"/>
    </row>
    <row r="90" spans="11:44">
      <c r="K90" s="27"/>
      <c r="U90" s="1"/>
      <c r="V90" s="1"/>
      <c r="W90" s="1"/>
      <c r="AO90" s="7"/>
      <c r="AR90" s="1"/>
    </row>
  </sheetData>
  <sheetProtection autoFilter="0"/>
  <mergeCells count="34">
    <mergeCell ref="AK6:AK7"/>
    <mergeCell ref="AV6:AV7"/>
    <mergeCell ref="AY6:AY7"/>
    <mergeCell ref="AZ6:AZ7"/>
    <mergeCell ref="AX6:AX7"/>
    <mergeCell ref="AM6:AM7"/>
    <mergeCell ref="AN6:AN7"/>
    <mergeCell ref="AB6:AB7"/>
    <mergeCell ref="AC6:AC7"/>
    <mergeCell ref="AD6:AD7"/>
    <mergeCell ref="AE6:AH6"/>
    <mergeCell ref="AJ6:AJ7"/>
    <mergeCell ref="I6:L6"/>
    <mergeCell ref="C6:C7"/>
    <mergeCell ref="D6:D7"/>
    <mergeCell ref="F6:F7"/>
    <mergeCell ref="G6:G7"/>
    <mergeCell ref="H6:H7"/>
    <mergeCell ref="N60:W60"/>
    <mergeCell ref="Y60:AH60"/>
    <mergeCell ref="AJ60:AS60"/>
    <mergeCell ref="AU60:BD60"/>
    <mergeCell ref="AO6:AO7"/>
    <mergeCell ref="AU6:AU7"/>
    <mergeCell ref="T6:W6"/>
    <mergeCell ref="N6:N7"/>
    <mergeCell ref="O6:O7"/>
    <mergeCell ref="Q6:Q7"/>
    <mergeCell ref="R6:R7"/>
    <mergeCell ref="S6:S7"/>
    <mergeCell ref="BA6:BD6"/>
    <mergeCell ref="AP6:AS6"/>
    <mergeCell ref="Y6:Y7"/>
    <mergeCell ref="Z6:Z7"/>
  </mergeCells>
  <conditionalFormatting sqref="E10:E18">
    <cfRule type="iconSet" priority="48226">
      <iconSet iconSet="3ArrowsGray" showValue="0">
        <cfvo type="percent" val="0"/>
        <cfvo type="num" val="2"/>
        <cfvo type="num" val="3"/>
      </iconSet>
    </cfRule>
  </conditionalFormatting>
  <conditionalFormatting sqref="E20:E56">
    <cfRule type="iconSet" priority="48189">
      <iconSet iconSet="3ArrowsGray" showValue="0">
        <cfvo type="percent" val="0"/>
        <cfvo type="num" val="2"/>
        <cfvo type="num" val="3"/>
      </iconSet>
    </cfRule>
  </conditionalFormatting>
  <conditionalFormatting sqref="E57">
    <cfRule type="iconSet" priority="16829">
      <iconSet iconSet="3ArrowsGray" showValue="0">
        <cfvo type="percent" val="0"/>
        <cfvo type="num" val="2"/>
        <cfvo type="num" val="3"/>
      </iconSet>
    </cfRule>
  </conditionalFormatting>
  <conditionalFormatting sqref="E58">
    <cfRule type="iconSet" priority="15677">
      <iconSet iconSet="3ArrowsGray" showValue="0">
        <cfvo type="percent" val="0"/>
        <cfvo type="num" val="2"/>
        <cfvo type="num" val="3"/>
      </iconSet>
    </cfRule>
  </conditionalFormatting>
  <conditionalFormatting sqref="F10:F18">
    <cfRule type="iconSet" priority="48228">
      <iconSet iconSet="3ArrowsGray" showValue="0">
        <cfvo type="percent" val="0"/>
        <cfvo type="num" val="2"/>
        <cfvo type="num" val="3"/>
      </iconSet>
    </cfRule>
  </conditionalFormatting>
  <conditionalFormatting sqref="F20:F56">
    <cfRule type="iconSet" priority="48190">
      <iconSet iconSet="3ArrowsGray" showValue="0">
        <cfvo type="percent" val="0"/>
        <cfvo type="num" val="2"/>
        <cfvo type="num" val="3"/>
      </iconSet>
    </cfRule>
  </conditionalFormatting>
  <conditionalFormatting sqref="F57">
    <cfRule type="iconSet" priority="16830">
      <iconSet iconSet="3ArrowsGray" showValue="0">
        <cfvo type="percent" val="0"/>
        <cfvo type="num" val="2"/>
        <cfvo type="num" val="3"/>
      </iconSet>
    </cfRule>
  </conditionalFormatting>
  <conditionalFormatting sqref="F58">
    <cfRule type="iconSet" priority="15678">
      <iconSet iconSet="3ArrowsGray" showValue="0">
        <cfvo type="percent" val="0"/>
        <cfvo type="num" val="2"/>
        <cfvo type="num" val="3"/>
      </iconSet>
    </cfRule>
  </conditionalFormatting>
  <conditionalFormatting sqref="K10">
    <cfRule type="iconSet" priority="7019">
      <iconSet>
        <cfvo type="percent" val="0"/>
        <cfvo type="num" val="70"/>
        <cfvo type="num" val="90"/>
      </iconSet>
    </cfRule>
    <cfRule type="iconSet" priority="7015">
      <iconSet>
        <cfvo type="percent" val="0"/>
        <cfvo type="num" val="95"/>
        <cfvo type="num" val="100"/>
      </iconSet>
    </cfRule>
    <cfRule type="iconSet" priority="7016">
      <iconSet>
        <cfvo type="percent" val="0"/>
        <cfvo type="num" val="95"/>
        <cfvo type="num" val="100"/>
      </iconSet>
    </cfRule>
    <cfRule type="iconSet" priority="7017">
      <iconSet>
        <cfvo type="percent" val="0"/>
        <cfvo type="num" val="95"/>
        <cfvo type="num" val="100"/>
      </iconSet>
    </cfRule>
    <cfRule type="iconSet" priority="7018">
      <iconSet>
        <cfvo type="percent" val="0"/>
        <cfvo type="num" val="70"/>
        <cfvo type="num" val="90"/>
      </iconSet>
    </cfRule>
    <cfRule type="iconSet" priority="7020">
      <iconSet>
        <cfvo type="percent" val="0"/>
        <cfvo type="num" val="95"/>
        <cfvo type="num" val="100"/>
      </iconSet>
    </cfRule>
    <cfRule type="iconSet" priority="7014">
      <iconSet>
        <cfvo type="percent" val="0"/>
        <cfvo type="num" val="70"/>
        <cfvo type="num" val="90"/>
      </iconSet>
    </cfRule>
    <cfRule type="iconSet" priority="7013">
      <iconSet>
        <cfvo type="percent" val="0"/>
        <cfvo type="num" val="70"/>
        <cfvo type="num" val="90"/>
      </iconSet>
    </cfRule>
    <cfRule type="iconSet" priority="7012">
      <iconSet>
        <cfvo type="percent" val="0"/>
        <cfvo type="num" val="95"/>
        <cfvo type="num" val="100"/>
      </iconSet>
    </cfRule>
  </conditionalFormatting>
  <conditionalFormatting sqref="K11">
    <cfRule type="iconSet" priority="2594">
      <iconSet>
        <cfvo type="percent" val="0"/>
        <cfvo type="num" val="70"/>
        <cfvo type="num" val="90"/>
      </iconSet>
    </cfRule>
    <cfRule type="iconSet" priority="2595">
      <iconSet>
        <cfvo type="percent" val="0"/>
        <cfvo type="num" val="95"/>
        <cfvo type="num" val="100"/>
      </iconSet>
    </cfRule>
    <cfRule type="iconSet" priority="2592">
      <iconSet>
        <cfvo type="percent" val="0"/>
        <cfvo type="num" val="95"/>
        <cfvo type="num" val="100"/>
      </iconSet>
    </cfRule>
    <cfRule type="iconSet" priority="2596">
      <iconSet>
        <cfvo type="percent" val="0"/>
        <cfvo type="num" val="95"/>
        <cfvo type="num" val="100"/>
      </iconSet>
    </cfRule>
    <cfRule type="iconSet" priority="2599">
      <iconSet>
        <cfvo type="percent" val="0"/>
        <cfvo type="num" val="70"/>
        <cfvo type="num" val="90"/>
      </iconSet>
    </cfRule>
    <cfRule type="iconSet" priority="2600">
      <iconSet>
        <cfvo type="percent" val="0"/>
        <cfvo type="num" val="95"/>
        <cfvo type="num" val="100"/>
      </iconSet>
    </cfRule>
    <cfRule type="iconSet" priority="2593">
      <iconSet>
        <cfvo type="percent" val="0"/>
        <cfvo type="num" val="70"/>
        <cfvo type="num" val="90"/>
      </iconSet>
    </cfRule>
    <cfRule type="iconSet" priority="2598">
      <iconSet>
        <cfvo type="percent" val="0"/>
        <cfvo type="num" val="70"/>
        <cfvo type="num" val="90"/>
      </iconSet>
    </cfRule>
    <cfRule type="iconSet" priority="2597">
      <iconSet>
        <cfvo type="percent" val="0"/>
        <cfvo type="num" val="95"/>
        <cfvo type="num" val="100"/>
      </iconSet>
    </cfRule>
  </conditionalFormatting>
  <conditionalFormatting sqref="K12:K18">
    <cfRule type="iconSet" priority="48235">
      <iconSet>
        <cfvo type="percent" val="0"/>
        <cfvo type="num" val="95"/>
        <cfvo type="num" val="100"/>
      </iconSet>
    </cfRule>
    <cfRule type="iconSet" priority="48234">
      <iconSet>
        <cfvo type="percent" val="0"/>
        <cfvo type="num" val="95"/>
        <cfvo type="num" val="100"/>
      </iconSet>
    </cfRule>
    <cfRule type="iconSet" priority="48233">
      <iconSet>
        <cfvo type="percent" val="0"/>
        <cfvo type="num" val="95"/>
        <cfvo type="num" val="100"/>
      </iconSet>
    </cfRule>
    <cfRule type="iconSet" priority="48232">
      <iconSet>
        <cfvo type="percent" val="0"/>
        <cfvo type="num" val="70"/>
        <cfvo type="num" val="90"/>
      </iconSet>
    </cfRule>
    <cfRule type="iconSet" priority="48231">
      <iconSet>
        <cfvo type="percent" val="0"/>
        <cfvo type="num" val="70"/>
        <cfvo type="num" val="90"/>
      </iconSet>
    </cfRule>
    <cfRule type="iconSet" priority="48230">
      <iconSet>
        <cfvo type="percent" val="0"/>
        <cfvo type="num" val="95"/>
        <cfvo type="num" val="100"/>
      </iconSet>
    </cfRule>
    <cfRule type="iconSet" priority="48238">
      <iconSet>
        <cfvo type="percent" val="0"/>
        <cfvo type="num" val="95"/>
        <cfvo type="num" val="100"/>
      </iconSet>
    </cfRule>
    <cfRule type="iconSet" priority="48237">
      <iconSet>
        <cfvo type="percent" val="0"/>
        <cfvo type="num" val="70"/>
        <cfvo type="num" val="90"/>
      </iconSet>
    </cfRule>
    <cfRule type="iconSet" priority="48236">
      <iconSet>
        <cfvo type="percent" val="0"/>
        <cfvo type="num" val="70"/>
        <cfvo type="num" val="90"/>
      </iconSet>
    </cfRule>
  </conditionalFormatting>
  <conditionalFormatting sqref="K20">
    <cfRule type="iconSet" priority="6972">
      <iconSet>
        <cfvo type="percent" val="0"/>
        <cfvo type="num" val="95"/>
        <cfvo type="num" val="100"/>
      </iconSet>
    </cfRule>
    <cfRule type="iconSet" priority="6975">
      <iconSet>
        <cfvo type="percent" val="0"/>
        <cfvo type="num" val="95"/>
        <cfvo type="num" val="100"/>
      </iconSet>
    </cfRule>
    <cfRule type="iconSet" priority="6974">
      <iconSet>
        <cfvo type="percent" val="0"/>
        <cfvo type="num" val="70"/>
        <cfvo type="num" val="90"/>
      </iconSet>
    </cfRule>
    <cfRule type="iconSet" priority="6973">
      <iconSet>
        <cfvo type="percent" val="0"/>
        <cfvo type="num" val="70"/>
        <cfvo type="num" val="90"/>
      </iconSet>
    </cfRule>
    <cfRule type="iconSet" priority="6971">
      <iconSet>
        <cfvo type="percent" val="0"/>
        <cfvo type="num" val="95"/>
        <cfvo type="num" val="100"/>
      </iconSet>
    </cfRule>
    <cfRule type="iconSet" priority="6970">
      <iconSet>
        <cfvo type="percent" val="0"/>
        <cfvo type="num" val="95"/>
        <cfvo type="num" val="100"/>
      </iconSet>
    </cfRule>
    <cfRule type="iconSet" priority="6969">
      <iconSet>
        <cfvo type="percent" val="0"/>
        <cfvo type="num" val="70"/>
        <cfvo type="num" val="90"/>
      </iconSet>
    </cfRule>
    <cfRule type="iconSet" priority="6968">
      <iconSet>
        <cfvo type="percent" val="0"/>
        <cfvo type="num" val="70"/>
        <cfvo type="num" val="90"/>
      </iconSet>
    </cfRule>
    <cfRule type="iconSet" priority="6967">
      <iconSet>
        <cfvo type="percent" val="0"/>
        <cfvo type="num" val="95"/>
        <cfvo type="num" val="100"/>
      </iconSet>
    </cfRule>
  </conditionalFormatting>
  <conditionalFormatting sqref="K21:K23">
    <cfRule type="iconSet" priority="1064">
      <iconSet>
        <cfvo type="percent" val="0"/>
        <cfvo type="num" val="95"/>
        <cfvo type="num" val="100"/>
      </iconSet>
    </cfRule>
    <cfRule type="iconSet" priority="1065">
      <iconSet>
        <cfvo type="percent" val="0"/>
        <cfvo type="num" val="95"/>
        <cfvo type="num" val="100"/>
      </iconSet>
    </cfRule>
    <cfRule type="iconSet" priority="1069">
      <iconSet>
        <cfvo type="percent" val="0"/>
        <cfvo type="num" val="95"/>
        <cfvo type="num" val="100"/>
      </iconSet>
    </cfRule>
    <cfRule type="iconSet" priority="1067">
      <iconSet>
        <cfvo type="percent" val="0"/>
        <cfvo type="num" val="70"/>
        <cfvo type="num" val="90"/>
      </iconSet>
    </cfRule>
    <cfRule type="iconSet" priority="1068">
      <iconSet>
        <cfvo type="percent" val="0"/>
        <cfvo type="num" val="70"/>
        <cfvo type="num" val="90"/>
      </iconSet>
    </cfRule>
    <cfRule type="iconSet" priority="1066">
      <iconSet>
        <cfvo type="percent" val="0"/>
        <cfvo type="num" val="95"/>
        <cfvo type="num" val="100"/>
      </iconSet>
    </cfRule>
    <cfRule type="iconSet" priority="1061">
      <iconSet>
        <cfvo type="percent" val="0"/>
        <cfvo type="num" val="95"/>
        <cfvo type="num" val="100"/>
      </iconSet>
    </cfRule>
    <cfRule type="iconSet" priority="1062">
      <iconSet>
        <cfvo type="percent" val="0"/>
        <cfvo type="num" val="70"/>
        <cfvo type="num" val="90"/>
      </iconSet>
    </cfRule>
    <cfRule type="iconSet" priority="1063">
      <iconSet>
        <cfvo type="percent" val="0"/>
        <cfvo type="num" val="70"/>
        <cfvo type="num" val="90"/>
      </iconSet>
    </cfRule>
  </conditionalFormatting>
  <conditionalFormatting sqref="K24:K28">
    <cfRule type="iconSet" priority="1060">
      <iconSet>
        <cfvo type="percent" val="0"/>
        <cfvo type="num" val="95"/>
        <cfvo type="num" val="100"/>
      </iconSet>
    </cfRule>
    <cfRule type="iconSet" priority="1053">
      <iconSet>
        <cfvo type="percent" val="0"/>
        <cfvo type="num" val="70"/>
        <cfvo type="num" val="90"/>
      </iconSet>
    </cfRule>
    <cfRule type="iconSet" priority="1058">
      <iconSet>
        <cfvo type="percent" val="0"/>
        <cfvo type="num" val="70"/>
        <cfvo type="num" val="90"/>
      </iconSet>
    </cfRule>
    <cfRule type="iconSet" priority="1055">
      <iconSet>
        <cfvo type="percent" val="0"/>
        <cfvo type="num" val="95"/>
        <cfvo type="num" val="100"/>
      </iconSet>
    </cfRule>
    <cfRule type="iconSet" priority="1057">
      <iconSet>
        <cfvo type="percent" val="0"/>
        <cfvo type="num" val="95"/>
        <cfvo type="num" val="100"/>
      </iconSet>
    </cfRule>
    <cfRule type="iconSet" priority="1056">
      <iconSet>
        <cfvo type="percent" val="0"/>
        <cfvo type="num" val="95"/>
        <cfvo type="num" val="100"/>
      </iconSet>
    </cfRule>
    <cfRule type="iconSet" priority="1059">
      <iconSet>
        <cfvo type="percent" val="0"/>
        <cfvo type="num" val="70"/>
        <cfvo type="num" val="90"/>
      </iconSet>
    </cfRule>
    <cfRule type="iconSet" priority="1054">
      <iconSet>
        <cfvo type="percent" val="0"/>
        <cfvo type="num" val="70"/>
        <cfvo type="num" val="90"/>
      </iconSet>
    </cfRule>
    <cfRule type="iconSet" priority="1052">
      <iconSet>
        <cfvo type="percent" val="0"/>
        <cfvo type="num" val="95"/>
        <cfvo type="num" val="100"/>
      </iconSet>
    </cfRule>
  </conditionalFormatting>
  <conditionalFormatting sqref="K29:K45">
    <cfRule type="iconSet" priority="47915">
      <iconSet>
        <cfvo type="percent" val="0"/>
        <cfvo type="num" val="70"/>
        <cfvo type="num" val="90"/>
      </iconSet>
    </cfRule>
    <cfRule type="iconSet" priority="47916">
      <iconSet>
        <cfvo type="percent" val="0"/>
        <cfvo type="num" val="95"/>
        <cfvo type="num" val="100"/>
      </iconSet>
    </cfRule>
    <cfRule type="iconSet" priority="47912">
      <iconSet>
        <cfvo type="percent" val="0"/>
        <cfvo type="num" val="95"/>
        <cfvo type="num" val="100"/>
      </iconSet>
    </cfRule>
    <cfRule type="iconSet" priority="47911">
      <iconSet>
        <cfvo type="percent" val="0"/>
        <cfvo type="num" val="95"/>
        <cfvo type="num" val="100"/>
      </iconSet>
    </cfRule>
    <cfRule type="iconSet" priority="47910">
      <iconSet>
        <cfvo type="percent" val="0"/>
        <cfvo type="num" val="70"/>
        <cfvo type="num" val="90"/>
      </iconSet>
    </cfRule>
    <cfRule type="iconSet" priority="47909">
      <iconSet>
        <cfvo type="percent" val="0"/>
        <cfvo type="num" val="70"/>
        <cfvo type="num" val="90"/>
      </iconSet>
    </cfRule>
    <cfRule type="iconSet" priority="47908">
      <iconSet>
        <cfvo type="percent" val="0"/>
        <cfvo type="num" val="95"/>
        <cfvo type="num" val="100"/>
      </iconSet>
    </cfRule>
    <cfRule type="iconSet" priority="47913">
      <iconSet>
        <cfvo type="percent" val="0"/>
        <cfvo type="num" val="95"/>
        <cfvo type="num" val="100"/>
      </iconSet>
    </cfRule>
    <cfRule type="iconSet" priority="47914">
      <iconSet>
        <cfvo type="percent" val="0"/>
        <cfvo type="num" val="70"/>
        <cfvo type="num" val="90"/>
      </iconSet>
    </cfRule>
  </conditionalFormatting>
  <conditionalFormatting sqref="K46:K47">
    <cfRule type="iconSet" priority="6913">
      <iconSet>
        <cfvo type="percent" val="0"/>
        <cfvo type="num" val="95"/>
        <cfvo type="num" val="100"/>
      </iconSet>
    </cfRule>
    <cfRule type="iconSet" priority="6916">
      <iconSet>
        <cfvo type="percent" val="0"/>
        <cfvo type="num" val="95"/>
        <cfvo type="num" val="100"/>
      </iconSet>
    </cfRule>
    <cfRule type="iconSet" priority="6917">
      <iconSet>
        <cfvo type="percent" val="0"/>
        <cfvo type="num" val="95"/>
        <cfvo type="num" val="100"/>
      </iconSet>
    </cfRule>
    <cfRule type="iconSet" priority="6919">
      <iconSet>
        <cfvo type="percent" val="0"/>
        <cfvo type="num" val="70"/>
        <cfvo type="num" val="90"/>
      </iconSet>
    </cfRule>
    <cfRule type="iconSet" priority="6918">
      <iconSet>
        <cfvo type="percent" val="0"/>
        <cfvo type="num" val="95"/>
        <cfvo type="num" val="100"/>
      </iconSet>
    </cfRule>
    <cfRule type="iconSet" priority="6920">
      <iconSet>
        <cfvo type="percent" val="0"/>
        <cfvo type="num" val="70"/>
        <cfvo type="num" val="90"/>
      </iconSet>
    </cfRule>
    <cfRule type="iconSet" priority="6921">
      <iconSet>
        <cfvo type="percent" val="0"/>
        <cfvo type="num" val="95"/>
        <cfvo type="num" val="100"/>
      </iconSet>
    </cfRule>
    <cfRule type="iconSet" priority="6914">
      <iconSet>
        <cfvo type="percent" val="0"/>
        <cfvo type="num" val="70"/>
        <cfvo type="num" val="90"/>
      </iconSet>
    </cfRule>
    <cfRule type="iconSet" priority="6915">
      <iconSet>
        <cfvo type="percent" val="0"/>
        <cfvo type="num" val="70"/>
        <cfvo type="num" val="90"/>
      </iconSet>
    </cfRule>
  </conditionalFormatting>
  <conditionalFormatting sqref="K48:K50">
    <cfRule type="iconSet" priority="48015">
      <iconSet>
        <cfvo type="percent" val="0"/>
        <cfvo type="num" val="95"/>
        <cfvo type="num" val="100"/>
      </iconSet>
    </cfRule>
    <cfRule type="iconSet" priority="48016">
      <iconSet>
        <cfvo type="percent" val="0"/>
        <cfvo type="num" val="95"/>
        <cfvo type="num" val="100"/>
      </iconSet>
    </cfRule>
    <cfRule type="iconSet" priority="48014">
      <iconSet>
        <cfvo type="percent" val="0"/>
        <cfvo type="num" val="95"/>
        <cfvo type="num" val="100"/>
      </iconSet>
    </cfRule>
    <cfRule type="iconSet" priority="48019">
      <iconSet>
        <cfvo type="percent" val="0"/>
        <cfvo type="num" val="95"/>
        <cfvo type="num" val="100"/>
      </iconSet>
    </cfRule>
    <cfRule type="iconSet" priority="48013">
      <iconSet>
        <cfvo type="percent" val="0"/>
        <cfvo type="num" val="70"/>
        <cfvo type="num" val="90"/>
      </iconSet>
    </cfRule>
    <cfRule type="iconSet" priority="48018">
      <iconSet>
        <cfvo type="percent" val="0"/>
        <cfvo type="num" val="70"/>
        <cfvo type="num" val="90"/>
      </iconSet>
    </cfRule>
    <cfRule type="iconSet" priority="48011">
      <iconSet>
        <cfvo type="percent" val="0"/>
        <cfvo type="num" val="95"/>
        <cfvo type="num" val="100"/>
      </iconSet>
    </cfRule>
    <cfRule type="iconSet" priority="48012">
      <iconSet>
        <cfvo type="percent" val="0"/>
        <cfvo type="num" val="70"/>
        <cfvo type="num" val="90"/>
      </iconSet>
    </cfRule>
    <cfRule type="iconSet" priority="48017">
      <iconSet>
        <cfvo type="percent" val="0"/>
        <cfvo type="num" val="70"/>
        <cfvo type="num" val="90"/>
      </iconSet>
    </cfRule>
  </conditionalFormatting>
  <conditionalFormatting sqref="K51:K54">
    <cfRule type="iconSet" priority="48090">
      <iconSet>
        <cfvo type="percent" val="0"/>
        <cfvo type="num" val="95"/>
        <cfvo type="num" val="100"/>
      </iconSet>
    </cfRule>
    <cfRule type="iconSet" priority="48093">
      <iconSet>
        <cfvo type="percent" val="0"/>
        <cfvo type="num" val="95"/>
        <cfvo type="num" val="100"/>
      </iconSet>
    </cfRule>
    <cfRule type="iconSet" priority="48092">
      <iconSet>
        <cfvo type="percent" val="0"/>
        <cfvo type="num" val="70"/>
        <cfvo type="num" val="90"/>
      </iconSet>
    </cfRule>
    <cfRule type="iconSet" priority="48091">
      <iconSet>
        <cfvo type="percent" val="0"/>
        <cfvo type="num" val="70"/>
        <cfvo type="num" val="90"/>
      </iconSet>
    </cfRule>
    <cfRule type="iconSet" priority="48087">
      <iconSet>
        <cfvo type="percent" val="0"/>
        <cfvo type="num" val="70"/>
        <cfvo type="num" val="90"/>
      </iconSet>
    </cfRule>
    <cfRule type="iconSet" priority="48089">
      <iconSet>
        <cfvo type="percent" val="0"/>
        <cfvo type="num" val="95"/>
        <cfvo type="num" val="100"/>
      </iconSet>
    </cfRule>
    <cfRule type="iconSet" priority="48088">
      <iconSet>
        <cfvo type="percent" val="0"/>
        <cfvo type="num" val="95"/>
        <cfvo type="num" val="100"/>
      </iconSet>
    </cfRule>
    <cfRule type="iconSet" priority="48086">
      <iconSet>
        <cfvo type="percent" val="0"/>
        <cfvo type="num" val="70"/>
        <cfvo type="num" val="90"/>
      </iconSet>
    </cfRule>
    <cfRule type="iconSet" priority="48085">
      <iconSet>
        <cfvo type="percent" val="0"/>
        <cfvo type="num" val="95"/>
        <cfvo type="num" val="100"/>
      </iconSet>
    </cfRule>
  </conditionalFormatting>
  <conditionalFormatting sqref="K55">
    <cfRule type="iconSet" priority="1040">
      <iconSet>
        <cfvo type="percent" val="0"/>
        <cfvo type="num" val="70"/>
        <cfvo type="num" val="90"/>
      </iconSet>
    </cfRule>
    <cfRule type="iconSet" priority="1039">
      <iconSet>
        <cfvo type="percent" val="0"/>
        <cfvo type="num" val="95"/>
        <cfvo type="num" val="100"/>
      </iconSet>
    </cfRule>
    <cfRule type="iconSet" priority="1038">
      <iconSet>
        <cfvo type="percent" val="0"/>
        <cfvo type="num" val="95"/>
        <cfvo type="num" val="100"/>
      </iconSet>
    </cfRule>
    <cfRule type="iconSet" priority="1037">
      <iconSet>
        <cfvo type="percent" val="0"/>
        <cfvo type="num" val="95"/>
        <cfvo type="num" val="100"/>
      </iconSet>
    </cfRule>
    <cfRule type="iconSet" priority="1042">
      <iconSet>
        <cfvo type="percent" val="0"/>
        <cfvo type="num" val="95"/>
        <cfvo type="num" val="100"/>
      </iconSet>
    </cfRule>
    <cfRule type="iconSet" priority="1034">
      <iconSet>
        <cfvo type="percent" val="0"/>
        <cfvo type="num" val="95"/>
        <cfvo type="num" val="100"/>
      </iconSet>
    </cfRule>
    <cfRule type="iconSet" priority="1035">
      <iconSet>
        <cfvo type="percent" val="0"/>
        <cfvo type="num" val="70"/>
        <cfvo type="num" val="90"/>
      </iconSet>
    </cfRule>
    <cfRule type="iconSet" priority="1036">
      <iconSet>
        <cfvo type="percent" val="0"/>
        <cfvo type="num" val="70"/>
        <cfvo type="num" val="90"/>
      </iconSet>
    </cfRule>
    <cfRule type="iconSet" priority="1041">
      <iconSet>
        <cfvo type="percent" val="0"/>
        <cfvo type="num" val="70"/>
        <cfvo type="num" val="90"/>
      </iconSet>
    </cfRule>
  </conditionalFormatting>
  <conditionalFormatting sqref="K56">
    <cfRule type="iconSet" priority="14971">
      <iconSet>
        <cfvo type="percent" val="0"/>
        <cfvo type="num" val="95"/>
        <cfvo type="num" val="100"/>
      </iconSet>
    </cfRule>
    <cfRule type="iconSet" priority="14972">
      <iconSet>
        <cfvo type="percent" val="0"/>
        <cfvo type="num" val="70"/>
        <cfvo type="num" val="90"/>
      </iconSet>
    </cfRule>
    <cfRule type="iconSet" priority="14973">
      <iconSet>
        <cfvo type="percent" val="0"/>
        <cfvo type="num" val="95"/>
        <cfvo type="num" val="100"/>
      </iconSet>
    </cfRule>
    <cfRule type="iconSet" priority="12799">
      <iconSet>
        <cfvo type="percent" val="0"/>
        <cfvo type="num" val="95"/>
        <cfvo type="num" val="100"/>
      </iconSet>
    </cfRule>
    <cfRule type="iconSet" priority="12800">
      <iconSet>
        <cfvo type="percent" val="0"/>
        <cfvo type="num" val="70"/>
        <cfvo type="num" val="90"/>
      </iconSet>
    </cfRule>
    <cfRule type="iconSet" priority="12801">
      <iconSet>
        <cfvo type="percent" val="0"/>
        <cfvo type="num" val="95"/>
        <cfvo type="num" val="100"/>
      </iconSet>
    </cfRule>
    <cfRule type="iconSet" priority="12802">
      <iconSet>
        <cfvo type="percent" val="0"/>
        <cfvo type="num" val="70"/>
        <cfvo type="num" val="90"/>
      </iconSet>
    </cfRule>
    <cfRule type="iconSet" priority="12803">
      <iconSet>
        <cfvo type="percent" val="0"/>
        <cfvo type="num" val="95"/>
        <cfvo type="num" val="100"/>
      </iconSet>
    </cfRule>
    <cfRule type="iconSet" priority="12804">
      <iconSet>
        <cfvo type="percent" val="0"/>
        <cfvo type="num" val="70"/>
        <cfvo type="num" val="90"/>
      </iconSet>
    </cfRule>
    <cfRule type="iconSet" priority="12805">
      <iconSet>
        <cfvo type="percent" val="0"/>
        <cfvo type="num" val="95"/>
        <cfvo type="num" val="100"/>
      </iconSet>
    </cfRule>
    <cfRule type="iconSet" priority="12806">
      <iconSet>
        <cfvo type="percent" val="0"/>
        <cfvo type="num" val="70"/>
        <cfvo type="num" val="90"/>
      </iconSet>
    </cfRule>
    <cfRule type="iconSet" priority="12807">
      <iconSet>
        <cfvo type="percent" val="0"/>
        <cfvo type="num" val="95"/>
        <cfvo type="num" val="100"/>
      </iconSet>
    </cfRule>
    <cfRule type="iconSet" priority="15812">
      <iconSet>
        <cfvo type="percent" val="0"/>
        <cfvo type="num" val="70"/>
        <cfvo type="num" val="90"/>
      </iconSet>
    </cfRule>
    <cfRule type="iconSet" priority="15811">
      <iconSet>
        <cfvo type="percent" val="0"/>
        <cfvo type="num" val="95"/>
        <cfvo type="num" val="100"/>
      </iconSet>
    </cfRule>
    <cfRule type="iconSet" priority="15810">
      <iconSet>
        <cfvo type="percent" val="0"/>
        <cfvo type="num" val="70"/>
        <cfvo type="num" val="90"/>
      </iconSet>
    </cfRule>
    <cfRule type="iconSet" priority="15809">
      <iconSet>
        <cfvo type="percent" val="0"/>
        <cfvo type="num" val="95"/>
        <cfvo type="num" val="100"/>
      </iconSet>
    </cfRule>
    <cfRule type="iconSet" priority="15808">
      <iconSet>
        <cfvo type="percent" val="0"/>
        <cfvo type="num" val="70"/>
        <cfvo type="num" val="90"/>
      </iconSet>
    </cfRule>
    <cfRule type="iconSet" priority="15807">
      <iconSet>
        <cfvo type="percent" val="0"/>
        <cfvo type="num" val="95"/>
        <cfvo type="num" val="100"/>
      </iconSet>
    </cfRule>
    <cfRule type="iconSet" priority="12808">
      <iconSet>
        <cfvo type="percent" val="0"/>
        <cfvo type="num" val="70"/>
        <cfvo type="num" val="90"/>
      </iconSet>
    </cfRule>
    <cfRule type="iconSet" priority="14953">
      <iconSet>
        <cfvo type="percent" val="0"/>
        <cfvo type="num" val="95"/>
        <cfvo type="num" val="100"/>
      </iconSet>
    </cfRule>
    <cfRule type="iconSet" priority="14984">
      <iconSet>
        <cfvo type="percent" val="0"/>
        <cfvo type="num" val="95"/>
        <cfvo type="num" val="100"/>
      </iconSet>
    </cfRule>
    <cfRule type="iconSet" priority="14983">
      <iconSet>
        <cfvo type="percent" val="0"/>
        <cfvo type="num" val="70"/>
        <cfvo type="num" val="90"/>
      </iconSet>
    </cfRule>
    <cfRule type="iconSet" priority="12798">
      <iconSet>
        <cfvo type="percent" val="0"/>
        <cfvo type="num" val="70"/>
        <cfvo type="num" val="90"/>
      </iconSet>
    </cfRule>
    <cfRule type="iconSet" priority="12797">
      <iconSet>
        <cfvo type="percent" val="0"/>
        <cfvo type="num" val="95"/>
        <cfvo type="num" val="100"/>
      </iconSet>
    </cfRule>
    <cfRule type="iconSet" priority="12796">
      <iconSet>
        <cfvo type="percent" val="0"/>
        <cfvo type="num" val="70"/>
        <cfvo type="num" val="90"/>
      </iconSet>
    </cfRule>
    <cfRule type="iconSet" priority="12795">
      <iconSet>
        <cfvo type="percent" val="0"/>
        <cfvo type="num" val="95"/>
        <cfvo type="num" val="100"/>
      </iconSet>
    </cfRule>
    <cfRule type="iconSet" priority="12793">
      <iconSet>
        <cfvo type="percent" val="0"/>
        <cfvo type="num" val="95"/>
        <cfvo type="num" val="100"/>
      </iconSet>
    </cfRule>
    <cfRule type="iconSet" priority="12792">
      <iconSet>
        <cfvo type="percent" val="0"/>
        <cfvo type="num" val="70"/>
        <cfvo type="num" val="90"/>
      </iconSet>
    </cfRule>
    <cfRule type="iconSet" priority="12791">
      <iconSet>
        <cfvo type="percent" val="0"/>
        <cfvo type="num" val="95"/>
        <cfvo type="num" val="100"/>
      </iconSet>
    </cfRule>
    <cfRule type="iconSet" priority="12790">
      <iconSet>
        <cfvo type="percent" val="0"/>
        <cfvo type="num" val="70"/>
        <cfvo type="num" val="90"/>
      </iconSet>
    </cfRule>
    <cfRule type="iconSet" priority="12789">
      <iconSet>
        <cfvo type="percent" val="0"/>
        <cfvo type="num" val="95"/>
        <cfvo type="num" val="100"/>
      </iconSet>
    </cfRule>
    <cfRule type="iconSet" priority="12788">
      <iconSet>
        <cfvo type="percent" val="0"/>
        <cfvo type="num" val="70"/>
        <cfvo type="num" val="90"/>
      </iconSet>
    </cfRule>
    <cfRule type="iconSet" priority="12787">
      <iconSet>
        <cfvo type="percent" val="0"/>
        <cfvo type="num" val="95"/>
        <cfvo type="num" val="100"/>
      </iconSet>
    </cfRule>
    <cfRule type="iconSet" priority="12786">
      <iconSet>
        <cfvo type="percent" val="0"/>
        <cfvo type="num" val="70"/>
        <cfvo type="num" val="90"/>
      </iconSet>
    </cfRule>
    <cfRule type="iconSet" priority="12785">
      <iconSet>
        <cfvo type="percent" val="0"/>
        <cfvo type="num" val="95"/>
        <cfvo type="num" val="100"/>
      </iconSet>
    </cfRule>
    <cfRule type="iconSet" priority="12784">
      <iconSet>
        <cfvo type="percent" val="0"/>
        <cfvo type="num" val="70"/>
        <cfvo type="num" val="90"/>
      </iconSet>
    </cfRule>
    <cfRule type="iconSet" priority="12783">
      <iconSet>
        <cfvo type="percent" val="0"/>
        <cfvo type="num" val="95"/>
        <cfvo type="num" val="100"/>
      </iconSet>
    </cfRule>
    <cfRule type="iconSet" priority="12782">
      <iconSet>
        <cfvo type="percent" val="0"/>
        <cfvo type="num" val="70"/>
        <cfvo type="num" val="90"/>
      </iconSet>
    </cfRule>
    <cfRule type="iconSet" priority="12781">
      <iconSet>
        <cfvo type="percent" val="0"/>
        <cfvo type="num" val="95"/>
        <cfvo type="num" val="100"/>
      </iconSet>
    </cfRule>
    <cfRule type="iconSet" priority="12780">
      <iconSet>
        <cfvo type="percent" val="0"/>
        <cfvo type="num" val="70"/>
        <cfvo type="num" val="90"/>
      </iconSet>
    </cfRule>
    <cfRule type="iconSet" priority="12779">
      <iconSet>
        <cfvo type="percent" val="0"/>
        <cfvo type="num" val="95"/>
        <cfvo type="num" val="100"/>
      </iconSet>
    </cfRule>
    <cfRule type="iconSet" priority="8975">
      <iconSet>
        <cfvo type="percent" val="0"/>
        <cfvo type="num" val="70"/>
        <cfvo type="num" val="90"/>
      </iconSet>
    </cfRule>
    <cfRule type="iconSet" priority="14954">
      <iconSet>
        <cfvo type="percent" val="0"/>
        <cfvo type="num" val="70"/>
        <cfvo type="num" val="90"/>
      </iconSet>
    </cfRule>
    <cfRule type="iconSet" priority="8973">
      <iconSet>
        <cfvo type="percent" val="0"/>
        <cfvo type="num" val="70"/>
        <cfvo type="num" val="90"/>
      </iconSet>
    </cfRule>
    <cfRule type="iconSet" priority="8972">
      <iconSet>
        <cfvo type="percent" val="0"/>
        <cfvo type="num" val="95"/>
        <cfvo type="num" val="100"/>
      </iconSet>
    </cfRule>
    <cfRule type="iconSet" priority="8971">
      <iconSet>
        <cfvo type="percent" val="0"/>
        <cfvo type="num" val="70"/>
        <cfvo type="num" val="90"/>
      </iconSet>
    </cfRule>
    <cfRule type="iconSet" priority="8970">
      <iconSet>
        <cfvo type="percent" val="0"/>
        <cfvo type="num" val="95"/>
        <cfvo type="num" val="100"/>
      </iconSet>
    </cfRule>
    <cfRule type="iconSet" priority="14955">
      <iconSet>
        <cfvo type="percent" val="0"/>
        <cfvo type="num" val="95"/>
        <cfvo type="num" val="100"/>
      </iconSet>
    </cfRule>
    <cfRule type="iconSet" priority="14982">
      <iconSet>
        <cfvo type="percent" val="0"/>
        <cfvo type="num" val="70"/>
        <cfvo type="num" val="90"/>
      </iconSet>
    </cfRule>
    <cfRule type="iconSet" priority="14981">
      <iconSet>
        <cfvo type="percent" val="0"/>
        <cfvo type="num" val="95"/>
        <cfvo type="num" val="100"/>
      </iconSet>
    </cfRule>
    <cfRule type="iconSet" priority="14980">
      <iconSet>
        <cfvo type="percent" val="0"/>
        <cfvo type="num" val="95"/>
        <cfvo type="num" val="100"/>
      </iconSet>
    </cfRule>
    <cfRule type="iconSet" priority="14979">
      <iconSet>
        <cfvo type="percent" val="0"/>
        <cfvo type="num" val="70"/>
        <cfvo type="num" val="90"/>
      </iconSet>
    </cfRule>
    <cfRule type="iconSet" priority="14978">
      <iconSet>
        <cfvo type="percent" val="0"/>
        <cfvo type="num" val="70"/>
        <cfvo type="num" val="90"/>
      </iconSet>
    </cfRule>
    <cfRule type="iconSet" priority="14977">
      <iconSet>
        <cfvo type="percent" val="0"/>
        <cfvo type="num" val="95"/>
        <cfvo type="num" val="100"/>
      </iconSet>
    </cfRule>
    <cfRule type="iconSet" priority="14976">
      <iconSet>
        <cfvo type="percent" val="0"/>
        <cfvo type="num" val="70"/>
        <cfvo type="num" val="90"/>
      </iconSet>
    </cfRule>
    <cfRule type="iconSet" priority="14974">
      <iconSet>
        <cfvo type="percent" val="0"/>
        <cfvo type="num" val="70"/>
        <cfvo type="num" val="90"/>
      </iconSet>
    </cfRule>
    <cfRule type="iconSet" priority="14975">
      <iconSet>
        <cfvo type="percent" val="0"/>
        <cfvo type="num" val="95"/>
        <cfvo type="num" val="100"/>
      </iconSet>
    </cfRule>
    <cfRule type="iconSet" priority="12794">
      <iconSet>
        <cfvo type="percent" val="0"/>
        <cfvo type="num" val="70"/>
        <cfvo type="num" val="90"/>
      </iconSet>
    </cfRule>
    <cfRule type="iconSet" priority="14956">
      <iconSet>
        <cfvo type="percent" val="0"/>
        <cfvo type="num" val="70"/>
        <cfvo type="num" val="90"/>
      </iconSet>
    </cfRule>
    <cfRule type="iconSet" priority="14957">
      <iconSet>
        <cfvo type="percent" val="0"/>
        <cfvo type="num" val="95"/>
        <cfvo type="num" val="100"/>
      </iconSet>
    </cfRule>
    <cfRule type="iconSet" priority="14958">
      <iconSet>
        <cfvo type="percent" val="0"/>
        <cfvo type="num" val="70"/>
        <cfvo type="num" val="90"/>
      </iconSet>
    </cfRule>
    <cfRule type="iconSet" priority="14959">
      <iconSet>
        <cfvo type="percent" val="0"/>
        <cfvo type="num" val="95"/>
        <cfvo type="num" val="100"/>
      </iconSet>
    </cfRule>
    <cfRule type="iconSet" priority="14960">
      <iconSet>
        <cfvo type="percent" val="0"/>
        <cfvo type="num" val="70"/>
        <cfvo type="num" val="90"/>
      </iconSet>
    </cfRule>
    <cfRule type="iconSet" priority="14961">
      <iconSet>
        <cfvo type="percent" val="0"/>
        <cfvo type="num" val="95"/>
        <cfvo type="num" val="100"/>
      </iconSet>
    </cfRule>
    <cfRule type="iconSet" priority="14962">
      <iconSet>
        <cfvo type="percent" val="0"/>
        <cfvo type="num" val="70"/>
        <cfvo type="num" val="90"/>
      </iconSet>
    </cfRule>
    <cfRule type="iconSet" priority="14963">
      <iconSet>
        <cfvo type="percent" val="0"/>
        <cfvo type="num" val="95"/>
        <cfvo type="num" val="100"/>
      </iconSet>
    </cfRule>
    <cfRule type="iconSet" priority="14964">
      <iconSet>
        <cfvo type="percent" val="0"/>
        <cfvo type="num" val="70"/>
        <cfvo type="num" val="90"/>
      </iconSet>
    </cfRule>
    <cfRule type="iconSet" priority="14965">
      <iconSet>
        <cfvo type="percent" val="0"/>
        <cfvo type="num" val="95"/>
        <cfvo type="num" val="100"/>
      </iconSet>
    </cfRule>
    <cfRule type="iconSet" priority="8974">
      <iconSet>
        <cfvo type="percent" val="0"/>
        <cfvo type="num" val="95"/>
        <cfvo type="num" val="100"/>
      </iconSet>
    </cfRule>
    <cfRule type="iconSet" priority="14966">
      <iconSet>
        <cfvo type="percent" val="0"/>
        <cfvo type="num" val="70"/>
        <cfvo type="num" val="90"/>
      </iconSet>
    </cfRule>
    <cfRule type="iconSet" priority="14967">
      <iconSet>
        <cfvo type="percent" val="0"/>
        <cfvo type="num" val="95"/>
        <cfvo type="num" val="100"/>
      </iconSet>
    </cfRule>
    <cfRule type="iconSet" priority="14968">
      <iconSet>
        <cfvo type="percent" val="0"/>
        <cfvo type="num" val="70"/>
        <cfvo type="num" val="90"/>
      </iconSet>
    </cfRule>
    <cfRule type="iconSet" priority="14969">
      <iconSet>
        <cfvo type="percent" val="0"/>
        <cfvo type="num" val="95"/>
        <cfvo type="num" val="100"/>
      </iconSet>
    </cfRule>
    <cfRule type="iconSet" priority="14970">
      <iconSet>
        <cfvo type="percent" val="0"/>
        <cfvo type="num" val="70"/>
        <cfvo type="num" val="90"/>
      </iconSet>
    </cfRule>
  </conditionalFormatting>
  <conditionalFormatting sqref="K56:K57">
    <cfRule type="iconSet" priority="47632">
      <iconSet>
        <cfvo type="percent" val="0"/>
        <cfvo type="num" val="95"/>
        <cfvo type="num" val="100"/>
      </iconSet>
    </cfRule>
  </conditionalFormatting>
  <conditionalFormatting sqref="K58">
    <cfRule type="iconSet" priority="15676">
      <iconSet>
        <cfvo type="percent" val="0"/>
        <cfvo type="num" val="95"/>
        <cfvo type="num" val="100"/>
      </iconSet>
    </cfRule>
  </conditionalFormatting>
  <conditionalFormatting sqref="P10:P18">
    <cfRule type="iconSet" priority="48248">
      <iconSet iconSet="3ArrowsGray" showValue="0">
        <cfvo type="percent" val="0"/>
        <cfvo type="num" val="2"/>
        <cfvo type="num" val="3"/>
      </iconSet>
    </cfRule>
  </conditionalFormatting>
  <conditionalFormatting sqref="P20:P56">
    <cfRule type="iconSet" priority="48191">
      <iconSet iconSet="3ArrowsGray" showValue="0">
        <cfvo type="percent" val="0"/>
        <cfvo type="num" val="2"/>
        <cfvo type="num" val="3"/>
      </iconSet>
    </cfRule>
  </conditionalFormatting>
  <conditionalFormatting sqref="P57">
    <cfRule type="iconSet" priority="4342">
      <iconSet iconSet="3ArrowsGray" showValue="0">
        <cfvo type="percent" val="0"/>
        <cfvo type="num" val="2"/>
        <cfvo type="num" val="3"/>
      </iconSet>
    </cfRule>
  </conditionalFormatting>
  <conditionalFormatting sqref="P58">
    <cfRule type="iconSet" priority="4318">
      <iconSet iconSet="3ArrowsGray" showValue="0">
        <cfvo type="percent" val="0"/>
        <cfvo type="num" val="2"/>
        <cfvo type="num" val="3"/>
      </iconSet>
    </cfRule>
  </conditionalFormatting>
  <conditionalFormatting sqref="Q10:Q18">
    <cfRule type="iconSet" priority="48250">
      <iconSet iconSet="3ArrowsGray" showValue="0">
        <cfvo type="percent" val="0"/>
        <cfvo type="num" val="2"/>
        <cfvo type="num" val="3"/>
      </iconSet>
    </cfRule>
  </conditionalFormatting>
  <conditionalFormatting sqref="Q20:Q56">
    <cfRule type="iconSet" priority="48192">
      <iconSet iconSet="3ArrowsGray" showValue="0">
        <cfvo type="percent" val="0"/>
        <cfvo type="num" val="2"/>
        <cfvo type="num" val="3"/>
      </iconSet>
    </cfRule>
  </conditionalFormatting>
  <conditionalFormatting sqref="Q57">
    <cfRule type="iconSet" priority="4343">
      <iconSet iconSet="3ArrowsGray" showValue="0">
        <cfvo type="percent" val="0"/>
        <cfvo type="num" val="2"/>
        <cfvo type="num" val="3"/>
      </iconSet>
    </cfRule>
  </conditionalFormatting>
  <conditionalFormatting sqref="Q58">
    <cfRule type="iconSet" priority="4319">
      <iconSet iconSet="3ArrowsGray" showValue="0">
        <cfvo type="percent" val="0"/>
        <cfvo type="num" val="2"/>
        <cfvo type="num" val="3"/>
      </iconSet>
    </cfRule>
  </conditionalFormatting>
  <conditionalFormatting sqref="V10">
    <cfRule type="iconSet" priority="903">
      <iconSet>
        <cfvo type="percent" val="0"/>
        <cfvo type="num" val="95"/>
        <cfvo type="num" val="100"/>
      </iconSet>
    </cfRule>
    <cfRule type="iconSet" priority="902">
      <iconSet>
        <cfvo type="percent" val="0"/>
        <cfvo type="num" val="70"/>
        <cfvo type="num" val="90"/>
      </iconSet>
    </cfRule>
    <cfRule type="iconSet" priority="901">
      <iconSet>
        <cfvo type="percent" val="0"/>
        <cfvo type="num" val="70"/>
        <cfvo type="num" val="90"/>
      </iconSet>
    </cfRule>
    <cfRule type="iconSet" priority="900">
      <iconSet>
        <cfvo type="percent" val="0"/>
        <cfvo type="num" val="95"/>
        <cfvo type="num" val="100"/>
      </iconSet>
    </cfRule>
    <cfRule type="iconSet" priority="899">
      <iconSet>
        <cfvo type="percent" val="0"/>
        <cfvo type="num" val="95"/>
        <cfvo type="num" val="100"/>
      </iconSet>
    </cfRule>
    <cfRule type="iconSet" priority="898">
      <iconSet>
        <cfvo type="percent" val="0"/>
        <cfvo type="num" val="95"/>
        <cfvo type="num" val="100"/>
      </iconSet>
    </cfRule>
    <cfRule type="iconSet" priority="897">
      <iconSet>
        <cfvo type="percent" val="0"/>
        <cfvo type="num" val="70"/>
        <cfvo type="num" val="90"/>
      </iconSet>
    </cfRule>
    <cfRule type="iconSet" priority="896">
      <iconSet>
        <cfvo type="percent" val="0"/>
        <cfvo type="num" val="70"/>
        <cfvo type="num" val="90"/>
      </iconSet>
    </cfRule>
    <cfRule type="iconSet" priority="895">
      <iconSet>
        <cfvo type="percent" val="0"/>
        <cfvo type="num" val="95"/>
        <cfvo type="num" val="100"/>
      </iconSet>
    </cfRule>
  </conditionalFormatting>
  <conditionalFormatting sqref="V11">
    <cfRule type="iconSet" priority="867">
      <iconSet>
        <cfvo type="percent" val="0"/>
        <cfvo type="num" val="95"/>
        <cfvo type="num" val="100"/>
      </iconSet>
    </cfRule>
    <cfRule type="iconSet" priority="866">
      <iconSet>
        <cfvo type="percent" val="0"/>
        <cfvo type="num" val="70"/>
        <cfvo type="num" val="90"/>
      </iconSet>
    </cfRule>
    <cfRule type="iconSet" priority="865">
      <iconSet>
        <cfvo type="percent" val="0"/>
        <cfvo type="num" val="70"/>
        <cfvo type="num" val="90"/>
      </iconSet>
    </cfRule>
    <cfRule type="iconSet" priority="864">
      <iconSet>
        <cfvo type="percent" val="0"/>
        <cfvo type="num" val="95"/>
        <cfvo type="num" val="100"/>
      </iconSet>
    </cfRule>
    <cfRule type="iconSet" priority="863">
      <iconSet>
        <cfvo type="percent" val="0"/>
        <cfvo type="num" val="95"/>
        <cfvo type="num" val="100"/>
      </iconSet>
    </cfRule>
    <cfRule type="iconSet" priority="862">
      <iconSet>
        <cfvo type="percent" val="0"/>
        <cfvo type="num" val="95"/>
        <cfvo type="num" val="100"/>
      </iconSet>
    </cfRule>
    <cfRule type="iconSet" priority="861">
      <iconSet>
        <cfvo type="percent" val="0"/>
        <cfvo type="num" val="70"/>
        <cfvo type="num" val="90"/>
      </iconSet>
    </cfRule>
    <cfRule type="iconSet" priority="860">
      <iconSet>
        <cfvo type="percent" val="0"/>
        <cfvo type="num" val="70"/>
        <cfvo type="num" val="90"/>
      </iconSet>
    </cfRule>
    <cfRule type="iconSet" priority="859">
      <iconSet>
        <cfvo type="percent" val="0"/>
        <cfvo type="num" val="95"/>
        <cfvo type="num" val="100"/>
      </iconSet>
    </cfRule>
  </conditionalFormatting>
  <conditionalFormatting sqref="V12:V17">
    <cfRule type="iconSet" priority="48259">
      <iconSet>
        <cfvo type="percent" val="0"/>
        <cfvo type="num" val="70"/>
        <cfvo type="num" val="90"/>
      </iconSet>
    </cfRule>
    <cfRule type="iconSet" priority="48258">
      <iconSet>
        <cfvo type="percent" val="0"/>
        <cfvo type="num" val="70"/>
        <cfvo type="num" val="90"/>
      </iconSet>
    </cfRule>
    <cfRule type="iconSet" priority="48257">
      <iconSet>
        <cfvo type="percent" val="0"/>
        <cfvo type="num" val="95"/>
        <cfvo type="num" val="100"/>
      </iconSet>
    </cfRule>
    <cfRule type="iconSet" priority="48256">
      <iconSet>
        <cfvo type="percent" val="0"/>
        <cfvo type="num" val="95"/>
        <cfvo type="num" val="100"/>
      </iconSet>
    </cfRule>
    <cfRule type="iconSet" priority="48255">
      <iconSet>
        <cfvo type="percent" val="0"/>
        <cfvo type="num" val="95"/>
        <cfvo type="num" val="100"/>
      </iconSet>
    </cfRule>
    <cfRule type="iconSet" priority="48254">
      <iconSet>
        <cfvo type="percent" val="0"/>
        <cfvo type="num" val="70"/>
        <cfvo type="num" val="90"/>
      </iconSet>
    </cfRule>
    <cfRule type="iconSet" priority="48252">
      <iconSet>
        <cfvo type="percent" val="0"/>
        <cfvo type="num" val="95"/>
        <cfvo type="num" val="100"/>
      </iconSet>
    </cfRule>
    <cfRule type="iconSet" priority="48253">
      <iconSet>
        <cfvo type="percent" val="0"/>
        <cfvo type="num" val="70"/>
        <cfvo type="num" val="90"/>
      </iconSet>
    </cfRule>
    <cfRule type="iconSet" priority="48260">
      <iconSet>
        <cfvo type="percent" val="0"/>
        <cfvo type="num" val="95"/>
        <cfvo type="num" val="100"/>
      </iconSet>
    </cfRule>
  </conditionalFormatting>
  <conditionalFormatting sqref="V18">
    <cfRule type="iconSet" priority="832">
      <iconSet>
        <cfvo type="percent" val="0"/>
        <cfvo type="num" val="95"/>
        <cfvo type="num" val="100"/>
      </iconSet>
    </cfRule>
    <cfRule type="iconSet" priority="833">
      <iconSet>
        <cfvo type="percent" val="0"/>
        <cfvo type="num" val="70"/>
        <cfvo type="num" val="90"/>
      </iconSet>
    </cfRule>
    <cfRule type="iconSet" priority="834">
      <iconSet>
        <cfvo type="percent" val="0"/>
        <cfvo type="num" val="70"/>
        <cfvo type="num" val="90"/>
      </iconSet>
    </cfRule>
    <cfRule type="iconSet" priority="835">
      <iconSet>
        <cfvo type="percent" val="0"/>
        <cfvo type="num" val="95"/>
        <cfvo type="num" val="100"/>
      </iconSet>
    </cfRule>
    <cfRule type="iconSet" priority="836">
      <iconSet>
        <cfvo type="percent" val="0"/>
        <cfvo type="num" val="95"/>
        <cfvo type="num" val="100"/>
      </iconSet>
    </cfRule>
    <cfRule type="iconSet" priority="837">
      <iconSet>
        <cfvo type="percent" val="0"/>
        <cfvo type="num" val="95"/>
        <cfvo type="num" val="100"/>
      </iconSet>
    </cfRule>
    <cfRule type="iconSet" priority="838">
      <iconSet>
        <cfvo type="percent" val="0"/>
        <cfvo type="num" val="70"/>
        <cfvo type="num" val="90"/>
      </iconSet>
    </cfRule>
    <cfRule type="iconSet" priority="839">
      <iconSet>
        <cfvo type="percent" val="0"/>
        <cfvo type="num" val="70"/>
        <cfvo type="num" val="90"/>
      </iconSet>
    </cfRule>
    <cfRule type="iconSet" priority="840">
      <iconSet>
        <cfvo type="percent" val="0"/>
        <cfvo type="num" val="95"/>
        <cfvo type="num" val="100"/>
      </iconSet>
    </cfRule>
  </conditionalFormatting>
  <conditionalFormatting sqref="V20">
    <cfRule type="iconSet" priority="892">
      <iconSet>
        <cfvo type="percent" val="0"/>
        <cfvo type="num" val="70"/>
        <cfvo type="num" val="90"/>
      </iconSet>
    </cfRule>
    <cfRule type="iconSet" priority="891">
      <iconSet>
        <cfvo type="percent" val="0"/>
        <cfvo type="num" val="95"/>
        <cfvo type="num" val="100"/>
      </iconSet>
    </cfRule>
    <cfRule type="iconSet" priority="890">
      <iconSet>
        <cfvo type="percent" val="0"/>
        <cfvo type="num" val="95"/>
        <cfvo type="num" val="100"/>
      </iconSet>
    </cfRule>
    <cfRule type="iconSet" priority="889">
      <iconSet>
        <cfvo type="percent" val="0"/>
        <cfvo type="num" val="95"/>
        <cfvo type="num" val="100"/>
      </iconSet>
    </cfRule>
    <cfRule type="iconSet" priority="886">
      <iconSet>
        <cfvo type="percent" val="0"/>
        <cfvo type="num" val="95"/>
        <cfvo type="num" val="100"/>
      </iconSet>
    </cfRule>
    <cfRule type="iconSet" priority="888">
      <iconSet>
        <cfvo type="percent" val="0"/>
        <cfvo type="num" val="70"/>
        <cfvo type="num" val="90"/>
      </iconSet>
    </cfRule>
    <cfRule type="iconSet" priority="887">
      <iconSet>
        <cfvo type="percent" val="0"/>
        <cfvo type="num" val="70"/>
        <cfvo type="num" val="90"/>
      </iconSet>
    </cfRule>
    <cfRule type="iconSet" priority="894">
      <iconSet>
        <cfvo type="percent" val="0"/>
        <cfvo type="num" val="95"/>
        <cfvo type="num" val="100"/>
      </iconSet>
    </cfRule>
    <cfRule type="iconSet" priority="893">
      <iconSet>
        <cfvo type="percent" val="0"/>
        <cfvo type="num" val="70"/>
        <cfvo type="num" val="90"/>
      </iconSet>
    </cfRule>
  </conditionalFormatting>
  <conditionalFormatting sqref="V21:V23">
    <cfRule type="iconSet" priority="814">
      <iconSet>
        <cfvo type="percent" val="0"/>
        <cfvo type="num" val="95"/>
        <cfvo type="num" val="100"/>
      </iconSet>
    </cfRule>
    <cfRule type="iconSet" priority="822">
      <iconSet>
        <cfvo type="percent" val="0"/>
        <cfvo type="num" val="95"/>
        <cfvo type="num" val="100"/>
      </iconSet>
    </cfRule>
    <cfRule type="iconSet" priority="821">
      <iconSet>
        <cfvo type="percent" val="0"/>
        <cfvo type="num" val="70"/>
        <cfvo type="num" val="90"/>
      </iconSet>
    </cfRule>
    <cfRule type="iconSet" priority="820">
      <iconSet>
        <cfvo type="percent" val="0"/>
        <cfvo type="num" val="70"/>
        <cfvo type="num" val="90"/>
      </iconSet>
    </cfRule>
    <cfRule type="iconSet" priority="819">
      <iconSet>
        <cfvo type="percent" val="0"/>
        <cfvo type="num" val="95"/>
        <cfvo type="num" val="100"/>
      </iconSet>
    </cfRule>
    <cfRule type="iconSet" priority="818">
      <iconSet>
        <cfvo type="percent" val="0"/>
        <cfvo type="num" val="95"/>
        <cfvo type="num" val="100"/>
      </iconSet>
    </cfRule>
    <cfRule type="iconSet" priority="817">
      <iconSet>
        <cfvo type="percent" val="0"/>
        <cfvo type="num" val="95"/>
        <cfvo type="num" val="100"/>
      </iconSet>
    </cfRule>
    <cfRule type="iconSet" priority="816">
      <iconSet>
        <cfvo type="percent" val="0"/>
        <cfvo type="num" val="70"/>
        <cfvo type="num" val="90"/>
      </iconSet>
    </cfRule>
    <cfRule type="iconSet" priority="815">
      <iconSet>
        <cfvo type="percent" val="0"/>
        <cfvo type="num" val="70"/>
        <cfvo type="num" val="90"/>
      </iconSet>
    </cfRule>
  </conditionalFormatting>
  <conditionalFormatting sqref="V24:V25">
    <cfRule type="iconSet" priority="806">
      <iconSet>
        <cfvo type="percent" val="0"/>
        <cfvo type="num" val="70"/>
        <cfvo type="num" val="90"/>
      </iconSet>
    </cfRule>
    <cfRule type="iconSet" priority="807">
      <iconSet>
        <cfvo type="percent" val="0"/>
        <cfvo type="num" val="70"/>
        <cfvo type="num" val="90"/>
      </iconSet>
    </cfRule>
    <cfRule type="iconSet" priority="808">
      <iconSet>
        <cfvo type="percent" val="0"/>
        <cfvo type="num" val="95"/>
        <cfvo type="num" val="100"/>
      </iconSet>
    </cfRule>
    <cfRule type="iconSet" priority="809">
      <iconSet>
        <cfvo type="percent" val="0"/>
        <cfvo type="num" val="95"/>
        <cfvo type="num" val="100"/>
      </iconSet>
    </cfRule>
    <cfRule type="iconSet" priority="810">
      <iconSet>
        <cfvo type="percent" val="0"/>
        <cfvo type="num" val="95"/>
        <cfvo type="num" val="100"/>
      </iconSet>
    </cfRule>
    <cfRule type="iconSet" priority="811">
      <iconSet>
        <cfvo type="percent" val="0"/>
        <cfvo type="num" val="70"/>
        <cfvo type="num" val="90"/>
      </iconSet>
    </cfRule>
    <cfRule type="iconSet" priority="813">
      <iconSet>
        <cfvo type="percent" val="0"/>
        <cfvo type="num" val="95"/>
        <cfvo type="num" val="100"/>
      </iconSet>
    </cfRule>
    <cfRule type="iconSet" priority="812">
      <iconSet>
        <cfvo type="percent" val="0"/>
        <cfvo type="num" val="70"/>
        <cfvo type="num" val="90"/>
      </iconSet>
    </cfRule>
    <cfRule type="iconSet" priority="805">
      <iconSet>
        <cfvo type="percent" val="0"/>
        <cfvo type="num" val="95"/>
        <cfvo type="num" val="100"/>
      </iconSet>
    </cfRule>
  </conditionalFormatting>
  <conditionalFormatting sqref="V26">
    <cfRule type="iconSet" priority="985">
      <iconSet>
        <cfvo type="percent" val="0"/>
        <cfvo type="num" val="95"/>
        <cfvo type="num" val="100"/>
      </iconSet>
    </cfRule>
    <cfRule type="iconSet" priority="984">
      <iconSet>
        <cfvo type="percent" val="0"/>
        <cfvo type="num" val="70"/>
        <cfvo type="num" val="90"/>
      </iconSet>
    </cfRule>
    <cfRule type="iconSet" priority="915">
      <iconSet>
        <cfvo type="percent" val="0"/>
        <cfvo type="num" val="70"/>
        <cfvo type="num" val="90"/>
      </iconSet>
    </cfRule>
    <cfRule type="iconSet" priority="914">
      <iconSet>
        <cfvo type="percent" val="0"/>
        <cfvo type="num" val="95"/>
        <cfvo type="num" val="100"/>
      </iconSet>
    </cfRule>
    <cfRule type="iconSet" priority="912">
      <iconSet>
        <cfvo type="percent" val="0"/>
        <cfvo type="num" val="95"/>
        <cfvo type="num" val="100"/>
      </iconSet>
    </cfRule>
    <cfRule type="iconSet" priority="911">
      <iconSet>
        <cfvo type="percent" val="0"/>
        <cfvo type="num" val="70"/>
        <cfvo type="num" val="90"/>
      </iconSet>
    </cfRule>
    <cfRule type="iconSet" priority="913">
      <iconSet>
        <cfvo type="percent" val="0"/>
        <cfvo type="num" val="70"/>
        <cfvo type="num" val="90"/>
      </iconSet>
    </cfRule>
    <cfRule type="iconSet" priority="910">
      <iconSet>
        <cfvo type="percent" val="0"/>
        <cfvo type="num" val="95"/>
        <cfvo type="num" val="100"/>
      </iconSet>
    </cfRule>
  </conditionalFormatting>
  <conditionalFormatting sqref="V27:V45">
    <cfRule type="iconSet" priority="47934">
      <iconSet>
        <cfvo type="percent" val="0"/>
        <cfvo type="num" val="70"/>
        <cfvo type="num" val="90"/>
      </iconSet>
    </cfRule>
    <cfRule type="iconSet" priority="47936">
      <iconSet>
        <cfvo type="percent" val="0"/>
        <cfvo type="num" val="95"/>
        <cfvo type="num" val="100"/>
      </iconSet>
    </cfRule>
    <cfRule type="iconSet" priority="47937">
      <iconSet>
        <cfvo type="percent" val="0"/>
        <cfvo type="num" val="95"/>
        <cfvo type="num" val="100"/>
      </iconSet>
    </cfRule>
    <cfRule type="iconSet" priority="47935">
      <iconSet>
        <cfvo type="percent" val="0"/>
        <cfvo type="num" val="70"/>
        <cfvo type="num" val="90"/>
      </iconSet>
    </cfRule>
    <cfRule type="iconSet" priority="47938">
      <iconSet>
        <cfvo type="percent" val="0"/>
        <cfvo type="num" val="95"/>
        <cfvo type="num" val="100"/>
      </iconSet>
    </cfRule>
    <cfRule type="iconSet" priority="47939">
      <iconSet>
        <cfvo type="percent" val="0"/>
        <cfvo type="num" val="70"/>
        <cfvo type="num" val="90"/>
      </iconSet>
    </cfRule>
    <cfRule type="iconSet" priority="47940">
      <iconSet>
        <cfvo type="percent" val="0"/>
        <cfvo type="num" val="70"/>
        <cfvo type="num" val="90"/>
      </iconSet>
    </cfRule>
    <cfRule type="iconSet" priority="47941">
      <iconSet>
        <cfvo type="percent" val="0"/>
        <cfvo type="num" val="95"/>
        <cfvo type="num" val="100"/>
      </iconSet>
    </cfRule>
    <cfRule type="iconSet" priority="47933">
      <iconSet>
        <cfvo type="percent" val="0"/>
        <cfvo type="num" val="95"/>
        <cfvo type="num" val="100"/>
      </iconSet>
    </cfRule>
  </conditionalFormatting>
  <conditionalFormatting sqref="V46:V47">
    <cfRule type="iconSet" priority="885">
      <iconSet>
        <cfvo type="percent" val="0"/>
        <cfvo type="num" val="95"/>
        <cfvo type="num" val="100"/>
      </iconSet>
    </cfRule>
    <cfRule type="iconSet" priority="884">
      <iconSet>
        <cfvo type="percent" val="0"/>
        <cfvo type="num" val="70"/>
        <cfvo type="num" val="90"/>
      </iconSet>
    </cfRule>
    <cfRule type="iconSet" priority="883">
      <iconSet>
        <cfvo type="percent" val="0"/>
        <cfvo type="num" val="70"/>
        <cfvo type="num" val="90"/>
      </iconSet>
    </cfRule>
    <cfRule type="iconSet" priority="882">
      <iconSet>
        <cfvo type="percent" val="0"/>
        <cfvo type="num" val="95"/>
        <cfvo type="num" val="100"/>
      </iconSet>
    </cfRule>
    <cfRule type="iconSet" priority="881">
      <iconSet>
        <cfvo type="percent" val="0"/>
        <cfvo type="num" val="95"/>
        <cfvo type="num" val="100"/>
      </iconSet>
    </cfRule>
    <cfRule type="iconSet" priority="880">
      <iconSet>
        <cfvo type="percent" val="0"/>
        <cfvo type="num" val="95"/>
        <cfvo type="num" val="100"/>
      </iconSet>
    </cfRule>
    <cfRule type="iconSet" priority="879">
      <iconSet>
        <cfvo type="percent" val="0"/>
        <cfvo type="num" val="70"/>
        <cfvo type="num" val="90"/>
      </iconSet>
    </cfRule>
    <cfRule type="iconSet" priority="878">
      <iconSet>
        <cfvo type="percent" val="0"/>
        <cfvo type="num" val="70"/>
        <cfvo type="num" val="90"/>
      </iconSet>
    </cfRule>
    <cfRule type="iconSet" priority="877">
      <iconSet>
        <cfvo type="percent" val="0"/>
        <cfvo type="num" val="95"/>
        <cfvo type="num" val="100"/>
      </iconSet>
    </cfRule>
  </conditionalFormatting>
  <conditionalFormatting sqref="V48">
    <cfRule type="iconSet" priority="48023">
      <iconSet>
        <cfvo type="percent" val="0"/>
        <cfvo type="num" val="95"/>
        <cfvo type="num" val="100"/>
      </iconSet>
    </cfRule>
    <cfRule type="iconSet" priority="48024">
      <iconSet>
        <cfvo type="percent" val="0"/>
        <cfvo type="num" val="70"/>
        <cfvo type="num" val="90"/>
      </iconSet>
    </cfRule>
    <cfRule type="iconSet" priority="48031">
      <iconSet>
        <cfvo type="percent" val="0"/>
        <cfvo type="num" val="95"/>
        <cfvo type="num" val="100"/>
      </iconSet>
    </cfRule>
    <cfRule type="iconSet" priority="48030">
      <iconSet>
        <cfvo type="percent" val="0"/>
        <cfvo type="num" val="70"/>
        <cfvo type="num" val="90"/>
      </iconSet>
    </cfRule>
    <cfRule type="iconSet" priority="48029">
      <iconSet>
        <cfvo type="percent" val="0"/>
        <cfvo type="num" val="70"/>
        <cfvo type="num" val="90"/>
      </iconSet>
    </cfRule>
    <cfRule type="iconSet" priority="48028">
      <iconSet>
        <cfvo type="percent" val="0"/>
        <cfvo type="num" val="95"/>
        <cfvo type="num" val="100"/>
      </iconSet>
    </cfRule>
    <cfRule type="iconSet" priority="48027">
      <iconSet>
        <cfvo type="percent" val="0"/>
        <cfvo type="num" val="95"/>
        <cfvo type="num" val="100"/>
      </iconSet>
    </cfRule>
    <cfRule type="iconSet" priority="48026">
      <iconSet>
        <cfvo type="percent" val="0"/>
        <cfvo type="num" val="95"/>
        <cfvo type="num" val="100"/>
      </iconSet>
    </cfRule>
    <cfRule type="iconSet" priority="48025">
      <iconSet>
        <cfvo type="percent" val="0"/>
        <cfvo type="num" val="70"/>
        <cfvo type="num" val="90"/>
      </iconSet>
    </cfRule>
  </conditionalFormatting>
  <conditionalFormatting sqref="V49:V54">
    <cfRule type="iconSet" priority="48113">
      <iconSet>
        <cfvo type="percent" val="0"/>
        <cfvo type="num" val="95"/>
        <cfvo type="num" val="100"/>
      </iconSet>
    </cfRule>
    <cfRule type="iconSet" priority="48112">
      <iconSet>
        <cfvo type="percent" val="0"/>
        <cfvo type="num" val="95"/>
        <cfvo type="num" val="100"/>
      </iconSet>
    </cfRule>
    <cfRule type="iconSet" priority="48111">
      <iconSet>
        <cfvo type="percent" val="0"/>
        <cfvo type="num" val="70"/>
        <cfvo type="num" val="90"/>
      </iconSet>
    </cfRule>
    <cfRule type="iconSet" priority="48110">
      <iconSet>
        <cfvo type="percent" val="0"/>
        <cfvo type="num" val="70"/>
        <cfvo type="num" val="90"/>
      </iconSet>
    </cfRule>
    <cfRule type="iconSet" priority="48109">
      <iconSet>
        <cfvo type="percent" val="0"/>
        <cfvo type="num" val="95"/>
        <cfvo type="num" val="100"/>
      </iconSet>
    </cfRule>
    <cfRule type="iconSet" priority="48114">
      <iconSet>
        <cfvo type="percent" val="0"/>
        <cfvo type="num" val="95"/>
        <cfvo type="num" val="100"/>
      </iconSet>
    </cfRule>
    <cfRule type="iconSet" priority="48117">
      <iconSet>
        <cfvo type="percent" val="0"/>
        <cfvo type="num" val="95"/>
        <cfvo type="num" val="100"/>
      </iconSet>
    </cfRule>
    <cfRule type="iconSet" priority="48116">
      <iconSet>
        <cfvo type="percent" val="0"/>
        <cfvo type="num" val="70"/>
        <cfvo type="num" val="90"/>
      </iconSet>
    </cfRule>
    <cfRule type="iconSet" priority="48115">
      <iconSet>
        <cfvo type="percent" val="0"/>
        <cfvo type="num" val="70"/>
        <cfvo type="num" val="90"/>
      </iconSet>
    </cfRule>
  </conditionalFormatting>
  <conditionalFormatting sqref="V55">
    <cfRule type="iconSet" priority="799">
      <iconSet>
        <cfvo type="percent" val="0"/>
        <cfvo type="num" val="95"/>
        <cfvo type="num" val="100"/>
      </iconSet>
    </cfRule>
    <cfRule type="iconSet" priority="800">
      <iconSet>
        <cfvo type="percent" val="0"/>
        <cfvo type="num" val="95"/>
        <cfvo type="num" val="100"/>
      </iconSet>
    </cfRule>
    <cfRule type="iconSet" priority="796">
      <iconSet>
        <cfvo type="percent" val="0"/>
        <cfvo type="num" val="95"/>
        <cfvo type="num" val="100"/>
      </iconSet>
    </cfRule>
    <cfRule type="iconSet" priority="801">
      <iconSet>
        <cfvo type="percent" val="0"/>
        <cfvo type="num" val="95"/>
        <cfvo type="num" val="100"/>
      </iconSet>
    </cfRule>
    <cfRule type="iconSet" priority="798">
      <iconSet>
        <cfvo type="percent" val="0"/>
        <cfvo type="num" val="70"/>
        <cfvo type="num" val="90"/>
      </iconSet>
    </cfRule>
    <cfRule type="iconSet" priority="804">
      <iconSet>
        <cfvo type="percent" val="0"/>
        <cfvo type="num" val="95"/>
        <cfvo type="num" val="100"/>
      </iconSet>
    </cfRule>
    <cfRule type="iconSet" priority="802">
      <iconSet>
        <cfvo type="percent" val="0"/>
        <cfvo type="num" val="70"/>
        <cfvo type="num" val="90"/>
      </iconSet>
    </cfRule>
    <cfRule type="iconSet" priority="803">
      <iconSet>
        <cfvo type="percent" val="0"/>
        <cfvo type="num" val="70"/>
        <cfvo type="num" val="90"/>
      </iconSet>
    </cfRule>
    <cfRule type="iconSet" priority="797">
      <iconSet>
        <cfvo type="percent" val="0"/>
        <cfvo type="num" val="70"/>
        <cfvo type="num" val="90"/>
      </iconSet>
    </cfRule>
  </conditionalFormatting>
  <conditionalFormatting sqref="V56 V26">
    <cfRule type="iconSet" priority="988">
      <iconSet>
        <cfvo type="percent" val="0"/>
        <cfvo type="num" val="95"/>
        <cfvo type="num" val="100"/>
      </iconSet>
    </cfRule>
  </conditionalFormatting>
  <conditionalFormatting sqref="V56">
    <cfRule type="iconSet" priority="960">
      <iconSet>
        <cfvo type="percent" val="0"/>
        <cfvo type="num" val="95"/>
        <cfvo type="num" val="100"/>
      </iconSet>
    </cfRule>
    <cfRule type="iconSet" priority="959">
      <iconSet>
        <cfvo type="percent" val="0"/>
        <cfvo type="num" val="70"/>
        <cfvo type="num" val="90"/>
      </iconSet>
    </cfRule>
    <cfRule type="iconSet" priority="958">
      <iconSet>
        <cfvo type="percent" val="0"/>
        <cfvo type="num" val="95"/>
        <cfvo type="num" val="100"/>
      </iconSet>
    </cfRule>
    <cfRule type="iconSet" priority="957">
      <iconSet>
        <cfvo type="percent" val="0"/>
        <cfvo type="num" val="70"/>
        <cfvo type="num" val="90"/>
      </iconSet>
    </cfRule>
    <cfRule type="iconSet" priority="956">
      <iconSet>
        <cfvo type="percent" val="0"/>
        <cfvo type="num" val="95"/>
        <cfvo type="num" val="100"/>
      </iconSet>
    </cfRule>
    <cfRule type="iconSet" priority="955">
      <iconSet>
        <cfvo type="percent" val="0"/>
        <cfvo type="num" val="70"/>
        <cfvo type="num" val="90"/>
      </iconSet>
    </cfRule>
    <cfRule type="iconSet" priority="954">
      <iconSet>
        <cfvo type="percent" val="0"/>
        <cfvo type="num" val="95"/>
        <cfvo type="num" val="100"/>
      </iconSet>
    </cfRule>
    <cfRule type="iconSet" priority="953">
      <iconSet>
        <cfvo type="percent" val="0"/>
        <cfvo type="num" val="70"/>
        <cfvo type="num" val="90"/>
      </iconSet>
    </cfRule>
    <cfRule type="iconSet" priority="952">
      <iconSet>
        <cfvo type="percent" val="0"/>
        <cfvo type="num" val="95"/>
        <cfvo type="num" val="100"/>
      </iconSet>
    </cfRule>
    <cfRule type="iconSet" priority="951">
      <iconSet>
        <cfvo type="percent" val="0"/>
        <cfvo type="num" val="70"/>
        <cfvo type="num" val="90"/>
      </iconSet>
    </cfRule>
    <cfRule type="iconSet" priority="950">
      <iconSet>
        <cfvo type="percent" val="0"/>
        <cfvo type="num" val="95"/>
        <cfvo type="num" val="100"/>
      </iconSet>
    </cfRule>
    <cfRule type="iconSet" priority="949">
      <iconSet>
        <cfvo type="percent" val="0"/>
        <cfvo type="num" val="70"/>
        <cfvo type="num" val="90"/>
      </iconSet>
    </cfRule>
    <cfRule type="iconSet" priority="948">
      <iconSet>
        <cfvo type="percent" val="0"/>
        <cfvo type="num" val="95"/>
        <cfvo type="num" val="100"/>
      </iconSet>
    </cfRule>
    <cfRule type="iconSet" priority="947">
      <iconSet>
        <cfvo type="percent" val="0"/>
        <cfvo type="num" val="70"/>
        <cfvo type="num" val="90"/>
      </iconSet>
    </cfRule>
    <cfRule type="iconSet" priority="946">
      <iconSet>
        <cfvo type="percent" val="0"/>
        <cfvo type="num" val="95"/>
        <cfvo type="num" val="100"/>
      </iconSet>
    </cfRule>
    <cfRule type="iconSet" priority="945">
      <iconSet>
        <cfvo type="percent" val="0"/>
        <cfvo type="num" val="70"/>
        <cfvo type="num" val="90"/>
      </iconSet>
    </cfRule>
    <cfRule type="iconSet" priority="944">
      <iconSet>
        <cfvo type="percent" val="0"/>
        <cfvo type="num" val="95"/>
        <cfvo type="num" val="100"/>
      </iconSet>
    </cfRule>
    <cfRule type="iconSet" priority="943">
      <iconSet>
        <cfvo type="percent" val="0"/>
        <cfvo type="num" val="70"/>
        <cfvo type="num" val="90"/>
      </iconSet>
    </cfRule>
    <cfRule type="iconSet" priority="942">
      <iconSet>
        <cfvo type="percent" val="0"/>
        <cfvo type="num" val="95"/>
        <cfvo type="num" val="100"/>
      </iconSet>
    </cfRule>
    <cfRule type="iconSet" priority="941">
      <iconSet>
        <cfvo type="percent" val="0"/>
        <cfvo type="num" val="70"/>
        <cfvo type="num" val="90"/>
      </iconSet>
    </cfRule>
    <cfRule type="iconSet" priority="918">
      <iconSet>
        <cfvo type="percent" val="0"/>
        <cfvo type="num" val="95"/>
        <cfvo type="num" val="100"/>
      </iconSet>
    </cfRule>
    <cfRule type="iconSet" priority="939">
      <iconSet>
        <cfvo type="percent" val="0"/>
        <cfvo type="num" val="70"/>
        <cfvo type="num" val="90"/>
      </iconSet>
    </cfRule>
    <cfRule type="iconSet" priority="938">
      <iconSet>
        <cfvo type="percent" val="0"/>
        <cfvo type="num" val="95"/>
        <cfvo type="num" val="100"/>
      </iconSet>
    </cfRule>
    <cfRule type="iconSet" priority="937">
      <iconSet>
        <cfvo type="percent" val="0"/>
        <cfvo type="num" val="70"/>
        <cfvo type="num" val="90"/>
      </iconSet>
    </cfRule>
    <cfRule type="iconSet" priority="936">
      <iconSet>
        <cfvo type="percent" val="0"/>
        <cfvo type="num" val="95"/>
        <cfvo type="num" val="100"/>
      </iconSet>
    </cfRule>
    <cfRule type="iconSet" priority="935">
      <iconSet>
        <cfvo type="percent" val="0"/>
        <cfvo type="num" val="70"/>
        <cfvo type="num" val="90"/>
      </iconSet>
    </cfRule>
    <cfRule type="iconSet" priority="934">
      <iconSet>
        <cfvo type="percent" val="0"/>
        <cfvo type="num" val="95"/>
        <cfvo type="num" val="100"/>
      </iconSet>
    </cfRule>
    <cfRule type="iconSet" priority="933">
      <iconSet>
        <cfvo type="percent" val="0"/>
        <cfvo type="num" val="70"/>
        <cfvo type="num" val="90"/>
      </iconSet>
    </cfRule>
    <cfRule type="iconSet" priority="932">
      <iconSet>
        <cfvo type="percent" val="0"/>
        <cfvo type="num" val="95"/>
        <cfvo type="num" val="100"/>
      </iconSet>
    </cfRule>
    <cfRule type="iconSet" priority="931">
      <iconSet>
        <cfvo type="percent" val="0"/>
        <cfvo type="num" val="70"/>
        <cfvo type="num" val="90"/>
      </iconSet>
    </cfRule>
    <cfRule type="iconSet" priority="930">
      <iconSet>
        <cfvo type="percent" val="0"/>
        <cfvo type="num" val="95"/>
        <cfvo type="num" val="100"/>
      </iconSet>
    </cfRule>
    <cfRule type="iconSet" priority="929">
      <iconSet>
        <cfvo type="percent" val="0"/>
        <cfvo type="num" val="70"/>
        <cfvo type="num" val="90"/>
      </iconSet>
    </cfRule>
    <cfRule type="iconSet" priority="928">
      <iconSet>
        <cfvo type="percent" val="0"/>
        <cfvo type="num" val="95"/>
        <cfvo type="num" val="100"/>
      </iconSet>
    </cfRule>
    <cfRule type="iconSet" priority="927">
      <iconSet>
        <cfvo type="percent" val="0"/>
        <cfvo type="num" val="70"/>
        <cfvo type="num" val="90"/>
      </iconSet>
    </cfRule>
    <cfRule type="iconSet" priority="926">
      <iconSet>
        <cfvo type="percent" val="0"/>
        <cfvo type="num" val="95"/>
        <cfvo type="num" val="100"/>
      </iconSet>
    </cfRule>
    <cfRule type="iconSet" priority="925">
      <iconSet>
        <cfvo type="percent" val="0"/>
        <cfvo type="num" val="70"/>
        <cfvo type="num" val="90"/>
      </iconSet>
    </cfRule>
    <cfRule type="iconSet" priority="924">
      <iconSet>
        <cfvo type="percent" val="0"/>
        <cfvo type="num" val="95"/>
        <cfvo type="num" val="100"/>
      </iconSet>
    </cfRule>
    <cfRule type="iconSet" priority="923">
      <iconSet>
        <cfvo type="percent" val="0"/>
        <cfvo type="num" val="70"/>
        <cfvo type="num" val="90"/>
      </iconSet>
    </cfRule>
    <cfRule type="iconSet" priority="922">
      <iconSet>
        <cfvo type="percent" val="0"/>
        <cfvo type="num" val="95"/>
        <cfvo type="num" val="100"/>
      </iconSet>
    </cfRule>
    <cfRule type="iconSet" priority="921">
      <iconSet>
        <cfvo type="percent" val="0"/>
        <cfvo type="num" val="70"/>
        <cfvo type="num" val="90"/>
      </iconSet>
    </cfRule>
    <cfRule type="iconSet" priority="920">
      <iconSet>
        <cfvo type="percent" val="0"/>
        <cfvo type="num" val="95"/>
        <cfvo type="num" val="100"/>
      </iconSet>
    </cfRule>
    <cfRule type="iconSet" priority="919">
      <iconSet>
        <cfvo type="percent" val="0"/>
        <cfvo type="num" val="70"/>
        <cfvo type="num" val="90"/>
      </iconSet>
    </cfRule>
    <cfRule type="iconSet" priority="917">
      <iconSet>
        <cfvo type="percent" val="0"/>
        <cfvo type="num" val="70"/>
        <cfvo type="num" val="90"/>
      </iconSet>
    </cfRule>
    <cfRule type="iconSet" priority="916">
      <iconSet>
        <cfvo type="percent" val="0"/>
        <cfvo type="num" val="95"/>
        <cfvo type="num" val="100"/>
      </iconSet>
    </cfRule>
    <cfRule type="iconSet" priority="962">
      <iconSet>
        <cfvo type="percent" val="0"/>
        <cfvo type="num" val="95"/>
        <cfvo type="num" val="100"/>
      </iconSet>
    </cfRule>
    <cfRule type="iconSet" priority="904">
      <iconSet>
        <cfvo type="percent" val="0"/>
        <cfvo type="num" val="95"/>
        <cfvo type="num" val="100"/>
      </iconSet>
    </cfRule>
    <cfRule type="iconSet" priority="905">
      <iconSet>
        <cfvo type="percent" val="0"/>
        <cfvo type="num" val="70"/>
        <cfvo type="num" val="90"/>
      </iconSet>
    </cfRule>
    <cfRule type="iconSet" priority="906">
      <iconSet>
        <cfvo type="percent" val="0"/>
        <cfvo type="num" val="95"/>
        <cfvo type="num" val="100"/>
      </iconSet>
    </cfRule>
    <cfRule type="iconSet" priority="907">
      <iconSet>
        <cfvo type="percent" val="0"/>
        <cfvo type="num" val="70"/>
        <cfvo type="num" val="90"/>
      </iconSet>
    </cfRule>
    <cfRule type="iconSet" priority="908">
      <iconSet>
        <cfvo type="percent" val="0"/>
        <cfvo type="num" val="95"/>
        <cfvo type="num" val="100"/>
      </iconSet>
    </cfRule>
    <cfRule type="iconSet" priority="909">
      <iconSet>
        <cfvo type="percent" val="0"/>
        <cfvo type="num" val="70"/>
        <cfvo type="num" val="90"/>
      </iconSet>
    </cfRule>
    <cfRule type="iconSet" priority="978">
      <iconSet>
        <cfvo type="percent" val="0"/>
        <cfvo type="num" val="95"/>
        <cfvo type="num" val="100"/>
      </iconSet>
    </cfRule>
    <cfRule type="iconSet" priority="940">
      <iconSet>
        <cfvo type="percent" val="0"/>
        <cfvo type="num" val="95"/>
        <cfvo type="num" val="100"/>
      </iconSet>
    </cfRule>
    <cfRule type="iconSet" priority="961">
      <iconSet>
        <cfvo type="percent" val="0"/>
        <cfvo type="num" val="70"/>
        <cfvo type="num" val="90"/>
      </iconSet>
    </cfRule>
    <cfRule type="iconSet" priority="983">
      <iconSet>
        <cfvo type="percent" val="0"/>
        <cfvo type="num" val="70"/>
        <cfvo type="num" val="90"/>
      </iconSet>
    </cfRule>
    <cfRule type="iconSet" priority="982">
      <iconSet>
        <cfvo type="percent" val="0"/>
        <cfvo type="num" val="95"/>
        <cfvo type="num" val="100"/>
      </iconSet>
    </cfRule>
    <cfRule type="iconSet" priority="981">
      <iconSet>
        <cfvo type="percent" val="0"/>
        <cfvo type="num" val="70"/>
        <cfvo type="num" val="90"/>
      </iconSet>
    </cfRule>
    <cfRule type="iconSet" priority="980">
      <iconSet>
        <cfvo type="percent" val="0"/>
        <cfvo type="num" val="95"/>
        <cfvo type="num" val="100"/>
      </iconSet>
    </cfRule>
    <cfRule type="iconSet" priority="979">
      <iconSet>
        <cfvo type="percent" val="0"/>
        <cfvo type="num" val="70"/>
        <cfvo type="num" val="90"/>
      </iconSet>
    </cfRule>
    <cfRule type="iconSet" priority="963">
      <iconSet>
        <cfvo type="percent" val="0"/>
        <cfvo type="num" val="70"/>
        <cfvo type="num" val="90"/>
      </iconSet>
    </cfRule>
    <cfRule type="iconSet" priority="977">
      <iconSet>
        <cfvo type="percent" val="0"/>
        <cfvo type="num" val="95"/>
        <cfvo type="num" val="100"/>
      </iconSet>
    </cfRule>
    <cfRule type="iconSet" priority="976">
      <iconSet>
        <cfvo type="percent" val="0"/>
        <cfvo type="num" val="70"/>
        <cfvo type="num" val="90"/>
      </iconSet>
    </cfRule>
    <cfRule type="iconSet" priority="975">
      <iconSet>
        <cfvo type="percent" val="0"/>
        <cfvo type="num" val="70"/>
        <cfvo type="num" val="90"/>
      </iconSet>
    </cfRule>
    <cfRule type="iconSet" priority="974">
      <iconSet>
        <cfvo type="percent" val="0"/>
        <cfvo type="num" val="95"/>
        <cfvo type="num" val="100"/>
      </iconSet>
    </cfRule>
    <cfRule type="iconSet" priority="973">
      <iconSet>
        <cfvo type="percent" val="0"/>
        <cfvo type="num" val="95"/>
        <cfvo type="num" val="100"/>
      </iconSet>
    </cfRule>
    <cfRule type="iconSet" priority="972">
      <iconSet>
        <cfvo type="percent" val="0"/>
        <cfvo type="num" val="70"/>
        <cfvo type="num" val="90"/>
      </iconSet>
    </cfRule>
    <cfRule type="iconSet" priority="971">
      <iconSet>
        <cfvo type="percent" val="0"/>
        <cfvo type="num" val="70"/>
        <cfvo type="num" val="90"/>
      </iconSet>
    </cfRule>
    <cfRule type="iconSet" priority="970">
      <iconSet>
        <cfvo type="percent" val="0"/>
        <cfvo type="num" val="95"/>
        <cfvo type="num" val="100"/>
      </iconSet>
    </cfRule>
    <cfRule type="iconSet" priority="969">
      <iconSet>
        <cfvo type="percent" val="0"/>
        <cfvo type="num" val="70"/>
        <cfvo type="num" val="90"/>
      </iconSet>
    </cfRule>
    <cfRule type="iconSet" priority="968">
      <iconSet>
        <cfvo type="percent" val="0"/>
        <cfvo type="num" val="95"/>
        <cfvo type="num" val="100"/>
      </iconSet>
    </cfRule>
    <cfRule type="iconSet" priority="967">
      <iconSet>
        <cfvo type="percent" val="0"/>
        <cfvo type="num" val="70"/>
        <cfvo type="num" val="90"/>
      </iconSet>
    </cfRule>
    <cfRule type="iconSet" priority="966">
      <iconSet>
        <cfvo type="percent" val="0"/>
        <cfvo type="num" val="95"/>
        <cfvo type="num" val="100"/>
      </iconSet>
    </cfRule>
    <cfRule type="iconSet" priority="965">
      <iconSet>
        <cfvo type="percent" val="0"/>
        <cfvo type="num" val="70"/>
        <cfvo type="num" val="90"/>
      </iconSet>
    </cfRule>
    <cfRule type="iconSet" priority="964">
      <iconSet>
        <cfvo type="percent" val="0"/>
        <cfvo type="num" val="95"/>
        <cfvo type="num" val="100"/>
      </iconSet>
    </cfRule>
  </conditionalFormatting>
  <conditionalFormatting sqref="V57">
    <cfRule type="iconSet" priority="47646">
      <iconSet>
        <cfvo type="percent" val="0"/>
        <cfvo type="num" val="95"/>
        <cfvo type="num" val="100"/>
      </iconSet>
    </cfRule>
  </conditionalFormatting>
  <conditionalFormatting sqref="V58">
    <cfRule type="iconSet" priority="4317">
      <iconSet>
        <cfvo type="percent" val="0"/>
        <cfvo type="num" val="95"/>
        <cfvo type="num" val="100"/>
      </iconSet>
    </cfRule>
  </conditionalFormatting>
  <conditionalFormatting sqref="AA10:AA18">
    <cfRule type="iconSet" priority="48271">
      <iconSet iconSet="3ArrowsGray" showValue="0">
        <cfvo type="percent" val="0"/>
        <cfvo type="num" val="2"/>
        <cfvo type="num" val="3"/>
      </iconSet>
    </cfRule>
  </conditionalFormatting>
  <conditionalFormatting sqref="AA20:AA56">
    <cfRule type="iconSet" priority="48193">
      <iconSet iconSet="3ArrowsGray" showValue="0">
        <cfvo type="percent" val="0"/>
        <cfvo type="num" val="2"/>
        <cfvo type="num" val="3"/>
      </iconSet>
    </cfRule>
  </conditionalFormatting>
  <conditionalFormatting sqref="AA57">
    <cfRule type="iconSet" priority="3941">
      <iconSet iconSet="3ArrowsGray" showValue="0">
        <cfvo type="percent" val="0"/>
        <cfvo type="num" val="2"/>
        <cfvo type="num" val="3"/>
      </iconSet>
    </cfRule>
  </conditionalFormatting>
  <conditionalFormatting sqref="AA58">
    <cfRule type="iconSet" priority="3917">
      <iconSet iconSet="3ArrowsGray" showValue="0">
        <cfvo type="percent" val="0"/>
        <cfvo type="num" val="2"/>
        <cfvo type="num" val="3"/>
      </iconSet>
    </cfRule>
  </conditionalFormatting>
  <conditionalFormatting sqref="AB10:AB18">
    <cfRule type="iconSet" priority="48273">
      <iconSet iconSet="3ArrowsGray" showValue="0">
        <cfvo type="percent" val="0"/>
        <cfvo type="num" val="2"/>
        <cfvo type="num" val="3"/>
      </iconSet>
    </cfRule>
  </conditionalFormatting>
  <conditionalFormatting sqref="AB20:AB56">
    <cfRule type="iconSet" priority="48194">
      <iconSet iconSet="3ArrowsGray" showValue="0">
        <cfvo type="percent" val="0"/>
        <cfvo type="num" val="2"/>
        <cfvo type="num" val="3"/>
      </iconSet>
    </cfRule>
  </conditionalFormatting>
  <conditionalFormatting sqref="AB57">
    <cfRule type="iconSet" priority="3942">
      <iconSet iconSet="3ArrowsGray" showValue="0">
        <cfvo type="percent" val="0"/>
        <cfvo type="num" val="2"/>
        <cfvo type="num" val="3"/>
      </iconSet>
    </cfRule>
  </conditionalFormatting>
  <conditionalFormatting sqref="AB58">
    <cfRule type="iconSet" priority="3918">
      <iconSet iconSet="3ArrowsGray" showValue="0">
        <cfvo type="percent" val="0"/>
        <cfvo type="num" val="2"/>
        <cfvo type="num" val="3"/>
      </iconSet>
    </cfRule>
  </conditionalFormatting>
  <conditionalFormatting sqref="AG10">
    <cfRule type="iconSet" priority="671">
      <iconSet>
        <cfvo type="percent" val="0"/>
        <cfvo type="num" val="95"/>
        <cfvo type="num" val="100"/>
      </iconSet>
    </cfRule>
    <cfRule type="iconSet" priority="670">
      <iconSet>
        <cfvo type="percent" val="0"/>
        <cfvo type="num" val="95"/>
        <cfvo type="num" val="100"/>
      </iconSet>
    </cfRule>
    <cfRule type="iconSet" priority="669">
      <iconSet>
        <cfvo type="percent" val="0"/>
        <cfvo type="num" val="95"/>
        <cfvo type="num" val="100"/>
      </iconSet>
    </cfRule>
    <cfRule type="iconSet" priority="668">
      <iconSet>
        <cfvo type="percent" val="0"/>
        <cfvo type="num" val="70"/>
        <cfvo type="num" val="90"/>
      </iconSet>
    </cfRule>
    <cfRule type="iconSet" priority="667">
      <iconSet>
        <cfvo type="percent" val="0"/>
        <cfvo type="num" val="70"/>
        <cfvo type="num" val="90"/>
      </iconSet>
    </cfRule>
    <cfRule type="iconSet" priority="666">
      <iconSet>
        <cfvo type="percent" val="0"/>
        <cfvo type="num" val="95"/>
        <cfvo type="num" val="100"/>
      </iconSet>
    </cfRule>
    <cfRule type="iconSet" priority="674">
      <iconSet>
        <cfvo type="percent" val="0"/>
        <cfvo type="num" val="95"/>
        <cfvo type="num" val="100"/>
      </iconSet>
    </cfRule>
    <cfRule type="iconSet" priority="673">
      <iconSet>
        <cfvo type="percent" val="0"/>
        <cfvo type="num" val="70"/>
        <cfvo type="num" val="90"/>
      </iconSet>
    </cfRule>
    <cfRule type="iconSet" priority="672">
      <iconSet>
        <cfvo type="percent" val="0"/>
        <cfvo type="num" val="70"/>
        <cfvo type="num" val="90"/>
      </iconSet>
    </cfRule>
  </conditionalFormatting>
  <conditionalFormatting sqref="AG11">
    <cfRule type="iconSet" priority="637">
      <iconSet>
        <cfvo type="percent" val="0"/>
        <cfvo type="num" val="70"/>
        <cfvo type="num" val="90"/>
      </iconSet>
    </cfRule>
    <cfRule type="iconSet" priority="638">
      <iconSet>
        <cfvo type="percent" val="0"/>
        <cfvo type="num" val="95"/>
        <cfvo type="num" val="100"/>
      </iconSet>
    </cfRule>
    <cfRule type="iconSet" priority="631">
      <iconSet>
        <cfvo type="percent" val="0"/>
        <cfvo type="num" val="70"/>
        <cfvo type="num" val="90"/>
      </iconSet>
    </cfRule>
    <cfRule type="iconSet" priority="630">
      <iconSet>
        <cfvo type="percent" val="0"/>
        <cfvo type="num" val="95"/>
        <cfvo type="num" val="100"/>
      </iconSet>
    </cfRule>
    <cfRule type="iconSet" priority="632">
      <iconSet>
        <cfvo type="percent" val="0"/>
        <cfvo type="num" val="70"/>
        <cfvo type="num" val="90"/>
      </iconSet>
    </cfRule>
    <cfRule type="iconSet" priority="633">
      <iconSet>
        <cfvo type="percent" val="0"/>
        <cfvo type="num" val="95"/>
        <cfvo type="num" val="100"/>
      </iconSet>
    </cfRule>
    <cfRule type="iconSet" priority="634">
      <iconSet>
        <cfvo type="percent" val="0"/>
        <cfvo type="num" val="95"/>
        <cfvo type="num" val="100"/>
      </iconSet>
    </cfRule>
    <cfRule type="iconSet" priority="635">
      <iconSet>
        <cfvo type="percent" val="0"/>
        <cfvo type="num" val="95"/>
        <cfvo type="num" val="100"/>
      </iconSet>
    </cfRule>
    <cfRule type="iconSet" priority="636">
      <iconSet>
        <cfvo type="percent" val="0"/>
        <cfvo type="num" val="70"/>
        <cfvo type="num" val="90"/>
      </iconSet>
    </cfRule>
  </conditionalFormatting>
  <conditionalFormatting sqref="AG12:AG17">
    <cfRule type="iconSet" priority="48275">
      <iconSet>
        <cfvo type="percent" val="0"/>
        <cfvo type="num" val="95"/>
        <cfvo type="num" val="100"/>
      </iconSet>
    </cfRule>
    <cfRule type="iconSet" priority="48276">
      <iconSet>
        <cfvo type="percent" val="0"/>
        <cfvo type="num" val="70"/>
        <cfvo type="num" val="90"/>
      </iconSet>
    </cfRule>
    <cfRule type="iconSet" priority="48277">
      <iconSet>
        <cfvo type="percent" val="0"/>
        <cfvo type="num" val="70"/>
        <cfvo type="num" val="90"/>
      </iconSet>
    </cfRule>
    <cfRule type="iconSet" priority="48278">
      <iconSet>
        <cfvo type="percent" val="0"/>
        <cfvo type="num" val="95"/>
        <cfvo type="num" val="100"/>
      </iconSet>
    </cfRule>
    <cfRule type="iconSet" priority="48279">
      <iconSet>
        <cfvo type="percent" val="0"/>
        <cfvo type="num" val="95"/>
        <cfvo type="num" val="100"/>
      </iconSet>
    </cfRule>
    <cfRule type="iconSet" priority="48281">
      <iconSet>
        <cfvo type="percent" val="0"/>
        <cfvo type="num" val="70"/>
        <cfvo type="num" val="90"/>
      </iconSet>
    </cfRule>
    <cfRule type="iconSet" priority="48283">
      <iconSet>
        <cfvo type="percent" val="0"/>
        <cfvo type="num" val="95"/>
        <cfvo type="num" val="100"/>
      </iconSet>
    </cfRule>
    <cfRule type="iconSet" priority="48282">
      <iconSet>
        <cfvo type="percent" val="0"/>
        <cfvo type="num" val="70"/>
        <cfvo type="num" val="90"/>
      </iconSet>
    </cfRule>
    <cfRule type="iconSet" priority="48280">
      <iconSet>
        <cfvo type="percent" val="0"/>
        <cfvo type="num" val="95"/>
        <cfvo type="num" val="100"/>
      </iconSet>
    </cfRule>
  </conditionalFormatting>
  <conditionalFormatting sqref="AG18">
    <cfRule type="iconSet" priority="606">
      <iconSet>
        <cfvo type="percent" val="0"/>
        <cfvo type="num" val="95"/>
        <cfvo type="num" val="100"/>
      </iconSet>
    </cfRule>
    <cfRule type="iconSet" priority="607">
      <iconSet>
        <cfvo type="percent" val="0"/>
        <cfvo type="num" val="95"/>
        <cfvo type="num" val="100"/>
      </iconSet>
    </cfRule>
    <cfRule type="iconSet" priority="608">
      <iconSet>
        <cfvo type="percent" val="0"/>
        <cfvo type="num" val="95"/>
        <cfvo type="num" val="100"/>
      </iconSet>
    </cfRule>
    <cfRule type="iconSet" priority="609">
      <iconSet>
        <cfvo type="percent" val="0"/>
        <cfvo type="num" val="70"/>
        <cfvo type="num" val="90"/>
      </iconSet>
    </cfRule>
    <cfRule type="iconSet" priority="610">
      <iconSet>
        <cfvo type="percent" val="0"/>
        <cfvo type="num" val="70"/>
        <cfvo type="num" val="90"/>
      </iconSet>
    </cfRule>
    <cfRule type="iconSet" priority="611">
      <iconSet>
        <cfvo type="percent" val="0"/>
        <cfvo type="num" val="95"/>
        <cfvo type="num" val="100"/>
      </iconSet>
    </cfRule>
    <cfRule type="iconSet" priority="605">
      <iconSet>
        <cfvo type="percent" val="0"/>
        <cfvo type="num" val="70"/>
        <cfvo type="num" val="90"/>
      </iconSet>
    </cfRule>
    <cfRule type="iconSet" priority="603">
      <iconSet>
        <cfvo type="percent" val="0"/>
        <cfvo type="num" val="95"/>
        <cfvo type="num" val="100"/>
      </iconSet>
    </cfRule>
    <cfRule type="iconSet" priority="604">
      <iconSet>
        <cfvo type="percent" val="0"/>
        <cfvo type="num" val="70"/>
        <cfvo type="num" val="90"/>
      </iconSet>
    </cfRule>
  </conditionalFormatting>
  <conditionalFormatting sqref="AG20">
    <cfRule type="iconSet" priority="657">
      <iconSet>
        <cfvo type="percent" val="0"/>
        <cfvo type="num" val="95"/>
        <cfvo type="num" val="100"/>
      </iconSet>
    </cfRule>
    <cfRule type="iconSet" priority="658">
      <iconSet>
        <cfvo type="percent" val="0"/>
        <cfvo type="num" val="70"/>
        <cfvo type="num" val="90"/>
      </iconSet>
    </cfRule>
    <cfRule type="iconSet" priority="659">
      <iconSet>
        <cfvo type="percent" val="0"/>
        <cfvo type="num" val="70"/>
        <cfvo type="num" val="90"/>
      </iconSet>
    </cfRule>
    <cfRule type="iconSet" priority="660">
      <iconSet>
        <cfvo type="percent" val="0"/>
        <cfvo type="num" val="95"/>
        <cfvo type="num" val="100"/>
      </iconSet>
    </cfRule>
    <cfRule type="iconSet" priority="661">
      <iconSet>
        <cfvo type="percent" val="0"/>
        <cfvo type="num" val="95"/>
        <cfvo type="num" val="100"/>
      </iconSet>
    </cfRule>
    <cfRule type="iconSet" priority="662">
      <iconSet>
        <cfvo type="percent" val="0"/>
        <cfvo type="num" val="95"/>
        <cfvo type="num" val="100"/>
      </iconSet>
    </cfRule>
    <cfRule type="iconSet" priority="663">
      <iconSet>
        <cfvo type="percent" val="0"/>
        <cfvo type="num" val="70"/>
        <cfvo type="num" val="90"/>
      </iconSet>
    </cfRule>
    <cfRule type="iconSet" priority="664">
      <iconSet>
        <cfvo type="percent" val="0"/>
        <cfvo type="num" val="70"/>
        <cfvo type="num" val="90"/>
      </iconSet>
    </cfRule>
    <cfRule type="iconSet" priority="665">
      <iconSet>
        <cfvo type="percent" val="0"/>
        <cfvo type="num" val="95"/>
        <cfvo type="num" val="100"/>
      </iconSet>
    </cfRule>
  </conditionalFormatting>
  <conditionalFormatting sqref="AG21:AG23">
    <cfRule type="iconSet" priority="592">
      <iconSet>
        <cfvo type="percent" val="0"/>
        <cfvo type="num" val="70"/>
        <cfvo type="num" val="90"/>
      </iconSet>
    </cfRule>
    <cfRule type="iconSet" priority="589">
      <iconSet>
        <cfvo type="percent" val="0"/>
        <cfvo type="num" val="95"/>
        <cfvo type="num" val="100"/>
      </iconSet>
    </cfRule>
    <cfRule type="iconSet" priority="585">
      <iconSet>
        <cfvo type="percent" val="0"/>
        <cfvo type="num" val="95"/>
        <cfvo type="num" val="100"/>
      </iconSet>
    </cfRule>
    <cfRule type="iconSet" priority="586">
      <iconSet>
        <cfvo type="percent" val="0"/>
        <cfvo type="num" val="70"/>
        <cfvo type="num" val="90"/>
      </iconSet>
    </cfRule>
    <cfRule type="iconSet" priority="587">
      <iconSet>
        <cfvo type="percent" val="0"/>
        <cfvo type="num" val="70"/>
        <cfvo type="num" val="90"/>
      </iconSet>
    </cfRule>
    <cfRule type="iconSet" priority="588">
      <iconSet>
        <cfvo type="percent" val="0"/>
        <cfvo type="num" val="95"/>
        <cfvo type="num" val="100"/>
      </iconSet>
    </cfRule>
    <cfRule type="iconSet" priority="590">
      <iconSet>
        <cfvo type="percent" val="0"/>
        <cfvo type="num" val="95"/>
        <cfvo type="num" val="100"/>
      </iconSet>
    </cfRule>
    <cfRule type="iconSet" priority="591">
      <iconSet>
        <cfvo type="percent" val="0"/>
        <cfvo type="num" val="70"/>
        <cfvo type="num" val="90"/>
      </iconSet>
    </cfRule>
    <cfRule type="iconSet" priority="593">
      <iconSet>
        <cfvo type="percent" val="0"/>
        <cfvo type="num" val="95"/>
        <cfvo type="num" val="100"/>
      </iconSet>
    </cfRule>
  </conditionalFormatting>
  <conditionalFormatting sqref="AG24:AG25">
    <cfRule type="iconSet" priority="579">
      <iconSet>
        <cfvo type="percent" val="0"/>
        <cfvo type="num" val="95"/>
        <cfvo type="num" val="100"/>
      </iconSet>
    </cfRule>
    <cfRule type="iconSet" priority="578">
      <iconSet>
        <cfvo type="percent" val="0"/>
        <cfvo type="num" val="70"/>
        <cfvo type="num" val="90"/>
      </iconSet>
    </cfRule>
    <cfRule type="iconSet" priority="581">
      <iconSet>
        <cfvo type="percent" val="0"/>
        <cfvo type="num" val="95"/>
        <cfvo type="num" val="100"/>
      </iconSet>
    </cfRule>
    <cfRule type="iconSet" priority="582">
      <iconSet>
        <cfvo type="percent" val="0"/>
        <cfvo type="num" val="70"/>
        <cfvo type="num" val="90"/>
      </iconSet>
    </cfRule>
    <cfRule type="iconSet" priority="583">
      <iconSet>
        <cfvo type="percent" val="0"/>
        <cfvo type="num" val="70"/>
        <cfvo type="num" val="90"/>
      </iconSet>
    </cfRule>
    <cfRule type="iconSet" priority="584">
      <iconSet>
        <cfvo type="percent" val="0"/>
        <cfvo type="num" val="95"/>
        <cfvo type="num" val="100"/>
      </iconSet>
    </cfRule>
    <cfRule type="iconSet" priority="577">
      <iconSet>
        <cfvo type="percent" val="0"/>
        <cfvo type="num" val="70"/>
        <cfvo type="num" val="90"/>
      </iconSet>
    </cfRule>
    <cfRule type="iconSet" priority="576">
      <iconSet>
        <cfvo type="percent" val="0"/>
        <cfvo type="num" val="95"/>
        <cfvo type="num" val="100"/>
      </iconSet>
    </cfRule>
    <cfRule type="iconSet" priority="580">
      <iconSet>
        <cfvo type="percent" val="0"/>
        <cfvo type="num" val="95"/>
        <cfvo type="num" val="100"/>
      </iconSet>
    </cfRule>
  </conditionalFormatting>
  <conditionalFormatting sqref="AG26">
    <cfRule type="iconSet" priority="685">
      <iconSet>
        <cfvo type="percent" val="0"/>
        <cfvo type="num" val="95"/>
        <cfvo type="num" val="100"/>
      </iconSet>
    </cfRule>
    <cfRule type="iconSet" priority="755">
      <iconSet>
        <cfvo type="percent" val="0"/>
        <cfvo type="num" val="70"/>
        <cfvo type="num" val="90"/>
      </iconSet>
    </cfRule>
    <cfRule type="iconSet" priority="682">
      <iconSet>
        <cfvo type="percent" val="0"/>
        <cfvo type="num" val="70"/>
        <cfvo type="num" val="90"/>
      </iconSet>
    </cfRule>
    <cfRule type="iconSet" priority="683">
      <iconSet>
        <cfvo type="percent" val="0"/>
        <cfvo type="num" val="95"/>
        <cfvo type="num" val="100"/>
      </iconSet>
    </cfRule>
    <cfRule type="iconSet" priority="684">
      <iconSet>
        <cfvo type="percent" val="0"/>
        <cfvo type="num" val="70"/>
        <cfvo type="num" val="90"/>
      </iconSet>
    </cfRule>
    <cfRule type="iconSet" priority="686">
      <iconSet>
        <cfvo type="percent" val="0"/>
        <cfvo type="num" val="70"/>
        <cfvo type="num" val="90"/>
      </iconSet>
    </cfRule>
    <cfRule type="iconSet" priority="681">
      <iconSet>
        <cfvo type="percent" val="0"/>
        <cfvo type="num" val="95"/>
        <cfvo type="num" val="100"/>
      </iconSet>
    </cfRule>
    <cfRule type="iconSet" priority="756">
      <iconSet>
        <cfvo type="percent" val="0"/>
        <cfvo type="num" val="95"/>
        <cfvo type="num" val="100"/>
      </iconSet>
    </cfRule>
  </conditionalFormatting>
  <conditionalFormatting sqref="AG27:AG45">
    <cfRule type="iconSet" priority="47960">
      <iconSet>
        <cfvo type="percent" val="0"/>
        <cfvo type="num" val="95"/>
        <cfvo type="num" val="100"/>
      </iconSet>
    </cfRule>
    <cfRule type="iconSet" priority="47964">
      <iconSet>
        <cfvo type="percent" val="0"/>
        <cfvo type="num" val="95"/>
        <cfvo type="num" val="100"/>
      </iconSet>
    </cfRule>
    <cfRule type="iconSet" priority="47963">
      <iconSet>
        <cfvo type="percent" val="0"/>
        <cfvo type="num" val="70"/>
        <cfvo type="num" val="90"/>
      </iconSet>
    </cfRule>
    <cfRule type="iconSet" priority="47961">
      <iconSet>
        <cfvo type="percent" val="0"/>
        <cfvo type="num" val="95"/>
        <cfvo type="num" val="100"/>
      </iconSet>
    </cfRule>
    <cfRule type="iconSet" priority="47959">
      <iconSet>
        <cfvo type="percent" val="0"/>
        <cfvo type="num" val="95"/>
        <cfvo type="num" val="100"/>
      </iconSet>
    </cfRule>
    <cfRule type="iconSet" priority="47958">
      <iconSet>
        <cfvo type="percent" val="0"/>
        <cfvo type="num" val="70"/>
        <cfvo type="num" val="90"/>
      </iconSet>
    </cfRule>
    <cfRule type="iconSet" priority="47957">
      <iconSet>
        <cfvo type="percent" val="0"/>
        <cfvo type="num" val="70"/>
        <cfvo type="num" val="90"/>
      </iconSet>
    </cfRule>
    <cfRule type="iconSet" priority="47956">
      <iconSet>
        <cfvo type="percent" val="0"/>
        <cfvo type="num" val="95"/>
        <cfvo type="num" val="100"/>
      </iconSet>
    </cfRule>
    <cfRule type="iconSet" priority="47962">
      <iconSet>
        <cfvo type="percent" val="0"/>
        <cfvo type="num" val="70"/>
        <cfvo type="num" val="90"/>
      </iconSet>
    </cfRule>
  </conditionalFormatting>
  <conditionalFormatting sqref="AG46:AG47">
    <cfRule type="iconSet" priority="654">
      <iconSet>
        <cfvo type="percent" val="0"/>
        <cfvo type="num" val="70"/>
        <cfvo type="num" val="90"/>
      </iconSet>
    </cfRule>
    <cfRule type="iconSet" priority="649">
      <iconSet>
        <cfvo type="percent" val="0"/>
        <cfvo type="num" val="70"/>
        <cfvo type="num" val="90"/>
      </iconSet>
    </cfRule>
    <cfRule type="iconSet" priority="655">
      <iconSet>
        <cfvo type="percent" val="0"/>
        <cfvo type="num" val="70"/>
        <cfvo type="num" val="90"/>
      </iconSet>
    </cfRule>
    <cfRule type="iconSet" priority="648">
      <iconSet>
        <cfvo type="percent" val="0"/>
        <cfvo type="num" val="95"/>
        <cfvo type="num" val="100"/>
      </iconSet>
    </cfRule>
    <cfRule type="iconSet" priority="650">
      <iconSet>
        <cfvo type="percent" val="0"/>
        <cfvo type="num" val="70"/>
        <cfvo type="num" val="90"/>
      </iconSet>
    </cfRule>
    <cfRule type="iconSet" priority="652">
      <iconSet>
        <cfvo type="percent" val="0"/>
        <cfvo type="num" val="95"/>
        <cfvo type="num" val="100"/>
      </iconSet>
    </cfRule>
    <cfRule type="iconSet" priority="651">
      <iconSet>
        <cfvo type="percent" val="0"/>
        <cfvo type="num" val="95"/>
        <cfvo type="num" val="100"/>
      </iconSet>
    </cfRule>
    <cfRule type="iconSet" priority="653">
      <iconSet>
        <cfvo type="percent" val="0"/>
        <cfvo type="num" val="95"/>
        <cfvo type="num" val="100"/>
      </iconSet>
    </cfRule>
    <cfRule type="iconSet" priority="656">
      <iconSet>
        <cfvo type="percent" val="0"/>
        <cfvo type="num" val="95"/>
        <cfvo type="num" val="100"/>
      </iconSet>
    </cfRule>
  </conditionalFormatting>
  <conditionalFormatting sqref="AG48">
    <cfRule type="iconSet" priority="48036">
      <iconSet>
        <cfvo type="percent" val="0"/>
        <cfvo type="num" val="95"/>
        <cfvo type="num" val="100"/>
      </iconSet>
    </cfRule>
    <cfRule type="iconSet" priority="48033">
      <iconSet>
        <cfvo type="percent" val="0"/>
        <cfvo type="num" val="95"/>
        <cfvo type="num" val="100"/>
      </iconSet>
    </cfRule>
    <cfRule type="iconSet" priority="48034">
      <iconSet>
        <cfvo type="percent" val="0"/>
        <cfvo type="num" val="70"/>
        <cfvo type="num" val="90"/>
      </iconSet>
    </cfRule>
    <cfRule type="iconSet" priority="48035">
      <iconSet>
        <cfvo type="percent" val="0"/>
        <cfvo type="num" val="70"/>
        <cfvo type="num" val="90"/>
      </iconSet>
    </cfRule>
    <cfRule type="iconSet" priority="48037">
      <iconSet>
        <cfvo type="percent" val="0"/>
        <cfvo type="num" val="95"/>
        <cfvo type="num" val="100"/>
      </iconSet>
    </cfRule>
    <cfRule type="iconSet" priority="48038">
      <iconSet>
        <cfvo type="percent" val="0"/>
        <cfvo type="num" val="95"/>
        <cfvo type="num" val="100"/>
      </iconSet>
    </cfRule>
    <cfRule type="iconSet" priority="48039">
      <iconSet>
        <cfvo type="percent" val="0"/>
        <cfvo type="num" val="70"/>
        <cfvo type="num" val="90"/>
      </iconSet>
    </cfRule>
    <cfRule type="iconSet" priority="48040">
      <iconSet>
        <cfvo type="percent" val="0"/>
        <cfvo type="num" val="70"/>
        <cfvo type="num" val="90"/>
      </iconSet>
    </cfRule>
    <cfRule type="iconSet" priority="48041">
      <iconSet>
        <cfvo type="percent" val="0"/>
        <cfvo type="num" val="95"/>
        <cfvo type="num" val="100"/>
      </iconSet>
    </cfRule>
  </conditionalFormatting>
  <conditionalFormatting sqref="AG49:AG54">
    <cfRule type="iconSet" priority="48137">
      <iconSet>
        <cfvo type="percent" val="0"/>
        <cfvo type="num" val="95"/>
        <cfvo type="num" val="100"/>
      </iconSet>
    </cfRule>
    <cfRule type="iconSet" priority="48138">
      <iconSet>
        <cfvo type="percent" val="0"/>
        <cfvo type="num" val="70"/>
        <cfvo type="num" val="90"/>
      </iconSet>
    </cfRule>
    <cfRule type="iconSet" priority="48139">
      <iconSet>
        <cfvo type="percent" val="0"/>
        <cfvo type="num" val="70"/>
        <cfvo type="num" val="90"/>
      </iconSet>
    </cfRule>
    <cfRule type="iconSet" priority="48140">
      <iconSet>
        <cfvo type="percent" val="0"/>
        <cfvo type="num" val="95"/>
        <cfvo type="num" val="100"/>
      </iconSet>
    </cfRule>
    <cfRule type="iconSet" priority="48136">
      <iconSet>
        <cfvo type="percent" val="0"/>
        <cfvo type="num" val="95"/>
        <cfvo type="num" val="100"/>
      </iconSet>
    </cfRule>
    <cfRule type="iconSet" priority="48132">
      <iconSet>
        <cfvo type="percent" val="0"/>
        <cfvo type="num" val="95"/>
        <cfvo type="num" val="100"/>
      </iconSet>
    </cfRule>
    <cfRule type="iconSet" priority="48133">
      <iconSet>
        <cfvo type="percent" val="0"/>
        <cfvo type="num" val="70"/>
        <cfvo type="num" val="90"/>
      </iconSet>
    </cfRule>
    <cfRule type="iconSet" priority="48134">
      <iconSet>
        <cfvo type="percent" val="0"/>
        <cfvo type="num" val="70"/>
        <cfvo type="num" val="90"/>
      </iconSet>
    </cfRule>
    <cfRule type="iconSet" priority="48135">
      <iconSet>
        <cfvo type="percent" val="0"/>
        <cfvo type="num" val="95"/>
        <cfvo type="num" val="100"/>
      </iconSet>
    </cfRule>
  </conditionalFormatting>
  <conditionalFormatting sqref="AG55">
    <cfRule type="iconSet" priority="574">
      <iconSet>
        <cfvo type="percent" val="0"/>
        <cfvo type="num" val="70"/>
        <cfvo type="num" val="90"/>
      </iconSet>
    </cfRule>
    <cfRule type="iconSet" priority="570">
      <iconSet>
        <cfvo type="percent" val="0"/>
        <cfvo type="num" val="95"/>
        <cfvo type="num" val="100"/>
      </iconSet>
    </cfRule>
    <cfRule type="iconSet" priority="571">
      <iconSet>
        <cfvo type="percent" val="0"/>
        <cfvo type="num" val="95"/>
        <cfvo type="num" val="100"/>
      </iconSet>
    </cfRule>
    <cfRule type="iconSet" priority="572">
      <iconSet>
        <cfvo type="percent" val="0"/>
        <cfvo type="num" val="95"/>
        <cfvo type="num" val="100"/>
      </iconSet>
    </cfRule>
    <cfRule type="iconSet" priority="573">
      <iconSet>
        <cfvo type="percent" val="0"/>
        <cfvo type="num" val="70"/>
        <cfvo type="num" val="90"/>
      </iconSet>
    </cfRule>
    <cfRule type="iconSet" priority="575">
      <iconSet>
        <cfvo type="percent" val="0"/>
        <cfvo type="num" val="95"/>
        <cfvo type="num" val="100"/>
      </iconSet>
    </cfRule>
    <cfRule type="iconSet" priority="569">
      <iconSet>
        <cfvo type="percent" val="0"/>
        <cfvo type="num" val="70"/>
        <cfvo type="num" val="90"/>
      </iconSet>
    </cfRule>
    <cfRule type="iconSet" priority="568">
      <iconSet>
        <cfvo type="percent" val="0"/>
        <cfvo type="num" val="70"/>
        <cfvo type="num" val="90"/>
      </iconSet>
    </cfRule>
    <cfRule type="iconSet" priority="567">
      <iconSet>
        <cfvo type="percent" val="0"/>
        <cfvo type="num" val="95"/>
        <cfvo type="num" val="100"/>
      </iconSet>
    </cfRule>
  </conditionalFormatting>
  <conditionalFormatting sqref="AG56 AG26">
    <cfRule type="iconSet" priority="759">
      <iconSet>
        <cfvo type="percent" val="0"/>
        <cfvo type="num" val="95"/>
        <cfvo type="num" val="100"/>
      </iconSet>
    </cfRule>
  </conditionalFormatting>
  <conditionalFormatting sqref="AG56">
    <cfRule type="iconSet" priority="746">
      <iconSet>
        <cfvo type="percent" val="0"/>
        <cfvo type="num" val="70"/>
        <cfvo type="num" val="90"/>
      </iconSet>
    </cfRule>
    <cfRule type="iconSet" priority="745">
      <iconSet>
        <cfvo type="percent" val="0"/>
        <cfvo type="num" val="95"/>
        <cfvo type="num" val="100"/>
      </iconSet>
    </cfRule>
    <cfRule type="iconSet" priority="744">
      <iconSet>
        <cfvo type="percent" val="0"/>
        <cfvo type="num" val="95"/>
        <cfvo type="num" val="100"/>
      </iconSet>
    </cfRule>
    <cfRule type="iconSet" priority="743">
      <iconSet>
        <cfvo type="percent" val="0"/>
        <cfvo type="num" val="70"/>
        <cfvo type="num" val="90"/>
      </iconSet>
    </cfRule>
    <cfRule type="iconSet" priority="742">
      <iconSet>
        <cfvo type="percent" val="0"/>
        <cfvo type="num" val="70"/>
        <cfvo type="num" val="90"/>
      </iconSet>
    </cfRule>
    <cfRule type="iconSet" priority="741">
      <iconSet>
        <cfvo type="percent" val="0"/>
        <cfvo type="num" val="95"/>
        <cfvo type="num" val="100"/>
      </iconSet>
    </cfRule>
    <cfRule type="iconSet" priority="740">
      <iconSet>
        <cfvo type="percent" val="0"/>
        <cfvo type="num" val="70"/>
        <cfvo type="num" val="90"/>
      </iconSet>
    </cfRule>
    <cfRule type="iconSet" priority="739">
      <iconSet>
        <cfvo type="percent" val="0"/>
        <cfvo type="num" val="95"/>
        <cfvo type="num" val="100"/>
      </iconSet>
    </cfRule>
    <cfRule type="iconSet" priority="738">
      <iconSet>
        <cfvo type="percent" val="0"/>
        <cfvo type="num" val="70"/>
        <cfvo type="num" val="90"/>
      </iconSet>
    </cfRule>
    <cfRule type="iconSet" priority="737">
      <iconSet>
        <cfvo type="percent" val="0"/>
        <cfvo type="num" val="95"/>
        <cfvo type="num" val="100"/>
      </iconSet>
    </cfRule>
    <cfRule type="iconSet" priority="736">
      <iconSet>
        <cfvo type="percent" val="0"/>
        <cfvo type="num" val="70"/>
        <cfvo type="num" val="90"/>
      </iconSet>
    </cfRule>
    <cfRule type="iconSet" priority="735">
      <iconSet>
        <cfvo type="percent" val="0"/>
        <cfvo type="num" val="95"/>
        <cfvo type="num" val="100"/>
      </iconSet>
    </cfRule>
    <cfRule type="iconSet" priority="734">
      <iconSet>
        <cfvo type="percent" val="0"/>
        <cfvo type="num" val="70"/>
        <cfvo type="num" val="90"/>
      </iconSet>
    </cfRule>
    <cfRule type="iconSet" priority="733">
      <iconSet>
        <cfvo type="percent" val="0"/>
        <cfvo type="num" val="95"/>
        <cfvo type="num" val="100"/>
      </iconSet>
    </cfRule>
    <cfRule type="iconSet" priority="732">
      <iconSet>
        <cfvo type="percent" val="0"/>
        <cfvo type="num" val="70"/>
        <cfvo type="num" val="90"/>
      </iconSet>
    </cfRule>
    <cfRule type="iconSet" priority="731">
      <iconSet>
        <cfvo type="percent" val="0"/>
        <cfvo type="num" val="95"/>
        <cfvo type="num" val="100"/>
      </iconSet>
    </cfRule>
    <cfRule type="iconSet" priority="730">
      <iconSet>
        <cfvo type="percent" val="0"/>
        <cfvo type="num" val="70"/>
        <cfvo type="num" val="90"/>
      </iconSet>
    </cfRule>
    <cfRule type="iconSet" priority="729">
      <iconSet>
        <cfvo type="percent" val="0"/>
        <cfvo type="num" val="95"/>
        <cfvo type="num" val="100"/>
      </iconSet>
    </cfRule>
    <cfRule type="iconSet" priority="728">
      <iconSet>
        <cfvo type="percent" val="0"/>
        <cfvo type="num" val="70"/>
        <cfvo type="num" val="90"/>
      </iconSet>
    </cfRule>
    <cfRule type="iconSet" priority="727">
      <iconSet>
        <cfvo type="percent" val="0"/>
        <cfvo type="num" val="95"/>
        <cfvo type="num" val="100"/>
      </iconSet>
    </cfRule>
    <cfRule type="iconSet" priority="726">
      <iconSet>
        <cfvo type="percent" val="0"/>
        <cfvo type="num" val="70"/>
        <cfvo type="num" val="90"/>
      </iconSet>
    </cfRule>
    <cfRule type="iconSet" priority="725">
      <iconSet>
        <cfvo type="percent" val="0"/>
        <cfvo type="num" val="95"/>
        <cfvo type="num" val="100"/>
      </iconSet>
    </cfRule>
    <cfRule type="iconSet" priority="724">
      <iconSet>
        <cfvo type="percent" val="0"/>
        <cfvo type="num" val="70"/>
        <cfvo type="num" val="90"/>
      </iconSet>
    </cfRule>
    <cfRule type="iconSet" priority="723">
      <iconSet>
        <cfvo type="percent" val="0"/>
        <cfvo type="num" val="95"/>
        <cfvo type="num" val="100"/>
      </iconSet>
    </cfRule>
    <cfRule type="iconSet" priority="722">
      <iconSet>
        <cfvo type="percent" val="0"/>
        <cfvo type="num" val="70"/>
        <cfvo type="num" val="90"/>
      </iconSet>
    </cfRule>
    <cfRule type="iconSet" priority="721">
      <iconSet>
        <cfvo type="percent" val="0"/>
        <cfvo type="num" val="95"/>
        <cfvo type="num" val="100"/>
      </iconSet>
    </cfRule>
    <cfRule type="iconSet" priority="720">
      <iconSet>
        <cfvo type="percent" val="0"/>
        <cfvo type="num" val="70"/>
        <cfvo type="num" val="90"/>
      </iconSet>
    </cfRule>
    <cfRule type="iconSet" priority="719">
      <iconSet>
        <cfvo type="percent" val="0"/>
        <cfvo type="num" val="95"/>
        <cfvo type="num" val="100"/>
      </iconSet>
    </cfRule>
    <cfRule type="iconSet" priority="718">
      <iconSet>
        <cfvo type="percent" val="0"/>
        <cfvo type="num" val="70"/>
        <cfvo type="num" val="90"/>
      </iconSet>
    </cfRule>
    <cfRule type="iconSet" priority="717">
      <iconSet>
        <cfvo type="percent" val="0"/>
        <cfvo type="num" val="95"/>
        <cfvo type="num" val="100"/>
      </iconSet>
    </cfRule>
    <cfRule type="iconSet" priority="754">
      <iconSet>
        <cfvo type="percent" val="0"/>
        <cfvo type="num" val="70"/>
        <cfvo type="num" val="90"/>
      </iconSet>
    </cfRule>
    <cfRule type="iconSet" priority="715">
      <iconSet>
        <cfvo type="percent" val="0"/>
        <cfvo type="num" val="95"/>
        <cfvo type="num" val="100"/>
      </iconSet>
    </cfRule>
    <cfRule type="iconSet" priority="714">
      <iconSet>
        <cfvo type="percent" val="0"/>
        <cfvo type="num" val="70"/>
        <cfvo type="num" val="90"/>
      </iconSet>
    </cfRule>
    <cfRule type="iconSet" priority="713">
      <iconSet>
        <cfvo type="percent" val="0"/>
        <cfvo type="num" val="95"/>
        <cfvo type="num" val="100"/>
      </iconSet>
    </cfRule>
    <cfRule type="iconSet" priority="712">
      <iconSet>
        <cfvo type="percent" val="0"/>
        <cfvo type="num" val="70"/>
        <cfvo type="num" val="90"/>
      </iconSet>
    </cfRule>
    <cfRule type="iconSet" priority="711">
      <iconSet>
        <cfvo type="percent" val="0"/>
        <cfvo type="num" val="95"/>
        <cfvo type="num" val="100"/>
      </iconSet>
    </cfRule>
    <cfRule type="iconSet" priority="710">
      <iconSet>
        <cfvo type="percent" val="0"/>
        <cfvo type="num" val="70"/>
        <cfvo type="num" val="90"/>
      </iconSet>
    </cfRule>
    <cfRule type="iconSet" priority="709">
      <iconSet>
        <cfvo type="percent" val="0"/>
        <cfvo type="num" val="95"/>
        <cfvo type="num" val="100"/>
      </iconSet>
    </cfRule>
    <cfRule type="iconSet" priority="708">
      <iconSet>
        <cfvo type="percent" val="0"/>
        <cfvo type="num" val="70"/>
        <cfvo type="num" val="90"/>
      </iconSet>
    </cfRule>
    <cfRule type="iconSet" priority="707">
      <iconSet>
        <cfvo type="percent" val="0"/>
        <cfvo type="num" val="95"/>
        <cfvo type="num" val="100"/>
      </iconSet>
    </cfRule>
    <cfRule type="iconSet" priority="706">
      <iconSet>
        <cfvo type="percent" val="0"/>
        <cfvo type="num" val="70"/>
        <cfvo type="num" val="90"/>
      </iconSet>
    </cfRule>
    <cfRule type="iconSet" priority="705">
      <iconSet>
        <cfvo type="percent" val="0"/>
        <cfvo type="num" val="95"/>
        <cfvo type="num" val="100"/>
      </iconSet>
    </cfRule>
    <cfRule type="iconSet" priority="704">
      <iconSet>
        <cfvo type="percent" val="0"/>
        <cfvo type="num" val="70"/>
        <cfvo type="num" val="90"/>
      </iconSet>
    </cfRule>
    <cfRule type="iconSet" priority="703">
      <iconSet>
        <cfvo type="percent" val="0"/>
        <cfvo type="num" val="95"/>
        <cfvo type="num" val="100"/>
      </iconSet>
    </cfRule>
    <cfRule type="iconSet" priority="748">
      <iconSet>
        <cfvo type="percent" val="0"/>
        <cfvo type="num" val="95"/>
        <cfvo type="num" val="100"/>
      </iconSet>
    </cfRule>
    <cfRule type="iconSet" priority="701">
      <iconSet>
        <cfvo type="percent" val="0"/>
        <cfvo type="num" val="95"/>
        <cfvo type="num" val="100"/>
      </iconSet>
    </cfRule>
    <cfRule type="iconSet" priority="700">
      <iconSet>
        <cfvo type="percent" val="0"/>
        <cfvo type="num" val="70"/>
        <cfvo type="num" val="90"/>
      </iconSet>
    </cfRule>
    <cfRule type="iconSet" priority="699">
      <iconSet>
        <cfvo type="percent" val="0"/>
        <cfvo type="num" val="95"/>
        <cfvo type="num" val="100"/>
      </iconSet>
    </cfRule>
    <cfRule type="iconSet" priority="698">
      <iconSet>
        <cfvo type="percent" val="0"/>
        <cfvo type="num" val="70"/>
        <cfvo type="num" val="90"/>
      </iconSet>
    </cfRule>
    <cfRule type="iconSet" priority="697">
      <iconSet>
        <cfvo type="percent" val="0"/>
        <cfvo type="num" val="95"/>
        <cfvo type="num" val="100"/>
      </iconSet>
    </cfRule>
    <cfRule type="iconSet" priority="696">
      <iconSet>
        <cfvo type="percent" val="0"/>
        <cfvo type="num" val="70"/>
        <cfvo type="num" val="90"/>
      </iconSet>
    </cfRule>
    <cfRule type="iconSet" priority="695">
      <iconSet>
        <cfvo type="percent" val="0"/>
        <cfvo type="num" val="95"/>
        <cfvo type="num" val="100"/>
      </iconSet>
    </cfRule>
    <cfRule type="iconSet" priority="694">
      <iconSet>
        <cfvo type="percent" val="0"/>
        <cfvo type="num" val="70"/>
        <cfvo type="num" val="90"/>
      </iconSet>
    </cfRule>
    <cfRule type="iconSet" priority="693">
      <iconSet>
        <cfvo type="percent" val="0"/>
        <cfvo type="num" val="95"/>
        <cfvo type="num" val="100"/>
      </iconSet>
    </cfRule>
    <cfRule type="iconSet" priority="692">
      <iconSet>
        <cfvo type="percent" val="0"/>
        <cfvo type="num" val="70"/>
        <cfvo type="num" val="90"/>
      </iconSet>
    </cfRule>
    <cfRule type="iconSet" priority="690">
      <iconSet>
        <cfvo type="percent" val="0"/>
        <cfvo type="num" val="70"/>
        <cfvo type="num" val="90"/>
      </iconSet>
    </cfRule>
    <cfRule type="iconSet" priority="689">
      <iconSet>
        <cfvo type="percent" val="0"/>
        <cfvo type="num" val="95"/>
        <cfvo type="num" val="100"/>
      </iconSet>
    </cfRule>
    <cfRule type="iconSet" priority="688">
      <iconSet>
        <cfvo type="percent" val="0"/>
        <cfvo type="num" val="70"/>
        <cfvo type="num" val="90"/>
      </iconSet>
    </cfRule>
    <cfRule type="iconSet" priority="687">
      <iconSet>
        <cfvo type="percent" val="0"/>
        <cfvo type="num" val="95"/>
        <cfvo type="num" val="100"/>
      </iconSet>
    </cfRule>
    <cfRule type="iconSet" priority="680">
      <iconSet>
        <cfvo type="percent" val="0"/>
        <cfvo type="num" val="70"/>
        <cfvo type="num" val="90"/>
      </iconSet>
    </cfRule>
    <cfRule type="iconSet" priority="679">
      <iconSet>
        <cfvo type="percent" val="0"/>
        <cfvo type="num" val="95"/>
        <cfvo type="num" val="100"/>
      </iconSet>
    </cfRule>
    <cfRule type="iconSet" priority="678">
      <iconSet>
        <cfvo type="percent" val="0"/>
        <cfvo type="num" val="70"/>
        <cfvo type="num" val="90"/>
      </iconSet>
    </cfRule>
    <cfRule type="iconSet" priority="677">
      <iconSet>
        <cfvo type="percent" val="0"/>
        <cfvo type="num" val="95"/>
        <cfvo type="num" val="100"/>
      </iconSet>
    </cfRule>
    <cfRule type="iconSet" priority="676">
      <iconSet>
        <cfvo type="percent" val="0"/>
        <cfvo type="num" val="70"/>
        <cfvo type="num" val="90"/>
      </iconSet>
    </cfRule>
    <cfRule type="iconSet" priority="675">
      <iconSet>
        <cfvo type="percent" val="0"/>
        <cfvo type="num" val="95"/>
        <cfvo type="num" val="100"/>
      </iconSet>
    </cfRule>
    <cfRule type="iconSet" priority="716">
      <iconSet>
        <cfvo type="percent" val="0"/>
        <cfvo type="num" val="70"/>
        <cfvo type="num" val="90"/>
      </iconSet>
    </cfRule>
    <cfRule type="iconSet" priority="702">
      <iconSet>
        <cfvo type="percent" val="0"/>
        <cfvo type="num" val="70"/>
        <cfvo type="num" val="90"/>
      </iconSet>
    </cfRule>
    <cfRule type="iconSet" priority="753">
      <iconSet>
        <cfvo type="percent" val="0"/>
        <cfvo type="num" val="95"/>
        <cfvo type="num" val="100"/>
      </iconSet>
    </cfRule>
    <cfRule type="iconSet" priority="752">
      <iconSet>
        <cfvo type="percent" val="0"/>
        <cfvo type="num" val="70"/>
        <cfvo type="num" val="90"/>
      </iconSet>
    </cfRule>
    <cfRule type="iconSet" priority="751">
      <iconSet>
        <cfvo type="percent" val="0"/>
        <cfvo type="num" val="95"/>
        <cfvo type="num" val="100"/>
      </iconSet>
    </cfRule>
    <cfRule type="iconSet" priority="750">
      <iconSet>
        <cfvo type="percent" val="0"/>
        <cfvo type="num" val="70"/>
        <cfvo type="num" val="90"/>
      </iconSet>
    </cfRule>
    <cfRule type="iconSet" priority="749">
      <iconSet>
        <cfvo type="percent" val="0"/>
        <cfvo type="num" val="95"/>
        <cfvo type="num" val="100"/>
      </iconSet>
    </cfRule>
    <cfRule type="iconSet" priority="747">
      <iconSet>
        <cfvo type="percent" val="0"/>
        <cfvo type="num" val="70"/>
        <cfvo type="num" val="90"/>
      </iconSet>
    </cfRule>
    <cfRule type="iconSet" priority="691">
      <iconSet>
        <cfvo type="percent" val="0"/>
        <cfvo type="num" val="95"/>
        <cfvo type="num" val="100"/>
      </iconSet>
    </cfRule>
  </conditionalFormatting>
  <conditionalFormatting sqref="AG57">
    <cfRule type="iconSet" priority="47658">
      <iconSet>
        <cfvo type="percent" val="0"/>
        <cfvo type="num" val="95"/>
        <cfvo type="num" val="100"/>
      </iconSet>
    </cfRule>
  </conditionalFormatting>
  <conditionalFormatting sqref="AG58">
    <cfRule type="iconSet" priority="3916">
      <iconSet>
        <cfvo type="percent" val="0"/>
        <cfvo type="num" val="95"/>
        <cfvo type="num" val="100"/>
      </iconSet>
    </cfRule>
  </conditionalFormatting>
  <conditionalFormatting sqref="AL10:AL18">
    <cfRule type="iconSet" priority="48294">
      <iconSet iconSet="3ArrowsGray" showValue="0">
        <cfvo type="percent" val="0"/>
        <cfvo type="num" val="2"/>
        <cfvo type="num" val="3"/>
      </iconSet>
    </cfRule>
  </conditionalFormatting>
  <conditionalFormatting sqref="AL20:AL56">
    <cfRule type="iconSet" priority="48195">
      <iconSet iconSet="3ArrowsGray" showValue="0">
        <cfvo type="percent" val="0"/>
        <cfvo type="num" val="2"/>
        <cfvo type="num" val="3"/>
      </iconSet>
    </cfRule>
  </conditionalFormatting>
  <conditionalFormatting sqref="AL57">
    <cfRule type="iconSet" priority="3540">
      <iconSet iconSet="3ArrowsGray" showValue="0">
        <cfvo type="percent" val="0"/>
        <cfvo type="num" val="2"/>
        <cfvo type="num" val="3"/>
      </iconSet>
    </cfRule>
  </conditionalFormatting>
  <conditionalFormatting sqref="AL58">
    <cfRule type="iconSet" priority="3516">
      <iconSet iconSet="3ArrowsGray" showValue="0">
        <cfvo type="percent" val="0"/>
        <cfvo type="num" val="2"/>
        <cfvo type="num" val="3"/>
      </iconSet>
    </cfRule>
  </conditionalFormatting>
  <conditionalFormatting sqref="AM10:AM18">
    <cfRule type="iconSet" priority="48296">
      <iconSet iconSet="3ArrowsGray" showValue="0">
        <cfvo type="percent" val="0"/>
        <cfvo type="num" val="2"/>
        <cfvo type="num" val="3"/>
      </iconSet>
    </cfRule>
  </conditionalFormatting>
  <conditionalFormatting sqref="AM20:AM56">
    <cfRule type="iconSet" priority="48196">
      <iconSet iconSet="3ArrowsGray" showValue="0">
        <cfvo type="percent" val="0"/>
        <cfvo type="num" val="2"/>
        <cfvo type="num" val="3"/>
      </iconSet>
    </cfRule>
  </conditionalFormatting>
  <conditionalFormatting sqref="AM57">
    <cfRule type="iconSet" priority="3541">
      <iconSet iconSet="3ArrowsGray" showValue="0">
        <cfvo type="percent" val="0"/>
        <cfvo type="num" val="2"/>
        <cfvo type="num" val="3"/>
      </iconSet>
    </cfRule>
  </conditionalFormatting>
  <conditionalFormatting sqref="AM58">
    <cfRule type="iconSet" priority="3517">
      <iconSet iconSet="3ArrowsGray" showValue="0">
        <cfvo type="percent" val="0"/>
        <cfvo type="num" val="2"/>
        <cfvo type="num" val="3"/>
      </iconSet>
    </cfRule>
  </conditionalFormatting>
  <conditionalFormatting sqref="AR10">
    <cfRule type="iconSet" priority="445">
      <iconSet>
        <cfvo type="percent" val="0"/>
        <cfvo type="num" val="95"/>
        <cfvo type="num" val="100"/>
      </iconSet>
    </cfRule>
    <cfRule type="iconSet" priority="439">
      <iconSet>
        <cfvo type="percent" val="0"/>
        <cfvo type="num" val="70"/>
        <cfvo type="num" val="90"/>
      </iconSet>
    </cfRule>
    <cfRule type="iconSet" priority="437">
      <iconSet>
        <cfvo type="percent" val="0"/>
        <cfvo type="num" val="95"/>
        <cfvo type="num" val="100"/>
      </iconSet>
    </cfRule>
    <cfRule type="iconSet" priority="438">
      <iconSet>
        <cfvo type="percent" val="0"/>
        <cfvo type="num" val="70"/>
        <cfvo type="num" val="90"/>
      </iconSet>
    </cfRule>
    <cfRule type="iconSet" priority="440">
      <iconSet>
        <cfvo type="percent" val="0"/>
        <cfvo type="num" val="95"/>
        <cfvo type="num" val="100"/>
      </iconSet>
    </cfRule>
    <cfRule type="iconSet" priority="441">
      <iconSet>
        <cfvo type="percent" val="0"/>
        <cfvo type="num" val="95"/>
        <cfvo type="num" val="100"/>
      </iconSet>
    </cfRule>
    <cfRule type="iconSet" priority="442">
      <iconSet>
        <cfvo type="percent" val="0"/>
        <cfvo type="num" val="95"/>
        <cfvo type="num" val="100"/>
      </iconSet>
    </cfRule>
    <cfRule type="iconSet" priority="443">
      <iconSet>
        <cfvo type="percent" val="0"/>
        <cfvo type="num" val="70"/>
        <cfvo type="num" val="90"/>
      </iconSet>
    </cfRule>
    <cfRule type="iconSet" priority="444">
      <iconSet>
        <cfvo type="percent" val="0"/>
        <cfvo type="num" val="70"/>
        <cfvo type="num" val="90"/>
      </iconSet>
    </cfRule>
  </conditionalFormatting>
  <conditionalFormatting sqref="AR11">
    <cfRule type="iconSet" priority="401">
      <iconSet>
        <cfvo type="percent" val="0"/>
        <cfvo type="num" val="95"/>
        <cfvo type="num" val="100"/>
      </iconSet>
    </cfRule>
    <cfRule type="iconSet" priority="403">
      <iconSet>
        <cfvo type="percent" val="0"/>
        <cfvo type="num" val="70"/>
        <cfvo type="num" val="90"/>
      </iconSet>
    </cfRule>
    <cfRule type="iconSet" priority="404">
      <iconSet>
        <cfvo type="percent" val="0"/>
        <cfvo type="num" val="95"/>
        <cfvo type="num" val="100"/>
      </iconSet>
    </cfRule>
    <cfRule type="iconSet" priority="406">
      <iconSet>
        <cfvo type="percent" val="0"/>
        <cfvo type="num" val="95"/>
        <cfvo type="num" val="100"/>
      </iconSet>
    </cfRule>
    <cfRule type="iconSet" priority="409">
      <iconSet>
        <cfvo type="percent" val="0"/>
        <cfvo type="num" val="95"/>
        <cfvo type="num" val="100"/>
      </iconSet>
    </cfRule>
    <cfRule type="iconSet" priority="408">
      <iconSet>
        <cfvo type="percent" val="0"/>
        <cfvo type="num" val="70"/>
        <cfvo type="num" val="90"/>
      </iconSet>
    </cfRule>
    <cfRule type="iconSet" priority="405">
      <iconSet>
        <cfvo type="percent" val="0"/>
        <cfvo type="num" val="95"/>
        <cfvo type="num" val="100"/>
      </iconSet>
    </cfRule>
    <cfRule type="iconSet" priority="407">
      <iconSet>
        <cfvo type="percent" val="0"/>
        <cfvo type="num" val="70"/>
        <cfvo type="num" val="90"/>
      </iconSet>
    </cfRule>
    <cfRule type="iconSet" priority="402">
      <iconSet>
        <cfvo type="percent" val="0"/>
        <cfvo type="num" val="70"/>
        <cfvo type="num" val="90"/>
      </iconSet>
    </cfRule>
  </conditionalFormatting>
  <conditionalFormatting sqref="AR12:AR17">
    <cfRule type="iconSet" priority="48305">
      <iconSet>
        <cfvo type="percent" val="0"/>
        <cfvo type="num" val="70"/>
        <cfvo type="num" val="90"/>
      </iconSet>
    </cfRule>
    <cfRule type="iconSet" priority="48304">
      <iconSet>
        <cfvo type="percent" val="0"/>
        <cfvo type="num" val="70"/>
        <cfvo type="num" val="90"/>
      </iconSet>
    </cfRule>
    <cfRule type="iconSet" priority="48303">
      <iconSet>
        <cfvo type="percent" val="0"/>
        <cfvo type="num" val="95"/>
        <cfvo type="num" val="100"/>
      </iconSet>
    </cfRule>
    <cfRule type="iconSet" priority="48301">
      <iconSet>
        <cfvo type="percent" val="0"/>
        <cfvo type="num" val="95"/>
        <cfvo type="num" val="100"/>
      </iconSet>
    </cfRule>
    <cfRule type="iconSet" priority="48300">
      <iconSet>
        <cfvo type="percent" val="0"/>
        <cfvo type="num" val="70"/>
        <cfvo type="num" val="90"/>
      </iconSet>
    </cfRule>
    <cfRule type="iconSet" priority="48299">
      <iconSet>
        <cfvo type="percent" val="0"/>
        <cfvo type="num" val="70"/>
        <cfvo type="num" val="90"/>
      </iconSet>
    </cfRule>
    <cfRule type="iconSet" priority="48298">
      <iconSet>
        <cfvo type="percent" val="0"/>
        <cfvo type="num" val="95"/>
        <cfvo type="num" val="100"/>
      </iconSet>
    </cfRule>
    <cfRule type="iconSet" priority="48302">
      <iconSet>
        <cfvo type="percent" val="0"/>
        <cfvo type="num" val="95"/>
        <cfvo type="num" val="100"/>
      </iconSet>
    </cfRule>
    <cfRule type="iconSet" priority="48306">
      <iconSet>
        <cfvo type="percent" val="0"/>
        <cfvo type="num" val="95"/>
        <cfvo type="num" val="100"/>
      </iconSet>
    </cfRule>
  </conditionalFormatting>
  <conditionalFormatting sqref="AR18">
    <cfRule type="iconSet" priority="381">
      <iconSet>
        <cfvo type="percent" val="0"/>
        <cfvo type="num" val="70"/>
        <cfvo type="num" val="90"/>
      </iconSet>
    </cfRule>
    <cfRule type="iconSet" priority="380">
      <iconSet>
        <cfvo type="percent" val="0"/>
        <cfvo type="num" val="70"/>
        <cfvo type="num" val="90"/>
      </iconSet>
    </cfRule>
    <cfRule type="iconSet" priority="379">
      <iconSet>
        <cfvo type="percent" val="0"/>
        <cfvo type="num" val="95"/>
        <cfvo type="num" val="100"/>
      </iconSet>
    </cfRule>
    <cfRule type="iconSet" priority="382">
      <iconSet>
        <cfvo type="percent" val="0"/>
        <cfvo type="num" val="95"/>
        <cfvo type="num" val="100"/>
      </iconSet>
    </cfRule>
    <cfRule type="iconSet" priority="374">
      <iconSet>
        <cfvo type="percent" val="0"/>
        <cfvo type="num" val="95"/>
        <cfvo type="num" val="100"/>
      </iconSet>
    </cfRule>
    <cfRule type="iconSet" priority="375">
      <iconSet>
        <cfvo type="percent" val="0"/>
        <cfvo type="num" val="70"/>
        <cfvo type="num" val="90"/>
      </iconSet>
    </cfRule>
    <cfRule type="iconSet" priority="378">
      <iconSet>
        <cfvo type="percent" val="0"/>
        <cfvo type="num" val="95"/>
        <cfvo type="num" val="100"/>
      </iconSet>
    </cfRule>
    <cfRule type="iconSet" priority="377">
      <iconSet>
        <cfvo type="percent" val="0"/>
        <cfvo type="num" val="95"/>
        <cfvo type="num" val="100"/>
      </iconSet>
    </cfRule>
    <cfRule type="iconSet" priority="376">
      <iconSet>
        <cfvo type="percent" val="0"/>
        <cfvo type="num" val="70"/>
        <cfvo type="num" val="90"/>
      </iconSet>
    </cfRule>
  </conditionalFormatting>
  <conditionalFormatting sqref="AR20">
    <cfRule type="iconSet" priority="431">
      <iconSet>
        <cfvo type="percent" val="0"/>
        <cfvo type="num" val="95"/>
        <cfvo type="num" val="100"/>
      </iconSet>
    </cfRule>
    <cfRule type="iconSet" priority="430">
      <iconSet>
        <cfvo type="percent" val="0"/>
        <cfvo type="num" val="70"/>
        <cfvo type="num" val="90"/>
      </iconSet>
    </cfRule>
    <cfRule type="iconSet" priority="428">
      <iconSet>
        <cfvo type="percent" val="0"/>
        <cfvo type="num" val="95"/>
        <cfvo type="num" val="100"/>
      </iconSet>
    </cfRule>
    <cfRule type="iconSet" priority="429">
      <iconSet>
        <cfvo type="percent" val="0"/>
        <cfvo type="num" val="70"/>
        <cfvo type="num" val="90"/>
      </iconSet>
    </cfRule>
    <cfRule type="iconSet" priority="436">
      <iconSet>
        <cfvo type="percent" val="0"/>
        <cfvo type="num" val="95"/>
        <cfvo type="num" val="100"/>
      </iconSet>
    </cfRule>
    <cfRule type="iconSet" priority="435">
      <iconSet>
        <cfvo type="percent" val="0"/>
        <cfvo type="num" val="70"/>
        <cfvo type="num" val="90"/>
      </iconSet>
    </cfRule>
    <cfRule type="iconSet" priority="434">
      <iconSet>
        <cfvo type="percent" val="0"/>
        <cfvo type="num" val="70"/>
        <cfvo type="num" val="90"/>
      </iconSet>
    </cfRule>
    <cfRule type="iconSet" priority="433">
      <iconSet>
        <cfvo type="percent" val="0"/>
        <cfvo type="num" val="95"/>
        <cfvo type="num" val="100"/>
      </iconSet>
    </cfRule>
    <cfRule type="iconSet" priority="432">
      <iconSet>
        <cfvo type="percent" val="0"/>
        <cfvo type="num" val="95"/>
        <cfvo type="num" val="100"/>
      </iconSet>
    </cfRule>
  </conditionalFormatting>
  <conditionalFormatting sqref="AR21:AR23">
    <cfRule type="iconSet" priority="356">
      <iconSet>
        <cfvo type="percent" val="0"/>
        <cfvo type="num" val="95"/>
        <cfvo type="num" val="100"/>
      </iconSet>
    </cfRule>
    <cfRule type="iconSet" priority="364">
      <iconSet>
        <cfvo type="percent" val="0"/>
        <cfvo type="num" val="95"/>
        <cfvo type="num" val="100"/>
      </iconSet>
    </cfRule>
    <cfRule type="iconSet" priority="363">
      <iconSet>
        <cfvo type="percent" val="0"/>
        <cfvo type="num" val="70"/>
        <cfvo type="num" val="90"/>
      </iconSet>
    </cfRule>
    <cfRule type="iconSet" priority="357">
      <iconSet>
        <cfvo type="percent" val="0"/>
        <cfvo type="num" val="70"/>
        <cfvo type="num" val="90"/>
      </iconSet>
    </cfRule>
    <cfRule type="iconSet" priority="358">
      <iconSet>
        <cfvo type="percent" val="0"/>
        <cfvo type="num" val="70"/>
        <cfvo type="num" val="90"/>
      </iconSet>
    </cfRule>
    <cfRule type="iconSet" priority="359">
      <iconSet>
        <cfvo type="percent" val="0"/>
        <cfvo type="num" val="95"/>
        <cfvo type="num" val="100"/>
      </iconSet>
    </cfRule>
    <cfRule type="iconSet" priority="360">
      <iconSet>
        <cfvo type="percent" val="0"/>
        <cfvo type="num" val="95"/>
        <cfvo type="num" val="100"/>
      </iconSet>
    </cfRule>
    <cfRule type="iconSet" priority="361">
      <iconSet>
        <cfvo type="percent" val="0"/>
        <cfvo type="num" val="95"/>
        <cfvo type="num" val="100"/>
      </iconSet>
    </cfRule>
    <cfRule type="iconSet" priority="362">
      <iconSet>
        <cfvo type="percent" val="0"/>
        <cfvo type="num" val="70"/>
        <cfvo type="num" val="90"/>
      </iconSet>
    </cfRule>
  </conditionalFormatting>
  <conditionalFormatting sqref="AR24:AR25">
    <cfRule type="iconSet" priority="347">
      <iconSet>
        <cfvo type="percent" val="0"/>
        <cfvo type="num" val="95"/>
        <cfvo type="num" val="100"/>
      </iconSet>
    </cfRule>
    <cfRule type="iconSet" priority="348">
      <iconSet>
        <cfvo type="percent" val="0"/>
        <cfvo type="num" val="70"/>
        <cfvo type="num" val="90"/>
      </iconSet>
    </cfRule>
    <cfRule type="iconSet" priority="349">
      <iconSet>
        <cfvo type="percent" val="0"/>
        <cfvo type="num" val="70"/>
        <cfvo type="num" val="90"/>
      </iconSet>
    </cfRule>
    <cfRule type="iconSet" priority="350">
      <iconSet>
        <cfvo type="percent" val="0"/>
        <cfvo type="num" val="95"/>
        <cfvo type="num" val="100"/>
      </iconSet>
    </cfRule>
    <cfRule type="iconSet" priority="351">
      <iconSet>
        <cfvo type="percent" val="0"/>
        <cfvo type="num" val="95"/>
        <cfvo type="num" val="100"/>
      </iconSet>
    </cfRule>
    <cfRule type="iconSet" priority="352">
      <iconSet>
        <cfvo type="percent" val="0"/>
        <cfvo type="num" val="95"/>
        <cfvo type="num" val="100"/>
      </iconSet>
    </cfRule>
    <cfRule type="iconSet" priority="353">
      <iconSet>
        <cfvo type="percent" val="0"/>
        <cfvo type="num" val="70"/>
        <cfvo type="num" val="90"/>
      </iconSet>
    </cfRule>
    <cfRule type="iconSet" priority="354">
      <iconSet>
        <cfvo type="percent" val="0"/>
        <cfvo type="num" val="70"/>
        <cfvo type="num" val="90"/>
      </iconSet>
    </cfRule>
    <cfRule type="iconSet" priority="355">
      <iconSet>
        <cfvo type="percent" val="0"/>
        <cfvo type="num" val="95"/>
        <cfvo type="num" val="100"/>
      </iconSet>
    </cfRule>
  </conditionalFormatting>
  <conditionalFormatting sqref="AR26">
    <cfRule type="iconSet" priority="456">
      <iconSet>
        <cfvo type="percent" val="0"/>
        <cfvo type="num" val="95"/>
        <cfvo type="num" val="100"/>
      </iconSet>
    </cfRule>
    <cfRule type="iconSet" priority="455">
      <iconSet>
        <cfvo type="percent" val="0"/>
        <cfvo type="num" val="70"/>
        <cfvo type="num" val="90"/>
      </iconSet>
    </cfRule>
    <cfRule type="iconSet" priority="453">
      <iconSet>
        <cfvo type="percent" val="0"/>
        <cfvo type="num" val="70"/>
        <cfvo type="num" val="90"/>
      </iconSet>
    </cfRule>
    <cfRule type="iconSet" priority="452">
      <iconSet>
        <cfvo type="percent" val="0"/>
        <cfvo type="num" val="95"/>
        <cfvo type="num" val="100"/>
      </iconSet>
    </cfRule>
    <cfRule type="iconSet" priority="526">
      <iconSet>
        <cfvo type="percent" val="0"/>
        <cfvo type="num" val="70"/>
        <cfvo type="num" val="90"/>
      </iconSet>
    </cfRule>
    <cfRule type="iconSet" priority="527">
      <iconSet>
        <cfvo type="percent" val="0"/>
        <cfvo type="num" val="95"/>
        <cfvo type="num" val="100"/>
      </iconSet>
    </cfRule>
    <cfRule type="iconSet" priority="454">
      <iconSet>
        <cfvo type="percent" val="0"/>
        <cfvo type="num" val="95"/>
        <cfvo type="num" val="100"/>
      </iconSet>
    </cfRule>
    <cfRule type="iconSet" priority="457">
      <iconSet>
        <cfvo type="percent" val="0"/>
        <cfvo type="num" val="70"/>
        <cfvo type="num" val="90"/>
      </iconSet>
    </cfRule>
  </conditionalFormatting>
  <conditionalFormatting sqref="AR27:AR45">
    <cfRule type="iconSet" priority="47981">
      <iconSet>
        <cfvo type="percent" val="0"/>
        <cfvo type="num" val="70"/>
        <cfvo type="num" val="90"/>
      </iconSet>
    </cfRule>
    <cfRule type="iconSet" priority="47980">
      <iconSet>
        <cfvo type="percent" val="0"/>
        <cfvo type="num" val="70"/>
        <cfvo type="num" val="90"/>
      </iconSet>
    </cfRule>
    <cfRule type="iconSet" priority="47979">
      <iconSet>
        <cfvo type="percent" val="0"/>
        <cfvo type="num" val="95"/>
        <cfvo type="num" val="100"/>
      </iconSet>
    </cfRule>
    <cfRule type="iconSet" priority="47987">
      <iconSet>
        <cfvo type="percent" val="0"/>
        <cfvo type="num" val="95"/>
        <cfvo type="num" val="100"/>
      </iconSet>
    </cfRule>
    <cfRule type="iconSet" priority="47984">
      <iconSet>
        <cfvo type="percent" val="0"/>
        <cfvo type="num" val="95"/>
        <cfvo type="num" val="100"/>
      </iconSet>
    </cfRule>
    <cfRule type="iconSet" priority="47986">
      <iconSet>
        <cfvo type="percent" val="0"/>
        <cfvo type="num" val="70"/>
        <cfvo type="num" val="90"/>
      </iconSet>
    </cfRule>
    <cfRule type="iconSet" priority="47983">
      <iconSet>
        <cfvo type="percent" val="0"/>
        <cfvo type="num" val="95"/>
        <cfvo type="num" val="100"/>
      </iconSet>
    </cfRule>
    <cfRule type="iconSet" priority="47982">
      <iconSet>
        <cfvo type="percent" val="0"/>
        <cfvo type="num" val="95"/>
        <cfvo type="num" val="100"/>
      </iconSet>
    </cfRule>
    <cfRule type="iconSet" priority="47985">
      <iconSet>
        <cfvo type="percent" val="0"/>
        <cfvo type="num" val="70"/>
        <cfvo type="num" val="90"/>
      </iconSet>
    </cfRule>
  </conditionalFormatting>
  <conditionalFormatting sqref="AR46:AR47">
    <cfRule type="iconSet" priority="426">
      <iconSet>
        <cfvo type="percent" val="0"/>
        <cfvo type="num" val="70"/>
        <cfvo type="num" val="90"/>
      </iconSet>
    </cfRule>
    <cfRule type="iconSet" priority="424">
      <iconSet>
        <cfvo type="percent" val="0"/>
        <cfvo type="num" val="95"/>
        <cfvo type="num" val="100"/>
      </iconSet>
    </cfRule>
    <cfRule type="iconSet" priority="423">
      <iconSet>
        <cfvo type="percent" val="0"/>
        <cfvo type="num" val="95"/>
        <cfvo type="num" val="100"/>
      </iconSet>
    </cfRule>
    <cfRule type="iconSet" priority="422">
      <iconSet>
        <cfvo type="percent" val="0"/>
        <cfvo type="num" val="95"/>
        <cfvo type="num" val="100"/>
      </iconSet>
    </cfRule>
    <cfRule type="iconSet" priority="421">
      <iconSet>
        <cfvo type="percent" val="0"/>
        <cfvo type="num" val="70"/>
        <cfvo type="num" val="90"/>
      </iconSet>
    </cfRule>
    <cfRule type="iconSet" priority="420">
      <iconSet>
        <cfvo type="percent" val="0"/>
        <cfvo type="num" val="70"/>
        <cfvo type="num" val="90"/>
      </iconSet>
    </cfRule>
    <cfRule type="iconSet" priority="419">
      <iconSet>
        <cfvo type="percent" val="0"/>
        <cfvo type="num" val="95"/>
        <cfvo type="num" val="100"/>
      </iconSet>
    </cfRule>
    <cfRule type="iconSet" priority="425">
      <iconSet>
        <cfvo type="percent" val="0"/>
        <cfvo type="num" val="70"/>
        <cfvo type="num" val="90"/>
      </iconSet>
    </cfRule>
    <cfRule type="iconSet" priority="427">
      <iconSet>
        <cfvo type="percent" val="0"/>
        <cfvo type="num" val="95"/>
        <cfvo type="num" val="100"/>
      </iconSet>
    </cfRule>
  </conditionalFormatting>
  <conditionalFormatting sqref="AR48">
    <cfRule type="iconSet" priority="48044">
      <iconSet>
        <cfvo type="percent" val="0"/>
        <cfvo type="num" val="70"/>
        <cfvo type="num" val="90"/>
      </iconSet>
    </cfRule>
    <cfRule type="iconSet" priority="48043">
      <iconSet>
        <cfvo type="percent" val="0"/>
        <cfvo type="num" val="95"/>
        <cfvo type="num" val="100"/>
      </iconSet>
    </cfRule>
    <cfRule type="iconSet" priority="48051">
      <iconSet>
        <cfvo type="percent" val="0"/>
        <cfvo type="num" val="95"/>
        <cfvo type="num" val="100"/>
      </iconSet>
    </cfRule>
    <cfRule type="iconSet" priority="48049">
      <iconSet>
        <cfvo type="percent" val="0"/>
        <cfvo type="num" val="70"/>
        <cfvo type="num" val="90"/>
      </iconSet>
    </cfRule>
    <cfRule type="iconSet" priority="48048">
      <iconSet>
        <cfvo type="percent" val="0"/>
        <cfvo type="num" val="95"/>
        <cfvo type="num" val="100"/>
      </iconSet>
    </cfRule>
    <cfRule type="iconSet" priority="48050">
      <iconSet>
        <cfvo type="percent" val="0"/>
        <cfvo type="num" val="70"/>
        <cfvo type="num" val="90"/>
      </iconSet>
    </cfRule>
    <cfRule type="iconSet" priority="48046">
      <iconSet>
        <cfvo type="percent" val="0"/>
        <cfvo type="num" val="95"/>
        <cfvo type="num" val="100"/>
      </iconSet>
    </cfRule>
    <cfRule type="iconSet" priority="48045">
      <iconSet>
        <cfvo type="percent" val="0"/>
        <cfvo type="num" val="70"/>
        <cfvo type="num" val="90"/>
      </iconSet>
    </cfRule>
    <cfRule type="iconSet" priority="48047">
      <iconSet>
        <cfvo type="percent" val="0"/>
        <cfvo type="num" val="95"/>
        <cfvo type="num" val="100"/>
      </iconSet>
    </cfRule>
  </conditionalFormatting>
  <conditionalFormatting sqref="AR49:AR54">
    <cfRule type="iconSet" priority="48155">
      <iconSet>
        <cfvo type="percent" val="0"/>
        <cfvo type="num" val="95"/>
        <cfvo type="num" val="100"/>
      </iconSet>
    </cfRule>
    <cfRule type="iconSet" priority="48157">
      <iconSet>
        <cfvo type="percent" val="0"/>
        <cfvo type="num" val="70"/>
        <cfvo type="num" val="90"/>
      </iconSet>
    </cfRule>
    <cfRule type="iconSet" priority="48158">
      <iconSet>
        <cfvo type="percent" val="0"/>
        <cfvo type="num" val="95"/>
        <cfvo type="num" val="100"/>
      </iconSet>
    </cfRule>
    <cfRule type="iconSet" priority="48159">
      <iconSet>
        <cfvo type="percent" val="0"/>
        <cfvo type="num" val="95"/>
        <cfvo type="num" val="100"/>
      </iconSet>
    </cfRule>
    <cfRule type="iconSet" priority="48160">
      <iconSet>
        <cfvo type="percent" val="0"/>
        <cfvo type="num" val="95"/>
        <cfvo type="num" val="100"/>
      </iconSet>
    </cfRule>
    <cfRule type="iconSet" priority="48156">
      <iconSet>
        <cfvo type="percent" val="0"/>
        <cfvo type="num" val="70"/>
        <cfvo type="num" val="90"/>
      </iconSet>
    </cfRule>
    <cfRule type="iconSet" priority="48161">
      <iconSet>
        <cfvo type="percent" val="0"/>
        <cfvo type="num" val="70"/>
        <cfvo type="num" val="90"/>
      </iconSet>
    </cfRule>
    <cfRule type="iconSet" priority="48162">
      <iconSet>
        <cfvo type="percent" val="0"/>
        <cfvo type="num" val="70"/>
        <cfvo type="num" val="90"/>
      </iconSet>
    </cfRule>
    <cfRule type="iconSet" priority="48163">
      <iconSet>
        <cfvo type="percent" val="0"/>
        <cfvo type="num" val="95"/>
        <cfvo type="num" val="100"/>
      </iconSet>
    </cfRule>
  </conditionalFormatting>
  <conditionalFormatting sqref="AR55">
    <cfRule type="iconSet" priority="344">
      <iconSet>
        <cfvo type="percent" val="0"/>
        <cfvo type="num" val="70"/>
        <cfvo type="num" val="90"/>
      </iconSet>
    </cfRule>
    <cfRule type="iconSet" priority="343">
      <iconSet>
        <cfvo type="percent" val="0"/>
        <cfvo type="num" val="95"/>
        <cfvo type="num" val="100"/>
      </iconSet>
    </cfRule>
    <cfRule type="iconSet" priority="342">
      <iconSet>
        <cfvo type="percent" val="0"/>
        <cfvo type="num" val="95"/>
        <cfvo type="num" val="100"/>
      </iconSet>
    </cfRule>
    <cfRule type="iconSet" priority="341">
      <iconSet>
        <cfvo type="percent" val="0"/>
        <cfvo type="num" val="95"/>
        <cfvo type="num" val="100"/>
      </iconSet>
    </cfRule>
    <cfRule type="iconSet" priority="340">
      <iconSet>
        <cfvo type="percent" val="0"/>
        <cfvo type="num" val="70"/>
        <cfvo type="num" val="90"/>
      </iconSet>
    </cfRule>
    <cfRule type="iconSet" priority="339">
      <iconSet>
        <cfvo type="percent" val="0"/>
        <cfvo type="num" val="70"/>
        <cfvo type="num" val="90"/>
      </iconSet>
    </cfRule>
    <cfRule type="iconSet" priority="338">
      <iconSet>
        <cfvo type="percent" val="0"/>
        <cfvo type="num" val="95"/>
        <cfvo type="num" val="100"/>
      </iconSet>
    </cfRule>
    <cfRule type="iconSet" priority="346">
      <iconSet>
        <cfvo type="percent" val="0"/>
        <cfvo type="num" val="95"/>
        <cfvo type="num" val="100"/>
      </iconSet>
    </cfRule>
    <cfRule type="iconSet" priority="345">
      <iconSet>
        <cfvo type="percent" val="0"/>
        <cfvo type="num" val="70"/>
        <cfvo type="num" val="90"/>
      </iconSet>
    </cfRule>
  </conditionalFormatting>
  <conditionalFormatting sqref="AR56 AR26">
    <cfRule type="iconSet" priority="530">
      <iconSet>
        <cfvo type="percent" val="0"/>
        <cfvo type="num" val="95"/>
        <cfvo type="num" val="100"/>
      </iconSet>
    </cfRule>
  </conditionalFormatting>
  <conditionalFormatting sqref="AR56">
    <cfRule type="iconSet" priority="507">
      <iconSet>
        <cfvo type="percent" val="0"/>
        <cfvo type="num" val="70"/>
        <cfvo type="num" val="90"/>
      </iconSet>
    </cfRule>
    <cfRule type="iconSet" priority="485">
      <iconSet>
        <cfvo type="percent" val="0"/>
        <cfvo type="num" val="70"/>
        <cfvo type="num" val="90"/>
      </iconSet>
    </cfRule>
    <cfRule type="iconSet" priority="484">
      <iconSet>
        <cfvo type="percent" val="0"/>
        <cfvo type="num" val="95"/>
        <cfvo type="num" val="100"/>
      </iconSet>
    </cfRule>
    <cfRule type="iconSet" priority="483">
      <iconSet>
        <cfvo type="percent" val="0"/>
        <cfvo type="num" val="70"/>
        <cfvo type="num" val="90"/>
      </iconSet>
    </cfRule>
    <cfRule type="iconSet" priority="482">
      <iconSet>
        <cfvo type="percent" val="0"/>
        <cfvo type="num" val="95"/>
        <cfvo type="num" val="100"/>
      </iconSet>
    </cfRule>
    <cfRule type="iconSet" priority="481">
      <iconSet>
        <cfvo type="percent" val="0"/>
        <cfvo type="num" val="70"/>
        <cfvo type="num" val="90"/>
      </iconSet>
    </cfRule>
    <cfRule type="iconSet" priority="480">
      <iconSet>
        <cfvo type="percent" val="0"/>
        <cfvo type="num" val="95"/>
        <cfvo type="num" val="100"/>
      </iconSet>
    </cfRule>
    <cfRule type="iconSet" priority="479">
      <iconSet>
        <cfvo type="percent" val="0"/>
        <cfvo type="num" val="70"/>
        <cfvo type="num" val="90"/>
      </iconSet>
    </cfRule>
    <cfRule type="iconSet" priority="478">
      <iconSet>
        <cfvo type="percent" val="0"/>
        <cfvo type="num" val="95"/>
        <cfvo type="num" val="100"/>
      </iconSet>
    </cfRule>
    <cfRule type="iconSet" priority="477">
      <iconSet>
        <cfvo type="percent" val="0"/>
        <cfvo type="num" val="70"/>
        <cfvo type="num" val="90"/>
      </iconSet>
    </cfRule>
    <cfRule type="iconSet" priority="476">
      <iconSet>
        <cfvo type="percent" val="0"/>
        <cfvo type="num" val="95"/>
        <cfvo type="num" val="100"/>
      </iconSet>
    </cfRule>
    <cfRule type="iconSet" priority="475">
      <iconSet>
        <cfvo type="percent" val="0"/>
        <cfvo type="num" val="70"/>
        <cfvo type="num" val="90"/>
      </iconSet>
    </cfRule>
    <cfRule type="iconSet" priority="474">
      <iconSet>
        <cfvo type="percent" val="0"/>
        <cfvo type="num" val="95"/>
        <cfvo type="num" val="100"/>
      </iconSet>
    </cfRule>
    <cfRule type="iconSet" priority="473">
      <iconSet>
        <cfvo type="percent" val="0"/>
        <cfvo type="num" val="70"/>
        <cfvo type="num" val="90"/>
      </iconSet>
    </cfRule>
    <cfRule type="iconSet" priority="472">
      <iconSet>
        <cfvo type="percent" val="0"/>
        <cfvo type="num" val="95"/>
        <cfvo type="num" val="100"/>
      </iconSet>
    </cfRule>
    <cfRule type="iconSet" priority="471">
      <iconSet>
        <cfvo type="percent" val="0"/>
        <cfvo type="num" val="70"/>
        <cfvo type="num" val="90"/>
      </iconSet>
    </cfRule>
    <cfRule type="iconSet" priority="470">
      <iconSet>
        <cfvo type="percent" val="0"/>
        <cfvo type="num" val="95"/>
        <cfvo type="num" val="100"/>
      </iconSet>
    </cfRule>
    <cfRule type="iconSet" priority="525">
      <iconSet>
        <cfvo type="percent" val="0"/>
        <cfvo type="num" val="70"/>
        <cfvo type="num" val="90"/>
      </iconSet>
    </cfRule>
    <cfRule type="iconSet" priority="524">
      <iconSet>
        <cfvo type="percent" val="0"/>
        <cfvo type="num" val="95"/>
        <cfvo type="num" val="100"/>
      </iconSet>
    </cfRule>
    <cfRule type="iconSet" priority="523">
      <iconSet>
        <cfvo type="percent" val="0"/>
        <cfvo type="num" val="70"/>
        <cfvo type="num" val="90"/>
      </iconSet>
    </cfRule>
    <cfRule type="iconSet" priority="522">
      <iconSet>
        <cfvo type="percent" val="0"/>
        <cfvo type="num" val="95"/>
        <cfvo type="num" val="100"/>
      </iconSet>
    </cfRule>
    <cfRule type="iconSet" priority="521">
      <iconSet>
        <cfvo type="percent" val="0"/>
        <cfvo type="num" val="70"/>
        <cfvo type="num" val="90"/>
      </iconSet>
    </cfRule>
    <cfRule type="iconSet" priority="520">
      <iconSet>
        <cfvo type="percent" val="0"/>
        <cfvo type="num" val="95"/>
        <cfvo type="num" val="100"/>
      </iconSet>
    </cfRule>
    <cfRule type="iconSet" priority="519">
      <iconSet>
        <cfvo type="percent" val="0"/>
        <cfvo type="num" val="95"/>
        <cfvo type="num" val="100"/>
      </iconSet>
    </cfRule>
    <cfRule type="iconSet" priority="518">
      <iconSet>
        <cfvo type="percent" val="0"/>
        <cfvo type="num" val="70"/>
        <cfvo type="num" val="90"/>
      </iconSet>
    </cfRule>
    <cfRule type="iconSet" priority="517">
      <iconSet>
        <cfvo type="percent" val="0"/>
        <cfvo type="num" val="70"/>
        <cfvo type="num" val="90"/>
      </iconSet>
    </cfRule>
    <cfRule type="iconSet" priority="516">
      <iconSet>
        <cfvo type="percent" val="0"/>
        <cfvo type="num" val="95"/>
        <cfvo type="num" val="100"/>
      </iconSet>
    </cfRule>
    <cfRule type="iconSet" priority="515">
      <iconSet>
        <cfvo type="percent" val="0"/>
        <cfvo type="num" val="95"/>
        <cfvo type="num" val="100"/>
      </iconSet>
    </cfRule>
    <cfRule type="iconSet" priority="514">
      <iconSet>
        <cfvo type="percent" val="0"/>
        <cfvo type="num" val="70"/>
        <cfvo type="num" val="90"/>
      </iconSet>
    </cfRule>
    <cfRule type="iconSet" priority="513">
      <iconSet>
        <cfvo type="percent" val="0"/>
        <cfvo type="num" val="70"/>
        <cfvo type="num" val="90"/>
      </iconSet>
    </cfRule>
    <cfRule type="iconSet" priority="512">
      <iconSet>
        <cfvo type="percent" val="0"/>
        <cfvo type="num" val="95"/>
        <cfvo type="num" val="100"/>
      </iconSet>
    </cfRule>
    <cfRule type="iconSet" priority="511">
      <iconSet>
        <cfvo type="percent" val="0"/>
        <cfvo type="num" val="70"/>
        <cfvo type="num" val="90"/>
      </iconSet>
    </cfRule>
    <cfRule type="iconSet" priority="510">
      <iconSet>
        <cfvo type="percent" val="0"/>
        <cfvo type="num" val="95"/>
        <cfvo type="num" val="100"/>
      </iconSet>
    </cfRule>
    <cfRule type="iconSet" priority="509">
      <iconSet>
        <cfvo type="percent" val="0"/>
        <cfvo type="num" val="70"/>
        <cfvo type="num" val="90"/>
      </iconSet>
    </cfRule>
    <cfRule type="iconSet" priority="508">
      <iconSet>
        <cfvo type="percent" val="0"/>
        <cfvo type="num" val="95"/>
        <cfvo type="num" val="100"/>
      </iconSet>
    </cfRule>
    <cfRule type="iconSet" priority="469">
      <iconSet>
        <cfvo type="percent" val="0"/>
        <cfvo type="num" val="70"/>
        <cfvo type="num" val="90"/>
      </iconSet>
    </cfRule>
    <cfRule type="iconSet" priority="506">
      <iconSet>
        <cfvo type="percent" val="0"/>
        <cfvo type="num" val="95"/>
        <cfvo type="num" val="100"/>
      </iconSet>
    </cfRule>
    <cfRule type="iconSet" priority="505">
      <iconSet>
        <cfvo type="percent" val="0"/>
        <cfvo type="num" val="70"/>
        <cfvo type="num" val="90"/>
      </iconSet>
    </cfRule>
    <cfRule type="iconSet" priority="504">
      <iconSet>
        <cfvo type="percent" val="0"/>
        <cfvo type="num" val="95"/>
        <cfvo type="num" val="100"/>
      </iconSet>
    </cfRule>
    <cfRule type="iconSet" priority="503">
      <iconSet>
        <cfvo type="percent" val="0"/>
        <cfvo type="num" val="70"/>
        <cfvo type="num" val="90"/>
      </iconSet>
    </cfRule>
    <cfRule type="iconSet" priority="502">
      <iconSet>
        <cfvo type="percent" val="0"/>
        <cfvo type="num" val="95"/>
        <cfvo type="num" val="100"/>
      </iconSet>
    </cfRule>
    <cfRule type="iconSet" priority="501">
      <iconSet>
        <cfvo type="percent" val="0"/>
        <cfvo type="num" val="70"/>
        <cfvo type="num" val="90"/>
      </iconSet>
    </cfRule>
    <cfRule type="iconSet" priority="468">
      <iconSet>
        <cfvo type="percent" val="0"/>
        <cfvo type="num" val="95"/>
        <cfvo type="num" val="100"/>
      </iconSet>
    </cfRule>
    <cfRule type="iconSet" priority="467">
      <iconSet>
        <cfvo type="percent" val="0"/>
        <cfvo type="num" val="70"/>
        <cfvo type="num" val="90"/>
      </iconSet>
    </cfRule>
    <cfRule type="iconSet" priority="466">
      <iconSet>
        <cfvo type="percent" val="0"/>
        <cfvo type="num" val="95"/>
        <cfvo type="num" val="100"/>
      </iconSet>
    </cfRule>
    <cfRule type="iconSet" priority="465">
      <iconSet>
        <cfvo type="percent" val="0"/>
        <cfvo type="num" val="70"/>
        <cfvo type="num" val="90"/>
      </iconSet>
    </cfRule>
    <cfRule type="iconSet" priority="464">
      <iconSet>
        <cfvo type="percent" val="0"/>
        <cfvo type="num" val="95"/>
        <cfvo type="num" val="100"/>
      </iconSet>
    </cfRule>
    <cfRule type="iconSet" priority="463">
      <iconSet>
        <cfvo type="percent" val="0"/>
        <cfvo type="num" val="70"/>
        <cfvo type="num" val="90"/>
      </iconSet>
    </cfRule>
    <cfRule type="iconSet" priority="462">
      <iconSet>
        <cfvo type="percent" val="0"/>
        <cfvo type="num" val="95"/>
        <cfvo type="num" val="100"/>
      </iconSet>
    </cfRule>
    <cfRule type="iconSet" priority="461">
      <iconSet>
        <cfvo type="percent" val="0"/>
        <cfvo type="num" val="70"/>
        <cfvo type="num" val="90"/>
      </iconSet>
    </cfRule>
    <cfRule type="iconSet" priority="460">
      <iconSet>
        <cfvo type="percent" val="0"/>
        <cfvo type="num" val="95"/>
        <cfvo type="num" val="100"/>
      </iconSet>
    </cfRule>
    <cfRule type="iconSet" priority="459">
      <iconSet>
        <cfvo type="percent" val="0"/>
        <cfvo type="num" val="70"/>
        <cfvo type="num" val="90"/>
      </iconSet>
    </cfRule>
    <cfRule type="iconSet" priority="458">
      <iconSet>
        <cfvo type="percent" val="0"/>
        <cfvo type="num" val="95"/>
        <cfvo type="num" val="100"/>
      </iconSet>
    </cfRule>
    <cfRule type="iconSet" priority="451">
      <iconSet>
        <cfvo type="percent" val="0"/>
        <cfvo type="num" val="70"/>
        <cfvo type="num" val="90"/>
      </iconSet>
    </cfRule>
    <cfRule type="iconSet" priority="450">
      <iconSet>
        <cfvo type="percent" val="0"/>
        <cfvo type="num" val="95"/>
        <cfvo type="num" val="100"/>
      </iconSet>
    </cfRule>
    <cfRule type="iconSet" priority="449">
      <iconSet>
        <cfvo type="percent" val="0"/>
        <cfvo type="num" val="70"/>
        <cfvo type="num" val="90"/>
      </iconSet>
    </cfRule>
    <cfRule type="iconSet" priority="448">
      <iconSet>
        <cfvo type="percent" val="0"/>
        <cfvo type="num" val="95"/>
        <cfvo type="num" val="100"/>
      </iconSet>
    </cfRule>
    <cfRule type="iconSet" priority="447">
      <iconSet>
        <cfvo type="percent" val="0"/>
        <cfvo type="num" val="70"/>
        <cfvo type="num" val="90"/>
      </iconSet>
    </cfRule>
    <cfRule type="iconSet" priority="446">
      <iconSet>
        <cfvo type="percent" val="0"/>
        <cfvo type="num" val="95"/>
        <cfvo type="num" val="100"/>
      </iconSet>
    </cfRule>
    <cfRule type="iconSet" priority="490">
      <iconSet>
        <cfvo type="percent" val="0"/>
        <cfvo type="num" val="95"/>
        <cfvo type="num" val="100"/>
      </iconSet>
    </cfRule>
    <cfRule type="iconSet" priority="491">
      <iconSet>
        <cfvo type="percent" val="0"/>
        <cfvo type="num" val="70"/>
        <cfvo type="num" val="90"/>
      </iconSet>
    </cfRule>
    <cfRule type="iconSet" priority="492">
      <iconSet>
        <cfvo type="percent" val="0"/>
        <cfvo type="num" val="95"/>
        <cfvo type="num" val="100"/>
      </iconSet>
    </cfRule>
    <cfRule type="iconSet" priority="493">
      <iconSet>
        <cfvo type="percent" val="0"/>
        <cfvo type="num" val="70"/>
        <cfvo type="num" val="90"/>
      </iconSet>
    </cfRule>
    <cfRule type="iconSet" priority="494">
      <iconSet>
        <cfvo type="percent" val="0"/>
        <cfvo type="num" val="95"/>
        <cfvo type="num" val="100"/>
      </iconSet>
    </cfRule>
    <cfRule type="iconSet" priority="495">
      <iconSet>
        <cfvo type="percent" val="0"/>
        <cfvo type="num" val="70"/>
        <cfvo type="num" val="90"/>
      </iconSet>
    </cfRule>
    <cfRule type="iconSet" priority="489">
      <iconSet>
        <cfvo type="percent" val="0"/>
        <cfvo type="num" val="70"/>
        <cfvo type="num" val="90"/>
      </iconSet>
    </cfRule>
    <cfRule type="iconSet" priority="488">
      <iconSet>
        <cfvo type="percent" val="0"/>
        <cfvo type="num" val="95"/>
        <cfvo type="num" val="100"/>
      </iconSet>
    </cfRule>
    <cfRule type="iconSet" priority="496">
      <iconSet>
        <cfvo type="percent" val="0"/>
        <cfvo type="num" val="95"/>
        <cfvo type="num" val="100"/>
      </iconSet>
    </cfRule>
    <cfRule type="iconSet" priority="497">
      <iconSet>
        <cfvo type="percent" val="0"/>
        <cfvo type="num" val="70"/>
        <cfvo type="num" val="90"/>
      </iconSet>
    </cfRule>
    <cfRule type="iconSet" priority="498">
      <iconSet>
        <cfvo type="percent" val="0"/>
        <cfvo type="num" val="95"/>
        <cfvo type="num" val="100"/>
      </iconSet>
    </cfRule>
    <cfRule type="iconSet" priority="499">
      <iconSet>
        <cfvo type="percent" val="0"/>
        <cfvo type="num" val="70"/>
        <cfvo type="num" val="90"/>
      </iconSet>
    </cfRule>
    <cfRule type="iconSet" priority="500">
      <iconSet>
        <cfvo type="percent" val="0"/>
        <cfvo type="num" val="95"/>
        <cfvo type="num" val="100"/>
      </iconSet>
    </cfRule>
    <cfRule type="iconSet" priority="487">
      <iconSet>
        <cfvo type="percent" val="0"/>
        <cfvo type="num" val="70"/>
        <cfvo type="num" val="90"/>
      </iconSet>
    </cfRule>
    <cfRule type="iconSet" priority="486">
      <iconSet>
        <cfvo type="percent" val="0"/>
        <cfvo type="num" val="95"/>
        <cfvo type="num" val="100"/>
      </iconSet>
    </cfRule>
  </conditionalFormatting>
  <conditionalFormatting sqref="AR57">
    <cfRule type="iconSet" priority="47670">
      <iconSet>
        <cfvo type="percent" val="0"/>
        <cfvo type="num" val="95"/>
        <cfvo type="num" val="100"/>
      </iconSet>
    </cfRule>
  </conditionalFormatting>
  <conditionalFormatting sqref="AR58">
    <cfRule type="iconSet" priority="3515">
      <iconSet>
        <cfvo type="percent" val="0"/>
        <cfvo type="num" val="95"/>
        <cfvo type="num" val="100"/>
      </iconSet>
    </cfRule>
  </conditionalFormatting>
  <conditionalFormatting sqref="AW10:AW18">
    <cfRule type="iconSet" priority="48317">
      <iconSet iconSet="3ArrowsGray" showValue="0">
        <cfvo type="percent" val="0"/>
        <cfvo type="num" val="2"/>
        <cfvo type="num" val="3"/>
      </iconSet>
    </cfRule>
  </conditionalFormatting>
  <conditionalFormatting sqref="AW20">
    <cfRule type="iconSet" priority="2476">
      <iconSet iconSet="3ArrowsGray" showValue="0">
        <cfvo type="percent" val="0"/>
        <cfvo type="num" val="2"/>
        <cfvo type="num" val="3"/>
      </iconSet>
    </cfRule>
  </conditionalFormatting>
  <conditionalFormatting sqref="AW21:AW56">
    <cfRule type="iconSet" priority="48197">
      <iconSet iconSet="3ArrowsGray" showValue="0">
        <cfvo type="percent" val="0"/>
        <cfvo type="num" val="2"/>
        <cfvo type="num" val="3"/>
      </iconSet>
    </cfRule>
  </conditionalFormatting>
  <conditionalFormatting sqref="AW57">
    <cfRule type="iconSet" priority="3139">
      <iconSet iconSet="3ArrowsGray" showValue="0">
        <cfvo type="percent" val="0"/>
        <cfvo type="num" val="2"/>
        <cfvo type="num" val="3"/>
      </iconSet>
    </cfRule>
  </conditionalFormatting>
  <conditionalFormatting sqref="AW58">
    <cfRule type="iconSet" priority="3115">
      <iconSet iconSet="3ArrowsGray" showValue="0">
        <cfvo type="percent" val="0"/>
        <cfvo type="num" val="2"/>
        <cfvo type="num" val="3"/>
      </iconSet>
    </cfRule>
  </conditionalFormatting>
  <conditionalFormatting sqref="AX10:AX18">
    <cfRule type="iconSet" priority="48319">
      <iconSet iconSet="3ArrowsGray" showValue="0">
        <cfvo type="percent" val="0"/>
        <cfvo type="num" val="2"/>
        <cfvo type="num" val="3"/>
      </iconSet>
    </cfRule>
  </conditionalFormatting>
  <conditionalFormatting sqref="AX20">
    <cfRule type="iconSet" priority="2475">
      <iconSet iconSet="3ArrowsGray" showValue="0">
        <cfvo type="percent" val="0"/>
        <cfvo type="num" val="2"/>
        <cfvo type="num" val="3"/>
      </iconSet>
    </cfRule>
  </conditionalFormatting>
  <conditionalFormatting sqref="AX21:AX56">
    <cfRule type="iconSet" priority="48198">
      <iconSet iconSet="3ArrowsGray" showValue="0">
        <cfvo type="percent" val="0"/>
        <cfvo type="num" val="2"/>
        <cfvo type="num" val="3"/>
      </iconSet>
    </cfRule>
  </conditionalFormatting>
  <conditionalFormatting sqref="AX57">
    <cfRule type="iconSet" priority="3140">
      <iconSet iconSet="3ArrowsGray" showValue="0">
        <cfvo type="percent" val="0"/>
        <cfvo type="num" val="2"/>
        <cfvo type="num" val="3"/>
      </iconSet>
    </cfRule>
  </conditionalFormatting>
  <conditionalFormatting sqref="AX58">
    <cfRule type="iconSet" priority="3116">
      <iconSet iconSet="3ArrowsGray" showValue="0">
        <cfvo type="percent" val="0"/>
        <cfvo type="num" val="2"/>
        <cfvo type="num" val="3"/>
      </iconSet>
    </cfRule>
  </conditionalFormatting>
  <conditionalFormatting sqref="BC10">
    <cfRule type="iconSet" priority="211">
      <iconSet>
        <cfvo type="percent" val="0"/>
        <cfvo type="num" val="95"/>
        <cfvo type="num" val="100"/>
      </iconSet>
    </cfRule>
    <cfRule type="iconSet" priority="209">
      <iconSet>
        <cfvo type="percent" val="0"/>
        <cfvo type="num" val="70"/>
        <cfvo type="num" val="90"/>
      </iconSet>
    </cfRule>
    <cfRule type="iconSet" priority="216">
      <iconSet>
        <cfvo type="percent" val="0"/>
        <cfvo type="num" val="95"/>
        <cfvo type="num" val="100"/>
      </iconSet>
    </cfRule>
    <cfRule type="iconSet" priority="215">
      <iconSet>
        <cfvo type="percent" val="0"/>
        <cfvo type="num" val="70"/>
        <cfvo type="num" val="90"/>
      </iconSet>
    </cfRule>
    <cfRule type="iconSet" priority="214">
      <iconSet>
        <cfvo type="percent" val="0"/>
        <cfvo type="num" val="70"/>
        <cfvo type="num" val="90"/>
      </iconSet>
    </cfRule>
    <cfRule type="iconSet" priority="213">
      <iconSet>
        <cfvo type="percent" val="0"/>
        <cfvo type="num" val="95"/>
        <cfvo type="num" val="100"/>
      </iconSet>
    </cfRule>
    <cfRule type="iconSet" priority="212">
      <iconSet>
        <cfvo type="percent" val="0"/>
        <cfvo type="num" val="95"/>
        <cfvo type="num" val="100"/>
      </iconSet>
    </cfRule>
    <cfRule type="iconSet" priority="208">
      <iconSet>
        <cfvo type="percent" val="0"/>
        <cfvo type="num" val="95"/>
        <cfvo type="num" val="100"/>
      </iconSet>
    </cfRule>
    <cfRule type="iconSet" priority="210">
      <iconSet>
        <cfvo type="percent" val="0"/>
        <cfvo type="num" val="70"/>
        <cfvo type="num" val="90"/>
      </iconSet>
    </cfRule>
  </conditionalFormatting>
  <conditionalFormatting sqref="BC11">
    <cfRule type="iconSet" priority="175">
      <iconSet>
        <cfvo type="percent" val="0"/>
        <cfvo type="num" val="95"/>
        <cfvo type="num" val="100"/>
      </iconSet>
    </cfRule>
    <cfRule type="iconSet" priority="173">
      <iconSet>
        <cfvo type="percent" val="0"/>
        <cfvo type="num" val="70"/>
        <cfvo type="num" val="90"/>
      </iconSet>
    </cfRule>
    <cfRule type="iconSet" priority="174">
      <iconSet>
        <cfvo type="percent" val="0"/>
        <cfvo type="num" val="70"/>
        <cfvo type="num" val="90"/>
      </iconSet>
    </cfRule>
    <cfRule type="iconSet" priority="172">
      <iconSet>
        <cfvo type="percent" val="0"/>
        <cfvo type="num" val="95"/>
        <cfvo type="num" val="100"/>
      </iconSet>
    </cfRule>
    <cfRule type="iconSet" priority="176">
      <iconSet>
        <cfvo type="percent" val="0"/>
        <cfvo type="num" val="95"/>
        <cfvo type="num" val="100"/>
      </iconSet>
    </cfRule>
    <cfRule type="iconSet" priority="177">
      <iconSet>
        <cfvo type="percent" val="0"/>
        <cfvo type="num" val="95"/>
        <cfvo type="num" val="100"/>
      </iconSet>
    </cfRule>
    <cfRule type="iconSet" priority="178">
      <iconSet>
        <cfvo type="percent" val="0"/>
        <cfvo type="num" val="70"/>
        <cfvo type="num" val="90"/>
      </iconSet>
    </cfRule>
    <cfRule type="iconSet" priority="179">
      <iconSet>
        <cfvo type="percent" val="0"/>
        <cfvo type="num" val="70"/>
        <cfvo type="num" val="90"/>
      </iconSet>
    </cfRule>
    <cfRule type="iconSet" priority="180">
      <iconSet>
        <cfvo type="percent" val="0"/>
        <cfvo type="num" val="95"/>
        <cfvo type="num" val="100"/>
      </iconSet>
    </cfRule>
  </conditionalFormatting>
  <conditionalFormatting sqref="BC12:BC17">
    <cfRule type="iconSet" priority="48327">
      <iconSet>
        <cfvo type="percent" val="0"/>
        <cfvo type="num" val="70"/>
        <cfvo type="num" val="90"/>
      </iconSet>
    </cfRule>
    <cfRule type="iconSet" priority="48326">
      <iconSet>
        <cfvo type="percent" val="0"/>
        <cfvo type="num" val="95"/>
        <cfvo type="num" val="100"/>
      </iconSet>
    </cfRule>
    <cfRule type="iconSet" priority="48325">
      <iconSet>
        <cfvo type="percent" val="0"/>
        <cfvo type="num" val="95"/>
        <cfvo type="num" val="100"/>
      </iconSet>
    </cfRule>
    <cfRule type="iconSet" priority="48324">
      <iconSet>
        <cfvo type="percent" val="0"/>
        <cfvo type="num" val="95"/>
        <cfvo type="num" val="100"/>
      </iconSet>
    </cfRule>
    <cfRule type="iconSet" priority="48323">
      <iconSet>
        <cfvo type="percent" val="0"/>
        <cfvo type="num" val="70"/>
        <cfvo type="num" val="90"/>
      </iconSet>
    </cfRule>
    <cfRule type="iconSet" priority="48329">
      <iconSet>
        <cfvo type="percent" val="0"/>
        <cfvo type="num" val="95"/>
        <cfvo type="num" val="100"/>
      </iconSet>
    </cfRule>
    <cfRule type="iconSet" priority="48322">
      <iconSet>
        <cfvo type="percent" val="0"/>
        <cfvo type="num" val="70"/>
        <cfvo type="num" val="90"/>
      </iconSet>
    </cfRule>
    <cfRule type="iconSet" priority="48321">
      <iconSet>
        <cfvo type="percent" val="0"/>
        <cfvo type="num" val="95"/>
        <cfvo type="num" val="100"/>
      </iconSet>
    </cfRule>
    <cfRule type="iconSet" priority="48328">
      <iconSet>
        <cfvo type="percent" val="0"/>
        <cfvo type="num" val="70"/>
        <cfvo type="num" val="90"/>
      </iconSet>
    </cfRule>
  </conditionalFormatting>
  <conditionalFormatting sqref="BC18">
    <cfRule type="iconSet" priority="153">
      <iconSet>
        <cfvo type="percent" val="0"/>
        <cfvo type="num" val="95"/>
        <cfvo type="num" val="100"/>
      </iconSet>
    </cfRule>
    <cfRule type="iconSet" priority="145">
      <iconSet>
        <cfvo type="percent" val="0"/>
        <cfvo type="num" val="95"/>
        <cfvo type="num" val="100"/>
      </iconSet>
    </cfRule>
    <cfRule type="iconSet" priority="146">
      <iconSet>
        <cfvo type="percent" val="0"/>
        <cfvo type="num" val="70"/>
        <cfvo type="num" val="90"/>
      </iconSet>
    </cfRule>
    <cfRule type="iconSet" priority="147">
      <iconSet>
        <cfvo type="percent" val="0"/>
        <cfvo type="num" val="70"/>
        <cfvo type="num" val="90"/>
      </iconSet>
    </cfRule>
    <cfRule type="iconSet" priority="148">
      <iconSet>
        <cfvo type="percent" val="0"/>
        <cfvo type="num" val="95"/>
        <cfvo type="num" val="100"/>
      </iconSet>
    </cfRule>
    <cfRule type="iconSet" priority="149">
      <iconSet>
        <cfvo type="percent" val="0"/>
        <cfvo type="num" val="95"/>
        <cfvo type="num" val="100"/>
      </iconSet>
    </cfRule>
    <cfRule type="iconSet" priority="151">
      <iconSet>
        <cfvo type="percent" val="0"/>
        <cfvo type="num" val="70"/>
        <cfvo type="num" val="90"/>
      </iconSet>
    </cfRule>
    <cfRule type="iconSet" priority="152">
      <iconSet>
        <cfvo type="percent" val="0"/>
        <cfvo type="num" val="70"/>
        <cfvo type="num" val="90"/>
      </iconSet>
    </cfRule>
    <cfRule type="iconSet" priority="150">
      <iconSet>
        <cfvo type="percent" val="0"/>
        <cfvo type="num" val="95"/>
        <cfvo type="num" val="100"/>
      </iconSet>
    </cfRule>
  </conditionalFormatting>
  <conditionalFormatting sqref="BC20">
    <cfRule type="iconSet" priority="34">
      <iconSet>
        <cfvo type="percent" val="0"/>
        <cfvo type="num" val="70"/>
        <cfvo type="num" val="90"/>
      </iconSet>
    </cfRule>
    <cfRule type="iconSet" priority="32">
      <iconSet>
        <cfvo type="percent" val="0"/>
        <cfvo type="num" val="95"/>
        <cfvo type="num" val="100"/>
      </iconSet>
    </cfRule>
    <cfRule type="iconSet" priority="28">
      <iconSet>
        <cfvo type="percent" val="0"/>
        <cfvo type="num" val="95"/>
        <cfvo type="num" val="100"/>
      </iconSet>
    </cfRule>
    <cfRule type="iconSet" priority="29">
      <iconSet>
        <cfvo type="percent" val="0"/>
        <cfvo type="num" val="70"/>
        <cfvo type="num" val="90"/>
      </iconSet>
    </cfRule>
    <cfRule type="iconSet" priority="35">
      <iconSet>
        <cfvo type="percent" val="0"/>
        <cfvo type="num" val="70"/>
        <cfvo type="num" val="90"/>
      </iconSet>
    </cfRule>
    <cfRule type="iconSet" priority="36">
      <iconSet>
        <cfvo type="percent" val="0"/>
        <cfvo type="num" val="95"/>
        <cfvo type="num" val="100"/>
      </iconSet>
    </cfRule>
    <cfRule type="iconSet" priority="31">
      <iconSet>
        <cfvo type="percent" val="0"/>
        <cfvo type="num" val="95"/>
        <cfvo type="num" val="100"/>
      </iconSet>
    </cfRule>
    <cfRule type="iconSet" priority="30">
      <iconSet>
        <cfvo type="percent" val="0"/>
        <cfvo type="num" val="70"/>
        <cfvo type="num" val="90"/>
      </iconSet>
    </cfRule>
    <cfRule type="iconSet" priority="33">
      <iconSet>
        <cfvo type="percent" val="0"/>
        <cfvo type="num" val="95"/>
        <cfvo type="num" val="100"/>
      </iconSet>
    </cfRule>
  </conditionalFormatting>
  <conditionalFormatting sqref="BC21:BC23">
    <cfRule type="iconSet" priority="10">
      <iconSet>
        <cfvo type="percent" val="0"/>
        <cfvo type="num" val="95"/>
        <cfvo type="num" val="100"/>
      </iconSet>
    </cfRule>
    <cfRule type="iconSet" priority="12">
      <iconSet>
        <cfvo type="percent" val="0"/>
        <cfvo type="num" val="70"/>
        <cfvo type="num" val="90"/>
      </iconSet>
    </cfRule>
    <cfRule type="iconSet" priority="13">
      <iconSet>
        <cfvo type="percent" val="0"/>
        <cfvo type="num" val="95"/>
        <cfvo type="num" val="100"/>
      </iconSet>
    </cfRule>
    <cfRule type="iconSet" priority="14">
      <iconSet>
        <cfvo type="percent" val="0"/>
        <cfvo type="num" val="95"/>
        <cfvo type="num" val="100"/>
      </iconSet>
    </cfRule>
    <cfRule type="iconSet" priority="16">
      <iconSet>
        <cfvo type="percent" val="0"/>
        <cfvo type="num" val="70"/>
        <cfvo type="num" val="90"/>
      </iconSet>
    </cfRule>
    <cfRule type="iconSet" priority="17">
      <iconSet>
        <cfvo type="percent" val="0"/>
        <cfvo type="num" val="70"/>
        <cfvo type="num" val="90"/>
      </iconSet>
    </cfRule>
    <cfRule type="iconSet" priority="18">
      <iconSet>
        <cfvo type="percent" val="0"/>
        <cfvo type="num" val="95"/>
        <cfvo type="num" val="100"/>
      </iconSet>
    </cfRule>
    <cfRule type="iconSet" priority="11">
      <iconSet>
        <cfvo type="percent" val="0"/>
        <cfvo type="num" val="70"/>
        <cfvo type="num" val="90"/>
      </iconSet>
    </cfRule>
    <cfRule type="iconSet" priority="15">
      <iconSet>
        <cfvo type="percent" val="0"/>
        <cfvo type="num" val="95"/>
        <cfvo type="num" val="100"/>
      </iconSet>
    </cfRule>
  </conditionalFormatting>
  <conditionalFormatting sqref="BC24:BC25">
    <cfRule type="iconSet" priority="9">
      <iconSet>
        <cfvo type="percent" val="0"/>
        <cfvo type="num" val="95"/>
        <cfvo type="num" val="100"/>
      </iconSet>
    </cfRule>
    <cfRule type="iconSet" priority="1">
      <iconSet>
        <cfvo type="percent" val="0"/>
        <cfvo type="num" val="95"/>
        <cfvo type="num" val="100"/>
      </iconSet>
    </cfRule>
    <cfRule type="iconSet" priority="2">
      <iconSet>
        <cfvo type="percent" val="0"/>
        <cfvo type="num" val="70"/>
        <cfvo type="num" val="90"/>
      </iconSet>
    </cfRule>
    <cfRule type="iconSet" priority="3">
      <iconSet>
        <cfvo type="percent" val="0"/>
        <cfvo type="num" val="70"/>
        <cfvo type="num" val="90"/>
      </iconSet>
    </cfRule>
    <cfRule type="iconSet" priority="4">
      <iconSet>
        <cfvo type="percent" val="0"/>
        <cfvo type="num" val="95"/>
        <cfvo type="num" val="100"/>
      </iconSet>
    </cfRule>
    <cfRule type="iconSet" priority="5">
      <iconSet>
        <cfvo type="percent" val="0"/>
        <cfvo type="num" val="95"/>
        <cfvo type="num" val="100"/>
      </iconSet>
    </cfRule>
    <cfRule type="iconSet" priority="6">
      <iconSet>
        <cfvo type="percent" val="0"/>
        <cfvo type="num" val="95"/>
        <cfvo type="num" val="100"/>
      </iconSet>
    </cfRule>
    <cfRule type="iconSet" priority="7">
      <iconSet>
        <cfvo type="percent" val="0"/>
        <cfvo type="num" val="70"/>
        <cfvo type="num" val="90"/>
      </iconSet>
    </cfRule>
    <cfRule type="iconSet" priority="8">
      <iconSet>
        <cfvo type="percent" val="0"/>
        <cfvo type="num" val="70"/>
        <cfvo type="num" val="90"/>
      </iconSet>
    </cfRule>
  </conditionalFormatting>
  <conditionalFormatting sqref="BC26">
    <cfRule type="iconSet" priority="45">
      <iconSet>
        <cfvo type="percent" val="0"/>
        <cfvo type="num" val="95"/>
        <cfvo type="num" val="100"/>
      </iconSet>
    </cfRule>
    <cfRule type="iconSet" priority="44">
      <iconSet>
        <cfvo type="percent" val="0"/>
        <cfvo type="num" val="95"/>
        <cfvo type="num" val="100"/>
      </iconSet>
    </cfRule>
    <cfRule type="iconSet" priority="43">
      <iconSet>
        <cfvo type="percent" val="0"/>
        <cfvo type="num" val="70"/>
        <cfvo type="num" val="90"/>
      </iconSet>
    </cfRule>
    <cfRule type="iconSet" priority="42">
      <iconSet>
        <cfvo type="percent" val="0"/>
        <cfvo type="num" val="70"/>
        <cfvo type="num" val="90"/>
      </iconSet>
    </cfRule>
    <cfRule type="iconSet" priority="41">
      <iconSet>
        <cfvo type="percent" val="0"/>
        <cfvo type="num" val="95"/>
        <cfvo type="num" val="100"/>
      </iconSet>
    </cfRule>
    <cfRule type="iconSet" priority="40">
      <iconSet>
        <cfvo type="percent" val="0"/>
        <cfvo type="num" val="70"/>
        <cfvo type="num" val="90"/>
      </iconSet>
    </cfRule>
    <cfRule type="iconSet" priority="39">
      <iconSet>
        <cfvo type="percent" val="0"/>
        <cfvo type="num" val="95"/>
        <cfvo type="num" val="100"/>
      </iconSet>
    </cfRule>
    <cfRule type="iconSet" priority="38">
      <iconSet>
        <cfvo type="percent" val="0"/>
        <cfvo type="num" val="70"/>
        <cfvo type="num" val="90"/>
      </iconSet>
    </cfRule>
    <cfRule type="iconSet" priority="37">
      <iconSet>
        <cfvo type="percent" val="0"/>
        <cfvo type="num" val="95"/>
        <cfvo type="num" val="100"/>
      </iconSet>
    </cfRule>
  </conditionalFormatting>
  <conditionalFormatting sqref="BC27:BC45">
    <cfRule type="iconSet" priority="52">
      <iconSet>
        <cfvo type="percent" val="0"/>
        <cfvo type="num" val="70"/>
        <cfvo type="num" val="90"/>
      </iconSet>
    </cfRule>
    <cfRule type="iconSet" priority="51">
      <iconSet>
        <cfvo type="percent" val="0"/>
        <cfvo type="num" val="95"/>
        <cfvo type="num" val="100"/>
      </iconSet>
    </cfRule>
    <cfRule type="iconSet" priority="50">
      <iconSet>
        <cfvo type="percent" val="0"/>
        <cfvo type="num" val="95"/>
        <cfvo type="num" val="100"/>
      </iconSet>
    </cfRule>
    <cfRule type="iconSet" priority="49">
      <iconSet>
        <cfvo type="percent" val="0"/>
        <cfvo type="num" val="95"/>
        <cfvo type="num" val="100"/>
      </iconSet>
    </cfRule>
    <cfRule type="iconSet" priority="48">
      <iconSet>
        <cfvo type="percent" val="0"/>
        <cfvo type="num" val="70"/>
        <cfvo type="num" val="90"/>
      </iconSet>
    </cfRule>
    <cfRule type="iconSet" priority="47">
      <iconSet>
        <cfvo type="percent" val="0"/>
        <cfvo type="num" val="70"/>
        <cfvo type="num" val="90"/>
      </iconSet>
    </cfRule>
    <cfRule type="iconSet" priority="46">
      <iconSet>
        <cfvo type="percent" val="0"/>
        <cfvo type="num" val="95"/>
        <cfvo type="num" val="100"/>
      </iconSet>
    </cfRule>
    <cfRule type="iconSet" priority="54">
      <iconSet>
        <cfvo type="percent" val="0"/>
        <cfvo type="num" val="95"/>
        <cfvo type="num" val="100"/>
      </iconSet>
    </cfRule>
    <cfRule type="iconSet" priority="53">
      <iconSet>
        <cfvo type="percent" val="0"/>
        <cfvo type="num" val="70"/>
        <cfvo type="num" val="90"/>
      </iconSet>
    </cfRule>
  </conditionalFormatting>
  <conditionalFormatting sqref="BC46:BC47">
    <cfRule type="iconSet" priority="24">
      <iconSet>
        <cfvo type="percent" val="0"/>
        <cfvo type="num" val="95"/>
        <cfvo type="num" val="100"/>
      </iconSet>
    </cfRule>
    <cfRule type="iconSet" priority="23">
      <iconSet>
        <cfvo type="percent" val="0"/>
        <cfvo type="num" val="95"/>
        <cfvo type="num" val="100"/>
      </iconSet>
    </cfRule>
    <cfRule type="iconSet" priority="21">
      <iconSet>
        <cfvo type="percent" val="0"/>
        <cfvo type="num" val="70"/>
        <cfvo type="num" val="90"/>
      </iconSet>
    </cfRule>
    <cfRule type="iconSet" priority="19">
      <iconSet>
        <cfvo type="percent" val="0"/>
        <cfvo type="num" val="95"/>
        <cfvo type="num" val="100"/>
      </iconSet>
    </cfRule>
    <cfRule type="iconSet" priority="22">
      <iconSet>
        <cfvo type="percent" val="0"/>
        <cfvo type="num" val="95"/>
        <cfvo type="num" val="100"/>
      </iconSet>
    </cfRule>
    <cfRule type="iconSet" priority="27">
      <iconSet>
        <cfvo type="percent" val="0"/>
        <cfvo type="num" val="95"/>
        <cfvo type="num" val="100"/>
      </iconSet>
    </cfRule>
    <cfRule type="iconSet" priority="26">
      <iconSet>
        <cfvo type="percent" val="0"/>
        <cfvo type="num" val="70"/>
        <cfvo type="num" val="90"/>
      </iconSet>
    </cfRule>
    <cfRule type="iconSet" priority="25">
      <iconSet>
        <cfvo type="percent" val="0"/>
        <cfvo type="num" val="70"/>
        <cfvo type="num" val="90"/>
      </iconSet>
    </cfRule>
    <cfRule type="iconSet" priority="20">
      <iconSet>
        <cfvo type="percent" val="0"/>
        <cfvo type="num" val="70"/>
        <cfvo type="num" val="90"/>
      </iconSet>
    </cfRule>
  </conditionalFormatting>
  <conditionalFormatting sqref="BC48">
    <cfRule type="iconSet" priority="59">
      <iconSet>
        <cfvo type="percent" val="0"/>
        <cfvo type="num" val="95"/>
        <cfvo type="num" val="100"/>
      </iconSet>
    </cfRule>
    <cfRule type="iconSet" priority="58">
      <iconSet>
        <cfvo type="percent" val="0"/>
        <cfvo type="num" val="95"/>
        <cfvo type="num" val="100"/>
      </iconSet>
    </cfRule>
    <cfRule type="iconSet" priority="57">
      <iconSet>
        <cfvo type="percent" val="0"/>
        <cfvo type="num" val="70"/>
        <cfvo type="num" val="90"/>
      </iconSet>
    </cfRule>
    <cfRule type="iconSet" priority="55">
      <iconSet>
        <cfvo type="percent" val="0"/>
        <cfvo type="num" val="95"/>
        <cfvo type="num" val="100"/>
      </iconSet>
    </cfRule>
    <cfRule type="iconSet" priority="56">
      <iconSet>
        <cfvo type="percent" val="0"/>
        <cfvo type="num" val="70"/>
        <cfvo type="num" val="90"/>
      </iconSet>
    </cfRule>
    <cfRule type="iconSet" priority="63">
      <iconSet>
        <cfvo type="percent" val="0"/>
        <cfvo type="num" val="95"/>
        <cfvo type="num" val="100"/>
      </iconSet>
    </cfRule>
    <cfRule type="iconSet" priority="62">
      <iconSet>
        <cfvo type="percent" val="0"/>
        <cfvo type="num" val="70"/>
        <cfvo type="num" val="90"/>
      </iconSet>
    </cfRule>
    <cfRule type="iconSet" priority="61">
      <iconSet>
        <cfvo type="percent" val="0"/>
        <cfvo type="num" val="70"/>
        <cfvo type="num" val="90"/>
      </iconSet>
    </cfRule>
    <cfRule type="iconSet" priority="60">
      <iconSet>
        <cfvo type="percent" val="0"/>
        <cfvo type="num" val="95"/>
        <cfvo type="num" val="100"/>
      </iconSet>
    </cfRule>
  </conditionalFormatting>
  <conditionalFormatting sqref="BC49:BC50">
    <cfRule type="iconSet" priority="69">
      <iconSet>
        <cfvo type="percent" val="0"/>
        <cfvo type="num" val="95"/>
        <cfvo type="num" val="100"/>
      </iconSet>
    </cfRule>
    <cfRule type="iconSet" priority="68">
      <iconSet>
        <cfvo type="percent" val="0"/>
        <cfvo type="num" val="95"/>
        <cfvo type="num" val="100"/>
      </iconSet>
    </cfRule>
    <cfRule type="iconSet" priority="67">
      <iconSet>
        <cfvo type="percent" val="0"/>
        <cfvo type="num" val="95"/>
        <cfvo type="num" val="100"/>
      </iconSet>
    </cfRule>
    <cfRule type="iconSet" priority="66">
      <iconSet>
        <cfvo type="percent" val="0"/>
        <cfvo type="num" val="70"/>
        <cfvo type="num" val="90"/>
      </iconSet>
    </cfRule>
    <cfRule type="iconSet" priority="65">
      <iconSet>
        <cfvo type="percent" val="0"/>
        <cfvo type="num" val="70"/>
        <cfvo type="num" val="90"/>
      </iconSet>
    </cfRule>
    <cfRule type="iconSet" priority="64">
      <iconSet>
        <cfvo type="percent" val="0"/>
        <cfvo type="num" val="95"/>
        <cfvo type="num" val="100"/>
      </iconSet>
    </cfRule>
    <cfRule type="iconSet" priority="72">
      <iconSet>
        <cfvo type="percent" val="0"/>
        <cfvo type="num" val="95"/>
        <cfvo type="num" val="100"/>
      </iconSet>
    </cfRule>
    <cfRule type="iconSet" priority="71">
      <iconSet>
        <cfvo type="percent" val="0"/>
        <cfvo type="num" val="70"/>
        <cfvo type="num" val="90"/>
      </iconSet>
    </cfRule>
    <cfRule type="iconSet" priority="70">
      <iconSet>
        <cfvo type="percent" val="0"/>
        <cfvo type="num" val="70"/>
        <cfvo type="num" val="90"/>
      </iconSet>
    </cfRule>
  </conditionalFormatting>
  <conditionalFormatting sqref="BC51:BC54">
    <cfRule type="iconSet" priority="48180">
      <iconSet>
        <cfvo type="percent" val="0"/>
        <cfvo type="num" val="70"/>
        <cfvo type="num" val="90"/>
      </iconSet>
    </cfRule>
    <cfRule type="iconSet" priority="48181">
      <iconSet>
        <cfvo type="percent" val="0"/>
        <cfvo type="num" val="95"/>
        <cfvo type="num" val="100"/>
      </iconSet>
    </cfRule>
    <cfRule type="iconSet" priority="48182">
      <iconSet>
        <cfvo type="percent" val="0"/>
        <cfvo type="num" val="95"/>
        <cfvo type="num" val="100"/>
      </iconSet>
    </cfRule>
    <cfRule type="iconSet" priority="48183">
      <iconSet>
        <cfvo type="percent" val="0"/>
        <cfvo type="num" val="95"/>
        <cfvo type="num" val="100"/>
      </iconSet>
    </cfRule>
    <cfRule type="iconSet" priority="48184">
      <iconSet>
        <cfvo type="percent" val="0"/>
        <cfvo type="num" val="70"/>
        <cfvo type="num" val="90"/>
      </iconSet>
    </cfRule>
    <cfRule type="iconSet" priority="48185">
      <iconSet>
        <cfvo type="percent" val="0"/>
        <cfvo type="num" val="70"/>
        <cfvo type="num" val="90"/>
      </iconSet>
    </cfRule>
    <cfRule type="iconSet" priority="48178">
      <iconSet>
        <cfvo type="percent" val="0"/>
        <cfvo type="num" val="95"/>
        <cfvo type="num" val="100"/>
      </iconSet>
    </cfRule>
    <cfRule type="iconSet" priority="48186">
      <iconSet>
        <cfvo type="percent" val="0"/>
        <cfvo type="num" val="95"/>
        <cfvo type="num" val="100"/>
      </iconSet>
    </cfRule>
    <cfRule type="iconSet" priority="48179">
      <iconSet>
        <cfvo type="percent" val="0"/>
        <cfvo type="num" val="70"/>
        <cfvo type="num" val="90"/>
      </iconSet>
    </cfRule>
  </conditionalFormatting>
  <conditionalFormatting sqref="BC55">
    <cfRule type="iconSet" priority="110">
      <iconSet>
        <cfvo type="percent" val="0"/>
        <cfvo type="num" val="70"/>
        <cfvo type="num" val="90"/>
      </iconSet>
    </cfRule>
    <cfRule type="iconSet" priority="113">
      <iconSet>
        <cfvo type="percent" val="0"/>
        <cfvo type="num" val="95"/>
        <cfvo type="num" val="100"/>
      </iconSet>
    </cfRule>
    <cfRule type="iconSet" priority="117">
      <iconSet>
        <cfvo type="percent" val="0"/>
        <cfvo type="num" val="95"/>
        <cfvo type="num" val="100"/>
      </iconSet>
    </cfRule>
    <cfRule type="iconSet" priority="116">
      <iconSet>
        <cfvo type="percent" val="0"/>
        <cfvo type="num" val="70"/>
        <cfvo type="num" val="90"/>
      </iconSet>
    </cfRule>
    <cfRule type="iconSet" priority="115">
      <iconSet>
        <cfvo type="percent" val="0"/>
        <cfvo type="num" val="70"/>
        <cfvo type="num" val="90"/>
      </iconSet>
    </cfRule>
    <cfRule type="iconSet" priority="114">
      <iconSet>
        <cfvo type="percent" val="0"/>
        <cfvo type="num" val="95"/>
        <cfvo type="num" val="100"/>
      </iconSet>
    </cfRule>
    <cfRule type="iconSet" priority="112">
      <iconSet>
        <cfvo type="percent" val="0"/>
        <cfvo type="num" val="95"/>
        <cfvo type="num" val="100"/>
      </iconSet>
    </cfRule>
    <cfRule type="iconSet" priority="111">
      <iconSet>
        <cfvo type="percent" val="0"/>
        <cfvo type="num" val="70"/>
        <cfvo type="num" val="90"/>
      </iconSet>
    </cfRule>
    <cfRule type="iconSet" priority="109">
      <iconSet>
        <cfvo type="percent" val="0"/>
        <cfvo type="num" val="95"/>
        <cfvo type="num" val="100"/>
      </iconSet>
    </cfRule>
  </conditionalFormatting>
  <conditionalFormatting sqref="BC56">
    <cfRule type="iconSet" priority="257">
      <iconSet>
        <cfvo type="percent" val="0"/>
        <cfvo type="num" val="95"/>
        <cfvo type="num" val="100"/>
      </iconSet>
    </cfRule>
    <cfRule type="iconSet" priority="258">
      <iconSet>
        <cfvo type="percent" val="0"/>
        <cfvo type="num" val="70"/>
        <cfvo type="num" val="90"/>
      </iconSet>
    </cfRule>
    <cfRule type="iconSet" priority="259">
      <iconSet>
        <cfvo type="percent" val="0"/>
        <cfvo type="num" val="95"/>
        <cfvo type="num" val="100"/>
      </iconSet>
    </cfRule>
    <cfRule type="iconSet" priority="260">
      <iconSet>
        <cfvo type="percent" val="0"/>
        <cfvo type="num" val="70"/>
        <cfvo type="num" val="90"/>
      </iconSet>
    </cfRule>
    <cfRule type="iconSet" priority="261">
      <iconSet>
        <cfvo type="percent" val="0"/>
        <cfvo type="num" val="95"/>
        <cfvo type="num" val="100"/>
      </iconSet>
    </cfRule>
    <cfRule type="iconSet" priority="262">
      <iconSet>
        <cfvo type="percent" val="0"/>
        <cfvo type="num" val="70"/>
        <cfvo type="num" val="90"/>
      </iconSet>
    </cfRule>
    <cfRule type="iconSet" priority="263">
      <iconSet>
        <cfvo type="percent" val="0"/>
        <cfvo type="num" val="95"/>
        <cfvo type="num" val="100"/>
      </iconSet>
    </cfRule>
    <cfRule type="iconSet" priority="264">
      <iconSet>
        <cfvo type="percent" val="0"/>
        <cfvo type="num" val="70"/>
        <cfvo type="num" val="90"/>
      </iconSet>
    </cfRule>
    <cfRule type="iconSet" priority="265">
      <iconSet>
        <cfvo type="percent" val="0"/>
        <cfvo type="num" val="95"/>
        <cfvo type="num" val="100"/>
      </iconSet>
    </cfRule>
    <cfRule type="iconSet" priority="266">
      <iconSet>
        <cfvo type="percent" val="0"/>
        <cfvo type="num" val="70"/>
        <cfvo type="num" val="90"/>
      </iconSet>
    </cfRule>
    <cfRule type="iconSet" priority="267">
      <iconSet>
        <cfvo type="percent" val="0"/>
        <cfvo type="num" val="95"/>
        <cfvo type="num" val="100"/>
      </iconSet>
    </cfRule>
    <cfRule type="iconSet" priority="268">
      <iconSet>
        <cfvo type="percent" val="0"/>
        <cfvo type="num" val="70"/>
        <cfvo type="num" val="90"/>
      </iconSet>
    </cfRule>
    <cfRule type="iconSet" priority="221">
      <iconSet>
        <cfvo type="percent" val="0"/>
        <cfvo type="num" val="95"/>
        <cfvo type="num" val="100"/>
      </iconSet>
    </cfRule>
    <cfRule type="iconSet" priority="269">
      <iconSet>
        <cfvo type="percent" val="0"/>
        <cfvo type="num" val="95"/>
        <cfvo type="num" val="100"/>
      </iconSet>
    </cfRule>
    <cfRule type="iconSet" priority="222">
      <iconSet>
        <cfvo type="percent" val="0"/>
        <cfvo type="num" val="70"/>
        <cfvo type="num" val="90"/>
      </iconSet>
    </cfRule>
    <cfRule type="iconSet" priority="270">
      <iconSet>
        <cfvo type="percent" val="0"/>
        <cfvo type="num" val="70"/>
        <cfvo type="num" val="90"/>
      </iconSet>
    </cfRule>
    <cfRule type="iconSet" priority="271">
      <iconSet>
        <cfvo type="percent" val="0"/>
        <cfvo type="num" val="95"/>
        <cfvo type="num" val="100"/>
      </iconSet>
    </cfRule>
    <cfRule type="iconSet" priority="272">
      <iconSet>
        <cfvo type="percent" val="0"/>
        <cfvo type="num" val="70"/>
        <cfvo type="num" val="90"/>
      </iconSet>
    </cfRule>
    <cfRule type="iconSet" priority="273">
      <iconSet>
        <cfvo type="percent" val="0"/>
        <cfvo type="num" val="95"/>
        <cfvo type="num" val="100"/>
      </iconSet>
    </cfRule>
    <cfRule type="iconSet" priority="274">
      <iconSet>
        <cfvo type="percent" val="0"/>
        <cfvo type="num" val="70"/>
        <cfvo type="num" val="90"/>
      </iconSet>
    </cfRule>
    <cfRule type="iconSet" priority="275">
      <iconSet>
        <cfvo type="percent" val="0"/>
        <cfvo type="num" val="95"/>
        <cfvo type="num" val="100"/>
      </iconSet>
    </cfRule>
    <cfRule type="iconSet" priority="276">
      <iconSet>
        <cfvo type="percent" val="0"/>
        <cfvo type="num" val="70"/>
        <cfvo type="num" val="90"/>
      </iconSet>
    </cfRule>
    <cfRule type="iconSet" priority="277">
      <iconSet>
        <cfvo type="percent" val="0"/>
        <cfvo type="num" val="95"/>
        <cfvo type="num" val="100"/>
      </iconSet>
    </cfRule>
    <cfRule type="iconSet" priority="278">
      <iconSet>
        <cfvo type="percent" val="0"/>
        <cfvo type="num" val="70"/>
        <cfvo type="num" val="90"/>
      </iconSet>
    </cfRule>
    <cfRule type="iconSet" priority="279">
      <iconSet>
        <cfvo type="percent" val="0"/>
        <cfvo type="num" val="95"/>
        <cfvo type="num" val="100"/>
      </iconSet>
    </cfRule>
    <cfRule type="iconSet" priority="251">
      <iconSet>
        <cfvo type="percent" val="0"/>
        <cfvo type="num" val="95"/>
        <cfvo type="num" val="100"/>
      </iconSet>
    </cfRule>
    <cfRule type="iconSet" priority="281">
      <iconSet>
        <cfvo type="percent" val="0"/>
        <cfvo type="num" val="95"/>
        <cfvo type="num" val="100"/>
      </iconSet>
    </cfRule>
    <cfRule type="iconSet" priority="282">
      <iconSet>
        <cfvo type="percent" val="0"/>
        <cfvo type="num" val="70"/>
        <cfvo type="num" val="90"/>
      </iconSet>
    </cfRule>
    <cfRule type="iconSet" priority="283">
      <iconSet>
        <cfvo type="percent" val="0"/>
        <cfvo type="num" val="95"/>
        <cfvo type="num" val="100"/>
      </iconSet>
    </cfRule>
    <cfRule type="iconSet" priority="284">
      <iconSet>
        <cfvo type="percent" val="0"/>
        <cfvo type="num" val="70"/>
        <cfvo type="num" val="90"/>
      </iconSet>
    </cfRule>
    <cfRule type="iconSet" priority="285">
      <iconSet>
        <cfvo type="percent" val="0"/>
        <cfvo type="num" val="70"/>
        <cfvo type="num" val="90"/>
      </iconSet>
    </cfRule>
    <cfRule type="iconSet" priority="286">
      <iconSet>
        <cfvo type="percent" val="0"/>
        <cfvo type="num" val="95"/>
        <cfvo type="num" val="100"/>
      </iconSet>
    </cfRule>
    <cfRule type="iconSet" priority="287">
      <iconSet>
        <cfvo type="percent" val="0"/>
        <cfvo type="num" val="95"/>
        <cfvo type="num" val="100"/>
      </iconSet>
    </cfRule>
    <cfRule type="iconSet" priority="288">
      <iconSet>
        <cfvo type="percent" val="0"/>
        <cfvo type="num" val="70"/>
        <cfvo type="num" val="90"/>
      </iconSet>
    </cfRule>
    <cfRule type="iconSet" priority="289">
      <iconSet>
        <cfvo type="percent" val="0"/>
        <cfvo type="num" val="70"/>
        <cfvo type="num" val="90"/>
      </iconSet>
    </cfRule>
    <cfRule type="iconSet" priority="290">
      <iconSet>
        <cfvo type="percent" val="0"/>
        <cfvo type="num" val="95"/>
        <cfvo type="num" val="100"/>
      </iconSet>
    </cfRule>
    <cfRule type="iconSet" priority="291">
      <iconSet>
        <cfvo type="percent" val="0"/>
        <cfvo type="num" val="95"/>
        <cfvo type="num" val="100"/>
      </iconSet>
    </cfRule>
    <cfRule type="iconSet" priority="292">
      <iconSet>
        <cfvo type="percent" val="0"/>
        <cfvo type="num" val="70"/>
        <cfvo type="num" val="90"/>
      </iconSet>
    </cfRule>
    <cfRule type="iconSet" priority="293">
      <iconSet>
        <cfvo type="percent" val="0"/>
        <cfvo type="num" val="95"/>
        <cfvo type="num" val="100"/>
      </iconSet>
    </cfRule>
    <cfRule type="iconSet" priority="294">
      <iconSet>
        <cfvo type="percent" val="0"/>
        <cfvo type="num" val="70"/>
        <cfvo type="num" val="90"/>
      </iconSet>
    </cfRule>
    <cfRule type="iconSet" priority="295">
      <iconSet>
        <cfvo type="percent" val="0"/>
        <cfvo type="num" val="95"/>
        <cfvo type="num" val="100"/>
      </iconSet>
    </cfRule>
    <cfRule type="iconSet" priority="296">
      <iconSet>
        <cfvo type="percent" val="0"/>
        <cfvo type="num" val="70"/>
        <cfvo type="num" val="90"/>
      </iconSet>
    </cfRule>
    <cfRule type="iconSet" priority="301">
      <iconSet>
        <cfvo type="percent" val="0"/>
        <cfvo type="num" val="95"/>
        <cfvo type="num" val="100"/>
      </iconSet>
    </cfRule>
    <cfRule type="iconSet" priority="229">
      <iconSet>
        <cfvo type="percent" val="0"/>
        <cfvo type="num" val="95"/>
        <cfvo type="num" val="100"/>
      </iconSet>
    </cfRule>
    <cfRule type="iconSet" priority="230">
      <iconSet>
        <cfvo type="percent" val="0"/>
        <cfvo type="num" val="70"/>
        <cfvo type="num" val="90"/>
      </iconSet>
    </cfRule>
    <cfRule type="iconSet" priority="239">
      <iconSet>
        <cfvo type="percent" val="0"/>
        <cfvo type="num" val="95"/>
        <cfvo type="num" val="100"/>
      </iconSet>
    </cfRule>
    <cfRule type="iconSet" priority="217">
      <iconSet>
        <cfvo type="percent" val="0"/>
        <cfvo type="num" val="95"/>
        <cfvo type="num" val="100"/>
      </iconSet>
    </cfRule>
    <cfRule type="iconSet" priority="218">
      <iconSet>
        <cfvo type="percent" val="0"/>
        <cfvo type="num" val="70"/>
        <cfvo type="num" val="90"/>
      </iconSet>
    </cfRule>
    <cfRule type="iconSet" priority="219">
      <iconSet>
        <cfvo type="percent" val="0"/>
        <cfvo type="num" val="95"/>
        <cfvo type="num" val="100"/>
      </iconSet>
    </cfRule>
    <cfRule type="iconSet" priority="220">
      <iconSet>
        <cfvo type="percent" val="0"/>
        <cfvo type="num" val="70"/>
        <cfvo type="num" val="90"/>
      </iconSet>
    </cfRule>
    <cfRule type="iconSet" priority="250">
      <iconSet>
        <cfvo type="percent" val="0"/>
        <cfvo type="num" val="70"/>
        <cfvo type="num" val="90"/>
      </iconSet>
    </cfRule>
    <cfRule type="iconSet" priority="231">
      <iconSet>
        <cfvo type="percent" val="0"/>
        <cfvo type="num" val="95"/>
        <cfvo type="num" val="100"/>
      </iconSet>
    </cfRule>
    <cfRule type="iconSet" priority="232">
      <iconSet>
        <cfvo type="percent" val="0"/>
        <cfvo type="num" val="70"/>
        <cfvo type="num" val="90"/>
      </iconSet>
    </cfRule>
    <cfRule type="iconSet" priority="234">
      <iconSet>
        <cfvo type="percent" val="0"/>
        <cfvo type="num" val="70"/>
        <cfvo type="num" val="90"/>
      </iconSet>
    </cfRule>
    <cfRule type="iconSet" priority="235">
      <iconSet>
        <cfvo type="percent" val="0"/>
        <cfvo type="num" val="95"/>
        <cfvo type="num" val="100"/>
      </iconSet>
    </cfRule>
    <cfRule type="iconSet" priority="236">
      <iconSet>
        <cfvo type="percent" val="0"/>
        <cfvo type="num" val="70"/>
        <cfvo type="num" val="90"/>
      </iconSet>
    </cfRule>
    <cfRule type="iconSet" priority="237">
      <iconSet>
        <cfvo type="percent" val="0"/>
        <cfvo type="num" val="95"/>
        <cfvo type="num" val="100"/>
      </iconSet>
    </cfRule>
    <cfRule type="iconSet" priority="238">
      <iconSet>
        <cfvo type="percent" val="0"/>
        <cfvo type="num" val="70"/>
        <cfvo type="num" val="90"/>
      </iconSet>
    </cfRule>
    <cfRule type="iconSet" priority="240">
      <iconSet>
        <cfvo type="percent" val="0"/>
        <cfvo type="num" val="70"/>
        <cfvo type="num" val="90"/>
      </iconSet>
    </cfRule>
    <cfRule type="iconSet" priority="241">
      <iconSet>
        <cfvo type="percent" val="0"/>
        <cfvo type="num" val="95"/>
        <cfvo type="num" val="100"/>
      </iconSet>
    </cfRule>
    <cfRule type="iconSet" priority="242">
      <iconSet>
        <cfvo type="percent" val="0"/>
        <cfvo type="num" val="70"/>
        <cfvo type="num" val="90"/>
      </iconSet>
    </cfRule>
    <cfRule type="iconSet" priority="280">
      <iconSet>
        <cfvo type="percent" val="0"/>
        <cfvo type="num" val="70"/>
        <cfvo type="num" val="90"/>
      </iconSet>
    </cfRule>
    <cfRule type="iconSet" priority="244">
      <iconSet>
        <cfvo type="percent" val="0"/>
        <cfvo type="num" val="70"/>
        <cfvo type="num" val="90"/>
      </iconSet>
    </cfRule>
    <cfRule type="iconSet" priority="245">
      <iconSet>
        <cfvo type="percent" val="0"/>
        <cfvo type="num" val="95"/>
        <cfvo type="num" val="100"/>
      </iconSet>
    </cfRule>
    <cfRule type="iconSet" priority="246">
      <iconSet>
        <cfvo type="percent" val="0"/>
        <cfvo type="num" val="70"/>
        <cfvo type="num" val="90"/>
      </iconSet>
    </cfRule>
    <cfRule type="iconSet" priority="247">
      <iconSet>
        <cfvo type="percent" val="0"/>
        <cfvo type="num" val="95"/>
        <cfvo type="num" val="100"/>
      </iconSet>
    </cfRule>
    <cfRule type="iconSet" priority="248">
      <iconSet>
        <cfvo type="percent" val="0"/>
        <cfvo type="num" val="70"/>
        <cfvo type="num" val="90"/>
      </iconSet>
    </cfRule>
    <cfRule type="iconSet" priority="249">
      <iconSet>
        <cfvo type="percent" val="0"/>
        <cfvo type="num" val="95"/>
        <cfvo type="num" val="100"/>
      </iconSet>
    </cfRule>
    <cfRule type="iconSet" priority="252">
      <iconSet>
        <cfvo type="percent" val="0"/>
        <cfvo type="num" val="70"/>
        <cfvo type="num" val="90"/>
      </iconSet>
    </cfRule>
    <cfRule type="iconSet" priority="233">
      <iconSet>
        <cfvo type="percent" val="0"/>
        <cfvo type="num" val="95"/>
        <cfvo type="num" val="100"/>
      </iconSet>
    </cfRule>
    <cfRule type="iconSet" priority="253">
      <iconSet>
        <cfvo type="percent" val="0"/>
        <cfvo type="num" val="95"/>
        <cfvo type="num" val="100"/>
      </iconSet>
    </cfRule>
    <cfRule type="iconSet" priority="254">
      <iconSet>
        <cfvo type="percent" val="0"/>
        <cfvo type="num" val="70"/>
        <cfvo type="num" val="90"/>
      </iconSet>
    </cfRule>
    <cfRule type="iconSet" priority="255">
      <iconSet>
        <cfvo type="percent" val="0"/>
        <cfvo type="num" val="95"/>
        <cfvo type="num" val="100"/>
      </iconSet>
    </cfRule>
    <cfRule type="iconSet" priority="256">
      <iconSet>
        <cfvo type="percent" val="0"/>
        <cfvo type="num" val="70"/>
        <cfvo type="num" val="90"/>
      </iconSet>
    </cfRule>
    <cfRule type="iconSet" priority="243">
      <iconSet>
        <cfvo type="percent" val="0"/>
        <cfvo type="num" val="95"/>
        <cfvo type="num" val="100"/>
      </iconSet>
    </cfRule>
  </conditionalFormatting>
  <conditionalFormatting sqref="BC57">
    <cfRule type="iconSet" priority="47682">
      <iconSet>
        <cfvo type="percent" val="0"/>
        <cfvo type="num" val="95"/>
        <cfvo type="num" val="100"/>
      </iconSet>
    </cfRule>
  </conditionalFormatting>
  <conditionalFormatting sqref="BC58">
    <cfRule type="iconSet" priority="3114">
      <iconSet>
        <cfvo type="percent" val="0"/>
        <cfvo type="num" val="95"/>
        <cfvo type="num" val="100"/>
      </iconSet>
    </cfRule>
  </conditionalFormatting>
  <dataValidations count="2">
    <dataValidation type="list" allowBlank="1" showInputMessage="1" showErrorMessage="1" sqref="B1" xr:uid="{00000000-0002-0000-0C00-000000000000}">
      <formula1>#REF!</formula1>
    </dataValidation>
    <dataValidation type="list" allowBlank="1" showInputMessage="1" showErrorMessage="1" sqref="A1" xr:uid="{00000000-0002-0000-0C00-000001000000}">
      <formula1>$K$74:$K$85</formula1>
    </dataValidation>
  </dataValidations>
  <printOptions horizontalCentered="1"/>
  <pageMargins left="0.25" right="0.25" top="0.75" bottom="0.75" header="0.3" footer="0.3"/>
  <pageSetup paperSize="9" scale="53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1:V75"/>
  <sheetViews>
    <sheetView topLeftCell="J1" zoomScale="87" workbookViewId="0">
      <selection activeCell="B45" sqref="B45"/>
    </sheetView>
  </sheetViews>
  <sheetFormatPr defaultColWidth="8.85546875" defaultRowHeight="15"/>
  <cols>
    <col min="1" max="1" width="5.7109375" style="28" customWidth="1"/>
    <col min="2" max="2" width="76.7109375" style="30" customWidth="1"/>
    <col min="3" max="3" width="2.85546875" style="30" customWidth="1"/>
    <col min="4" max="4" width="13.28515625" style="28" customWidth="1"/>
    <col min="5" max="5" width="118.140625" style="28" hidden="1" customWidth="1"/>
    <col min="6" max="6" width="12.28515625" style="30" customWidth="1"/>
    <col min="7" max="7" width="13.5703125" style="30" bestFit="1" customWidth="1"/>
    <col min="8" max="8" width="14.85546875" style="30" bestFit="1" customWidth="1"/>
    <col min="9" max="9" width="10.85546875" style="30" customWidth="1"/>
    <col min="10" max="11" width="10.85546875" style="30" bestFit="1" customWidth="1"/>
    <col min="12" max="19" width="12.42578125" style="30" bestFit="1" customWidth="1"/>
    <col min="20" max="20" width="12.42578125" style="31" bestFit="1" customWidth="1"/>
    <col min="21" max="21" width="16" style="31" bestFit="1" customWidth="1"/>
    <col min="22" max="22" width="19.140625" style="30" bestFit="1" customWidth="1"/>
    <col min="23" max="23" width="12.42578125" style="30" bestFit="1" customWidth="1"/>
    <col min="24" max="28" width="8.85546875" style="30"/>
    <col min="29" max="29" width="17.85546875" style="30" bestFit="1" customWidth="1"/>
    <col min="30" max="16384" width="8.85546875" style="30"/>
  </cols>
  <sheetData>
    <row r="1" spans="1:22" ht="15.75">
      <c r="B1" s="29" t="s">
        <v>271</v>
      </c>
      <c r="C1" s="28"/>
      <c r="I1" s="22"/>
      <c r="T1" s="30"/>
      <c r="V1" s="31"/>
    </row>
    <row r="2" spans="1:22" ht="15.75">
      <c r="B2" s="29" t="s">
        <v>123</v>
      </c>
      <c r="C2" s="28"/>
      <c r="T2" s="30"/>
      <c r="V2" s="31"/>
    </row>
    <row r="3" spans="1:22" ht="15.75">
      <c r="B3" s="29" t="s">
        <v>124</v>
      </c>
      <c r="C3" s="28"/>
      <c r="T3" s="30"/>
      <c r="V3" s="31"/>
    </row>
    <row r="4" spans="1:22" s="206" customFormat="1" ht="15" customHeight="1">
      <c r="A4" s="724" t="s">
        <v>8</v>
      </c>
      <c r="B4" s="726" t="s">
        <v>9</v>
      </c>
      <c r="C4" s="727"/>
      <c r="D4" s="724" t="s">
        <v>93</v>
      </c>
      <c r="E4" s="724" t="s">
        <v>272</v>
      </c>
      <c r="F4" s="724" t="s">
        <v>99</v>
      </c>
      <c r="G4" s="720" t="s">
        <v>100</v>
      </c>
      <c r="H4" s="720"/>
      <c r="I4" s="721" t="s">
        <v>273</v>
      </c>
      <c r="J4" s="722"/>
      <c r="K4" s="722"/>
      <c r="L4" s="722"/>
      <c r="M4" s="722"/>
      <c r="N4" s="722"/>
      <c r="O4" s="722"/>
      <c r="P4" s="722"/>
      <c r="Q4" s="722"/>
      <c r="R4" s="722"/>
      <c r="S4" s="722"/>
      <c r="T4" s="723"/>
      <c r="U4" s="205"/>
      <c r="V4" s="205"/>
    </row>
    <row r="5" spans="1:22" s="206" customFormat="1" ht="15" customHeight="1">
      <c r="A5" s="725"/>
      <c r="B5" s="728"/>
      <c r="C5" s="729"/>
      <c r="D5" s="725"/>
      <c r="E5" s="725"/>
      <c r="F5" s="725"/>
      <c r="G5" s="646" t="s">
        <v>274</v>
      </c>
      <c r="H5" s="646" t="s">
        <v>275</v>
      </c>
      <c r="I5" s="207" t="s">
        <v>94</v>
      </c>
      <c r="J5" s="207" t="s">
        <v>95</v>
      </c>
      <c r="K5" s="207" t="s">
        <v>96</v>
      </c>
      <c r="L5" s="207" t="s">
        <v>97</v>
      </c>
      <c r="M5" s="207" t="s">
        <v>98</v>
      </c>
      <c r="N5" s="207" t="s">
        <v>153</v>
      </c>
      <c r="O5" s="207" t="s">
        <v>163</v>
      </c>
      <c r="P5" s="207" t="s">
        <v>165</v>
      </c>
      <c r="Q5" s="207" t="s">
        <v>167</v>
      </c>
      <c r="R5" s="207" t="s">
        <v>169</v>
      </c>
      <c r="S5" s="207" t="s">
        <v>171</v>
      </c>
      <c r="T5" s="207" t="s">
        <v>174</v>
      </c>
      <c r="U5" s="205"/>
      <c r="V5" s="205"/>
    </row>
    <row r="6" spans="1:22" s="206" customFormat="1" ht="15" customHeight="1">
      <c r="A6" s="646">
        <v>1</v>
      </c>
      <c r="B6" s="485">
        <v>2</v>
      </c>
      <c r="C6" s="486"/>
      <c r="D6" s="646">
        <v>3</v>
      </c>
      <c r="E6" s="646">
        <v>4</v>
      </c>
      <c r="F6" s="646">
        <v>5</v>
      </c>
      <c r="G6" s="646">
        <v>6</v>
      </c>
      <c r="H6" s="646">
        <v>7</v>
      </c>
      <c r="I6" s="646">
        <v>8</v>
      </c>
      <c r="J6" s="646">
        <v>9</v>
      </c>
      <c r="K6" s="646">
        <v>10</v>
      </c>
      <c r="L6" s="646">
        <v>11</v>
      </c>
      <c r="M6" s="646">
        <v>12</v>
      </c>
      <c r="N6" s="646">
        <v>13</v>
      </c>
      <c r="O6" s="646">
        <v>14</v>
      </c>
      <c r="P6" s="646">
        <v>15</v>
      </c>
      <c r="Q6" s="646">
        <v>16</v>
      </c>
      <c r="R6" s="646">
        <v>17</v>
      </c>
      <c r="S6" s="646">
        <v>18</v>
      </c>
      <c r="T6" s="646">
        <v>19</v>
      </c>
      <c r="U6" s="205"/>
      <c r="V6" s="205"/>
    </row>
    <row r="7" spans="1:22" s="210" customFormat="1">
      <c r="A7" s="221" t="s">
        <v>269</v>
      </c>
      <c r="B7" s="222" t="s">
        <v>276</v>
      </c>
      <c r="C7" s="223"/>
      <c r="D7" s="208"/>
      <c r="E7" s="224"/>
      <c r="F7" s="225">
        <f>SUM(F8:F16)</f>
        <v>40</v>
      </c>
      <c r="G7" s="225"/>
      <c r="H7" s="225"/>
      <c r="I7" s="225"/>
      <c r="J7" s="225"/>
      <c r="K7" s="225"/>
      <c r="L7" s="225"/>
      <c r="M7" s="225"/>
      <c r="N7" s="225"/>
      <c r="O7" s="225"/>
      <c r="P7" s="225"/>
      <c r="Q7" s="225"/>
      <c r="R7" s="225"/>
      <c r="S7" s="225"/>
      <c r="T7" s="226"/>
      <c r="U7" s="209"/>
      <c r="V7" s="209"/>
    </row>
    <row r="8" spans="1:22" s="212" customFormat="1">
      <c r="A8" s="227">
        <f>T.UP3!A8</f>
        <v>1</v>
      </c>
      <c r="B8" s="308" t="str">
        <f>T.UP3!B8</f>
        <v>Penjualan Tenaga Listrik</v>
      </c>
      <c r="C8" s="349" t="s">
        <v>277</v>
      </c>
      <c r="D8" s="230" t="str">
        <f>T.UP3!D8</f>
        <v>GWh</v>
      </c>
      <c r="E8" s="231" t="s">
        <v>278</v>
      </c>
      <c r="F8" s="231">
        <v>14</v>
      </c>
      <c r="G8" s="232">
        <f>T.UP3!G8</f>
        <v>113.73</v>
      </c>
      <c r="H8" s="232">
        <f>T.UP3!H8</f>
        <v>231.47</v>
      </c>
      <c r="I8" s="232">
        <f>KPI!AH23</f>
        <v>22.980830736000001</v>
      </c>
      <c r="J8" s="232">
        <f>KPI!AI23</f>
        <v>42.202825991000005</v>
      </c>
      <c r="K8" s="232">
        <f>KPI!AJ23</f>
        <v>60.926308253999998</v>
      </c>
      <c r="L8" s="232">
        <f>KPI!AK23</f>
        <v>76.412118610000007</v>
      </c>
      <c r="M8" s="232">
        <f>KPI!AL23</f>
        <v>93.906393210000005</v>
      </c>
      <c r="N8" s="232">
        <f>KPI!AM23</f>
        <v>111.651567363</v>
      </c>
      <c r="O8" s="232">
        <f>KPI!AN23</f>
        <v>129.839321754</v>
      </c>
      <c r="P8" s="232">
        <f>KPI!AO23</f>
        <v>148.05997696200001</v>
      </c>
      <c r="Q8" s="232">
        <f>KPI!AP23</f>
        <v>166.35580660400001</v>
      </c>
      <c r="R8" s="232">
        <f>KPI!AQ23</f>
        <v>166.35580660400001</v>
      </c>
      <c r="S8" s="232">
        <f>KPI!AR23</f>
        <v>166.35580660400001</v>
      </c>
      <c r="T8" s="233">
        <f>KPI!AS23</f>
        <v>166.35580660400001</v>
      </c>
      <c r="U8" s="211"/>
      <c r="V8" s="211"/>
    </row>
    <row r="9" spans="1:22" s="212" customFormat="1">
      <c r="A9" s="227">
        <f>T.UP3!A9</f>
        <v>2</v>
      </c>
      <c r="B9" s="308" t="str">
        <f>T.UP3!B9</f>
        <v>Keandalan Sistem</v>
      </c>
      <c r="C9" s="349"/>
      <c r="D9" s="230"/>
      <c r="E9" s="231"/>
      <c r="F9" s="231">
        <v>14</v>
      </c>
      <c r="G9" s="232"/>
      <c r="H9" s="232"/>
      <c r="I9" s="232"/>
      <c r="J9" s="232"/>
      <c r="K9" s="232"/>
      <c r="L9" s="232"/>
      <c r="M9" s="232"/>
      <c r="N9" s="232"/>
      <c r="O9" s="232"/>
      <c r="P9" s="232"/>
      <c r="Q9" s="232"/>
      <c r="R9" s="232"/>
      <c r="S9" s="232"/>
      <c r="T9" s="233"/>
      <c r="U9" s="211"/>
      <c r="V9" s="211"/>
    </row>
    <row r="10" spans="1:22" s="212" customFormat="1">
      <c r="A10" s="227"/>
      <c r="B10" s="228" t="str">
        <f>T.UP3!B10</f>
        <v>a. SAIDI Sesuai Kewenangannya</v>
      </c>
      <c r="C10" s="349" t="s">
        <v>279</v>
      </c>
      <c r="D10" s="230" t="str">
        <f>T.UP3!D10</f>
        <v>Menit/Plg</v>
      </c>
      <c r="E10" s="231" t="s">
        <v>280</v>
      </c>
      <c r="F10" s="231"/>
      <c r="G10" s="232">
        <f>T.UP3!G10</f>
        <v>140.34</v>
      </c>
      <c r="H10" s="232">
        <f>T.UP3!H10</f>
        <v>280.67</v>
      </c>
      <c r="I10" s="232">
        <f>KPI!AH47</f>
        <v>12.366708627002435</v>
      </c>
      <c r="J10" s="232">
        <f>KPI!AI47</f>
        <v>14.217818098417473</v>
      </c>
      <c r="K10" s="232">
        <f>KPI!AJ47</f>
        <v>15.90798980700673</v>
      </c>
      <c r="L10" s="232">
        <f>KPI!AK47</f>
        <v>30.880917162575816</v>
      </c>
      <c r="M10" s="232">
        <f>KPI!AL47</f>
        <v>82.702127067631139</v>
      </c>
      <c r="N10" s="232">
        <f>KPI!AM47</f>
        <v>122.59170408678104</v>
      </c>
      <c r="O10" s="232">
        <f>KPI!AN47</f>
        <v>145.52251005165829</v>
      </c>
      <c r="P10" s="232">
        <f>KPI!AO47</f>
        <v>149.85371016749113</v>
      </c>
      <c r="Q10" s="232">
        <f>KPI!AP47</f>
        <v>159.21375563345018</v>
      </c>
      <c r="R10" s="232">
        <f>KPI!AQ47</f>
        <v>0</v>
      </c>
      <c r="S10" s="232">
        <f>KPI!AR47</f>
        <v>0</v>
      </c>
      <c r="T10" s="233">
        <f>KPI!AS47</f>
        <v>0</v>
      </c>
      <c r="U10" s="211"/>
      <c r="V10" s="211"/>
    </row>
    <row r="11" spans="1:22" s="212" customFormat="1">
      <c r="A11" s="227"/>
      <c r="B11" s="228" t="str">
        <f>T.UP3!B11</f>
        <v>b. SAIFI Sesuai Kewenangannya</v>
      </c>
      <c r="C11" s="349" t="s">
        <v>279</v>
      </c>
      <c r="D11" s="230" t="str">
        <f>T.UP3!D11</f>
        <v>Kali/Plg</v>
      </c>
      <c r="E11" s="231" t="s">
        <v>281</v>
      </c>
      <c r="F11" s="231"/>
      <c r="G11" s="232">
        <f>T.UP3!G11</f>
        <v>1.48</v>
      </c>
      <c r="H11" s="232">
        <f>T.UP3!H11</f>
        <v>2.97</v>
      </c>
      <c r="I11" s="232">
        <f>KPI!AH69</f>
        <v>0.14652677048122328</v>
      </c>
      <c r="J11" s="232">
        <f>KPI!AI69</f>
        <v>0.17056140261461228</v>
      </c>
      <c r="K11" s="232">
        <f>KPI!AJ69</f>
        <v>0.28323684728938825</v>
      </c>
      <c r="L11" s="232">
        <f>KPI!AK69</f>
        <v>0.48270813924748562</v>
      </c>
      <c r="M11" s="232">
        <f>KPI!AL69</f>
        <v>0.95578936719105667</v>
      </c>
      <c r="N11" s="232">
        <f>KPI!AM69</f>
        <v>1.2958186175580222</v>
      </c>
      <c r="O11" s="232">
        <f>KPI!AN69</f>
        <v>1.5608290494497543</v>
      </c>
      <c r="P11" s="232">
        <f>KPI!AO69</f>
        <v>1.5900798533510785</v>
      </c>
      <c r="Q11" s="232">
        <f>KPI!AP69</f>
        <v>1.7486104156234352</v>
      </c>
      <c r="R11" s="232">
        <f>KPI!AQ69</f>
        <v>0</v>
      </c>
      <c r="S11" s="232">
        <f>KPI!AR69</f>
        <v>0</v>
      </c>
      <c r="T11" s="233">
        <f>KPI!AS69</f>
        <v>0</v>
      </c>
      <c r="U11" s="211"/>
      <c r="V11" s="211"/>
    </row>
    <row r="12" spans="1:22" s="212" customFormat="1">
      <c r="A12" s="227"/>
      <c r="B12" s="228" t="str">
        <f>T.UP3!B12</f>
        <v>c. ENS</v>
      </c>
      <c r="C12" s="349" t="s">
        <v>279</v>
      </c>
      <c r="D12" s="230" t="str">
        <f>T.UP3!D12</f>
        <v>MWh</v>
      </c>
      <c r="E12" s="231" t="s">
        <v>282</v>
      </c>
      <c r="F12" s="231"/>
      <c r="G12" s="232">
        <f>T.UP3!G12</f>
        <v>53.93</v>
      </c>
      <c r="H12" s="232">
        <f>T.UP3!H12</f>
        <v>107.87</v>
      </c>
      <c r="I12" s="232">
        <f>KPI!AH79</f>
        <v>5.444</v>
      </c>
      <c r="J12" s="232">
        <f>KPI!AI79</f>
        <v>6.6289999999999996</v>
      </c>
      <c r="K12" s="232">
        <f>KPI!AJ79</f>
        <v>7.3599999999999994</v>
      </c>
      <c r="L12" s="232">
        <f>KPI!AK79</f>
        <v>13.033999999999999</v>
      </c>
      <c r="M12" s="232">
        <f>KPI!AL79</f>
        <v>27.391999999999999</v>
      </c>
      <c r="N12" s="232">
        <f>KPI!AM79</f>
        <v>37.920999999999999</v>
      </c>
      <c r="O12" s="232">
        <f>KPI!AN79</f>
        <v>44.24</v>
      </c>
      <c r="P12" s="232">
        <f>KPI!AO79</f>
        <v>46.248000000000005</v>
      </c>
      <c r="Q12" s="232">
        <f>KPI!AP79</f>
        <v>50.782000000000004</v>
      </c>
      <c r="R12" s="232">
        <f>KPI!AQ79</f>
        <v>0</v>
      </c>
      <c r="S12" s="232">
        <f>KPI!AR79</f>
        <v>0</v>
      </c>
      <c r="T12" s="233">
        <f>KPI!AS79</f>
        <v>0</v>
      </c>
      <c r="U12" s="211"/>
      <c r="V12" s="211"/>
    </row>
    <row r="13" spans="1:22" s="212" customFormat="1">
      <c r="A13" s="227">
        <f>T.UP3!A13</f>
        <v>3</v>
      </c>
      <c r="B13" s="308" t="str">
        <f>T.UP3!B13</f>
        <v>Efisiensi Jaringan Distribusi</v>
      </c>
      <c r="C13" s="349"/>
      <c r="D13" s="230"/>
      <c r="E13" s="231"/>
      <c r="F13" s="231">
        <v>12</v>
      </c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3"/>
      <c r="U13" s="211"/>
      <c r="V13" s="211"/>
    </row>
    <row r="14" spans="1:22" s="212" customFormat="1">
      <c r="A14" s="227"/>
      <c r="B14" s="228" t="str">
        <f>T.UP3!B14</f>
        <v>a. Susut Distribusi Tanpa E-min (sesuai kewenangan)</v>
      </c>
      <c r="C14" s="349" t="s">
        <v>279</v>
      </c>
      <c r="D14" s="230" t="str">
        <f>T.UP3!D14</f>
        <v>%</v>
      </c>
      <c r="E14" s="231"/>
      <c r="F14" s="231"/>
      <c r="G14" s="232">
        <f>T.UP3!G14</f>
        <v>9.41</v>
      </c>
      <c r="H14" s="232">
        <f>T.UP3!H14</f>
        <v>9</v>
      </c>
      <c r="I14" s="232">
        <f>KPI!AH109</f>
        <v>-15.682737184229497</v>
      </c>
      <c r="J14" s="232">
        <f>KPI!AI109</f>
        <v>-10.228821067310426</v>
      </c>
      <c r="K14" s="232">
        <f>KPI!AJ109</f>
        <v>-2.8846078747913642</v>
      </c>
      <c r="L14" s="232">
        <f>KPI!AK109</f>
        <v>3.5063857291321998</v>
      </c>
      <c r="M14" s="232">
        <f>KPI!AL109</f>
        <v>6.3999484078289566</v>
      </c>
      <c r="N14" s="232">
        <f>KPI!AM109</f>
        <v>6.9996588694363426</v>
      </c>
      <c r="O14" s="232">
        <f>KPI!AN109</f>
        <v>7.6587322275420009</v>
      </c>
      <c r="P14" s="232">
        <f>KPI!AO109</f>
        <v>7.929049915654077</v>
      </c>
      <c r="Q14" s="232">
        <f>KPI!AP109</f>
        <v>8.2084941236385731</v>
      </c>
      <c r="R14" s="232">
        <f>KPI!AQ109</f>
        <v>0</v>
      </c>
      <c r="S14" s="232">
        <f>KPI!AR109</f>
        <v>0</v>
      </c>
      <c r="T14" s="232">
        <f>KPI!AS109</f>
        <v>0</v>
      </c>
      <c r="U14" s="211"/>
      <c r="V14" s="211"/>
    </row>
    <row r="15" spans="1:22" s="212" customFormat="1">
      <c r="A15" s="227"/>
      <c r="B15" s="228" t="str">
        <f>T.UP3!B15</f>
        <v>b. Penyelesaian Temuan P2TL</v>
      </c>
      <c r="C15" s="349" t="s">
        <v>277</v>
      </c>
      <c r="D15" s="230" t="str">
        <f>T.UP3!D15</f>
        <v>%</v>
      </c>
      <c r="E15" s="231"/>
      <c r="F15" s="231"/>
      <c r="G15" s="232">
        <f>T.UP3!G15</f>
        <v>40</v>
      </c>
      <c r="H15" s="232">
        <f>T.UP3!H15</f>
        <v>100</v>
      </c>
      <c r="I15" s="232">
        <f>KPI!AH125</f>
        <v>5.8059061761727984</v>
      </c>
      <c r="J15" s="232">
        <f>KPI!AI125</f>
        <v>6.7500843739453256</v>
      </c>
      <c r="K15" s="232">
        <f>KPI!AJ125</f>
        <v>15.173742828214648</v>
      </c>
      <c r="L15" s="232">
        <f>KPI!AK125</f>
        <v>21.76044549443132</v>
      </c>
      <c r="M15" s="232">
        <f>KPI!AL125</f>
        <v>29.091596355045564</v>
      </c>
      <c r="N15" s="232">
        <f>KPI!AM125</f>
        <v>49.917819777252781</v>
      </c>
      <c r="O15" s="232">
        <f>KPI!AN125</f>
        <v>69.343266959163017</v>
      </c>
      <c r="P15" s="232">
        <f>KPI!AO125</f>
        <v>80.308133648329402</v>
      </c>
      <c r="Q15" s="232">
        <f>KPI!AP125</f>
        <v>91.575632804589944</v>
      </c>
      <c r="R15" s="232">
        <f>KPI!AQ125</f>
        <v>91.575632804589944</v>
      </c>
      <c r="S15" s="232">
        <f>KPI!AR125</f>
        <v>91.575632804589944</v>
      </c>
      <c r="T15" s="232">
        <f>KPI!AS125</f>
        <v>91.575632804589944</v>
      </c>
      <c r="U15" s="211"/>
      <c r="V15" s="211"/>
    </row>
    <row r="16" spans="1:22" s="212" customFormat="1">
      <c r="A16" s="227">
        <f>T.UP3!A16</f>
        <v>0</v>
      </c>
      <c r="B16" s="228" t="str">
        <f>T.UP3!B16</f>
        <v>c. Penyelesaian Ganti Meter</v>
      </c>
      <c r="C16" s="349" t="s">
        <v>277</v>
      </c>
      <c r="D16" s="230" t="str">
        <f>T.UP3!D16</f>
        <v>Unit</v>
      </c>
      <c r="E16" s="231" t="s">
        <v>283</v>
      </c>
      <c r="F16" s="231"/>
      <c r="G16" s="232">
        <f>T.UP3!G16</f>
        <v>2158</v>
      </c>
      <c r="H16" s="232">
        <f>T.UP3!H16</f>
        <v>4727</v>
      </c>
      <c r="I16" s="232">
        <f>KPI!AH135</f>
        <v>21</v>
      </c>
      <c r="J16" s="232">
        <f>KPI!AI135</f>
        <v>287</v>
      </c>
      <c r="K16" s="232">
        <f>KPI!AJ135</f>
        <v>1413</v>
      </c>
      <c r="L16" s="232">
        <f>KPI!AK135</f>
        <v>2172</v>
      </c>
      <c r="M16" s="232">
        <f>KPI!AL135</f>
        <v>2755</v>
      </c>
      <c r="N16" s="232">
        <f>KPI!AM135</f>
        <v>3122</v>
      </c>
      <c r="O16" s="232">
        <f>KPI!AN135</f>
        <v>3533</v>
      </c>
      <c r="P16" s="232">
        <f>KPI!AO135</f>
        <v>3695</v>
      </c>
      <c r="Q16" s="232">
        <f>KPI!AP135</f>
        <v>3957</v>
      </c>
      <c r="R16" s="232">
        <f>KPI!AQ135</f>
        <v>3957</v>
      </c>
      <c r="S16" s="232">
        <f>KPI!AR135</f>
        <v>3957</v>
      </c>
      <c r="T16" s="232">
        <f>KPI!AS135</f>
        <v>3957</v>
      </c>
      <c r="U16" s="211"/>
      <c r="V16" s="211"/>
    </row>
    <row r="17" spans="1:22" s="210" customFormat="1">
      <c r="A17" s="234" t="s">
        <v>284</v>
      </c>
      <c r="B17" s="235" t="s">
        <v>285</v>
      </c>
      <c r="C17" s="213"/>
      <c r="D17" s="213"/>
      <c r="E17" s="234"/>
      <c r="F17" s="234">
        <f>SUM(F18:F60)</f>
        <v>50</v>
      </c>
      <c r="G17" s="234"/>
      <c r="H17" s="234"/>
      <c r="I17" s="234"/>
      <c r="J17" s="234"/>
      <c r="K17" s="234"/>
      <c r="L17" s="234"/>
      <c r="M17" s="234"/>
      <c r="N17" s="234"/>
      <c r="O17" s="234"/>
      <c r="P17" s="234"/>
      <c r="Q17" s="234"/>
      <c r="R17" s="234"/>
      <c r="S17" s="234"/>
      <c r="T17" s="236"/>
      <c r="U17" s="209"/>
      <c r="V17" s="209"/>
    </row>
    <row r="18" spans="1:22" s="212" customFormat="1">
      <c r="A18" s="227">
        <v>4</v>
      </c>
      <c r="B18" s="308" t="s">
        <v>286</v>
      </c>
      <c r="C18" s="407"/>
      <c r="D18" s="230"/>
      <c r="E18" s="231" t="s">
        <v>287</v>
      </c>
      <c r="F18" s="231">
        <v>6</v>
      </c>
      <c r="G18" s="240"/>
      <c r="H18" s="240"/>
      <c r="I18" s="325"/>
      <c r="J18" s="325"/>
      <c r="K18" s="325"/>
      <c r="L18" s="325"/>
      <c r="M18" s="325"/>
      <c r="N18" s="325"/>
      <c r="O18" s="325"/>
      <c r="P18" s="325"/>
      <c r="Q18" s="325"/>
      <c r="R18" s="325"/>
      <c r="S18" s="325"/>
      <c r="T18" s="325"/>
      <c r="U18" s="211"/>
      <c r="V18" s="211"/>
    </row>
    <row r="19" spans="1:22" s="212" customFormat="1">
      <c r="A19" s="227"/>
      <c r="B19" s="228" t="s">
        <v>288</v>
      </c>
      <c r="C19" s="349" t="s">
        <v>279</v>
      </c>
      <c r="D19" s="230" t="s">
        <v>136</v>
      </c>
      <c r="E19" s="237" t="s">
        <v>289</v>
      </c>
      <c r="F19" s="231"/>
      <c r="G19" s="232">
        <f>T.UP3!G19</f>
        <v>88</v>
      </c>
      <c r="H19" s="232">
        <f>T.UP3!H19</f>
        <v>166</v>
      </c>
      <c r="I19" s="325">
        <f>PI!AH23</f>
        <v>5</v>
      </c>
      <c r="J19" s="325">
        <f>PI!AI23</f>
        <v>10</v>
      </c>
      <c r="K19" s="325">
        <f>PI!AJ23</f>
        <v>32</v>
      </c>
      <c r="L19" s="325">
        <f>PI!AK23</f>
        <v>40</v>
      </c>
      <c r="M19" s="325">
        <f>PI!AL23</f>
        <v>66</v>
      </c>
      <c r="N19" s="325">
        <f>PI!AM23</f>
        <v>73</v>
      </c>
      <c r="O19" s="325">
        <f>PI!AN23</f>
        <v>87</v>
      </c>
      <c r="P19" s="325">
        <f>PI!AO23</f>
        <v>87</v>
      </c>
      <c r="Q19" s="325">
        <f>PI!AP23</f>
        <v>98</v>
      </c>
      <c r="R19" s="325">
        <f>PI!AQ23</f>
        <v>98</v>
      </c>
      <c r="S19" s="325">
        <f>PI!AR23</f>
        <v>98</v>
      </c>
      <c r="T19" s="325">
        <f>PI!AS23</f>
        <v>98</v>
      </c>
      <c r="U19" s="211"/>
      <c r="V19" s="211"/>
    </row>
    <row r="20" spans="1:22" s="212" customFormat="1">
      <c r="A20" s="227"/>
      <c r="B20" s="228" t="s">
        <v>290</v>
      </c>
      <c r="C20" s="349" t="s">
        <v>279</v>
      </c>
      <c r="D20" s="230" t="s">
        <v>136</v>
      </c>
      <c r="E20" s="237" t="s">
        <v>291</v>
      </c>
      <c r="F20" s="231"/>
      <c r="G20" s="232">
        <f>T.UP3!G20</f>
        <v>96</v>
      </c>
      <c r="H20" s="232">
        <f>T.UP3!H20</f>
        <v>191</v>
      </c>
      <c r="I20" s="326">
        <f>PI!AH24</f>
        <v>1</v>
      </c>
      <c r="J20" s="326">
        <f>PI!AI24</f>
        <v>18</v>
      </c>
      <c r="K20" s="326">
        <f>PI!AJ24</f>
        <v>21</v>
      </c>
      <c r="L20" s="326">
        <f>PI!AK24</f>
        <v>22</v>
      </c>
      <c r="M20" s="326">
        <f>PI!AL24</f>
        <v>57</v>
      </c>
      <c r="N20" s="326">
        <f>PI!AM24</f>
        <v>76</v>
      </c>
      <c r="O20" s="326">
        <f>PI!AN24</f>
        <v>93</v>
      </c>
      <c r="P20" s="326">
        <f>PI!AO24</f>
        <v>96</v>
      </c>
      <c r="Q20" s="326">
        <f>PI!AP24</f>
        <v>112</v>
      </c>
      <c r="R20" s="326">
        <f>PI!AQ24</f>
        <v>112</v>
      </c>
      <c r="S20" s="326">
        <f>PI!AR24</f>
        <v>112</v>
      </c>
      <c r="T20" s="326">
        <f>PI!AS24</f>
        <v>112</v>
      </c>
      <c r="U20" s="211"/>
      <c r="V20" s="211"/>
    </row>
    <row r="21" spans="1:22" s="212" customFormat="1">
      <c r="A21" s="227"/>
      <c r="B21" s="228" t="s">
        <v>292</v>
      </c>
      <c r="C21" s="349" t="s">
        <v>279</v>
      </c>
      <c r="D21" s="230" t="s">
        <v>72</v>
      </c>
      <c r="E21" s="238" t="s">
        <v>293</v>
      </c>
      <c r="F21" s="231"/>
      <c r="G21" s="240">
        <f>T.UP3!G21</f>
        <v>5</v>
      </c>
      <c r="H21" s="240">
        <f>T.UP3!H21</f>
        <v>5</v>
      </c>
      <c r="I21" s="325">
        <f>PI!AH48</f>
        <v>0</v>
      </c>
      <c r="J21" s="325">
        <f>PI!AI48</f>
        <v>0</v>
      </c>
      <c r="K21" s="325">
        <f>PI!AJ48</f>
        <v>0</v>
      </c>
      <c r="L21" s="325">
        <f>PI!AK48</f>
        <v>0</v>
      </c>
      <c r="M21" s="325">
        <f>PI!AL48</f>
        <v>1</v>
      </c>
      <c r="N21" s="325">
        <f>PI!AM48</f>
        <v>2</v>
      </c>
      <c r="O21" s="325">
        <f>PI!AN48</f>
        <v>3</v>
      </c>
      <c r="P21" s="325">
        <f>PI!AO48</f>
        <v>3</v>
      </c>
      <c r="Q21" s="325">
        <f>PI!AP48</f>
        <v>3</v>
      </c>
      <c r="R21" s="325">
        <f>PI!AQ48</f>
        <v>3</v>
      </c>
      <c r="S21" s="325">
        <f>PI!AR48</f>
        <v>3</v>
      </c>
      <c r="T21" s="325">
        <f>PI!AS48</f>
        <v>3</v>
      </c>
      <c r="U21" s="211"/>
      <c r="V21" s="211"/>
    </row>
    <row r="22" spans="1:22" s="212" customFormat="1">
      <c r="A22" s="227">
        <v>5</v>
      </c>
      <c r="B22" s="308" t="s">
        <v>294</v>
      </c>
      <c r="C22" s="349"/>
      <c r="D22" s="230"/>
      <c r="E22" s="239"/>
      <c r="F22" s="231">
        <v>6</v>
      </c>
      <c r="G22" s="240"/>
      <c r="H22" s="240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11"/>
      <c r="V22" s="211"/>
    </row>
    <row r="23" spans="1:22" s="212" customFormat="1">
      <c r="A23" s="227"/>
      <c r="B23" s="228" t="s">
        <v>295</v>
      </c>
      <c r="C23" s="349" t="s">
        <v>279</v>
      </c>
      <c r="D23" s="230" t="s">
        <v>149</v>
      </c>
      <c r="E23" s="239"/>
      <c r="F23" s="231"/>
      <c r="G23" s="375">
        <f>T.UP3!G23</f>
        <v>0.09</v>
      </c>
      <c r="H23" s="375">
        <f>T.UP3!H23</f>
        <v>0.09</v>
      </c>
      <c r="I23" s="232">
        <f>PI!AH70</f>
        <v>0</v>
      </c>
      <c r="J23" s="232">
        <f>PI!AI70</f>
        <v>0</v>
      </c>
      <c r="K23" s="232">
        <f>PI!AJ70</f>
        <v>0</v>
      </c>
      <c r="L23" s="232">
        <f>PI!AK70</f>
        <v>0</v>
      </c>
      <c r="M23" s="232">
        <f>PI!AL70</f>
        <v>0</v>
      </c>
      <c r="N23" s="232">
        <f>PI!AM70</f>
        <v>0</v>
      </c>
      <c r="O23" s="232">
        <f>PI!AN70</f>
        <v>0</v>
      </c>
      <c r="P23" s="232">
        <f>PI!AO70</f>
        <v>0</v>
      </c>
      <c r="Q23" s="232">
        <f>PI!AP70</f>
        <v>0</v>
      </c>
      <c r="R23" s="232">
        <f>PI!AQ70</f>
        <v>0</v>
      </c>
      <c r="S23" s="232">
        <f>PI!AR70</f>
        <v>0</v>
      </c>
      <c r="T23" s="232">
        <f>PI!AS70</f>
        <v>0</v>
      </c>
      <c r="U23" s="211"/>
      <c r="V23" s="211"/>
    </row>
    <row r="24" spans="1:22" s="212" customFormat="1">
      <c r="A24" s="227"/>
      <c r="B24" s="228" t="s">
        <v>296</v>
      </c>
      <c r="C24" s="349" t="s">
        <v>279</v>
      </c>
      <c r="D24" s="230" t="s">
        <v>149</v>
      </c>
      <c r="E24" s="239" t="s">
        <v>297</v>
      </c>
      <c r="F24" s="231"/>
      <c r="G24" s="240">
        <f>T.UP3!G24</f>
        <v>0.04</v>
      </c>
      <c r="H24" s="240">
        <f>T.UP3!H24</f>
        <v>0.04</v>
      </c>
      <c r="I24" s="232">
        <f>PI!AH92</f>
        <v>0</v>
      </c>
      <c r="J24" s="232">
        <f>PI!AI92</f>
        <v>0</v>
      </c>
      <c r="K24" s="232">
        <f>PI!AJ92</f>
        <v>0</v>
      </c>
      <c r="L24" s="232">
        <f>PI!AK92</f>
        <v>0</v>
      </c>
      <c r="M24" s="232">
        <f>PI!AL92</f>
        <v>0</v>
      </c>
      <c r="N24" s="232">
        <f>PI!AM92</f>
        <v>0</v>
      </c>
      <c r="O24" s="232">
        <f>PI!AN92</f>
        <v>0</v>
      </c>
      <c r="P24" s="232">
        <f>PI!AO92</f>
        <v>0</v>
      </c>
      <c r="Q24" s="232">
        <f>PI!AP92</f>
        <v>0</v>
      </c>
      <c r="R24" s="232">
        <f>PI!AQ92</f>
        <v>0</v>
      </c>
      <c r="S24" s="232">
        <f>PI!AR92</f>
        <v>0</v>
      </c>
      <c r="T24" s="232">
        <f>PI!AS92</f>
        <v>5.2714812862414339E-3</v>
      </c>
      <c r="U24" s="211"/>
      <c r="V24" s="211"/>
    </row>
    <row r="25" spans="1:22" s="212" customFormat="1">
      <c r="A25" s="227"/>
      <c r="B25" s="228" t="s">
        <v>298</v>
      </c>
      <c r="C25" s="349" t="s">
        <v>277</v>
      </c>
      <c r="D25" s="230" t="s">
        <v>193</v>
      </c>
      <c r="E25" s="239" t="s">
        <v>299</v>
      </c>
      <c r="F25" s="231"/>
      <c r="G25" s="232">
        <f>T.UP3!G25</f>
        <v>4.9000000000000004</v>
      </c>
      <c r="H25" s="232">
        <f>T.UP3!H25</f>
        <v>4.9000000000000004</v>
      </c>
      <c r="I25" s="232">
        <f>PI!AH97</f>
        <v>4.91</v>
      </c>
      <c r="J25" s="232">
        <f>PI!AI97</f>
        <v>4.91</v>
      </c>
      <c r="K25" s="232">
        <f>PI!AJ97</f>
        <v>4.91</v>
      </c>
      <c r="L25" s="232">
        <f>PI!AK97</f>
        <v>4.91</v>
      </c>
      <c r="M25" s="232">
        <f>PI!AL97</f>
        <v>4.9000000000000004</v>
      </c>
      <c r="N25" s="232">
        <f>PI!AM97</f>
        <v>4.9000000000000004</v>
      </c>
      <c r="O25" s="232">
        <f>PI!AN97</f>
        <v>4.9000000000000004</v>
      </c>
      <c r="P25" s="232">
        <f>PI!AO97</f>
        <v>4.9000000000000004</v>
      </c>
      <c r="Q25" s="232">
        <f>PI!AP97</f>
        <v>4.9000000000000004</v>
      </c>
      <c r="R25" s="232">
        <f>PI!AQ97</f>
        <v>4.9000000000000004</v>
      </c>
      <c r="S25" s="232">
        <f>PI!AR97</f>
        <v>4.9000000000000004</v>
      </c>
      <c r="T25" s="232">
        <f>PI!AS97</f>
        <v>4.9000000000000004</v>
      </c>
      <c r="U25" s="211"/>
      <c r="V25" s="211"/>
    </row>
    <row r="26" spans="1:22" s="212" customFormat="1">
      <c r="A26" s="227"/>
      <c r="B26" s="228" t="s">
        <v>300</v>
      </c>
      <c r="C26" s="349" t="s">
        <v>277</v>
      </c>
      <c r="D26" s="230" t="s">
        <v>301</v>
      </c>
      <c r="E26" s="239" t="s">
        <v>302</v>
      </c>
      <c r="F26" s="231"/>
      <c r="G26" s="232">
        <f>T.UP3!G26</f>
        <v>31455</v>
      </c>
      <c r="H26" s="232">
        <f>T.UP3!H26</f>
        <v>62908</v>
      </c>
      <c r="I26" s="232">
        <f>PI!AH107</f>
        <v>2781</v>
      </c>
      <c r="J26" s="232">
        <f>PI!AI107</f>
        <v>6163</v>
      </c>
      <c r="K26" s="232">
        <f>PI!AJ107</f>
        <v>16349</v>
      </c>
      <c r="L26" s="232">
        <f>PI!AK107</f>
        <v>26667</v>
      </c>
      <c r="M26" s="232">
        <f>PI!AL107</f>
        <v>36549</v>
      </c>
      <c r="N26" s="232">
        <f>PI!AM107</f>
        <v>45061</v>
      </c>
      <c r="O26" s="232">
        <f>PI!AN107</f>
        <v>53566</v>
      </c>
      <c r="P26" s="232">
        <f>PI!AO107</f>
        <v>60672</v>
      </c>
      <c r="Q26" s="232">
        <f>PI!AP107</f>
        <v>68090</v>
      </c>
      <c r="R26" s="232">
        <f>PI!AQ107</f>
        <v>0</v>
      </c>
      <c r="S26" s="232">
        <f>PI!AR107</f>
        <v>0</v>
      </c>
      <c r="T26" s="232">
        <f>PI!AS107</f>
        <v>0</v>
      </c>
      <c r="U26" s="211"/>
      <c r="V26" s="211"/>
    </row>
    <row r="27" spans="1:22" s="212" customFormat="1">
      <c r="A27" s="227">
        <v>6</v>
      </c>
      <c r="B27" s="308" t="s">
        <v>303</v>
      </c>
      <c r="C27" s="349"/>
      <c r="D27" s="230"/>
      <c r="E27" s="239"/>
      <c r="F27" s="231">
        <v>3</v>
      </c>
      <c r="G27" s="232"/>
      <c r="H27" s="232"/>
      <c r="I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11"/>
      <c r="V27" s="211"/>
    </row>
    <row r="28" spans="1:22" s="212" customFormat="1">
      <c r="A28" s="227"/>
      <c r="B28" s="228" t="s">
        <v>304</v>
      </c>
      <c r="C28" s="349" t="s">
        <v>279</v>
      </c>
      <c r="D28" s="230" t="s">
        <v>132</v>
      </c>
      <c r="E28" s="239"/>
      <c r="F28" s="231"/>
      <c r="G28" s="232">
        <f>T.UP3!G28</f>
        <v>30</v>
      </c>
      <c r="H28" s="232">
        <f>T.UP3!H28</f>
        <v>30</v>
      </c>
      <c r="I28" s="232">
        <f>PI!AH123</f>
        <v>8.1972562755399867</v>
      </c>
      <c r="J28" s="232">
        <f>PI!AI123</f>
        <v>8.1895472049853559</v>
      </c>
      <c r="K28" s="232">
        <f>PI!AJ123</f>
        <v>8.1517234042283491</v>
      </c>
      <c r="L28" s="232">
        <f>PI!AK123</f>
        <v>8.1290916049582798</v>
      </c>
      <c r="M28" s="232">
        <f>PI!AL123</f>
        <v>9.2132732839666236</v>
      </c>
      <c r="N28" s="232">
        <f>PI!AM123</f>
        <v>9.3707533111591559</v>
      </c>
      <c r="O28" s="232">
        <f>PI!AN123</f>
        <v>9.4832390448681085</v>
      </c>
      <c r="P28" s="232">
        <f>PI!AO123</f>
        <v>9.7132346993555974</v>
      </c>
      <c r="Q28" s="232">
        <f>PI!AP123</f>
        <v>9.9645423134519469</v>
      </c>
      <c r="R28" s="232">
        <f>PI!AQ123</f>
        <v>9.9645423134519469</v>
      </c>
      <c r="S28" s="232">
        <f>PI!AR123</f>
        <v>9.9645423134519469</v>
      </c>
      <c r="T28" s="232">
        <f>PI!AS123</f>
        <v>9.9645423134519469</v>
      </c>
      <c r="U28" s="211"/>
      <c r="V28" s="211"/>
    </row>
    <row r="29" spans="1:22" s="212" customFormat="1">
      <c r="A29" s="227"/>
      <c r="B29" s="228" t="s">
        <v>305</v>
      </c>
      <c r="C29" s="349" t="s">
        <v>277</v>
      </c>
      <c r="D29" s="230" t="s">
        <v>149</v>
      </c>
      <c r="E29" s="239"/>
      <c r="F29" s="231"/>
      <c r="G29" s="232">
        <f>T.UP3!G29</f>
        <v>0</v>
      </c>
      <c r="H29" s="232">
        <f>T.UP3!H29</f>
        <v>0</v>
      </c>
      <c r="I29" s="232">
        <f>PI!AH139</f>
        <v>0</v>
      </c>
      <c r="J29" s="232">
        <f>PI!AI139</f>
        <v>0</v>
      </c>
      <c r="K29" s="232">
        <f>PI!AJ139</f>
        <v>0</v>
      </c>
      <c r="L29" s="232">
        <f>PI!AK139</f>
        <v>0</v>
      </c>
      <c r="M29" s="232">
        <f>PI!AL139</f>
        <v>0</v>
      </c>
      <c r="N29" s="232">
        <f>PI!AM139</f>
        <v>0</v>
      </c>
      <c r="O29" s="232">
        <f>PI!AN139</f>
        <v>0</v>
      </c>
      <c r="P29" s="232">
        <f>PI!AO139</f>
        <v>0</v>
      </c>
      <c r="Q29" s="232">
        <f>PI!AP139</f>
        <v>0</v>
      </c>
      <c r="R29" s="232">
        <f>PI!AQ139</f>
        <v>0</v>
      </c>
      <c r="S29" s="232">
        <f>PI!AR139</f>
        <v>0</v>
      </c>
      <c r="T29" s="232">
        <f>PI!AS139</f>
        <v>0</v>
      </c>
      <c r="U29" s="211"/>
      <c r="V29" s="211"/>
    </row>
    <row r="30" spans="1:22" s="212" customFormat="1">
      <c r="A30" s="227">
        <v>7</v>
      </c>
      <c r="B30" s="308" t="s">
        <v>306</v>
      </c>
      <c r="C30" s="349"/>
      <c r="D30" s="230"/>
      <c r="E30" s="239" t="s">
        <v>307</v>
      </c>
      <c r="F30" s="231">
        <v>4</v>
      </c>
      <c r="G30" s="240"/>
      <c r="H30" s="240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232"/>
      <c r="T30" s="233"/>
      <c r="U30" s="211"/>
      <c r="V30" s="211"/>
    </row>
    <row r="31" spans="1:22" s="212" customFormat="1">
      <c r="A31" s="227"/>
      <c r="B31" s="228" t="s">
        <v>308</v>
      </c>
      <c r="C31" s="349" t="s">
        <v>277</v>
      </c>
      <c r="D31" s="230" t="s">
        <v>149</v>
      </c>
      <c r="E31" s="239"/>
      <c r="F31" s="231"/>
      <c r="G31" s="240">
        <f>T.UP3!G31</f>
        <v>100</v>
      </c>
      <c r="H31" s="240">
        <f>T.UP3!H31</f>
        <v>100</v>
      </c>
      <c r="I31" s="232">
        <f>PI!AH160</f>
        <v>92.25</v>
      </c>
      <c r="J31" s="232">
        <f>PI!AI160</f>
        <v>90.5</v>
      </c>
      <c r="K31" s="232">
        <f>PI!AJ160</f>
        <v>110</v>
      </c>
      <c r="L31" s="232">
        <f>PI!AK160</f>
        <v>110</v>
      </c>
      <c r="M31" s="232">
        <f>PI!AL160</f>
        <v>110</v>
      </c>
      <c r="N31" s="232">
        <f>PI!AM160</f>
        <v>110</v>
      </c>
      <c r="O31" s="232">
        <f>PI!AN160</f>
        <v>110</v>
      </c>
      <c r="P31" s="232">
        <f>PI!AO160</f>
        <v>110</v>
      </c>
      <c r="Q31" s="232">
        <f>PI!AP160</f>
        <v>110</v>
      </c>
      <c r="R31" s="232">
        <f>PI!AQ160</f>
        <v>0</v>
      </c>
      <c r="S31" s="232">
        <f>PI!AR160</f>
        <v>0</v>
      </c>
      <c r="T31" s="232">
        <f>PI!AS160</f>
        <v>0</v>
      </c>
      <c r="U31" s="211"/>
      <c r="V31" s="211"/>
    </row>
    <row r="32" spans="1:22" s="212" customFormat="1">
      <c r="A32" s="227"/>
      <c r="B32" s="228" t="s">
        <v>309</v>
      </c>
      <c r="C32" s="349" t="s">
        <v>277</v>
      </c>
      <c r="D32" s="230" t="s">
        <v>149</v>
      </c>
      <c r="E32" s="239"/>
      <c r="F32" s="231"/>
      <c r="G32" s="240">
        <f>T.UP3!G32</f>
        <v>100</v>
      </c>
      <c r="H32" s="240">
        <f>T.UP3!H32</f>
        <v>100</v>
      </c>
      <c r="I32" s="232">
        <f>PI!AH182</f>
        <v>110</v>
      </c>
      <c r="J32" s="232">
        <f>PI!AI182</f>
        <v>110</v>
      </c>
      <c r="K32" s="232">
        <f>PI!AJ182</f>
        <v>110</v>
      </c>
      <c r="L32" s="232">
        <f>PI!AK182</f>
        <v>110</v>
      </c>
      <c r="M32" s="232">
        <f>PI!AL182</f>
        <v>110</v>
      </c>
      <c r="N32" s="232">
        <f>PI!AM182</f>
        <v>110</v>
      </c>
      <c r="O32" s="232">
        <f>PI!AN182</f>
        <v>110</v>
      </c>
      <c r="P32" s="232">
        <f>PI!AO182</f>
        <v>110</v>
      </c>
      <c r="Q32" s="232">
        <f>PI!AP182</f>
        <v>110</v>
      </c>
      <c r="R32" s="232">
        <f>PI!AQ182</f>
        <v>0</v>
      </c>
      <c r="S32" s="232">
        <f>PI!AR182</f>
        <v>0</v>
      </c>
      <c r="T32" s="232">
        <f>PI!AS182</f>
        <v>0</v>
      </c>
      <c r="U32" s="211"/>
      <c r="V32" s="211"/>
    </row>
    <row r="33" spans="1:22" s="212" customFormat="1">
      <c r="A33" s="227">
        <v>8</v>
      </c>
      <c r="B33" s="308" t="s">
        <v>310</v>
      </c>
      <c r="C33" s="349"/>
      <c r="D33" s="230"/>
      <c r="E33" s="239"/>
      <c r="F33" s="231">
        <v>6</v>
      </c>
      <c r="G33" s="240"/>
      <c r="H33" s="240"/>
      <c r="I33" s="232"/>
      <c r="J33" s="232"/>
      <c r="K33" s="232"/>
      <c r="L33" s="232"/>
      <c r="M33" s="232"/>
      <c r="N33" s="232"/>
      <c r="O33" s="232"/>
      <c r="P33" s="232"/>
      <c r="Q33" s="232"/>
      <c r="R33" s="232"/>
      <c r="S33" s="232"/>
      <c r="T33" s="232"/>
      <c r="U33" s="211"/>
      <c r="V33" s="211"/>
    </row>
    <row r="34" spans="1:22" s="212" customFormat="1">
      <c r="A34" s="227"/>
      <c r="B34" s="228" t="s">
        <v>311</v>
      </c>
      <c r="C34" s="349" t="s">
        <v>277</v>
      </c>
      <c r="D34" s="230" t="s">
        <v>149</v>
      </c>
      <c r="E34" s="239"/>
      <c r="F34" s="231"/>
      <c r="G34" s="240">
        <f>T.UP3!G34</f>
        <v>100</v>
      </c>
      <c r="H34" s="240">
        <f>T.UP3!H34</f>
        <v>100</v>
      </c>
      <c r="I34" s="232">
        <f>PI!AH189</f>
        <v>99.06</v>
      </c>
      <c r="J34" s="232">
        <f>PI!AI189</f>
        <v>116.19</v>
      </c>
      <c r="K34" s="232">
        <f>PI!AJ189</f>
        <v>118.81</v>
      </c>
      <c r="L34" s="232">
        <f>PI!AK189</f>
        <v>120.77</v>
      </c>
      <c r="M34" s="232">
        <f>PI!AL189</f>
        <v>121.31</v>
      </c>
      <c r="N34" s="232">
        <f>PI!AM189</f>
        <v>121.31</v>
      </c>
      <c r="O34" s="232">
        <f>PI!AN189</f>
        <v>98.6</v>
      </c>
      <c r="P34" s="232">
        <f>PI!AO189</f>
        <v>101.98</v>
      </c>
      <c r="Q34" s="232">
        <f>PI!AP189</f>
        <v>101.95</v>
      </c>
      <c r="R34" s="232">
        <f>PI!AQ189</f>
        <v>0</v>
      </c>
      <c r="S34" s="232">
        <f>PI!AR189</f>
        <v>0</v>
      </c>
      <c r="T34" s="232">
        <f>PI!AS189</f>
        <v>0</v>
      </c>
      <c r="U34" s="211"/>
      <c r="V34" s="211"/>
    </row>
    <row r="35" spans="1:22" s="212" customFormat="1">
      <c r="A35" s="227">
        <v>9</v>
      </c>
      <c r="B35" s="308" t="s">
        <v>31</v>
      </c>
      <c r="C35" s="349"/>
      <c r="D35" s="369"/>
      <c r="E35" s="239"/>
      <c r="F35" s="231"/>
      <c r="G35" s="240"/>
      <c r="H35" s="240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232"/>
      <c r="U35" s="211"/>
      <c r="V35" s="211"/>
    </row>
    <row r="36" spans="1:22" s="212" customFormat="1">
      <c r="A36" s="227"/>
      <c r="B36" s="228" t="s">
        <v>312</v>
      </c>
      <c r="C36" s="349" t="s">
        <v>277</v>
      </c>
      <c r="D36" s="230" t="s">
        <v>313</v>
      </c>
      <c r="E36" s="239"/>
      <c r="F36" s="231"/>
      <c r="G36" s="240">
        <f>T.UP3!G37</f>
        <v>5.3</v>
      </c>
      <c r="H36" s="240">
        <f>T.UP3!H37</f>
        <v>13.36</v>
      </c>
      <c r="I36" s="232">
        <f>PI!AH199</f>
        <v>0.75440000000000007</v>
      </c>
      <c r="J36" s="232">
        <f>PI!AI199</f>
        <v>1.274</v>
      </c>
      <c r="K36" s="232">
        <f>PI!AJ199</f>
        <v>1.82315</v>
      </c>
      <c r="L36" s="232">
        <f>PI!AK199</f>
        <v>2.3200833333333333</v>
      </c>
      <c r="M36" s="232">
        <f>PI!AL199</f>
        <v>2.4581833333333334</v>
      </c>
      <c r="N36" s="232">
        <f>PI!AM199</f>
        <v>2.9414333333333333</v>
      </c>
      <c r="O36" s="232">
        <f>PI!AN199</f>
        <v>3.5287333333333333</v>
      </c>
      <c r="P36" s="232">
        <f>PI!AO199</f>
        <v>4.2161333333333335</v>
      </c>
      <c r="Q36" s="232">
        <f>PI!AP199</f>
        <v>5.7844333333333333</v>
      </c>
      <c r="R36" s="232">
        <f>PI!AQ199</f>
        <v>0</v>
      </c>
      <c r="S36" s="232">
        <f>PI!AR199</f>
        <v>0</v>
      </c>
      <c r="T36" s="232">
        <f>PI!AS199</f>
        <v>0</v>
      </c>
      <c r="U36" s="211"/>
      <c r="V36" s="211"/>
    </row>
    <row r="37" spans="1:22" s="212" customFormat="1">
      <c r="A37" s="227"/>
      <c r="B37" s="228" t="s">
        <v>314</v>
      </c>
      <c r="C37" s="349" t="s">
        <v>277</v>
      </c>
      <c r="D37" s="230" t="s">
        <v>133</v>
      </c>
      <c r="E37" s="239"/>
      <c r="F37" s="231"/>
      <c r="G37" s="240">
        <f>T.UP3!G38</f>
        <v>4619</v>
      </c>
      <c r="H37" s="240">
        <f>T.UP3!H38</f>
        <v>10632</v>
      </c>
      <c r="I37" s="232">
        <f>PI!AH205</f>
        <v>498</v>
      </c>
      <c r="J37" s="232">
        <f>PI!AI205</f>
        <v>965</v>
      </c>
      <c r="K37" s="232">
        <f>PI!AJ205</f>
        <v>1364</v>
      </c>
      <c r="L37" s="232">
        <f>PI!AK205</f>
        <v>1792</v>
      </c>
      <c r="M37" s="232">
        <f>PI!AL205</f>
        <v>2153</v>
      </c>
      <c r="N37" s="232">
        <f>PI!AM205</f>
        <v>2561</v>
      </c>
      <c r="O37" s="232">
        <f>PI!AN205</f>
        <v>2930</v>
      </c>
      <c r="P37" s="232">
        <f>PI!AO205</f>
        <v>3293</v>
      </c>
      <c r="Q37" s="232">
        <f>PI!AP205</f>
        <v>3761</v>
      </c>
      <c r="R37" s="232">
        <f>PI!AQ205</f>
        <v>0</v>
      </c>
      <c r="S37" s="232">
        <f>PI!AR205</f>
        <v>0</v>
      </c>
      <c r="T37" s="232">
        <f>PI!AS205</f>
        <v>0</v>
      </c>
      <c r="U37" s="211"/>
      <c r="V37" s="211"/>
    </row>
    <row r="38" spans="1:22" s="212" customFormat="1">
      <c r="A38" s="227"/>
      <c r="B38" s="228" t="s">
        <v>315</v>
      </c>
      <c r="C38" s="349" t="s">
        <v>277</v>
      </c>
      <c r="D38" s="230" t="s">
        <v>133</v>
      </c>
      <c r="E38" s="239"/>
      <c r="F38" s="231"/>
      <c r="G38" s="240">
        <f>T.UP3!G39</f>
        <v>600</v>
      </c>
      <c r="H38" s="240">
        <f>T.UP3!H39</f>
        <v>996</v>
      </c>
      <c r="I38" s="232">
        <f>PI!AH211</f>
        <v>126</v>
      </c>
      <c r="J38" s="232">
        <f>PI!AI211</f>
        <v>171</v>
      </c>
      <c r="K38" s="232">
        <f>PI!AJ211</f>
        <v>251</v>
      </c>
      <c r="L38" s="232">
        <f>PI!AK211</f>
        <v>251</v>
      </c>
      <c r="M38" s="232">
        <f>PI!AL211</f>
        <v>347</v>
      </c>
      <c r="N38" s="232">
        <f>PI!AM211</f>
        <v>507</v>
      </c>
      <c r="O38" s="232">
        <f>PI!AN211</f>
        <v>599</v>
      </c>
      <c r="P38" s="232">
        <f>PI!AO211</f>
        <v>744</v>
      </c>
      <c r="Q38" s="232">
        <f>PI!AP211</f>
        <v>814</v>
      </c>
      <c r="R38" s="232">
        <f>PI!AQ211</f>
        <v>0</v>
      </c>
      <c r="S38" s="232">
        <f>PI!AR211</f>
        <v>0</v>
      </c>
      <c r="T38" s="232">
        <f>PI!AS211</f>
        <v>0</v>
      </c>
      <c r="U38" s="211"/>
      <c r="V38" s="211"/>
    </row>
    <row r="39" spans="1:22" s="212" customFormat="1">
      <c r="A39" s="227"/>
      <c r="B39" s="228" t="s">
        <v>316</v>
      </c>
      <c r="C39" s="349" t="s">
        <v>277</v>
      </c>
      <c r="D39" s="230" t="s">
        <v>133</v>
      </c>
      <c r="E39" s="239"/>
      <c r="F39" s="231"/>
      <c r="G39" s="240">
        <f>T.UP3!G40</f>
        <v>7</v>
      </c>
      <c r="H39" s="240">
        <f>T.UP3!H40</f>
        <v>8</v>
      </c>
      <c r="I39" s="232">
        <f>PI!AH217</f>
        <v>0</v>
      </c>
      <c r="J39" s="232">
        <f>PI!AI217</f>
        <v>0</v>
      </c>
      <c r="K39" s="232">
        <f>PI!AJ217</f>
        <v>0</v>
      </c>
      <c r="L39" s="232">
        <f>PI!AK217</f>
        <v>7</v>
      </c>
      <c r="M39" s="232">
        <f>PI!AL217</f>
        <v>7</v>
      </c>
      <c r="N39" s="232">
        <f>PI!AM217</f>
        <v>7</v>
      </c>
      <c r="O39" s="232">
        <f>PI!AN217</f>
        <v>8</v>
      </c>
      <c r="P39" s="232">
        <f>PI!AO217</f>
        <v>8</v>
      </c>
      <c r="Q39" s="232">
        <f>PI!AP217</f>
        <v>8</v>
      </c>
      <c r="R39" s="232">
        <f>PI!AQ217</f>
        <v>0</v>
      </c>
      <c r="S39" s="232">
        <f>PI!AR217</f>
        <v>0</v>
      </c>
      <c r="T39" s="232">
        <f>PI!AS217</f>
        <v>0</v>
      </c>
      <c r="U39" s="211"/>
      <c r="V39" s="211"/>
    </row>
    <row r="40" spans="1:22" s="212" customFormat="1">
      <c r="A40" s="227"/>
      <c r="B40" s="228" t="s">
        <v>317</v>
      </c>
      <c r="C40" s="349" t="s">
        <v>277</v>
      </c>
      <c r="D40" s="230" t="s">
        <v>133</v>
      </c>
      <c r="E40" s="239"/>
      <c r="F40" s="231"/>
      <c r="G40" s="240">
        <f>T.UP3!G41</f>
        <v>14</v>
      </c>
      <c r="H40" s="240">
        <f>T.UP3!H41</f>
        <v>441</v>
      </c>
      <c r="I40" s="232">
        <f>PI!AH223</f>
        <v>50</v>
      </c>
      <c r="J40" s="232">
        <f>PI!AI223</f>
        <v>71</v>
      </c>
      <c r="K40" s="232">
        <f>PI!AJ223</f>
        <v>87</v>
      </c>
      <c r="L40" s="232">
        <f>PI!AK223</f>
        <v>113</v>
      </c>
      <c r="M40" s="232">
        <f>PI!AL223</f>
        <v>134</v>
      </c>
      <c r="N40" s="232">
        <f>PI!AM223</f>
        <v>142</v>
      </c>
      <c r="O40" s="232">
        <f>PI!AN223</f>
        <v>150</v>
      </c>
      <c r="P40" s="232">
        <f>PI!AO223</f>
        <v>159</v>
      </c>
      <c r="Q40" s="232">
        <f>PI!AP223</f>
        <v>169</v>
      </c>
      <c r="R40" s="232">
        <f>PI!AQ223</f>
        <v>0</v>
      </c>
      <c r="S40" s="232">
        <f>PI!AR223</f>
        <v>0</v>
      </c>
      <c r="T40" s="232">
        <f>PI!AS223</f>
        <v>0</v>
      </c>
      <c r="U40" s="211"/>
      <c r="V40" s="211"/>
    </row>
    <row r="41" spans="1:22" s="212" customFormat="1">
      <c r="A41" s="227"/>
      <c r="B41" s="228" t="s">
        <v>318</v>
      </c>
      <c r="C41" s="349" t="s">
        <v>277</v>
      </c>
      <c r="D41" s="230" t="s">
        <v>319</v>
      </c>
      <c r="E41" s="239" t="s">
        <v>320</v>
      </c>
      <c r="F41" s="231"/>
      <c r="G41" s="240">
        <f>T.UP3!G42</f>
        <v>567</v>
      </c>
      <c r="H41" s="240">
        <f>T.UP3!H42</f>
        <v>58950.990000000005</v>
      </c>
      <c r="I41" s="232">
        <f>PI!AH229</f>
        <v>12084.1</v>
      </c>
      <c r="J41" s="232">
        <f>PI!AI229</f>
        <v>23649.5</v>
      </c>
      <c r="K41" s="232">
        <f>PI!AJ229</f>
        <v>25628.500000000007</v>
      </c>
      <c r="L41" s="232">
        <f>PI!AK229</f>
        <v>29595.700000000004</v>
      </c>
      <c r="M41" s="232">
        <f>PI!AL229</f>
        <v>36325.700000000004</v>
      </c>
      <c r="N41" s="232">
        <f>PI!AM229</f>
        <v>42397.8</v>
      </c>
      <c r="O41" s="232">
        <f>PI!AN229</f>
        <v>49790.899999999994</v>
      </c>
      <c r="P41" s="232">
        <f>PI!AO229</f>
        <v>56666.3</v>
      </c>
      <c r="Q41" s="232">
        <f>PI!AP229</f>
        <v>64005.7</v>
      </c>
      <c r="R41" s="232">
        <f>PI!AQ229</f>
        <v>0</v>
      </c>
      <c r="S41" s="232">
        <f>PI!AR229</f>
        <v>0</v>
      </c>
      <c r="T41" s="232">
        <f>PI!AS229</f>
        <v>0</v>
      </c>
      <c r="U41" s="211"/>
      <c r="V41" s="211"/>
    </row>
    <row r="42" spans="1:22" s="212" customFormat="1">
      <c r="A42" s="227">
        <v>10</v>
      </c>
      <c r="B42" s="308" t="s">
        <v>321</v>
      </c>
      <c r="C42" s="349"/>
      <c r="D42" s="230"/>
      <c r="E42" s="239"/>
      <c r="F42" s="231">
        <v>4</v>
      </c>
      <c r="G42" s="240"/>
      <c r="H42" s="240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11"/>
      <c r="V42" s="211"/>
    </row>
    <row r="43" spans="1:22" s="212" customFormat="1">
      <c r="A43" s="227"/>
      <c r="B43" s="228" t="s">
        <v>322</v>
      </c>
      <c r="C43" s="349" t="s">
        <v>277</v>
      </c>
      <c r="D43" s="230" t="s">
        <v>133</v>
      </c>
      <c r="E43" s="239" t="s">
        <v>323</v>
      </c>
      <c r="F43" s="231"/>
      <c r="G43" s="240">
        <f>T.UP3!G44</f>
        <v>4728</v>
      </c>
      <c r="H43" s="240">
        <f>T.UP3!H44</f>
        <v>4728</v>
      </c>
      <c r="I43" s="232">
        <f>PI!AH239</f>
        <v>10357</v>
      </c>
      <c r="J43" s="232">
        <f>PI!AI239</f>
        <v>8775</v>
      </c>
      <c r="K43" s="232">
        <f>PI!AJ239</f>
        <v>9061</v>
      </c>
      <c r="L43" s="232">
        <f>PI!AK239</f>
        <v>8210.25</v>
      </c>
      <c r="M43" s="232">
        <f>PI!AL239</f>
        <v>7592.2</v>
      </c>
      <c r="N43" s="232">
        <f>PI!AM239</f>
        <v>7340</v>
      </c>
      <c r="O43" s="232">
        <f>PI!AN239</f>
        <v>5470</v>
      </c>
      <c r="P43" s="232">
        <f>PI!AO239</f>
        <v>5376</v>
      </c>
      <c r="Q43" s="232">
        <f>PI!AP239</f>
        <v>5579</v>
      </c>
      <c r="R43" s="232">
        <f>PI!AQ239</f>
        <v>0</v>
      </c>
      <c r="S43" s="232">
        <f>PI!AR239</f>
        <v>0</v>
      </c>
      <c r="T43" s="232">
        <f>PI!AS239</f>
        <v>0</v>
      </c>
      <c r="U43" s="211"/>
      <c r="V43" s="211"/>
    </row>
    <row r="44" spans="1:22" s="212" customFormat="1">
      <c r="A44" s="227"/>
      <c r="B44" s="228" t="s">
        <v>324</v>
      </c>
      <c r="C44" s="349" t="s">
        <v>277</v>
      </c>
      <c r="D44" s="230" t="s">
        <v>133</v>
      </c>
      <c r="E44" s="239"/>
      <c r="F44" s="231"/>
      <c r="G44" s="240">
        <f>T.UP3!G45</f>
        <v>0</v>
      </c>
      <c r="H44" s="240">
        <f>T.UP3!H45</f>
        <v>0</v>
      </c>
      <c r="I44" s="232">
        <v>0</v>
      </c>
      <c r="J44" s="232">
        <v>0</v>
      </c>
      <c r="K44" s="232">
        <v>0</v>
      </c>
      <c r="L44" s="232">
        <v>0</v>
      </c>
      <c r="M44" s="232">
        <v>0</v>
      </c>
      <c r="N44" s="232">
        <v>0</v>
      </c>
      <c r="O44" s="232">
        <v>0</v>
      </c>
      <c r="P44" s="232">
        <v>0</v>
      </c>
      <c r="Q44" s="232">
        <v>0</v>
      </c>
      <c r="R44" s="232">
        <v>0</v>
      </c>
      <c r="S44" s="232">
        <v>0</v>
      </c>
      <c r="T44" s="232">
        <v>0</v>
      </c>
      <c r="U44" s="211"/>
      <c r="V44" s="211"/>
    </row>
    <row r="45" spans="1:22" s="212" customFormat="1">
      <c r="A45" s="227">
        <v>11</v>
      </c>
      <c r="B45" s="308" t="s">
        <v>325</v>
      </c>
      <c r="C45" s="349"/>
      <c r="D45" s="230"/>
      <c r="E45" s="239"/>
      <c r="F45" s="231">
        <v>6</v>
      </c>
      <c r="G45" s="240"/>
      <c r="H45" s="240"/>
      <c r="I45" s="232"/>
      <c r="J45" s="232"/>
      <c r="K45" s="232"/>
      <c r="L45" s="232"/>
      <c r="M45" s="232"/>
      <c r="N45" s="232"/>
      <c r="O45" s="232"/>
      <c r="P45" s="232"/>
      <c r="Q45" s="232"/>
      <c r="R45" s="232"/>
      <c r="S45" s="232"/>
      <c r="T45" s="232"/>
      <c r="U45" s="211"/>
      <c r="V45" s="211"/>
    </row>
    <row r="46" spans="1:22" s="212" customFormat="1">
      <c r="A46" s="227"/>
      <c r="B46" s="228" t="s">
        <v>326</v>
      </c>
      <c r="C46" s="349" t="s">
        <v>279</v>
      </c>
      <c r="D46" s="230" t="s">
        <v>327</v>
      </c>
      <c r="E46" s="239" t="s">
        <v>328</v>
      </c>
      <c r="F46" s="231"/>
      <c r="G46" s="240">
        <f>T.UP3!G47</f>
        <v>1175</v>
      </c>
      <c r="H46" s="240">
        <f>T.UP3!H47</f>
        <v>1175</v>
      </c>
      <c r="I46" s="232">
        <f>PI!AH279</f>
        <v>1281.87806</v>
      </c>
      <c r="J46" s="232">
        <f>PI!AI279</f>
        <v>1083.2909414999999</v>
      </c>
      <c r="K46" s="232">
        <f>PI!AJ279</f>
        <v>1022.1397566666666</v>
      </c>
      <c r="L46" s="232">
        <f>PI!AK279</f>
        <v>1028.3136465</v>
      </c>
      <c r="M46" s="232">
        <f>PI!AL279</f>
        <v>1095.9366248000001</v>
      </c>
      <c r="N46" s="232">
        <f>PI!AM279</f>
        <v>1111.3078128333334</v>
      </c>
      <c r="O46" s="232">
        <f>PI!AN279</f>
        <v>1088.9630380000001</v>
      </c>
      <c r="P46" s="232">
        <f>PI!AO279</f>
        <v>1029.1045273750001</v>
      </c>
      <c r="Q46" s="232">
        <f>PI!AP279</f>
        <v>1001.4119882222224</v>
      </c>
      <c r="R46" s="232">
        <f>PI!AQ279</f>
        <v>1001.4119882222224</v>
      </c>
      <c r="S46" s="232">
        <f>PI!AR279</f>
        <v>1001.4119882222224</v>
      </c>
      <c r="T46" s="232">
        <f>PI!AS279</f>
        <v>1001.4119882222224</v>
      </c>
      <c r="U46" s="211"/>
      <c r="V46" s="211"/>
    </row>
    <row r="47" spans="1:22" s="212" customFormat="1">
      <c r="A47" s="227"/>
      <c r="B47" s="228" t="s">
        <v>329</v>
      </c>
      <c r="C47" s="349" t="s">
        <v>277</v>
      </c>
      <c r="D47" s="230" t="s">
        <v>327</v>
      </c>
      <c r="E47" s="239" t="s">
        <v>330</v>
      </c>
      <c r="F47" s="231"/>
      <c r="G47" s="240">
        <f>T.UP3!G48</f>
        <v>286.27</v>
      </c>
      <c r="H47" s="240">
        <f>T.UP3!H48</f>
        <v>286.27</v>
      </c>
      <c r="I47" s="240">
        <f>PI!AH301</f>
        <v>568.75291700000002</v>
      </c>
      <c r="J47" s="240">
        <f>PI!AI301</f>
        <v>551.86737949999997</v>
      </c>
      <c r="K47" s="240">
        <f>PI!AJ301</f>
        <v>507.71158633333334</v>
      </c>
      <c r="L47" s="240">
        <f>PI!AK301</f>
        <v>521.94955825</v>
      </c>
      <c r="M47" s="240">
        <f>PI!AL301</f>
        <v>502.51584860000003</v>
      </c>
      <c r="N47" s="240">
        <f>PI!AM301</f>
        <v>472.08207300000004</v>
      </c>
      <c r="O47" s="240">
        <f>PI!AN301</f>
        <v>406.4669252857143</v>
      </c>
      <c r="P47" s="240">
        <f>PI!AO301</f>
        <v>356.950721875</v>
      </c>
      <c r="Q47" s="240">
        <f>PI!AP301</f>
        <v>321.95223111111113</v>
      </c>
      <c r="R47" s="240">
        <f>PI!AQ301</f>
        <v>321.95223111111113</v>
      </c>
      <c r="S47" s="240">
        <f>PI!AR301</f>
        <v>321.95223111111113</v>
      </c>
      <c r="T47" s="240">
        <f>PI!AS301</f>
        <v>321.95223111111113</v>
      </c>
      <c r="U47" s="211"/>
      <c r="V47" s="211"/>
    </row>
    <row r="48" spans="1:22" s="212" customFormat="1" ht="15" customHeight="1">
      <c r="A48" s="227"/>
      <c r="B48" s="228" t="s">
        <v>331</v>
      </c>
      <c r="C48" s="349" t="s">
        <v>277</v>
      </c>
      <c r="D48" s="230" t="s">
        <v>327</v>
      </c>
      <c r="E48" s="275" t="s">
        <v>332</v>
      </c>
      <c r="F48" s="231"/>
      <c r="G48" s="240">
        <f>T.UP3!G49</f>
        <v>3.73</v>
      </c>
      <c r="H48" s="240">
        <f>T.UP3!H49</f>
        <v>9.31</v>
      </c>
      <c r="I48" s="232">
        <f>PI!AH324</f>
        <v>0</v>
      </c>
      <c r="J48" s="232">
        <f>PI!AI324</f>
        <v>0</v>
      </c>
      <c r="K48" s="232">
        <f>PI!AJ324</f>
        <v>2.5170159999999999</v>
      </c>
      <c r="L48" s="232">
        <f>PI!AK324</f>
        <v>3.384001</v>
      </c>
      <c r="M48" s="232">
        <f>PI!AL324</f>
        <v>11.555612</v>
      </c>
      <c r="N48" s="232">
        <f>PI!AM324</f>
        <v>11.555612</v>
      </c>
      <c r="O48" s="232">
        <f>PI!AN324</f>
        <v>11.555612</v>
      </c>
      <c r="P48" s="232">
        <f>PI!AO324</f>
        <v>11.555612</v>
      </c>
      <c r="Q48" s="232">
        <f>PI!AP324</f>
        <v>16.879501000000001</v>
      </c>
      <c r="R48" s="232">
        <f>PI!AQ324</f>
        <v>0</v>
      </c>
      <c r="S48" s="232">
        <f>PI!AR324</f>
        <v>0</v>
      </c>
      <c r="T48" s="232">
        <f>PI!AS324</f>
        <v>0</v>
      </c>
      <c r="U48" s="211"/>
      <c r="V48" s="211"/>
    </row>
    <row r="49" spans="1:22" s="212" customFormat="1" ht="15" customHeight="1">
      <c r="A49" s="227">
        <v>12</v>
      </c>
      <c r="B49" s="308" t="s">
        <v>333</v>
      </c>
      <c r="C49" s="349"/>
      <c r="D49" s="230"/>
      <c r="E49" s="275"/>
      <c r="F49" s="231">
        <v>6</v>
      </c>
      <c r="G49" s="240"/>
      <c r="H49" s="240"/>
      <c r="I49" s="232"/>
      <c r="J49" s="232"/>
      <c r="K49" s="232"/>
      <c r="L49" s="232"/>
      <c r="M49" s="232"/>
      <c r="N49" s="232"/>
      <c r="O49" s="232"/>
      <c r="P49" s="232"/>
      <c r="Q49" s="232"/>
      <c r="R49" s="232"/>
      <c r="S49" s="232"/>
      <c r="T49" s="232"/>
      <c r="U49" s="211"/>
      <c r="V49" s="211"/>
    </row>
    <row r="50" spans="1:22" s="212" customFormat="1" ht="15" customHeight="1">
      <c r="A50" s="227"/>
      <c r="B50" s="228" t="s">
        <v>334</v>
      </c>
      <c r="C50" s="349" t="s">
        <v>277</v>
      </c>
      <c r="D50" s="230" t="s">
        <v>149</v>
      </c>
      <c r="E50" s="275"/>
      <c r="F50" s="231"/>
      <c r="G50" s="240" t="str">
        <f>T.UP3!G51</f>
        <v>95-100</v>
      </c>
      <c r="H50" s="240" t="str">
        <f>T.UP3!H51</f>
        <v>95-100</v>
      </c>
      <c r="I50" s="232">
        <f>PI!AH331</f>
        <v>100</v>
      </c>
      <c r="J50" s="232">
        <f>PI!AI331</f>
        <v>100</v>
      </c>
      <c r="K50" s="232">
        <f>PI!AJ331</f>
        <v>39.549999999999997</v>
      </c>
      <c r="L50" s="232">
        <f>PI!AK331</f>
        <v>58.86</v>
      </c>
      <c r="M50" s="232">
        <f>PI!AL331</f>
        <v>71.11</v>
      </c>
      <c r="N50" s="232">
        <f>PI!AM331</f>
        <v>99.43</v>
      </c>
      <c r="O50" s="232">
        <f>PI!AN331</f>
        <v>100</v>
      </c>
      <c r="P50" s="232">
        <f>PI!AO331</f>
        <v>93.28</v>
      </c>
      <c r="Q50" s="232">
        <f>PI!AP331</f>
        <v>96</v>
      </c>
      <c r="R50" s="232">
        <f>PI!AQ331</f>
        <v>0</v>
      </c>
      <c r="S50" s="232">
        <f>PI!AR331</f>
        <v>0</v>
      </c>
      <c r="T50" s="232">
        <f>PI!AS331</f>
        <v>0</v>
      </c>
      <c r="U50" s="211"/>
      <c r="V50" s="211"/>
    </row>
    <row r="51" spans="1:22" s="212" customFormat="1" ht="15" customHeight="1">
      <c r="A51" s="227"/>
      <c r="B51" s="228" t="s">
        <v>335</v>
      </c>
      <c r="C51" s="349" t="s">
        <v>277</v>
      </c>
      <c r="D51" s="230" t="s">
        <v>336</v>
      </c>
      <c r="E51" s="275"/>
      <c r="F51" s="231"/>
      <c r="G51" s="240">
        <f>T.UP3!G52</f>
        <v>0</v>
      </c>
      <c r="H51" s="240">
        <f>T.UP3!H52</f>
        <v>3.16</v>
      </c>
      <c r="I51" s="232">
        <f>PI!AH332</f>
        <v>0</v>
      </c>
      <c r="J51" s="232">
        <f>PI!AI332</f>
        <v>0</v>
      </c>
      <c r="K51" s="232">
        <f>PI!AJ332</f>
        <v>0</v>
      </c>
      <c r="L51" s="232">
        <f>PI!AK332</f>
        <v>0</v>
      </c>
      <c r="M51" s="232">
        <f>PI!AL332</f>
        <v>0</v>
      </c>
      <c r="N51" s="232">
        <f>PI!AM332</f>
        <v>0</v>
      </c>
      <c r="O51" s="232">
        <f>PI!AN332</f>
        <v>0</v>
      </c>
      <c r="P51" s="232">
        <f>PI!AO332</f>
        <v>0</v>
      </c>
      <c r="Q51" s="232">
        <f>PI!AP332</f>
        <v>0</v>
      </c>
      <c r="R51" s="232">
        <f>PI!AQ332</f>
        <v>0</v>
      </c>
      <c r="S51" s="232">
        <f>PI!AR332</f>
        <v>0</v>
      </c>
      <c r="T51" s="232">
        <f>PI!AS332</f>
        <v>0</v>
      </c>
      <c r="U51" s="211"/>
      <c r="V51" s="211"/>
    </row>
    <row r="52" spans="1:22" s="212" customFormat="1" ht="15" customHeight="1">
      <c r="A52" s="227"/>
      <c r="B52" s="228" t="s">
        <v>337</v>
      </c>
      <c r="C52" s="349" t="s">
        <v>277</v>
      </c>
      <c r="D52" s="230" t="s">
        <v>336</v>
      </c>
      <c r="E52" s="275"/>
      <c r="F52" s="231"/>
      <c r="G52" s="240">
        <f>T.UP3!G53</f>
        <v>0</v>
      </c>
      <c r="H52" s="240">
        <f>T.UP3!H53</f>
        <v>34.29</v>
      </c>
      <c r="I52" s="232">
        <f>PI!AH333</f>
        <v>0</v>
      </c>
      <c r="J52" s="232">
        <f>PI!AI333</f>
        <v>0</v>
      </c>
      <c r="K52" s="232">
        <f>PI!AJ333</f>
        <v>0</v>
      </c>
      <c r="L52" s="232">
        <f>PI!AK333</f>
        <v>0</v>
      </c>
      <c r="M52" s="232">
        <f>PI!AL333</f>
        <v>0</v>
      </c>
      <c r="N52" s="232">
        <f>PI!AM333</f>
        <v>0</v>
      </c>
      <c r="O52" s="232">
        <f>PI!AN333</f>
        <v>0</v>
      </c>
      <c r="P52" s="232">
        <f>PI!AO333</f>
        <v>0</v>
      </c>
      <c r="Q52" s="232">
        <f>PI!AP333</f>
        <v>0</v>
      </c>
      <c r="R52" s="232">
        <f>PI!AQ333</f>
        <v>0</v>
      </c>
      <c r="S52" s="232">
        <f>PI!AR333</f>
        <v>0</v>
      </c>
      <c r="T52" s="232">
        <f>PI!AS333</f>
        <v>0</v>
      </c>
      <c r="U52" s="211"/>
      <c r="V52" s="211"/>
    </row>
    <row r="53" spans="1:22" s="212" customFormat="1">
      <c r="A53" s="227">
        <v>13</v>
      </c>
      <c r="B53" s="308" t="s">
        <v>338</v>
      </c>
      <c r="C53" s="349"/>
      <c r="D53" s="230"/>
      <c r="E53" s="241"/>
      <c r="F53" s="231">
        <v>5</v>
      </c>
      <c r="G53" s="240"/>
      <c r="H53" s="240"/>
      <c r="I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11">
        <f>F53</f>
        <v>5</v>
      </c>
      <c r="V53" s="211"/>
    </row>
    <row r="54" spans="1:22" s="212" customFormat="1">
      <c r="A54" s="227"/>
      <c r="B54" s="228" t="s">
        <v>339</v>
      </c>
      <c r="C54" s="349" t="s">
        <v>277</v>
      </c>
      <c r="D54" s="230" t="s">
        <v>149</v>
      </c>
      <c r="E54" s="238" t="s">
        <v>340</v>
      </c>
      <c r="F54" s="231"/>
      <c r="G54" s="240">
        <f>T.UP3!G55</f>
        <v>100</v>
      </c>
      <c r="H54" s="240">
        <f>T.UP3!H55</f>
        <v>100</v>
      </c>
      <c r="I54" s="232">
        <f>PI!AH341</f>
        <v>100</v>
      </c>
      <c r="J54" s="232">
        <f>PI!AI341</f>
        <v>100</v>
      </c>
      <c r="K54" s="232">
        <f>PI!AJ341</f>
        <v>100</v>
      </c>
      <c r="L54" s="232">
        <f>PI!AK341</f>
        <v>100</v>
      </c>
      <c r="M54" s="232">
        <f>PI!AL341</f>
        <v>100</v>
      </c>
      <c r="N54" s="232">
        <f>PI!AM341</f>
        <v>108.55</v>
      </c>
      <c r="O54" s="232">
        <f>PI!AN341</f>
        <v>108.55</v>
      </c>
      <c r="P54" s="232">
        <f>PI!AO341</f>
        <v>108.55</v>
      </c>
      <c r="Q54" s="232">
        <f>PI!AP341</f>
        <v>100</v>
      </c>
      <c r="R54" s="232">
        <f>PI!AQ341</f>
        <v>100</v>
      </c>
      <c r="S54" s="232">
        <f>PI!AR341</f>
        <v>100</v>
      </c>
      <c r="T54" s="232">
        <f>PI!AS341</f>
        <v>100</v>
      </c>
      <c r="U54" s="211">
        <f>F54</f>
        <v>0</v>
      </c>
      <c r="V54" s="211">
        <v>10.342636009980913</v>
      </c>
    </row>
    <row r="55" spans="1:22" s="212" customFormat="1">
      <c r="A55" s="227"/>
      <c r="B55" s="368" t="s">
        <v>341</v>
      </c>
      <c r="C55" s="349" t="s">
        <v>277</v>
      </c>
      <c r="D55" s="230" t="s">
        <v>149</v>
      </c>
      <c r="E55" s="238" t="s">
        <v>342</v>
      </c>
      <c r="F55" s="231"/>
      <c r="G55" s="240">
        <f>T.UP3!G56</f>
        <v>100</v>
      </c>
      <c r="H55" s="240">
        <f>T.UP3!H56</f>
        <v>100</v>
      </c>
      <c r="I55" s="232">
        <f>PI!AH346</f>
        <v>100</v>
      </c>
      <c r="J55" s="232">
        <f>PI!AI346</f>
        <v>100</v>
      </c>
      <c r="K55" s="232">
        <f>PI!AJ346</f>
        <v>100</v>
      </c>
      <c r="L55" s="232">
        <f>PI!AK346</f>
        <v>100</v>
      </c>
      <c r="M55" s="232">
        <f>PI!AL346</f>
        <v>100</v>
      </c>
      <c r="N55" s="232">
        <f>PI!AM346</f>
        <v>90</v>
      </c>
      <c r="O55" s="232">
        <f>PI!AN346</f>
        <v>90</v>
      </c>
      <c r="P55" s="232">
        <f>PI!AO346</f>
        <v>90</v>
      </c>
      <c r="Q55" s="232">
        <f>PI!AP346</f>
        <v>90</v>
      </c>
      <c r="R55" s="232">
        <f>PI!AQ346</f>
        <v>0</v>
      </c>
      <c r="S55" s="232">
        <f>PI!AR346</f>
        <v>0</v>
      </c>
      <c r="T55" s="232">
        <f>PI!AS346</f>
        <v>0</v>
      </c>
      <c r="U55" s="211">
        <f>F55</f>
        <v>0</v>
      </c>
      <c r="V55" s="211"/>
    </row>
    <row r="56" spans="1:22" s="212" customFormat="1">
      <c r="A56" s="227"/>
      <c r="B56" s="228" t="s">
        <v>343</v>
      </c>
      <c r="C56" s="349" t="s">
        <v>277</v>
      </c>
      <c r="D56" s="230" t="s">
        <v>149</v>
      </c>
      <c r="E56" s="238" t="s">
        <v>344</v>
      </c>
      <c r="F56" s="231"/>
      <c r="G56" s="240">
        <f>T.UP3!G57</f>
        <v>100</v>
      </c>
      <c r="H56" s="240">
        <f>T.UP3!H57</f>
        <v>100</v>
      </c>
      <c r="I56" s="232">
        <f>PI!AH353</f>
        <v>100</v>
      </c>
      <c r="J56" s="232">
        <f>PI!AI353</f>
        <v>100</v>
      </c>
      <c r="K56" s="232">
        <f>PI!AJ353</f>
        <v>100</v>
      </c>
      <c r="L56" s="232">
        <f>PI!AK353</f>
        <v>100</v>
      </c>
      <c r="M56" s="232">
        <f>PI!AL353</f>
        <v>100</v>
      </c>
      <c r="N56" s="232">
        <f>PI!AM353</f>
        <v>107.83500000000001</v>
      </c>
      <c r="O56" s="232">
        <f>PI!AN353</f>
        <v>110</v>
      </c>
      <c r="P56" s="232">
        <f>PI!AO353</f>
        <v>107.84</v>
      </c>
      <c r="Q56" s="232">
        <f>PI!AP353</f>
        <v>110</v>
      </c>
      <c r="R56" s="232">
        <f>PI!AQ353</f>
        <v>110</v>
      </c>
      <c r="S56" s="232">
        <f>PI!AR353</f>
        <v>110</v>
      </c>
      <c r="T56" s="232">
        <f>PI!AS353</f>
        <v>110</v>
      </c>
      <c r="U56" s="211">
        <f>F56</f>
        <v>0</v>
      </c>
      <c r="V56" s="211">
        <v>20.029999999999994</v>
      </c>
    </row>
    <row r="57" spans="1:22" s="212" customFormat="1">
      <c r="A57" s="227"/>
      <c r="B57" s="228" t="s">
        <v>345</v>
      </c>
      <c r="C57" s="349" t="s">
        <v>277</v>
      </c>
      <c r="D57" s="230" t="s">
        <v>149</v>
      </c>
      <c r="E57" s="238"/>
      <c r="F57" s="231"/>
      <c r="G57" s="240">
        <f>T.UP3!G58</f>
        <v>100</v>
      </c>
      <c r="H57" s="240">
        <f>T.UP3!H58</f>
        <v>100</v>
      </c>
      <c r="I57" s="232">
        <f>PI!S359</f>
        <v>100</v>
      </c>
      <c r="J57" s="232">
        <f>PI!AI359</f>
        <v>100</v>
      </c>
      <c r="K57" s="232">
        <f>PI!AJ359</f>
        <v>100</v>
      </c>
      <c r="L57" s="232">
        <f>PI!AK359</f>
        <v>100</v>
      </c>
      <c r="M57" s="232">
        <f>PI!AL359</f>
        <v>100</v>
      </c>
      <c r="N57" s="232">
        <f>PI!AM359</f>
        <v>100</v>
      </c>
      <c r="O57" s="232">
        <f>PI!AN359</f>
        <v>100</v>
      </c>
      <c r="P57" s="232">
        <f>PI!AO359</f>
        <v>100</v>
      </c>
      <c r="Q57" s="232">
        <f>PI!AP359</f>
        <v>100</v>
      </c>
      <c r="R57" s="232">
        <f>PI!AQ359</f>
        <v>0</v>
      </c>
      <c r="S57" s="232">
        <f>PI!AR359</f>
        <v>0</v>
      </c>
      <c r="T57" s="232">
        <f>PI!AS359</f>
        <v>0</v>
      </c>
      <c r="U57" s="211"/>
      <c r="V57" s="211"/>
    </row>
    <row r="58" spans="1:22" s="212" customFormat="1">
      <c r="A58" s="227">
        <v>14</v>
      </c>
      <c r="B58" s="308" t="s">
        <v>346</v>
      </c>
      <c r="C58" s="349"/>
      <c r="D58" s="230"/>
      <c r="E58" s="238" t="s">
        <v>347</v>
      </c>
      <c r="F58" s="231">
        <v>4</v>
      </c>
      <c r="G58" s="240"/>
      <c r="H58" s="240"/>
      <c r="I58" s="240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11">
        <f>F58</f>
        <v>4</v>
      </c>
      <c r="V58" s="211">
        <v>0.24589357725976196</v>
      </c>
    </row>
    <row r="59" spans="1:22" s="212" customFormat="1">
      <c r="A59" s="227"/>
      <c r="B59" s="228" t="s">
        <v>348</v>
      </c>
      <c r="C59" s="349" t="s">
        <v>277</v>
      </c>
      <c r="D59" s="230" t="s">
        <v>149</v>
      </c>
      <c r="E59" s="238" t="s">
        <v>349</v>
      </c>
      <c r="F59" s="231"/>
      <c r="G59" s="240">
        <f>T.UP3!G60</f>
        <v>100</v>
      </c>
      <c r="H59" s="240">
        <f>T.UP3!H60</f>
        <v>100</v>
      </c>
      <c r="I59" s="232">
        <f>PI!AH364</f>
        <v>100</v>
      </c>
      <c r="J59" s="232">
        <f>PI!AI364</f>
        <v>100</v>
      </c>
      <c r="K59" s="232">
        <f>PI!AJ364</f>
        <v>100</v>
      </c>
      <c r="L59" s="232">
        <f>PI!AK364</f>
        <v>100</v>
      </c>
      <c r="M59" s="232">
        <f>PI!AL364</f>
        <v>100</v>
      </c>
      <c r="N59" s="232">
        <f>PI!AM364</f>
        <v>114.98</v>
      </c>
      <c r="O59" s="232">
        <f>PI!AN364</f>
        <v>114.98</v>
      </c>
      <c r="P59" s="232">
        <f>PI!AO364</f>
        <v>100</v>
      </c>
      <c r="Q59" s="232">
        <f>PI!AP364</f>
        <v>100</v>
      </c>
      <c r="R59" s="232">
        <f>PI!AQ364</f>
        <v>0</v>
      </c>
      <c r="S59" s="232">
        <f>PI!AR364</f>
        <v>0</v>
      </c>
      <c r="T59" s="232">
        <f>PI!AS364</f>
        <v>0</v>
      </c>
      <c r="U59" s="211"/>
      <c r="V59" s="211"/>
    </row>
    <row r="60" spans="1:22" s="212" customFormat="1">
      <c r="A60" s="227"/>
      <c r="B60" s="228" t="s">
        <v>350</v>
      </c>
      <c r="C60" s="349" t="s">
        <v>277</v>
      </c>
      <c r="D60" s="230" t="s">
        <v>351</v>
      </c>
      <c r="E60" s="239" t="s">
        <v>352</v>
      </c>
      <c r="F60" s="231"/>
      <c r="G60" s="240">
        <f>T.UP3!G61</f>
        <v>3</v>
      </c>
      <c r="H60" s="240">
        <f>T.UP3!H61</f>
        <v>4</v>
      </c>
      <c r="I60" s="232">
        <f>PI!AH365</f>
        <v>0</v>
      </c>
      <c r="J60" s="232">
        <f>PI!AI365</f>
        <v>1.26</v>
      </c>
      <c r="K60" s="232">
        <f>PI!AJ365</f>
        <v>2.5049999999999994</v>
      </c>
      <c r="L60" s="232">
        <f>PI!AK365</f>
        <v>3.01</v>
      </c>
      <c r="M60" s="232">
        <f>PI!AL365</f>
        <v>2.92</v>
      </c>
      <c r="N60" s="232">
        <f>PI!AM365</f>
        <v>3.023333333333333</v>
      </c>
      <c r="O60" s="232">
        <f>PI!AN365</f>
        <v>3.38</v>
      </c>
      <c r="P60" s="232">
        <f>PI!AO365</f>
        <v>3.24</v>
      </c>
      <c r="Q60" s="232">
        <f>PI!AP365</f>
        <v>3.5</v>
      </c>
      <c r="R60" s="232">
        <f>PI!AQ365</f>
        <v>0</v>
      </c>
      <c r="S60" s="232">
        <f>PI!AR365</f>
        <v>0</v>
      </c>
      <c r="T60" s="232">
        <f>PI!AS365</f>
        <v>0</v>
      </c>
      <c r="U60" s="211"/>
      <c r="V60" s="211"/>
    </row>
    <row r="61" spans="1:22" s="212" customFormat="1">
      <c r="A61" s="227"/>
      <c r="B61" s="228" t="s">
        <v>353</v>
      </c>
      <c r="C61" s="349" t="s">
        <v>277</v>
      </c>
      <c r="D61" s="230" t="s">
        <v>149</v>
      </c>
      <c r="E61" s="239" t="s">
        <v>354</v>
      </c>
      <c r="F61" s="231"/>
      <c r="G61" s="240">
        <f>T.UP3!G62</f>
        <v>100</v>
      </c>
      <c r="H61" s="240">
        <f>T.UP3!H62</f>
        <v>100</v>
      </c>
      <c r="I61" s="232">
        <f>PI!AH366</f>
        <v>100</v>
      </c>
      <c r="J61" s="232">
        <f>PI!AI366</f>
        <v>100</v>
      </c>
      <c r="K61" s="232">
        <f>PI!AJ366</f>
        <v>100</v>
      </c>
      <c r="L61" s="232">
        <f>PI!AK366</f>
        <v>100</v>
      </c>
      <c r="M61" s="232">
        <f>PI!AL366</f>
        <v>100</v>
      </c>
      <c r="N61" s="232">
        <f>PI!AM366</f>
        <v>110</v>
      </c>
      <c r="O61" s="232">
        <f>PI!AN366</f>
        <v>110</v>
      </c>
      <c r="P61" s="232">
        <f>PI!AO366</f>
        <v>110</v>
      </c>
      <c r="Q61" s="232">
        <f>PI!AP366</f>
        <v>110</v>
      </c>
      <c r="R61" s="232">
        <f>PI!AQ366</f>
        <v>0</v>
      </c>
      <c r="S61" s="232">
        <f>PI!AR366</f>
        <v>0</v>
      </c>
      <c r="T61" s="232">
        <f>PI!AS366</f>
        <v>0</v>
      </c>
      <c r="U61" s="211"/>
      <c r="V61" s="211"/>
    </row>
    <row r="62" spans="1:22" s="212" customFormat="1" ht="28.9" customHeight="1">
      <c r="A62" s="227"/>
      <c r="B62" s="368" t="s">
        <v>355</v>
      </c>
      <c r="C62" s="349" t="s">
        <v>277</v>
      </c>
      <c r="D62" s="230" t="s">
        <v>149</v>
      </c>
      <c r="E62" s="239"/>
      <c r="F62" s="231"/>
      <c r="G62" s="240">
        <f>T.UP3!G63</f>
        <v>100</v>
      </c>
      <c r="H62" s="240">
        <f>T.UP3!H63</f>
        <v>100</v>
      </c>
      <c r="I62" s="232">
        <f>PI!AH367</f>
        <v>100</v>
      </c>
      <c r="J62" s="232">
        <f>PI!AI367</f>
        <v>100</v>
      </c>
      <c r="K62" s="232">
        <f>PI!AJ367</f>
        <v>100</v>
      </c>
      <c r="L62" s="232">
        <f>PI!AK367</f>
        <v>100</v>
      </c>
      <c r="M62" s="232">
        <f>PI!AL367</f>
        <v>100</v>
      </c>
      <c r="N62" s="232">
        <f>PI!AM367</f>
        <v>100</v>
      </c>
      <c r="O62" s="232">
        <f>PI!AN367</f>
        <v>100</v>
      </c>
      <c r="P62" s="232">
        <f>PI!AO367</f>
        <v>100</v>
      </c>
      <c r="Q62" s="232">
        <f>PI!AP367</f>
        <v>100</v>
      </c>
      <c r="R62" s="232">
        <f>PI!AQ367</f>
        <v>0</v>
      </c>
      <c r="S62" s="232">
        <f>PI!AR367</f>
        <v>0</v>
      </c>
      <c r="T62" s="232">
        <f>PI!AS367</f>
        <v>0</v>
      </c>
      <c r="U62" s="211"/>
      <c r="V62" s="211"/>
    </row>
    <row r="63" spans="1:22" s="212" customFormat="1">
      <c r="A63" s="227">
        <v>15</v>
      </c>
      <c r="B63" s="361" t="s">
        <v>356</v>
      </c>
      <c r="C63" s="229"/>
      <c r="D63" s="230"/>
      <c r="E63" s="239"/>
      <c r="F63" s="231"/>
      <c r="G63" s="240"/>
      <c r="H63" s="240"/>
      <c r="I63" s="232"/>
      <c r="J63" s="232"/>
      <c r="K63" s="232"/>
      <c r="L63" s="232"/>
      <c r="M63" s="232"/>
      <c r="N63" s="232"/>
      <c r="O63" s="232"/>
      <c r="P63" s="232"/>
      <c r="Q63" s="232"/>
      <c r="R63" s="232"/>
      <c r="S63" s="232"/>
      <c r="T63" s="233"/>
      <c r="U63" s="211"/>
      <c r="V63" s="211"/>
    </row>
    <row r="64" spans="1:22" s="212" customFormat="1">
      <c r="A64" s="227"/>
      <c r="B64" s="368" t="s">
        <v>357</v>
      </c>
      <c r="C64" s="229"/>
      <c r="D64" s="230"/>
      <c r="E64" s="239"/>
      <c r="F64" s="231" t="s">
        <v>358</v>
      </c>
      <c r="G64" s="240"/>
      <c r="H64" s="240"/>
      <c r="I64" s="232"/>
      <c r="J64" s="232"/>
      <c r="K64" s="232"/>
      <c r="L64" s="232"/>
      <c r="M64" s="232"/>
      <c r="N64" s="232"/>
      <c r="O64" s="232"/>
      <c r="P64" s="232"/>
      <c r="Q64" s="232"/>
      <c r="R64" s="232"/>
      <c r="S64" s="232"/>
      <c r="T64" s="233"/>
      <c r="U64" s="211"/>
      <c r="V64" s="211"/>
    </row>
    <row r="65" spans="1:22" s="212" customFormat="1">
      <c r="A65" s="227"/>
      <c r="B65" s="368" t="s">
        <v>359</v>
      </c>
      <c r="C65" s="229"/>
      <c r="D65" s="230"/>
      <c r="E65" s="239"/>
      <c r="F65" s="231" t="s">
        <v>360</v>
      </c>
      <c r="G65" s="240"/>
      <c r="H65" s="240"/>
      <c r="I65" s="232"/>
      <c r="J65" s="232"/>
      <c r="K65" s="232"/>
      <c r="L65" s="232"/>
      <c r="M65" s="232"/>
      <c r="N65" s="232"/>
      <c r="O65" s="232"/>
      <c r="P65" s="232"/>
      <c r="Q65" s="232"/>
      <c r="R65" s="232"/>
      <c r="S65" s="232"/>
      <c r="T65" s="233"/>
      <c r="U65" s="211"/>
      <c r="V65" s="211"/>
    </row>
    <row r="66" spans="1:22" s="212" customFormat="1">
      <c r="A66" s="227"/>
      <c r="B66" s="228" t="s">
        <v>361</v>
      </c>
      <c r="C66" s="229"/>
      <c r="D66" s="230"/>
      <c r="E66" s="239" t="s">
        <v>362</v>
      </c>
      <c r="F66" s="231" t="s">
        <v>363</v>
      </c>
      <c r="G66" s="240"/>
      <c r="H66" s="240"/>
      <c r="I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3"/>
      <c r="U66" s="211"/>
      <c r="V66" s="211"/>
    </row>
    <row r="67" spans="1:22" s="212" customFormat="1">
      <c r="A67" s="227"/>
      <c r="B67" s="228" t="s">
        <v>364</v>
      </c>
      <c r="C67" s="229"/>
      <c r="D67" s="230"/>
      <c r="E67" s="239" t="s">
        <v>365</v>
      </c>
      <c r="F67" s="231" t="s">
        <v>366</v>
      </c>
      <c r="G67" s="240"/>
      <c r="H67" s="240"/>
      <c r="I67" s="232"/>
      <c r="J67" s="232"/>
      <c r="K67" s="232"/>
      <c r="L67" s="232"/>
      <c r="M67" s="232"/>
      <c r="N67" s="232"/>
      <c r="O67" s="232"/>
      <c r="P67" s="232"/>
      <c r="Q67" s="232"/>
      <c r="R67" s="232"/>
      <c r="S67" s="232"/>
      <c r="T67" s="233"/>
      <c r="U67" s="211"/>
      <c r="V67" s="211"/>
    </row>
    <row r="68" spans="1:22" s="212" customFormat="1">
      <c r="A68" s="227"/>
      <c r="B68" s="228" t="s">
        <v>367</v>
      </c>
      <c r="C68" s="362"/>
      <c r="D68" s="363"/>
      <c r="E68" s="364"/>
      <c r="F68" s="231" t="s">
        <v>368</v>
      </c>
      <c r="G68" s="365"/>
      <c r="H68" s="365"/>
      <c r="I68" s="366"/>
      <c r="J68" s="366"/>
      <c r="K68" s="366"/>
      <c r="L68" s="366"/>
      <c r="M68" s="366"/>
      <c r="N68" s="366"/>
      <c r="O68" s="366"/>
      <c r="P68" s="366"/>
      <c r="Q68" s="366"/>
      <c r="R68" s="366"/>
      <c r="S68" s="366"/>
      <c r="T68" s="367"/>
      <c r="U68" s="211"/>
      <c r="V68" s="211"/>
    </row>
    <row r="69" spans="1:22" s="212" customFormat="1">
      <c r="A69" s="242"/>
      <c r="B69" s="243" t="s">
        <v>104</v>
      </c>
      <c r="C69" s="244"/>
      <c r="D69" s="245"/>
      <c r="E69" s="246"/>
      <c r="F69" s="246">
        <f>F7+F17</f>
        <v>90</v>
      </c>
      <c r="G69" s="246"/>
      <c r="H69" s="246"/>
      <c r="I69" s="246"/>
      <c r="J69" s="246"/>
      <c r="K69" s="246"/>
      <c r="L69" s="246"/>
      <c r="M69" s="246"/>
      <c r="N69" s="246"/>
      <c r="O69" s="246"/>
      <c r="P69" s="246"/>
      <c r="Q69" s="246"/>
      <c r="R69" s="246"/>
      <c r="S69" s="246"/>
      <c r="T69" s="242"/>
      <c r="U69" s="214"/>
      <c r="V69" s="214"/>
    </row>
    <row r="70" spans="1:22" s="215" customFormat="1">
      <c r="C70" s="438"/>
      <c r="E70" s="216"/>
    </row>
    <row r="71" spans="1:22" s="215" customFormat="1">
      <c r="A71" s="217"/>
      <c r="B71" s="218" t="s">
        <v>369</v>
      </c>
      <c r="C71" s="218"/>
      <c r="D71" s="276">
        <f>COUNTA(D8:D67)</f>
        <v>41</v>
      </c>
      <c r="E71" s="217"/>
      <c r="F71" s="4"/>
      <c r="G71" s="219"/>
      <c r="H71" s="219"/>
      <c r="I71" s="219"/>
      <c r="J71" s="219"/>
      <c r="K71" s="219"/>
      <c r="L71" s="219"/>
      <c r="M71" s="219"/>
      <c r="N71" s="219"/>
      <c r="O71" s="219"/>
      <c r="P71" s="219"/>
      <c r="Q71" s="219"/>
      <c r="R71" s="219"/>
      <c r="S71" s="219"/>
      <c r="T71" s="219"/>
    </row>
    <row r="72" spans="1:22" s="215" customFormat="1">
      <c r="C72" s="438"/>
      <c r="E72" s="216"/>
    </row>
    <row r="73" spans="1:22" s="215" customFormat="1">
      <c r="A73" s="117" t="s">
        <v>370</v>
      </c>
      <c r="B73" s="118"/>
      <c r="C73" s="118"/>
      <c r="D73" s="119"/>
      <c r="E73" s="119"/>
      <c r="F73" s="119"/>
      <c r="G73" s="119"/>
      <c r="H73" s="119"/>
      <c r="I73" s="119"/>
      <c r="J73" s="119"/>
      <c r="K73" s="119"/>
      <c r="L73" s="119"/>
      <c r="M73" s="119"/>
      <c r="Q73" s="119"/>
      <c r="S73" s="119"/>
    </row>
    <row r="74" spans="1:22" s="215" customFormat="1">
      <c r="A74" s="119">
        <v>3</v>
      </c>
      <c r="B74" s="220" t="s">
        <v>371</v>
      </c>
      <c r="C74" s="118"/>
      <c r="D74" s="119"/>
      <c r="E74" s="119"/>
      <c r="F74" s="119"/>
      <c r="G74" s="119"/>
      <c r="H74" s="119"/>
      <c r="I74" s="119"/>
      <c r="J74" s="119"/>
      <c r="K74" s="119"/>
      <c r="L74" s="119"/>
      <c r="M74" s="119"/>
      <c r="Q74" s="119"/>
      <c r="S74" s="119"/>
    </row>
    <row r="75" spans="1:22" s="215" customFormat="1">
      <c r="A75" s="119">
        <v>1</v>
      </c>
      <c r="B75" s="220" t="s">
        <v>372</v>
      </c>
      <c r="C75" s="118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Q75" s="119"/>
      <c r="S75" s="119"/>
    </row>
  </sheetData>
  <mergeCells count="7">
    <mergeCell ref="G4:H4"/>
    <mergeCell ref="I4:T4"/>
    <mergeCell ref="A4:A5"/>
    <mergeCell ref="B4:C5"/>
    <mergeCell ref="D4:D5"/>
    <mergeCell ref="E4:E5"/>
    <mergeCell ref="F4:F5"/>
  </mergeCells>
  <conditionalFormatting sqref="A74">
    <cfRule type="iconSet" priority="14">
      <iconSet iconSet="3ArrowsGray" showValue="0">
        <cfvo type="percent" val="0"/>
        <cfvo type="num" val="2"/>
        <cfvo type="num" val="3"/>
      </iconSet>
    </cfRule>
  </conditionalFormatting>
  <conditionalFormatting sqref="A75">
    <cfRule type="iconSet" priority="13">
      <iconSet iconSet="3ArrowsGray" showValue="0">
        <cfvo type="percent" val="0"/>
        <cfvo type="num" val="2"/>
        <cfvo type="num" val="3"/>
      </iconSet>
    </cfRule>
  </conditionalFormatting>
  <conditionalFormatting sqref="C8">
    <cfRule type="iconSet" priority="23">
      <iconSet iconSet="3ArrowsGray" showValue="0">
        <cfvo type="percent" val="0"/>
        <cfvo type="num" val="2"/>
        <cfvo type="num" val="3"/>
      </iconSet>
    </cfRule>
    <cfRule type="iconSet" priority="27">
      <iconSet iconSet="3ArrowsGray" showValue="0">
        <cfvo type="percent" val="0"/>
        <cfvo type="num" val="2"/>
        <cfvo type="num" val="3"/>
      </iconSet>
    </cfRule>
  </conditionalFormatting>
  <conditionalFormatting sqref="C9">
    <cfRule type="iconSet" priority="1">
      <iconSet iconSet="3ArrowsGray" showValue="0">
        <cfvo type="percent" val="0"/>
        <cfvo type="num" val="2"/>
        <cfvo type="num" val="3"/>
      </iconSet>
    </cfRule>
    <cfRule type="iconSet" priority="2">
      <iconSet iconSet="3ArrowsGray" showValue="0">
        <cfvo type="percent" val="0"/>
        <cfvo type="num" val="2"/>
        <cfvo type="num" val="3"/>
      </iconSet>
    </cfRule>
  </conditionalFormatting>
  <conditionalFormatting sqref="C10:C16 C18:C68">
    <cfRule type="iconSet" priority="48203">
      <iconSet iconSet="3ArrowsGray" showValue="0">
        <cfvo type="percent" val="0"/>
        <cfvo type="num" val="2"/>
        <cfvo type="num" val="3"/>
      </iconSet>
    </cfRule>
  </conditionalFormatting>
  <conditionalFormatting sqref="C10:C16">
    <cfRule type="iconSet" priority="48201">
      <iconSet iconSet="3ArrowsGray" showValue="0">
        <cfvo type="percent" val="0"/>
        <cfvo type="num" val="2"/>
        <cfvo type="num" val="3"/>
      </iconSet>
    </cfRule>
  </conditionalFormatting>
  <conditionalFormatting sqref="C70">
    <cfRule type="iconSet" priority="16">
      <iconSet iconSet="3ArrowsGray" showValue="0">
        <cfvo type="percent" val="0"/>
        <cfvo type="num" val="2"/>
        <cfvo type="num" val="3"/>
      </iconSet>
    </cfRule>
  </conditionalFormatting>
  <conditionalFormatting sqref="C71">
    <cfRule type="iconSet" priority="19">
      <iconSet iconSet="3ArrowsGray" showValue="0">
        <cfvo type="percent" val="0"/>
        <cfvo type="num" val="2"/>
        <cfvo type="num" val="3"/>
      </iconSet>
    </cfRule>
  </conditionalFormatting>
  <conditionalFormatting sqref="D70">
    <cfRule type="iconSet" priority="9">
      <iconSet iconSet="3ArrowsGray" showValue="0">
        <cfvo type="percent" val="0"/>
        <cfvo type="num" val="2"/>
        <cfvo type="num" val="3"/>
      </iconSet>
    </cfRule>
    <cfRule type="iconSet" priority="18">
      <iconSet iconSet="3ArrowsGray" showValue="0">
        <cfvo type="percent" val="0"/>
        <cfvo type="num" val="2"/>
        <cfvo type="num" val="3"/>
      </iconSet>
    </cfRule>
  </conditionalFormatting>
  <conditionalFormatting sqref="E70">
    <cfRule type="iconSet" priority="17">
      <iconSet iconSet="3ArrowsGray" showValue="0">
        <cfvo type="percent" val="0"/>
        <cfvo type="num" val="2"/>
        <cfvo type="num" val="3"/>
      </iconSet>
    </cfRule>
  </conditionalFormatting>
  <conditionalFormatting sqref="G70:H70">
    <cfRule type="iconSet" priority="25">
      <iconSet iconSet="3ArrowsGray" showValue="0">
        <cfvo type="percent" val="0"/>
        <cfvo type="num" val="2"/>
        <cfvo type="num" val="3"/>
      </iconSet>
    </cfRule>
  </conditionalFormatting>
  <conditionalFormatting sqref="G71:H71">
    <cfRule type="iconSet" priority="24">
      <iconSet iconSet="3ArrowsGray" showValue="0">
        <cfvo type="percent" val="0"/>
        <cfvo type="num" val="2"/>
        <cfvo type="num" val="3"/>
      </iconSet>
    </cfRule>
  </conditionalFormatting>
  <conditionalFormatting sqref="I70:T70">
    <cfRule type="iconSet" priority="15">
      <iconSet iconSet="3ArrowsGray" showValue="0">
        <cfvo type="percent" val="0"/>
        <cfvo type="num" val="2"/>
        <cfvo type="num" val="3"/>
      </iconSet>
    </cfRule>
  </conditionalFormatting>
  <conditionalFormatting sqref="I71:T71">
    <cfRule type="iconSet" priority="10">
      <iconSet iconSet="3ArrowsGray" showValue="0">
        <cfvo type="percent" val="0"/>
        <cfvo type="num" val="2"/>
        <cfvo type="num" val="3"/>
      </iconSet>
    </cfRule>
    <cfRule type="iconSet" priority="11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1:W66"/>
  <sheetViews>
    <sheetView zoomScale="87" workbookViewId="0">
      <selection activeCell="C8" sqref="C8"/>
    </sheetView>
  </sheetViews>
  <sheetFormatPr defaultColWidth="9.140625" defaultRowHeight="15"/>
  <cols>
    <col min="1" max="1" width="5.5703125" customWidth="1"/>
    <col min="2" max="2" width="44.7109375" customWidth="1"/>
    <col min="3" max="3" width="4.140625" style="443" customWidth="1"/>
    <col min="4" max="4" width="12.42578125" customWidth="1"/>
    <col min="5" max="5" width="113.5703125" hidden="1" customWidth="1"/>
    <col min="6" max="6" width="8.85546875" customWidth="1"/>
    <col min="7" max="7" width="11" customWidth="1"/>
    <col min="8" max="8" width="11.140625" customWidth="1"/>
    <col min="9" max="20" width="12.140625" customWidth="1"/>
    <col min="21" max="21" width="13.28515625" bestFit="1" customWidth="1"/>
  </cols>
  <sheetData>
    <row r="1" spans="1:22" s="30" customFormat="1" ht="15.75">
      <c r="A1" s="28"/>
      <c r="B1" s="29" t="s">
        <v>271</v>
      </c>
      <c r="C1" s="439"/>
      <c r="D1" s="28"/>
      <c r="E1" s="28"/>
      <c r="I1" s="22"/>
      <c r="U1" s="31"/>
      <c r="V1" s="31"/>
    </row>
    <row r="2" spans="1:22" s="30" customFormat="1" ht="15.75">
      <c r="A2" s="28"/>
      <c r="B2" s="29" t="s">
        <v>123</v>
      </c>
      <c r="C2" s="439"/>
      <c r="D2" s="28"/>
      <c r="E2" s="28"/>
      <c r="U2" s="31"/>
      <c r="V2" s="31"/>
    </row>
    <row r="3" spans="1:22" s="30" customFormat="1" ht="15.75">
      <c r="A3" s="28"/>
      <c r="B3" s="29" t="s">
        <v>373</v>
      </c>
      <c r="C3" s="439"/>
      <c r="D3" s="28"/>
      <c r="E3" s="28"/>
      <c r="U3" s="31"/>
      <c r="V3" s="31"/>
    </row>
    <row r="4" spans="1:22">
      <c r="A4" s="735" t="s">
        <v>8</v>
      </c>
      <c r="B4" s="737" t="s">
        <v>9</v>
      </c>
      <c r="C4" s="738"/>
      <c r="D4" s="713" t="s">
        <v>93</v>
      </c>
      <c r="E4" s="718" t="s">
        <v>272</v>
      </c>
      <c r="F4" s="713" t="s">
        <v>99</v>
      </c>
      <c r="G4" s="713" t="s">
        <v>374</v>
      </c>
      <c r="H4" s="713" t="s">
        <v>375</v>
      </c>
      <c r="I4" s="730" t="s">
        <v>376</v>
      </c>
      <c r="J4" s="731"/>
      <c r="K4" s="731"/>
      <c r="L4" s="731"/>
      <c r="M4" s="731"/>
      <c r="N4" s="731"/>
      <c r="O4" s="731"/>
      <c r="P4" s="731"/>
      <c r="Q4" s="731"/>
      <c r="R4" s="731"/>
      <c r="S4" s="731"/>
      <c r="T4" s="732"/>
    </row>
    <row r="5" spans="1:22">
      <c r="A5" s="736"/>
      <c r="B5" s="739"/>
      <c r="C5" s="740"/>
      <c r="D5" s="714"/>
      <c r="E5" s="719"/>
      <c r="F5" s="714"/>
      <c r="G5" s="714"/>
      <c r="H5" s="714"/>
      <c r="I5" s="602" t="s">
        <v>94</v>
      </c>
      <c r="J5" s="602" t="s">
        <v>95</v>
      </c>
      <c r="K5" s="602" t="s">
        <v>96</v>
      </c>
      <c r="L5" s="602" t="s">
        <v>97</v>
      </c>
      <c r="M5" s="602" t="s">
        <v>98</v>
      </c>
      <c r="N5" s="602" t="s">
        <v>153</v>
      </c>
      <c r="O5" s="602" t="s">
        <v>163</v>
      </c>
      <c r="P5" s="602" t="s">
        <v>165</v>
      </c>
      <c r="Q5" s="602" t="s">
        <v>167</v>
      </c>
      <c r="R5" s="602" t="s">
        <v>169</v>
      </c>
      <c r="S5" s="602" t="s">
        <v>171</v>
      </c>
      <c r="T5" s="602" t="s">
        <v>174</v>
      </c>
    </row>
    <row r="6" spans="1:22">
      <c r="A6" s="605">
        <v>1</v>
      </c>
      <c r="B6" s="733">
        <v>2</v>
      </c>
      <c r="C6" s="734"/>
      <c r="D6" s="647">
        <v>3</v>
      </c>
      <c r="E6" s="603">
        <v>4</v>
      </c>
      <c r="F6" s="647">
        <v>4</v>
      </c>
      <c r="G6" s="647">
        <v>5</v>
      </c>
      <c r="H6" s="602">
        <v>6</v>
      </c>
      <c r="I6" s="647">
        <v>7</v>
      </c>
      <c r="J6" s="602">
        <v>8</v>
      </c>
      <c r="K6" s="647">
        <v>9</v>
      </c>
      <c r="L6" s="602">
        <v>10</v>
      </c>
      <c r="M6" s="647">
        <v>11</v>
      </c>
      <c r="N6" s="602">
        <v>12</v>
      </c>
      <c r="O6" s="647">
        <v>13</v>
      </c>
      <c r="P6" s="602">
        <v>14</v>
      </c>
      <c r="Q6" s="647">
        <v>15</v>
      </c>
      <c r="R6" s="602">
        <v>16</v>
      </c>
      <c r="S6" s="647">
        <v>17</v>
      </c>
      <c r="T6" s="602">
        <v>18</v>
      </c>
    </row>
    <row r="7" spans="1:22" ht="16.5">
      <c r="A7" s="47" t="s">
        <v>269</v>
      </c>
      <c r="B7" s="48" t="str">
        <f>T.TOLIS!B7</f>
        <v>Key Performance Indicators</v>
      </c>
      <c r="C7" s="440"/>
      <c r="D7" s="50"/>
      <c r="E7" s="48"/>
      <c r="F7" s="62">
        <f>SUM(F8:F17)</f>
        <v>40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</row>
    <row r="8" spans="1:22" ht="16.5">
      <c r="A8" s="51">
        <f>T.TOLIS!A8</f>
        <v>1</v>
      </c>
      <c r="B8" s="311" t="str">
        <f>T.TOLIS!B8</f>
        <v>Penjualan Tenaga Listrik</v>
      </c>
      <c r="C8" s="441" t="str">
        <f>T.TOLIS!C8</f>
        <v>ñ</v>
      </c>
      <c r="D8" s="53" t="str">
        <f>T.TOLIS!D8</f>
        <v>GWh</v>
      </c>
      <c r="E8" s="61" t="str">
        <f>T.TOLIS!E8</f>
        <v>Total penjualan tenaga listrik</v>
      </c>
      <c r="F8" s="53">
        <f>T.TOLIS!F8</f>
        <v>14</v>
      </c>
      <c r="G8" s="89">
        <f>T.TOLIS!G8</f>
        <v>39.700000000000003</v>
      </c>
      <c r="H8" s="89">
        <f>T.TOLIS!H8</f>
        <v>80.8</v>
      </c>
      <c r="I8" s="89">
        <f>KPI!AH8</f>
        <v>7.5138379950000003</v>
      </c>
      <c r="J8" s="89">
        <f>KPI!AI8</f>
        <v>14.121420571000002</v>
      </c>
      <c r="K8" s="89">
        <f>KPI!AJ8</f>
        <v>20.408071021000001</v>
      </c>
      <c r="L8" s="89">
        <f>KPI!AK8</f>
        <v>25.735401896000003</v>
      </c>
      <c r="M8" s="89">
        <f>KPI!AL8</f>
        <v>31.812937064000003</v>
      </c>
      <c r="N8" s="89">
        <f>KPI!AM8</f>
        <v>37.635657317000003</v>
      </c>
      <c r="O8" s="89">
        <f>KPI!AN8</f>
        <v>43.715482449000007</v>
      </c>
      <c r="P8" s="89">
        <f>KPI!AO8</f>
        <v>49.775069007000006</v>
      </c>
      <c r="Q8" s="89">
        <f>KPI!AP8</f>
        <v>55.865174559000003</v>
      </c>
      <c r="R8" s="89">
        <f>KPI!AQ8</f>
        <v>0</v>
      </c>
      <c r="S8" s="89">
        <f>KPI!AR8</f>
        <v>0</v>
      </c>
      <c r="T8" s="89">
        <f>KPI!AS8</f>
        <v>0</v>
      </c>
    </row>
    <row r="9" spans="1:22" ht="16.5">
      <c r="A9" s="51">
        <f>T.TOLIS!A9</f>
        <v>2</v>
      </c>
      <c r="B9" s="311" t="str">
        <f>T.TOLIS!B9</f>
        <v>Keandalan Sistem</v>
      </c>
      <c r="C9" s="441"/>
      <c r="D9" s="53"/>
      <c r="E9" s="61"/>
      <c r="F9" s="53">
        <f>T.TOLIS!F9</f>
        <v>14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111"/>
    </row>
    <row r="10" spans="1:22" ht="16.5">
      <c r="A10" s="51"/>
      <c r="B10" s="52" t="str">
        <f>T.TOLIS!B10</f>
        <v>a. SAIDI (sesuai kewenangan)</v>
      </c>
      <c r="C10" s="441" t="str">
        <f>T.TOLIS!C10</f>
        <v>ò</v>
      </c>
      <c r="D10" s="53" t="str">
        <f>T.TOLIS!D10</f>
        <v>menit/plg</v>
      </c>
      <c r="E10" s="61" t="str">
        <f>T.TOLIS!E10</f>
        <v>(∑ (Lama padam x ∑ Pelanggan Padam)) / ∑ Pelanggan Dalam Satu Periode</v>
      </c>
      <c r="F10" s="53"/>
      <c r="G10" s="89">
        <f>T.TOLIS!G10</f>
        <v>194.62</v>
      </c>
      <c r="H10" s="89">
        <f>T.TOLIS!H10</f>
        <v>389.24</v>
      </c>
      <c r="I10" s="89">
        <f>KPI!AH32</f>
        <v>12.866101803710123</v>
      </c>
      <c r="J10" s="89">
        <f>KPI!AI32</f>
        <v>15.49250368094232</v>
      </c>
      <c r="K10" s="89">
        <f>KPI!AJ32</f>
        <v>17.329474132424949</v>
      </c>
      <c r="L10" s="89">
        <f>KPI!AK32</f>
        <v>43.424826296666168</v>
      </c>
      <c r="M10" s="89">
        <f>KPI!AL32</f>
        <v>131.17240589545116</v>
      </c>
      <c r="N10" s="89">
        <f>KPI!AM32</f>
        <v>210.30229841269841</v>
      </c>
      <c r="O10" s="89">
        <f>KPI!AN32</f>
        <v>223.38745406158915</v>
      </c>
      <c r="P10" s="89">
        <f>KPI!AO32</f>
        <v>228.80562323483539</v>
      </c>
      <c r="Q10" s="89">
        <f>KPI!AP32</f>
        <v>243.85041218034991</v>
      </c>
      <c r="R10" s="89">
        <f>KPI!AQ32</f>
        <v>0</v>
      </c>
      <c r="S10" s="89">
        <f>KPI!AR32</f>
        <v>0</v>
      </c>
      <c r="T10" s="111">
        <f>KPI!AS32</f>
        <v>0</v>
      </c>
    </row>
    <row r="11" spans="1:22" ht="16.5">
      <c r="A11" s="51"/>
      <c r="B11" s="52" t="str">
        <f>T.TOLIS!B11</f>
        <v>b. SAIFI (sesuai kewenangan)</v>
      </c>
      <c r="C11" s="441" t="str">
        <f>T.TOLIS!C11</f>
        <v>ò</v>
      </c>
      <c r="D11" s="53" t="str">
        <f>T.TOLIS!D11</f>
        <v>kali/plg</v>
      </c>
      <c r="E11" s="61" t="str">
        <f>T.TOLIS!E11</f>
        <v>(∑ (Kali padam x ∑ Pelanggan Padam)) / ∑ Pelanggan Dalam Satu Periode</v>
      </c>
      <c r="F11" s="53"/>
      <c r="G11" s="89">
        <f>T.TOLIS!G11</f>
        <v>1.76</v>
      </c>
      <c r="H11" s="89">
        <f>T.TOLIS!H11</f>
        <v>3.53</v>
      </c>
      <c r="I11" s="89">
        <f>KPI!AH54</f>
        <v>0.12101760917474377</v>
      </c>
      <c r="J11" s="89">
        <f>KPI!AI54</f>
        <v>0.13323944263064677</v>
      </c>
      <c r="K11" s="89">
        <f>KPI!AJ54</f>
        <v>0.22648499041941664</v>
      </c>
      <c r="L11" s="89">
        <f>KPI!AK54</f>
        <v>0.57531394088774623</v>
      </c>
      <c r="M11" s="89">
        <f>KPI!AL54</f>
        <v>1.2213763121620189</v>
      </c>
      <c r="N11" s="89">
        <f>KPI!AM54</f>
        <v>1.6972486772486772</v>
      </c>
      <c r="O11" s="89">
        <f>KPI!AN54</f>
        <v>1.9675579774426561</v>
      </c>
      <c r="P11" s="89">
        <f>KPI!AO54</f>
        <v>1.9942460902921215</v>
      </c>
      <c r="Q11" s="89">
        <f>KPI!AP54</f>
        <v>2.3221105316285331</v>
      </c>
      <c r="R11" s="89">
        <f>KPI!AQ54</f>
        <v>0</v>
      </c>
      <c r="S11" s="89">
        <f>KPI!AR54</f>
        <v>0</v>
      </c>
      <c r="T11" s="111">
        <f>KPI!AS54</f>
        <v>0</v>
      </c>
    </row>
    <row r="12" spans="1:22" ht="16.5">
      <c r="A12" s="51"/>
      <c r="B12" s="52" t="str">
        <f>T.TOLIS!B12</f>
        <v>c. ENS (sesuai kewenangan)</v>
      </c>
      <c r="C12" s="441" t="str">
        <f>T.TOLIS!C12</f>
        <v>ò</v>
      </c>
      <c r="D12" s="53" t="str">
        <f>T.TOLIS!D12</f>
        <v>MWh</v>
      </c>
      <c r="E12" s="61" t="str">
        <f>T.TOLIS!E12</f>
        <v>∑ Energi yang tidak dapat disalurkan akibat Padam Tidak Terencana dan Terencana</v>
      </c>
      <c r="F12" s="53"/>
      <c r="G12" s="89">
        <f>T.TOLIS!G12</f>
        <v>24.23</v>
      </c>
      <c r="H12" s="89">
        <f>T.TOLIS!H12</f>
        <v>48.47</v>
      </c>
      <c r="I12" s="89">
        <f>KPI!AH74</f>
        <v>1.7090000000000001</v>
      </c>
      <c r="J12" s="89">
        <f>KPI!AI74</f>
        <v>2.1909999999999998</v>
      </c>
      <c r="K12" s="89">
        <f>KPI!AJ74</f>
        <v>2.419</v>
      </c>
      <c r="L12" s="89">
        <f>KPI!AK74</f>
        <v>5.2450000000000001</v>
      </c>
      <c r="M12" s="89">
        <f>KPI!AL74</f>
        <v>11.946</v>
      </c>
      <c r="N12" s="89">
        <f>KPI!AM74</f>
        <v>17.651</v>
      </c>
      <c r="O12" s="89">
        <f>KPI!AN74</f>
        <v>18.875</v>
      </c>
      <c r="P12" s="89">
        <f>KPI!AO74</f>
        <v>20.253</v>
      </c>
      <c r="Q12" s="89">
        <f>KPI!AP74</f>
        <v>22.542999999999999</v>
      </c>
      <c r="R12" s="89">
        <f>KPI!AQ74</f>
        <v>0</v>
      </c>
      <c r="S12" s="89">
        <f>KPI!AR74</f>
        <v>0</v>
      </c>
      <c r="T12" s="111">
        <f>KPI!AS74</f>
        <v>0</v>
      </c>
    </row>
    <row r="13" spans="1:22" ht="16.5">
      <c r="A13" s="51">
        <f>T.TOLIS!A13</f>
        <v>3</v>
      </c>
      <c r="B13" s="311" t="str">
        <f>T.TOLIS!B13</f>
        <v>Efisiensi Jaringan Distribusi</v>
      </c>
      <c r="C13" s="441"/>
      <c r="D13" s="53"/>
      <c r="E13" s="61"/>
      <c r="F13" s="53">
        <f>T.TOLIS!F13</f>
        <v>12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111"/>
    </row>
    <row r="14" spans="1:22" ht="16.5">
      <c r="A14" s="51"/>
      <c r="B14" s="52" t="str">
        <f>T.TOLIS!B14</f>
        <v>a. Susut Distribusi Tanpa E-min (sesuai kewenangan)</v>
      </c>
      <c r="C14" s="441" t="str">
        <f>T.TOLIS!C14</f>
        <v>ò</v>
      </c>
      <c r="D14" s="53" t="str">
        <f>T.TOLIS!D14</f>
        <v>%</v>
      </c>
      <c r="E14" s="61"/>
      <c r="F14" s="53"/>
      <c r="G14" s="89">
        <f>T.TOLIS!G14</f>
        <v>9.7899999999999991</v>
      </c>
      <c r="H14" s="89">
        <f>T.TOLIS!H14</f>
        <v>9.3699999999999992</v>
      </c>
      <c r="I14" s="89">
        <f>KPI!AH89</f>
        <v>-7.3511601633070995</v>
      </c>
      <c r="J14" s="89">
        <f>KPI!AI89</f>
        <v>-6.5258103352265229</v>
      </c>
      <c r="K14" s="89">
        <f>KPI!AJ89</f>
        <v>-1.4319315839986146</v>
      </c>
      <c r="L14" s="89">
        <f>KPI!AK89</f>
        <v>4.1872286973182007</v>
      </c>
      <c r="M14" s="89">
        <f>KPI!AL89</f>
        <v>6.8399212986973561</v>
      </c>
      <c r="N14" s="89">
        <f>KPI!AM89</f>
        <v>7.2818607557456394</v>
      </c>
      <c r="O14" s="89">
        <f>KPI!AN89</f>
        <v>7.8285434996578616</v>
      </c>
      <c r="P14" s="89">
        <f>KPI!AO89</f>
        <v>7.8288026195481271</v>
      </c>
      <c r="Q14" s="89">
        <f>KPI!AP89</f>
        <v>7.9794982755546888</v>
      </c>
      <c r="R14" s="89">
        <f>KPI!AQ89</f>
        <v>0</v>
      </c>
      <c r="S14" s="89">
        <f>KPI!AR89</f>
        <v>0</v>
      </c>
      <c r="T14" s="89">
        <f>KPI!AS89</f>
        <v>0</v>
      </c>
    </row>
    <row r="15" spans="1:22" ht="16.5">
      <c r="A15" s="51"/>
      <c r="B15" s="52" t="str">
        <f>T.TOLIS!B15</f>
        <v>b. Perolehan Temuan P2TL</v>
      </c>
      <c r="C15" s="441" t="str">
        <f>T.TOLIS!C15</f>
        <v>ñ</v>
      </c>
      <c r="D15" s="53" t="str">
        <f>T.TOLIS!D15</f>
        <v>%</v>
      </c>
      <c r="E15" s="61"/>
      <c r="F15" s="53"/>
      <c r="G15" s="89">
        <f>T.TOLIS!G15</f>
        <v>0</v>
      </c>
      <c r="H15" s="89">
        <f>T.TOLIS!H15</f>
        <v>0</v>
      </c>
      <c r="I15" s="89">
        <v>0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</row>
    <row r="16" spans="1:22" ht="16.5">
      <c r="A16" s="51"/>
      <c r="B16" s="52" t="str">
        <f>T.TOLIS!B16</f>
        <v>b. Penyelesaian Temuan P2TL</v>
      </c>
      <c r="C16" s="441" t="str">
        <f>T.TOLIS!C16</f>
        <v>ñ</v>
      </c>
      <c r="D16" s="53" t="str">
        <f>T.TOLIS!D16</f>
        <v>%</v>
      </c>
      <c r="E16" s="61"/>
      <c r="F16" s="53"/>
      <c r="G16" s="89">
        <f>T.TOLIS!G16</f>
        <v>47.560137457044668</v>
      </c>
      <c r="H16" s="89">
        <f>T.TOLIS!H16</f>
        <v>100</v>
      </c>
      <c r="I16" s="89">
        <f>KPI!AH115</f>
        <v>3.8621231979030148</v>
      </c>
      <c r="J16" s="89">
        <f>KPI!AI115</f>
        <v>6.3887287024901704</v>
      </c>
      <c r="K16" s="89">
        <f>KPI!AJ115</f>
        <v>19.804062909567495</v>
      </c>
      <c r="L16" s="89">
        <f>KPI!AK115</f>
        <v>25.67981651376147</v>
      </c>
      <c r="M16" s="89">
        <f>KPI!AL115</f>
        <v>32.756094364351242</v>
      </c>
      <c r="N16" s="89">
        <f>KPI!AM115</f>
        <v>60.138794233289644</v>
      </c>
      <c r="O16" s="89">
        <f>KPI!AN115</f>
        <v>79.221100917431187</v>
      </c>
      <c r="P16" s="89">
        <f>KPI!AO115</f>
        <v>88.92110091743119</v>
      </c>
      <c r="Q16" s="89">
        <f>KPI!AP115</f>
        <v>101.83328964613368</v>
      </c>
      <c r="R16" s="89">
        <f>KPI!AQ115</f>
        <v>101.83328964613368</v>
      </c>
      <c r="S16" s="89">
        <f>KPI!AR115</f>
        <v>101.83328964613368</v>
      </c>
      <c r="T16" s="89">
        <f>KPI!AS115</f>
        <v>101.83328964613368</v>
      </c>
    </row>
    <row r="17" spans="1:20" ht="16.5">
      <c r="A17" s="51"/>
      <c r="B17" s="52" t="str">
        <f>T.TOLIS!B17</f>
        <v>c. Penyelesaian Ganti Meter</v>
      </c>
      <c r="C17" s="441" t="str">
        <f>T.TOLIS!C17</f>
        <v>ñ</v>
      </c>
      <c r="D17" s="53" t="str">
        <f>T.TOLIS!D17</f>
        <v>Unit</v>
      </c>
      <c r="E17" s="61" t="str">
        <f>T.TOLIS!E17</f>
        <v>Jumlah penggantian kWh Meter pada periode berjalan</v>
      </c>
      <c r="F17" s="53">
        <f>T.TOLIS!F17</f>
        <v>0</v>
      </c>
      <c r="G17" s="89">
        <f>T.TOLIS!G17</f>
        <v>729</v>
      </c>
      <c r="H17" s="89">
        <f>T.TOLIS!H17</f>
        <v>1457</v>
      </c>
      <c r="I17" s="89">
        <f>KPI!AH130</f>
        <v>11</v>
      </c>
      <c r="J17" s="89">
        <f>KPI!AI130</f>
        <v>100</v>
      </c>
      <c r="K17" s="89">
        <f>KPI!AJ130</f>
        <v>423</v>
      </c>
      <c r="L17" s="89">
        <f>KPI!AK130</f>
        <v>657</v>
      </c>
      <c r="M17" s="89">
        <f>KPI!AL130</f>
        <v>883</v>
      </c>
      <c r="N17" s="89">
        <f>KPI!AM130</f>
        <v>1049</v>
      </c>
      <c r="O17" s="89">
        <f>KPI!AN130</f>
        <v>1140</v>
      </c>
      <c r="P17" s="89">
        <f>KPI!AO130</f>
        <v>1186</v>
      </c>
      <c r="Q17" s="89">
        <f>KPI!AP130</f>
        <v>1232</v>
      </c>
      <c r="R17" s="89">
        <f>KPI!AQ130</f>
        <v>1232</v>
      </c>
      <c r="S17" s="89">
        <f>KPI!AR130</f>
        <v>1232</v>
      </c>
      <c r="T17" s="89">
        <f>KPI!AS130</f>
        <v>1232</v>
      </c>
    </row>
    <row r="18" spans="1:20" ht="16.5">
      <c r="A18" s="47" t="str">
        <f>T.TOLIS!A18</f>
        <v>II</v>
      </c>
      <c r="B18" s="48" t="str">
        <f>T.TOLIS!B18</f>
        <v>Perfomance Indicators</v>
      </c>
      <c r="C18" s="440"/>
      <c r="D18" s="50"/>
      <c r="E18" s="48"/>
      <c r="F18" s="139">
        <f>SUM(F19:F55)</f>
        <v>60</v>
      </c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80"/>
    </row>
    <row r="19" spans="1:20" ht="16.5">
      <c r="A19" s="51">
        <f>T.TOLIS!A19</f>
        <v>4</v>
      </c>
      <c r="B19" s="311" t="str">
        <f>T.TOLIS!B19</f>
        <v>Keandalan Jaringan Distribusi</v>
      </c>
      <c r="C19" s="441"/>
      <c r="D19" s="53"/>
      <c r="E19" s="61"/>
      <c r="F19" s="53">
        <f>T.TOLIS!F19</f>
        <v>9</v>
      </c>
      <c r="G19" s="89"/>
      <c r="H19" s="89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95"/>
    </row>
    <row r="20" spans="1:20" ht="16.5">
      <c r="A20" s="51"/>
      <c r="B20" s="52" t="str">
        <f>T.TOLIS!B20</f>
        <v>a. Gangguan TM &gt; 5 Menit</v>
      </c>
      <c r="C20" s="441" t="str">
        <f>T.TOLIS!C20</f>
        <v>ò</v>
      </c>
      <c r="D20" s="53" t="str">
        <f>T.TOLIS!D20</f>
        <v>Kali</v>
      </c>
      <c r="E20" s="61" t="str">
        <f>T.TOLIS!E20</f>
        <v>∑ kali Gangguan Jaringan Tegangan Menengah dan Gardu Distribusi yang berdampak padam pelanggan di semua zona durasi &gt; 5 menit (permanen)</v>
      </c>
      <c r="F20" s="53"/>
      <c r="G20" s="89">
        <f>T.TOLIS!G20</f>
        <v>33</v>
      </c>
      <c r="H20" s="89">
        <f>T.TOLIS!H20</f>
        <v>62</v>
      </c>
      <c r="I20" s="145">
        <f>PI!AH8</f>
        <v>2</v>
      </c>
      <c r="J20" s="145">
        <f>PI!AI8</f>
        <v>3</v>
      </c>
      <c r="K20" s="145">
        <f>PI!AJ8</f>
        <v>8</v>
      </c>
      <c r="L20" s="145">
        <f>PI!AK8</f>
        <v>11</v>
      </c>
      <c r="M20" s="145">
        <f>PI!AL8</f>
        <v>29</v>
      </c>
      <c r="N20" s="145">
        <f>PI!AM8</f>
        <v>31</v>
      </c>
      <c r="O20" s="145">
        <f>PI!AN8</f>
        <v>38</v>
      </c>
      <c r="P20" s="145">
        <f>PI!AO8</f>
        <v>38</v>
      </c>
      <c r="Q20" s="145">
        <f>PI!AP8</f>
        <v>46</v>
      </c>
      <c r="R20" s="145">
        <f>PI!AQ8</f>
        <v>46</v>
      </c>
      <c r="S20" s="145">
        <f>PI!AR8</f>
        <v>46</v>
      </c>
      <c r="T20" s="145">
        <f>PI!AS8</f>
        <v>46</v>
      </c>
    </row>
    <row r="21" spans="1:20" ht="16.5">
      <c r="A21" s="51"/>
      <c r="B21" s="52" t="str">
        <f>T.TOLIS!B21</f>
        <v>b. Gangguan TM ≤ 5 Menit</v>
      </c>
      <c r="C21" s="441" t="str">
        <f>T.TOLIS!C21</f>
        <v>ò</v>
      </c>
      <c r="D21" s="53" t="str">
        <f>T.TOLIS!D21</f>
        <v>Kali</v>
      </c>
      <c r="E21" s="61" t="str">
        <f>T.TOLIS!E21</f>
        <v>∑ kali Gangguan Jaringan Tegangan Menengah  dan Gardu Distribusi yang berdampak padam pelanggan di semua zona durasi ≤ 5 menit (temporer)</v>
      </c>
      <c r="F21" s="53"/>
      <c r="G21" s="89">
        <f>T.TOLIS!G21</f>
        <v>43</v>
      </c>
      <c r="H21" s="89">
        <f>T.TOLIS!H21</f>
        <v>86</v>
      </c>
      <c r="I21" s="145">
        <f>PI!AH9</f>
        <v>0</v>
      </c>
      <c r="J21" s="145">
        <f>PI!AI9</f>
        <v>6</v>
      </c>
      <c r="K21" s="145">
        <f>PI!AJ9</f>
        <v>8</v>
      </c>
      <c r="L21" s="145">
        <f>PI!AK9</f>
        <v>8</v>
      </c>
      <c r="M21" s="145">
        <f>PI!AL9</f>
        <v>23</v>
      </c>
      <c r="N21" s="145">
        <f>PI!AM9</f>
        <v>34</v>
      </c>
      <c r="O21" s="145">
        <f>PI!AN9</f>
        <v>42</v>
      </c>
      <c r="P21" s="145">
        <f>PI!AO9</f>
        <v>44</v>
      </c>
      <c r="Q21" s="145">
        <f>PI!AP9</f>
        <v>55</v>
      </c>
      <c r="R21" s="145">
        <f>PI!AQ9</f>
        <v>55</v>
      </c>
      <c r="S21" s="145">
        <f>PI!AR9</f>
        <v>55</v>
      </c>
      <c r="T21" s="145">
        <f>PI!AS9</f>
        <v>55</v>
      </c>
    </row>
    <row r="22" spans="1:20" ht="33">
      <c r="A22" s="51"/>
      <c r="B22" s="52" t="str">
        <f>T.TOLIS!B22</f>
        <v>c. Kerusakan Peralatan Distribusi (PHB TM dan Trafo) Sesuai Kewenangan</v>
      </c>
      <c r="C22" s="441" t="str">
        <f>T.TOLIS!C22</f>
        <v>ò</v>
      </c>
      <c r="D22" s="53" t="str">
        <f>T.TOLIS!D22</f>
        <v>Unit</v>
      </c>
      <c r="E22" s="61" t="str">
        <f>T.TOLIS!E22</f>
        <v>∑ Total Kerusakan Peralatan PHB TM + ∑ Total Kerusakan Trafo Distribusi</v>
      </c>
      <c r="F22" s="53"/>
      <c r="G22" s="89">
        <f>T.TOLIS!G22</f>
        <v>1</v>
      </c>
      <c r="H22" s="89">
        <f>T.TOLIS!H22</f>
        <v>2</v>
      </c>
      <c r="I22" s="145">
        <f>PI!AH33</f>
        <v>0</v>
      </c>
      <c r="J22" s="145">
        <f>PI!AI33</f>
        <v>0</v>
      </c>
      <c r="K22" s="145">
        <f>PI!AJ33</f>
        <v>0</v>
      </c>
      <c r="L22" s="145">
        <f>PI!AK33</f>
        <v>0</v>
      </c>
      <c r="M22" s="145">
        <f>PI!AL33</f>
        <v>1</v>
      </c>
      <c r="N22" s="145">
        <f>PI!AM33</f>
        <v>2</v>
      </c>
      <c r="O22" s="145">
        <f>PI!AN33</f>
        <v>3</v>
      </c>
      <c r="P22" s="145">
        <f>PI!AO33</f>
        <v>3</v>
      </c>
      <c r="Q22" s="145">
        <f>PI!AP33</f>
        <v>3</v>
      </c>
      <c r="R22" s="145">
        <f>PI!AQ33</f>
        <v>3</v>
      </c>
      <c r="S22" s="145">
        <f>PI!AR33</f>
        <v>3</v>
      </c>
      <c r="T22" s="145">
        <f>PI!AS33</f>
        <v>3</v>
      </c>
    </row>
    <row r="23" spans="1:20" ht="16.5">
      <c r="A23" s="51">
        <f>T.TOLIS!A23</f>
        <v>5</v>
      </c>
      <c r="B23" s="311" t="str">
        <f>T.TOLIS!B23</f>
        <v>Peningkatan Layanan</v>
      </c>
      <c r="C23" s="441"/>
      <c r="D23" s="53"/>
      <c r="E23" s="61">
        <f>T.TOLIS!E23</f>
        <v>0</v>
      </c>
      <c r="F23" s="53">
        <f>T.TOLIS!F23</f>
        <v>8</v>
      </c>
      <c r="G23" s="89"/>
      <c r="H23" s="8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50"/>
    </row>
    <row r="24" spans="1:20" ht="33">
      <c r="A24" s="51"/>
      <c r="B24" s="52" t="str">
        <f>T.TOLIS!B24</f>
        <v>a. Feedback Rating Negatif pada PLN Mobile - Gangguan</v>
      </c>
      <c r="C24" s="441" t="str">
        <f>T.TOLIS!C24</f>
        <v>ò</v>
      </c>
      <c r="D24" s="53" t="str">
        <f>T.TOLIS!D24</f>
        <v>%</v>
      </c>
      <c r="E24" s="61"/>
      <c r="F24" s="53"/>
      <c r="G24" s="89">
        <f>T.TOLIS!G24</f>
        <v>0.09</v>
      </c>
      <c r="H24" s="89">
        <f>T.TOLIS!H24</f>
        <v>0.09</v>
      </c>
      <c r="I24" s="249">
        <f>PI!AH55</f>
        <v>0</v>
      </c>
      <c r="J24" s="249">
        <f>PI!AI55</f>
        <v>0</v>
      </c>
      <c r="K24" s="249">
        <f>PI!AJ55</f>
        <v>0</v>
      </c>
      <c r="L24" s="249">
        <f>PI!AK55</f>
        <v>0</v>
      </c>
      <c r="M24" s="249">
        <f>PI!AL55</f>
        <v>0</v>
      </c>
      <c r="N24" s="249">
        <f>PI!AM55</f>
        <v>0</v>
      </c>
      <c r="O24" s="249">
        <f>PI!AN55</f>
        <v>0</v>
      </c>
      <c r="P24" s="249">
        <f>PI!AO55</f>
        <v>0</v>
      </c>
      <c r="Q24" s="249">
        <f>PI!AP55</f>
        <v>0</v>
      </c>
      <c r="R24" s="249">
        <f>PI!AQ55</f>
        <v>0</v>
      </c>
      <c r="S24" s="249">
        <f>PI!AR55</f>
        <v>0</v>
      </c>
      <c r="T24" s="249">
        <f>PI!AS55</f>
        <v>0</v>
      </c>
    </row>
    <row r="25" spans="1:20" ht="16.5">
      <c r="A25" s="51"/>
      <c r="B25" s="52" t="str">
        <f>T.TOLIS!B25</f>
        <v>b. Pengaduan Gangguan Berulang pada PLN Mobile</v>
      </c>
      <c r="C25" s="441" t="str">
        <f>T.TOLIS!C25</f>
        <v>ò</v>
      </c>
      <c r="D25" s="53" t="str">
        <f>T.TOLIS!D25</f>
        <v>%</v>
      </c>
      <c r="E25" s="61"/>
      <c r="F25" s="53"/>
      <c r="G25" s="89">
        <f>T.TOLIS!G25</f>
        <v>0.04</v>
      </c>
      <c r="H25" s="89">
        <f>T.TOLIS!H25</f>
        <v>0.04</v>
      </c>
      <c r="I25" s="249">
        <f>PI!AH77</f>
        <v>0</v>
      </c>
      <c r="J25" s="249">
        <f>PI!AI77</f>
        <v>0</v>
      </c>
      <c r="K25" s="249">
        <f>PI!AJ77</f>
        <v>0</v>
      </c>
      <c r="L25" s="249">
        <f>PI!AK77</f>
        <v>0</v>
      </c>
      <c r="M25" s="249">
        <f>PI!AL77</f>
        <v>0</v>
      </c>
      <c r="N25" s="249">
        <f>PI!AM77</f>
        <v>0</v>
      </c>
      <c r="O25" s="249">
        <f>PI!AN77</f>
        <v>0</v>
      </c>
      <c r="P25" s="249">
        <f>PI!AO77</f>
        <v>0</v>
      </c>
      <c r="Q25" s="249">
        <f>PI!AP77</f>
        <v>0</v>
      </c>
      <c r="R25" s="249">
        <f>PI!AQ77</f>
        <v>0</v>
      </c>
      <c r="S25" s="249">
        <f>PI!AR77</f>
        <v>3.3388981636060099E-2</v>
      </c>
      <c r="T25" s="249">
        <f>PI!AS77</f>
        <v>3.3388981636060099E-2</v>
      </c>
    </row>
    <row r="26" spans="1:20" ht="16.5">
      <c r="A26" s="51"/>
      <c r="B26" s="52" t="str">
        <f>T.TOLIS!B26</f>
        <v>c. Rating PLN Mobile</v>
      </c>
      <c r="C26" s="441" t="str">
        <f>T.TOLIS!C26</f>
        <v>ñ</v>
      </c>
      <c r="D26" s="53" t="str">
        <f>T.TOLIS!D26</f>
        <v>Rating</v>
      </c>
      <c r="E26" s="61" t="str">
        <f>T.TOLIS!E26</f>
        <v>Realisasi Rating PLN Mobile pada Google Playstore Periode Akhir Bulan Berjalan</v>
      </c>
      <c r="F26" s="53"/>
      <c r="G26" s="89">
        <f>T.TOLIS!G26</f>
        <v>4.9000000000000004</v>
      </c>
      <c r="H26" s="89">
        <f>T.TOLIS!H26</f>
        <v>4.9000000000000004</v>
      </c>
      <c r="I26" s="145">
        <f>PI!AH97</f>
        <v>4.91</v>
      </c>
      <c r="J26" s="145">
        <f>PI!AI97</f>
        <v>4.91</v>
      </c>
      <c r="K26" s="145">
        <f>PI!AJ97</f>
        <v>4.91</v>
      </c>
      <c r="L26" s="145">
        <f>PI!AK97</f>
        <v>4.91</v>
      </c>
      <c r="M26" s="145">
        <f>PI!AL97</f>
        <v>4.9000000000000004</v>
      </c>
      <c r="N26" s="145">
        <f>PI!AM97</f>
        <v>4.9000000000000004</v>
      </c>
      <c r="O26" s="145">
        <f>PI!AN97</f>
        <v>4.9000000000000004</v>
      </c>
      <c r="P26" s="145">
        <f>PI!AO97</f>
        <v>4.9000000000000004</v>
      </c>
      <c r="Q26" s="145">
        <f>PI!AP97</f>
        <v>4.9000000000000004</v>
      </c>
      <c r="R26" s="145">
        <f>PI!AQ97</f>
        <v>4.9000000000000004</v>
      </c>
      <c r="S26" s="145">
        <f>PI!AR97</f>
        <v>4.9000000000000004</v>
      </c>
      <c r="T26" s="145">
        <f>PI!AS97</f>
        <v>4.9000000000000004</v>
      </c>
    </row>
    <row r="27" spans="1:20" ht="33">
      <c r="A27" s="51"/>
      <c r="B27" s="52" t="str">
        <f>T.TOLIS!B27</f>
        <v>d. Jumlah Kali Transaksi Keuangan melalui PLN Mobile</v>
      </c>
      <c r="C27" s="441" t="str">
        <f>T.TOLIS!C27</f>
        <v>ñ</v>
      </c>
      <c r="D27" s="53" t="str">
        <f>T.TOLIS!D27</f>
        <v>Kali Transaksi</v>
      </c>
      <c r="E27" s="61" t="str">
        <f>T.TOLIS!E27</f>
        <v>Total Kali Transaksi Keuangan di PLN Mobile (Seluruh Pelanggan PLN)</v>
      </c>
      <c r="F27" s="53"/>
      <c r="G27" s="89">
        <f>T.TOLIS!G27</f>
        <v>9333</v>
      </c>
      <c r="H27" s="89">
        <f>T.TOLIS!H27</f>
        <v>15555</v>
      </c>
      <c r="I27" s="145">
        <f>PI!AH102</f>
        <v>859</v>
      </c>
      <c r="J27" s="145">
        <f>PI!AI102</f>
        <v>2014</v>
      </c>
      <c r="K27" s="145">
        <f>PI!AJ102</f>
        <v>3846</v>
      </c>
      <c r="L27" s="145">
        <f>PI!AK102</f>
        <v>6356</v>
      </c>
      <c r="M27" s="145">
        <f>PI!AL102</f>
        <v>8602</v>
      </c>
      <c r="N27" s="145">
        <f>PI!AM102</f>
        <v>10306</v>
      </c>
      <c r="O27" s="145">
        <f>PI!AN102</f>
        <v>12271</v>
      </c>
      <c r="P27" s="145">
        <f>PI!AO102</f>
        <v>14211</v>
      </c>
      <c r="Q27" s="145">
        <f>PI!AP102</f>
        <v>16109</v>
      </c>
      <c r="R27" s="145">
        <f>PI!AQ102</f>
        <v>0</v>
      </c>
      <c r="S27" s="145">
        <f>PI!AR102</f>
        <v>0</v>
      </c>
      <c r="T27" s="145">
        <f>PI!AS102</f>
        <v>0</v>
      </c>
    </row>
    <row r="28" spans="1:20" ht="16.5">
      <c r="A28" s="51">
        <f>T.TOLIS!A28</f>
        <v>6</v>
      </c>
      <c r="B28" s="311" t="str">
        <f>T.TOLIS!B28</f>
        <v>Dispatch Respon Time</v>
      </c>
      <c r="C28" s="441"/>
      <c r="D28" s="53"/>
      <c r="E28" s="61"/>
      <c r="F28" s="53">
        <f>T.TOLIS!F28</f>
        <v>3</v>
      </c>
      <c r="G28" s="89"/>
      <c r="H28" s="89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95"/>
    </row>
    <row r="29" spans="1:20" ht="33">
      <c r="A29" s="51"/>
      <c r="B29" s="52" t="str">
        <f>T.TOLIS!B29</f>
        <v>a. Response Time atas Gangguan (diluar Clear Tamper)</v>
      </c>
      <c r="C29" s="441" t="str">
        <f>T.TOLIS!C29</f>
        <v>ò</v>
      </c>
      <c r="D29" s="53" t="str">
        <f>T.TOLIS!D29</f>
        <v>Menit</v>
      </c>
      <c r="E29" s="61"/>
      <c r="F29" s="53"/>
      <c r="G29" s="89">
        <f>T.TOLIS!G29</f>
        <v>30</v>
      </c>
      <c r="H29" s="89">
        <f>T.TOLIS!H29</f>
        <v>30</v>
      </c>
      <c r="I29" s="145">
        <f>PI!AH113</f>
        <v>11.477160493827162</v>
      </c>
      <c r="J29" s="145">
        <f>PI!AI113</f>
        <v>11.376080246913579</v>
      </c>
      <c r="K29" s="145">
        <f>PI!AJ113</f>
        <v>11.304738021751911</v>
      </c>
      <c r="L29" s="145">
        <f>PI!AK113</f>
        <v>11.329052342605014</v>
      </c>
      <c r="M29" s="145">
        <f>PI!AL113</f>
        <v>11.959241874084011</v>
      </c>
      <c r="N29" s="145">
        <f>PI!AM113</f>
        <v>12.185683213112824</v>
      </c>
      <c r="O29" s="145">
        <f>PI!AN113</f>
        <v>12.347427026704834</v>
      </c>
      <c r="P29" s="145">
        <f>PI!AO113</f>
        <v>12.640341240959323</v>
      </c>
      <c r="Q29" s="145">
        <f>PI!AP113</f>
        <v>12.896095961591287</v>
      </c>
      <c r="R29" s="145">
        <f>PI!AQ113</f>
        <v>12.896095961591287</v>
      </c>
      <c r="S29" s="145">
        <f>PI!AR113</f>
        <v>12.896095961591287</v>
      </c>
      <c r="T29" s="145">
        <f>PI!AS113</f>
        <v>12.896095961591287</v>
      </c>
    </row>
    <row r="30" spans="1:20" ht="33">
      <c r="A30" s="51"/>
      <c r="B30" s="52" t="str">
        <f>T.TOLIS!B30</f>
        <v>b. Success Rate Auto Dispatch Gangguan Individual (diluar Clear Tamper)</v>
      </c>
      <c r="C30" s="441" t="str">
        <f>T.TOLIS!C30</f>
        <v>ñ</v>
      </c>
      <c r="D30" s="53" t="str">
        <f>T.TOLIS!D30</f>
        <v>%</v>
      </c>
      <c r="E30" s="61"/>
      <c r="F30" s="53"/>
      <c r="G30" s="89">
        <f>T.TOLIS!G30</f>
        <v>0</v>
      </c>
      <c r="H30" s="89">
        <f>T.TOLIS!H30</f>
        <v>0</v>
      </c>
      <c r="I30" s="145">
        <f>PI!AH129</f>
        <v>0</v>
      </c>
      <c r="J30" s="145">
        <f>PI!AI129</f>
        <v>0</v>
      </c>
      <c r="K30" s="145">
        <f>PI!AJ129</f>
        <v>0</v>
      </c>
      <c r="L30" s="145">
        <f>PI!AK129</f>
        <v>0</v>
      </c>
      <c r="M30" s="145">
        <f>PI!AL129</f>
        <v>0</v>
      </c>
      <c r="N30" s="145">
        <f>PI!AM129</f>
        <v>0</v>
      </c>
      <c r="O30" s="145">
        <f>PI!AN129</f>
        <v>0</v>
      </c>
      <c r="P30" s="145">
        <f>PI!AO129</f>
        <v>0</v>
      </c>
      <c r="Q30" s="145">
        <f>PI!AP129</f>
        <v>0</v>
      </c>
      <c r="R30" s="145">
        <f>PI!AQ129</f>
        <v>0</v>
      </c>
      <c r="S30" s="145">
        <f>PI!AR129</f>
        <v>0</v>
      </c>
      <c r="T30" s="145">
        <f>PI!AS129</f>
        <v>0</v>
      </c>
    </row>
    <row r="31" spans="1:20" ht="16.5">
      <c r="A31" s="51">
        <f>T.TOLIS!A31</f>
        <v>7</v>
      </c>
      <c r="B31" s="311" t="str">
        <f>T.TOLIS!B31</f>
        <v>Sistem Recovery :</v>
      </c>
      <c r="C31" s="441"/>
      <c r="D31" s="53"/>
      <c r="E31" s="61" t="e">
        <f>T.TOLIS!#REF!</f>
        <v>#REF!</v>
      </c>
      <c r="F31" s="53">
        <f>T.TOLIS!F31</f>
        <v>6</v>
      </c>
      <c r="G31" s="89"/>
      <c r="H31" s="89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95"/>
    </row>
    <row r="32" spans="1:20" ht="16.5">
      <c r="A32" s="51"/>
      <c r="B32" s="52" t="str">
        <f>T.TOLIS!B32</f>
        <v>a. Recovery Time Gangguan Meluas TM</v>
      </c>
      <c r="C32" s="441" t="str">
        <f>T.TOLIS!C32</f>
        <v>ñ</v>
      </c>
      <c r="D32" s="53" t="str">
        <f>T.TOLIS!D32</f>
        <v>%</v>
      </c>
      <c r="E32" s="61"/>
      <c r="F32" s="53"/>
      <c r="G32" s="89">
        <f>T.TOLIS!G32</f>
        <v>100</v>
      </c>
      <c r="H32" s="89">
        <f>T.TOLIS!H32</f>
        <v>100</v>
      </c>
      <c r="I32" s="145">
        <f>PI!AH145</f>
        <v>60.75</v>
      </c>
      <c r="J32" s="145">
        <f>PI!AI145</f>
        <v>76.5</v>
      </c>
      <c r="K32" s="145">
        <f>PI!AJ145</f>
        <v>107.25</v>
      </c>
      <c r="L32" s="145">
        <f>PI!AK145</f>
        <v>109.25</v>
      </c>
      <c r="M32" s="145">
        <f>PI!AL145</f>
        <v>110</v>
      </c>
      <c r="N32" s="145">
        <f>PI!AM145</f>
        <v>110</v>
      </c>
      <c r="O32" s="145">
        <f>PI!AN145</f>
        <v>110</v>
      </c>
      <c r="P32" s="145">
        <f>PI!AO145</f>
        <v>110</v>
      </c>
      <c r="Q32" s="145">
        <f>PI!AP145</f>
        <v>110</v>
      </c>
      <c r="R32" s="145">
        <f>PI!AQ145</f>
        <v>0</v>
      </c>
      <c r="S32" s="145">
        <f>PI!AR145</f>
        <v>0</v>
      </c>
      <c r="T32" s="145">
        <f>PI!AS145</f>
        <v>0</v>
      </c>
    </row>
    <row r="33" spans="1:23" ht="16.5">
      <c r="A33" s="51"/>
      <c r="B33" s="52" t="str">
        <f>T.TOLIS!B33</f>
        <v>b. Penormalan Siaga 1 Gangguan TM</v>
      </c>
      <c r="C33" s="441" t="str">
        <f>T.TOLIS!C33</f>
        <v>ñ</v>
      </c>
      <c r="D33" s="53" t="str">
        <f>T.TOLIS!D33</f>
        <v>%</v>
      </c>
      <c r="E33" s="61"/>
      <c r="F33" s="53"/>
      <c r="G33" s="89">
        <f>T.TOLIS!G33</f>
        <v>100</v>
      </c>
      <c r="H33" s="89">
        <f>T.TOLIS!H33</f>
        <v>100</v>
      </c>
      <c r="I33" s="145">
        <f>PI!AH167</f>
        <v>110</v>
      </c>
      <c r="J33" s="145">
        <f>PI!AI167</f>
        <v>110</v>
      </c>
      <c r="K33" s="145">
        <f>PI!AJ167</f>
        <v>110</v>
      </c>
      <c r="L33" s="145">
        <f>PI!AK167</f>
        <v>110</v>
      </c>
      <c r="M33" s="145">
        <f>PI!AL167</f>
        <v>110</v>
      </c>
      <c r="N33" s="145">
        <f>PI!AM167</f>
        <v>110</v>
      </c>
      <c r="O33" s="145">
        <f>PI!AN167</f>
        <v>110</v>
      </c>
      <c r="P33" s="145">
        <f>PI!AO167</f>
        <v>110</v>
      </c>
      <c r="Q33" s="145">
        <f>PI!AP167</f>
        <v>110</v>
      </c>
      <c r="R33" s="145">
        <f>PI!AQ167</f>
        <v>0</v>
      </c>
      <c r="S33" s="145">
        <f>PI!AR167</f>
        <v>0</v>
      </c>
      <c r="T33" s="145">
        <f>PI!AS167</f>
        <v>0</v>
      </c>
    </row>
    <row r="34" spans="1:23" ht="16.5">
      <c r="A34" s="51">
        <f>T.TOLIS!A34</f>
        <v>8</v>
      </c>
      <c r="B34" s="311" t="str">
        <f>T.TOLIS!B34</f>
        <v>Percepatan Penyambungan Pelanggan</v>
      </c>
      <c r="C34" s="441"/>
      <c r="D34" s="53"/>
      <c r="E34" s="61" t="e">
        <f>T.TOLIS!#REF!</f>
        <v>#REF!</v>
      </c>
      <c r="F34" s="53">
        <f>T.TOLIS!F34</f>
        <v>10</v>
      </c>
      <c r="G34" s="89">
        <f>T.TOLIS!G34</f>
        <v>0</v>
      </c>
      <c r="H34" s="89">
        <f>T.TOLIS!H34</f>
        <v>0</v>
      </c>
      <c r="I34" s="145">
        <f>PI!AH246</f>
        <v>100</v>
      </c>
      <c r="J34" s="145">
        <f>PI!AI246</f>
        <v>100</v>
      </c>
      <c r="K34" s="145">
        <f>PI!AJ246</f>
        <v>100</v>
      </c>
      <c r="L34" s="145">
        <f>PI!AK246</f>
        <v>100</v>
      </c>
      <c r="M34" s="145">
        <f>PI!AL246</f>
        <v>100</v>
      </c>
      <c r="N34" s="145">
        <f>PI!AM246</f>
        <v>100</v>
      </c>
      <c r="O34" s="145">
        <f>PI!AN246</f>
        <v>100</v>
      </c>
      <c r="P34" s="145">
        <f>PI!AO246</f>
        <v>100</v>
      </c>
      <c r="Q34" s="145">
        <f>PI!AP246</f>
        <v>100</v>
      </c>
      <c r="R34" s="145">
        <f>PI!AQ246</f>
        <v>100</v>
      </c>
      <c r="S34" s="145">
        <f>PI!AR246</f>
        <v>100</v>
      </c>
      <c r="T34" s="95">
        <f>PI!AS246</f>
        <v>100</v>
      </c>
      <c r="V34" s="21"/>
      <c r="W34" s="21"/>
    </row>
    <row r="35" spans="1:23" ht="16.5">
      <c r="A35" s="51"/>
      <c r="B35" s="52" t="str">
        <f>T.TOLIS!B35</f>
        <v>a. Penambahan Daya Tersambung</v>
      </c>
      <c r="C35" s="441" t="str">
        <f>T.TOLIS!C35</f>
        <v>ñ</v>
      </c>
      <c r="D35" s="53" t="str">
        <f>T.TOLIS!D35</f>
        <v>MVA</v>
      </c>
      <c r="E35" s="61"/>
      <c r="F35" s="53"/>
      <c r="G35" s="89">
        <f>T.TOLIS!G35</f>
        <v>1.82</v>
      </c>
      <c r="H35" s="89">
        <f>T.TOLIS!H35</f>
        <v>4.59</v>
      </c>
      <c r="I35" s="145">
        <f>PI!AH194</f>
        <v>0.22434999999999999</v>
      </c>
      <c r="J35" s="145">
        <f>PI!AI194</f>
        <v>0.38955000000000001</v>
      </c>
      <c r="K35" s="145">
        <f>PI!AJ194</f>
        <v>0.56130000000000002</v>
      </c>
      <c r="L35" s="145">
        <f>PI!AK194</f>
        <v>0.56825000000000003</v>
      </c>
      <c r="M35" s="145">
        <f>PI!AL194</f>
        <v>0.32464999999999999</v>
      </c>
      <c r="N35" s="145">
        <f>PI!AM194</f>
        <v>0.43064999999999998</v>
      </c>
      <c r="O35" s="145">
        <f>PI!AN194</f>
        <v>0.58135000000000003</v>
      </c>
      <c r="P35" s="145">
        <f>PI!AO194</f>
        <v>0.76944999999999997</v>
      </c>
      <c r="Q35" s="145">
        <f>PI!AP194</f>
        <v>1.81965</v>
      </c>
      <c r="R35" s="145">
        <f>PI!AQ194</f>
        <v>0</v>
      </c>
      <c r="S35" s="145">
        <f>PI!AR194</f>
        <v>0</v>
      </c>
      <c r="T35" s="145">
        <f>PI!AS194</f>
        <v>0</v>
      </c>
      <c r="V35" s="21"/>
      <c r="W35" s="21"/>
    </row>
    <row r="36" spans="1:23" ht="16.5">
      <c r="A36" s="51"/>
      <c r="B36" s="52" t="str">
        <f>T.TOLIS!B36</f>
        <v>b. Penambahan Jumlah Pelanggan</v>
      </c>
      <c r="C36" s="441" t="str">
        <f>T.TOLIS!C36</f>
        <v>ñ</v>
      </c>
      <c r="D36" s="53" t="str">
        <f>T.TOLIS!D36</f>
        <v>Pelanggan</v>
      </c>
      <c r="E36" s="61"/>
      <c r="F36" s="53"/>
      <c r="G36" s="89">
        <f>T.TOLIS!G36</f>
        <v>1095</v>
      </c>
      <c r="H36" s="89">
        <f>T.TOLIS!H36</f>
        <v>2521</v>
      </c>
      <c r="I36" s="145">
        <f>PI!AH200</f>
        <v>70</v>
      </c>
      <c r="J36" s="145">
        <f>PI!AI200</f>
        <v>196</v>
      </c>
      <c r="K36" s="145">
        <f>PI!AJ200</f>
        <v>303</v>
      </c>
      <c r="L36" s="145">
        <f>PI!AK200</f>
        <v>396</v>
      </c>
      <c r="M36" s="145">
        <f>PI!AL200</f>
        <v>488</v>
      </c>
      <c r="N36" s="145">
        <f>PI!AM200</f>
        <v>583</v>
      </c>
      <c r="O36" s="145">
        <f>PI!AN200</f>
        <v>679</v>
      </c>
      <c r="P36" s="145">
        <f>PI!AO200</f>
        <v>779</v>
      </c>
      <c r="Q36" s="145">
        <f>PI!AP200</f>
        <v>885</v>
      </c>
      <c r="R36" s="145">
        <f>PI!AQ200</f>
        <v>0</v>
      </c>
      <c r="S36" s="145">
        <f>PI!AR200</f>
        <v>0</v>
      </c>
      <c r="T36" s="145">
        <f>PI!AS200</f>
        <v>0</v>
      </c>
      <c r="V36" s="21"/>
      <c r="W36" s="21"/>
    </row>
    <row r="37" spans="1:23" ht="16.5">
      <c r="A37" s="51"/>
      <c r="B37" s="52" t="str">
        <f>T.TOLIS!B37</f>
        <v>c. Jumlah Penambahan Pelanggan Produk Tematik</v>
      </c>
      <c r="C37" s="441" t="str">
        <f>T.TOLIS!C37</f>
        <v>ñ</v>
      </c>
      <c r="D37" s="53" t="str">
        <f>T.TOLIS!D37</f>
        <v>Pelanggan</v>
      </c>
      <c r="E37" s="61"/>
      <c r="F37" s="53"/>
      <c r="G37" s="89">
        <f>T.TOLIS!G37</f>
        <v>168</v>
      </c>
      <c r="H37" s="89">
        <f>T.TOLIS!H37</f>
        <v>276</v>
      </c>
      <c r="I37" s="145">
        <f>PI!AH206</f>
        <v>54</v>
      </c>
      <c r="J37" s="145">
        <f>PI!AI206</f>
        <v>62</v>
      </c>
      <c r="K37" s="145">
        <f>PI!AJ206</f>
        <v>78</v>
      </c>
      <c r="L37" s="145">
        <f>PI!AK206</f>
        <v>78</v>
      </c>
      <c r="M37" s="145">
        <f>PI!AL206</f>
        <v>100</v>
      </c>
      <c r="N37" s="145">
        <f>PI!AM206</f>
        <v>160</v>
      </c>
      <c r="O37" s="145">
        <f>PI!AN206</f>
        <v>230</v>
      </c>
      <c r="P37" s="145">
        <f>PI!AO206</f>
        <v>260</v>
      </c>
      <c r="Q37" s="145">
        <f>PI!AP206</f>
        <v>282</v>
      </c>
      <c r="R37" s="145">
        <f>PI!AQ206</f>
        <v>0</v>
      </c>
      <c r="S37" s="145">
        <f>PI!AR206</f>
        <v>0</v>
      </c>
      <c r="T37" s="145">
        <f>PI!AS206</f>
        <v>0</v>
      </c>
      <c r="V37" s="21"/>
      <c r="W37" s="21"/>
    </row>
    <row r="38" spans="1:23" ht="31.15" customHeight="1">
      <c r="A38" s="51"/>
      <c r="B38" s="52" t="str">
        <f>T.TOLIS!B38</f>
        <v>d. Implementasi Kesesuaian Sektor Bisnis sesuai KBLI 2020</v>
      </c>
      <c r="C38" s="441" t="str">
        <f>T.TOLIS!C38</f>
        <v>ñ</v>
      </c>
      <c r="D38" s="53" t="str">
        <f>T.TOLIS!D38</f>
        <v>Pelanggan</v>
      </c>
      <c r="E38" s="61"/>
      <c r="F38" s="53"/>
      <c r="G38" s="89">
        <f>T.TOLIS!G38</f>
        <v>4</v>
      </c>
      <c r="H38" s="89">
        <f>T.TOLIS!H38</f>
        <v>5</v>
      </c>
      <c r="I38" s="145">
        <f>PI!AH212</f>
        <v>0</v>
      </c>
      <c r="J38" s="145">
        <f>PI!AI212</f>
        <v>0</v>
      </c>
      <c r="K38" s="145">
        <f>PI!AJ212</f>
        <v>0</v>
      </c>
      <c r="L38" s="145">
        <f>PI!AK212</f>
        <v>5</v>
      </c>
      <c r="M38" s="145">
        <f>PI!AL212</f>
        <v>5</v>
      </c>
      <c r="N38" s="145">
        <f>PI!AM212</f>
        <v>5</v>
      </c>
      <c r="O38" s="145">
        <f>PI!AN212</f>
        <v>6</v>
      </c>
      <c r="P38" s="145">
        <f>PI!AO212</f>
        <v>6</v>
      </c>
      <c r="Q38" s="145">
        <f>PI!AP212</f>
        <v>6</v>
      </c>
      <c r="R38" s="145">
        <f>PI!AQ212</f>
        <v>0</v>
      </c>
      <c r="S38" s="145">
        <f>PI!AR212</f>
        <v>0</v>
      </c>
      <c r="T38" s="145">
        <f>PI!AS212</f>
        <v>0</v>
      </c>
      <c r="V38" s="21"/>
      <c r="W38" s="21"/>
    </row>
    <row r="39" spans="1:23" ht="16.5">
      <c r="A39" s="51">
        <f>T.TOLIS!A39</f>
        <v>9</v>
      </c>
      <c r="B39" s="311" t="str">
        <f>T.TOLIS!B39</f>
        <v>Percepatan Penyambungan Pelanggan Lisdes</v>
      </c>
      <c r="C39" s="441"/>
      <c r="D39" s="53"/>
      <c r="E39" s="61"/>
      <c r="F39" s="53">
        <f>T.TOLIS!F39</f>
        <v>4</v>
      </c>
      <c r="G39" s="89"/>
      <c r="H39" s="89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V39" s="21"/>
      <c r="W39" s="21"/>
    </row>
    <row r="40" spans="1:23" ht="33">
      <c r="A40" s="51"/>
      <c r="B40" s="52" t="str">
        <f>T.TOLIS!B40</f>
        <v>a. Penambahan Jumlah Pelanggan Rumah Tangga Lisdes</v>
      </c>
      <c r="C40" s="441" t="str">
        <f>T.TOLIS!C40</f>
        <v>ñ</v>
      </c>
      <c r="D40" s="53" t="str">
        <f>T.TOLIS!D40</f>
        <v>Pelanggan</v>
      </c>
      <c r="E40" s="61"/>
      <c r="F40" s="53"/>
      <c r="G40" s="89">
        <f>T.TOLIS!G40</f>
        <v>4</v>
      </c>
      <c r="H40" s="89">
        <f>T.TOLIS!H40</f>
        <v>157</v>
      </c>
      <c r="I40" s="145">
        <f>PI!AH218</f>
        <v>0</v>
      </c>
      <c r="J40" s="145">
        <f>PI!AI218</f>
        <v>2</v>
      </c>
      <c r="K40" s="145">
        <f>PI!AJ218</f>
        <v>7</v>
      </c>
      <c r="L40" s="145">
        <f>PI!AK218</f>
        <v>10</v>
      </c>
      <c r="M40" s="145">
        <f>PI!AL218</f>
        <v>10</v>
      </c>
      <c r="N40" s="145">
        <f>PI!AM218</f>
        <v>10</v>
      </c>
      <c r="O40" s="145">
        <f>PI!AN218</f>
        <v>10</v>
      </c>
      <c r="P40" s="145">
        <f>PI!AO218</f>
        <v>11</v>
      </c>
      <c r="Q40" s="145">
        <f>PI!AP218</f>
        <v>11</v>
      </c>
      <c r="R40" s="145">
        <f>PI!AQ218</f>
        <v>0</v>
      </c>
      <c r="S40" s="145">
        <f>PI!AR218</f>
        <v>0</v>
      </c>
      <c r="T40" s="145">
        <f>PI!AS218</f>
        <v>0</v>
      </c>
      <c r="V40" s="21"/>
      <c r="W40" s="21"/>
    </row>
    <row r="41" spans="1:23" ht="33">
      <c r="A41" s="51"/>
      <c r="B41" s="52" t="str">
        <f>T.TOLIS!B41</f>
        <v>b. Peningkatan kWh Penjualan dari Pelanggan Rumah Tangga Lisdes</v>
      </c>
      <c r="C41" s="441" t="str">
        <f>T.TOLIS!C41</f>
        <v>ñ</v>
      </c>
      <c r="D41" s="53" t="str">
        <f>T.TOLIS!D41</f>
        <v>kWh</v>
      </c>
      <c r="E41" s="61"/>
      <c r="F41" s="53"/>
      <c r="G41" s="89">
        <f>T.TOLIS!G41</f>
        <v>162</v>
      </c>
      <c r="H41" s="89">
        <f>T.TOLIS!H41</f>
        <v>20987.087</v>
      </c>
      <c r="I41" s="145">
        <f>PI!AH224</f>
        <v>0</v>
      </c>
      <c r="J41" s="145">
        <f>PI!AI224</f>
        <v>778.1</v>
      </c>
      <c r="K41" s="145">
        <f>PI!AJ224</f>
        <v>1166.7</v>
      </c>
      <c r="L41" s="145">
        <f>PI!AK224</f>
        <v>1415.6000000000001</v>
      </c>
      <c r="M41" s="145">
        <f>PI!AL224</f>
        <v>1895.5000000000002</v>
      </c>
      <c r="N41" s="145">
        <f>PI!AM224</f>
        <v>2180</v>
      </c>
      <c r="O41" s="145">
        <f>PI!AN224</f>
        <v>2840.3</v>
      </c>
      <c r="P41" s="145">
        <f>PI!AO224</f>
        <v>3567.8</v>
      </c>
      <c r="Q41" s="145">
        <f>PI!AP224</f>
        <v>3919.6000000000004</v>
      </c>
      <c r="R41" s="145">
        <f>PI!AQ224</f>
        <v>0</v>
      </c>
      <c r="S41" s="145">
        <f>PI!AR224</f>
        <v>0</v>
      </c>
      <c r="T41" s="145">
        <f>PI!AS224</f>
        <v>0</v>
      </c>
      <c r="V41" s="21"/>
      <c r="W41" s="21"/>
    </row>
    <row r="42" spans="1:23" ht="16.5">
      <c r="A42" s="51">
        <f>T.TOLIS!A42</f>
        <v>10</v>
      </c>
      <c r="B42" s="311" t="str">
        <f>T.TOLIS!B42</f>
        <v>Pengelolaan Pembacaan Meter</v>
      </c>
      <c r="C42" s="441"/>
      <c r="D42" s="53"/>
      <c r="E42" s="61"/>
      <c r="F42" s="53">
        <f>T.TOLIS!F42</f>
        <v>8</v>
      </c>
      <c r="G42" s="89"/>
      <c r="H42" s="89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95"/>
      <c r="V42" s="21"/>
      <c r="W42" s="21"/>
    </row>
    <row r="43" spans="1:23" ht="16.5">
      <c r="A43" s="51"/>
      <c r="B43" s="52" t="str">
        <f>T.TOLIS!B43</f>
        <v>a. Jumlah Pengguna Swa Cam</v>
      </c>
      <c r="C43" s="441" t="str">
        <f>T.TOLIS!C43</f>
        <v>ñ</v>
      </c>
      <c r="D43" s="53" t="str">
        <f>T.TOLIS!D43</f>
        <v>Pelanggan</v>
      </c>
      <c r="E43" s="61"/>
      <c r="F43" s="53"/>
      <c r="G43" s="89">
        <f>T.TOLIS!G43</f>
        <v>2110</v>
      </c>
      <c r="H43" s="89">
        <f>T.TOLIS!H43</f>
        <v>2110</v>
      </c>
      <c r="I43" s="145">
        <f>PI!AH234</f>
        <v>3556</v>
      </c>
      <c r="J43" s="145">
        <f>PI!AI234</f>
        <v>3261</v>
      </c>
      <c r="K43" s="145">
        <f>PI!AJ234</f>
        <v>3619</v>
      </c>
      <c r="L43" s="145">
        <f>PI!AK234</f>
        <v>3317</v>
      </c>
      <c r="M43" s="145">
        <f>PI!AL234</f>
        <v>3190.2</v>
      </c>
      <c r="N43" s="145">
        <f>PI!AM234</f>
        <v>3122.1666666666665</v>
      </c>
      <c r="O43" s="145">
        <f>PI!AN234</f>
        <v>3082.1428571428573</v>
      </c>
      <c r="P43" s="145">
        <f>PI!AO234</f>
        <v>3052.125</v>
      </c>
      <c r="Q43" s="145">
        <f>PI!AP234</f>
        <v>3004</v>
      </c>
      <c r="R43" s="145">
        <f>PI!AQ234</f>
        <v>3004</v>
      </c>
      <c r="S43" s="145">
        <f>PI!AR234</f>
        <v>3004</v>
      </c>
      <c r="T43" s="145">
        <f>PI!AS234</f>
        <v>3004</v>
      </c>
      <c r="V43" s="21"/>
      <c r="W43" s="21"/>
    </row>
    <row r="44" spans="1:23" ht="33">
      <c r="A44" s="51"/>
      <c r="B44" s="52" t="str">
        <f>T.TOLIS!B44</f>
        <v>b. Tindak Lanjut LBKB (Laporan Bulanan Kelainan Baca Meter)</v>
      </c>
      <c r="C44" s="441" t="str">
        <f>T.TOLIS!C44</f>
        <v>ò</v>
      </c>
      <c r="D44" s="53" t="str">
        <f>T.TOLIS!D44</f>
        <v>Pelanggan</v>
      </c>
      <c r="E44" s="61"/>
      <c r="F44" s="53"/>
      <c r="G44" s="89">
        <f>T.TOLIS!G44</f>
        <v>0</v>
      </c>
      <c r="H44" s="89">
        <f>T.TOLIS!H44</f>
        <v>0</v>
      </c>
      <c r="I44" s="145">
        <v>0</v>
      </c>
      <c r="J44" s="145">
        <v>0</v>
      </c>
      <c r="K44" s="145">
        <v>0</v>
      </c>
      <c r="L44" s="145">
        <v>0</v>
      </c>
      <c r="M44" s="145">
        <v>0</v>
      </c>
      <c r="N44" s="145">
        <v>0</v>
      </c>
      <c r="O44" s="145">
        <v>0</v>
      </c>
      <c r="P44" s="145">
        <v>0</v>
      </c>
      <c r="Q44" s="145">
        <v>0</v>
      </c>
      <c r="R44" s="145">
        <v>0</v>
      </c>
      <c r="S44" s="145">
        <v>0</v>
      </c>
      <c r="T44" s="145">
        <v>0</v>
      </c>
      <c r="V44" s="21"/>
      <c r="W44" s="21"/>
    </row>
    <row r="45" spans="1:23" ht="16.5">
      <c r="A45" s="51">
        <f>T.TOLIS!A45</f>
        <v>11</v>
      </c>
      <c r="B45" s="311" t="str">
        <f>T.TOLIS!B45</f>
        <v>Sisa Stand Bongkar Migrasi</v>
      </c>
      <c r="C45" s="441" t="str">
        <f>T.TOLIS!C45</f>
        <v>ñ</v>
      </c>
      <c r="D45" s="53" t="str">
        <f>T.TOLIS!D45</f>
        <v>%</v>
      </c>
      <c r="E45" s="61"/>
      <c r="F45" s="53">
        <f>T.TOLIS!F45</f>
        <v>3</v>
      </c>
      <c r="G45" s="89">
        <f>T.TOLIS!G45</f>
        <v>100</v>
      </c>
      <c r="H45" s="89">
        <f>T.TOLIS!H45</f>
        <v>100</v>
      </c>
      <c r="I45" s="145">
        <f>PI!AH246</f>
        <v>100</v>
      </c>
      <c r="J45" s="145">
        <f>PI!AI246</f>
        <v>100</v>
      </c>
      <c r="K45" s="145">
        <f>PI!AJ246</f>
        <v>100</v>
      </c>
      <c r="L45" s="145">
        <f>PI!AK246</f>
        <v>100</v>
      </c>
      <c r="M45" s="145">
        <f>PI!AL246</f>
        <v>100</v>
      </c>
      <c r="N45" s="145">
        <f>PI!AM246</f>
        <v>100</v>
      </c>
      <c r="O45" s="145">
        <f>PI!AN246</f>
        <v>100</v>
      </c>
      <c r="P45" s="145">
        <f>PI!AO246</f>
        <v>100</v>
      </c>
      <c r="Q45" s="145">
        <f>PI!AP246</f>
        <v>100</v>
      </c>
      <c r="R45" s="145">
        <f>PI!AQ246</f>
        <v>100</v>
      </c>
      <c r="S45" s="145">
        <f>PI!AR246</f>
        <v>100</v>
      </c>
      <c r="T45" s="145">
        <f>PI!AS246</f>
        <v>100</v>
      </c>
      <c r="V45" s="21"/>
      <c r="W45" s="21"/>
    </row>
    <row r="46" spans="1:23" ht="16.5">
      <c r="A46" s="51">
        <f>T.TOLIS!A46</f>
        <v>12</v>
      </c>
      <c r="B46" s="311" t="str">
        <f>T.TOLIS!B46</f>
        <v>Percepatan Cash In</v>
      </c>
      <c r="C46" s="441"/>
      <c r="D46" s="53"/>
      <c r="E46" s="61"/>
      <c r="F46" s="53">
        <f>T.TOLIS!F46</f>
        <v>9</v>
      </c>
      <c r="G46" s="89"/>
      <c r="H46" s="89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V46" s="21"/>
      <c r="W46" s="21"/>
    </row>
    <row r="47" spans="1:23" ht="33">
      <c r="A47" s="51"/>
      <c r="B47" s="52" t="str">
        <f>T.TOLIS!B47</f>
        <v>a. Persentase Rata-Rata Saldo Tanggal 20 Non Kogol 1 dan Non Kogol 2</v>
      </c>
      <c r="C47" s="441" t="str">
        <f>T.TOLIS!C47</f>
        <v>ò</v>
      </c>
      <c r="D47" s="53" t="str">
        <f>T.TOLIS!D47</f>
        <v>Rp. Juta</v>
      </c>
      <c r="E47" s="61"/>
      <c r="F47" s="53"/>
      <c r="G47" s="89">
        <f>T.TOLIS!G47</f>
        <v>303</v>
      </c>
      <c r="H47" s="89">
        <f>T.TOLIS!H47</f>
        <v>303</v>
      </c>
      <c r="I47" s="145">
        <f>PI!AH264</f>
        <v>292.510561</v>
      </c>
      <c r="J47" s="145">
        <f>PI!AI264</f>
        <v>239.5197235</v>
      </c>
      <c r="K47" s="145">
        <f>PI!AJ264</f>
        <v>184.76773166666666</v>
      </c>
      <c r="L47" s="145">
        <f>PI!AK264</f>
        <v>175.622862</v>
      </c>
      <c r="M47" s="145">
        <f>PI!AL264</f>
        <v>240.06880959999998</v>
      </c>
      <c r="N47" s="145">
        <f>PI!AM264</f>
        <v>231.35805433333334</v>
      </c>
      <c r="O47" s="145">
        <f>PI!AN264</f>
        <v>223.27793771428574</v>
      </c>
      <c r="P47" s="145">
        <f>PI!AO264</f>
        <v>223.46695562500003</v>
      </c>
      <c r="Q47" s="145">
        <f>PI!AP264</f>
        <v>243.64695700000004</v>
      </c>
      <c r="R47" s="145">
        <f>PI!AQ264</f>
        <v>243.64695700000004</v>
      </c>
      <c r="S47" s="145">
        <f>PI!AR264</f>
        <v>243.64695700000004</v>
      </c>
      <c r="T47" s="145">
        <f>PI!AS264</f>
        <v>243.64695700000004</v>
      </c>
      <c r="V47" s="21"/>
      <c r="W47" s="21"/>
    </row>
    <row r="48" spans="1:23" ht="33">
      <c r="A48" s="51"/>
      <c r="B48" s="52" t="str">
        <f>T.TOLIS!B48</f>
        <v>b. Pencapaian Saldo Rata-Rata Akhir Bulan Non Kogol 1 dan Non Kogol 2</v>
      </c>
      <c r="C48" s="441" t="str">
        <f>T.TOLIS!C48</f>
        <v>ò</v>
      </c>
      <c r="D48" s="53" t="str">
        <f>T.TOLIS!D48</f>
        <v>Rp. Juta</v>
      </c>
      <c r="E48" s="61"/>
      <c r="F48" s="53"/>
      <c r="G48" s="89">
        <f>T.TOLIS!G45</f>
        <v>100</v>
      </c>
      <c r="H48" s="89">
        <f>T.TOLIS!H45</f>
        <v>100</v>
      </c>
      <c r="I48" s="145">
        <f>PI!AH286</f>
        <v>141.13633999999999</v>
      </c>
      <c r="J48" s="145">
        <f>PI!AI286</f>
        <v>72.285492499999989</v>
      </c>
      <c r="K48" s="145">
        <f>PI!AJ286</f>
        <v>48.270994999999992</v>
      </c>
      <c r="L48" s="145">
        <f>PI!AK286</f>
        <v>39.791144749999994</v>
      </c>
      <c r="M48" s="145">
        <f>PI!AL286</f>
        <v>32.084212399999998</v>
      </c>
      <c r="N48" s="145">
        <f>PI!AM286</f>
        <v>30.291526999999999</v>
      </c>
      <c r="O48" s="145">
        <f>PI!AN286</f>
        <v>26.43360357142857</v>
      </c>
      <c r="P48" s="145">
        <f>PI!AO286</f>
        <v>23.51059025</v>
      </c>
      <c r="Q48" s="145">
        <f>PI!AP286</f>
        <v>24.760700222222223</v>
      </c>
      <c r="R48" s="145">
        <f>PI!AQ286</f>
        <v>24.760700222222223</v>
      </c>
      <c r="S48" s="145">
        <f>PI!AR286</f>
        <v>24.760700222222223</v>
      </c>
      <c r="T48" s="145">
        <f>PI!AS286</f>
        <v>24.760700222222223</v>
      </c>
    </row>
    <row r="49" spans="1:20" ht="16.5">
      <c r="A49" s="51"/>
      <c r="B49" s="52" t="str">
        <f>T.TOLIS!B49</f>
        <v>c. Pencapaian Pelunasan PRR</v>
      </c>
      <c r="C49" s="441" t="str">
        <f>T.TOLIS!C49</f>
        <v>ñ</v>
      </c>
      <c r="D49" s="53" t="str">
        <f>T.TOLIS!D49</f>
        <v>Rp. Juta</v>
      </c>
      <c r="E49" s="61"/>
      <c r="F49" s="53"/>
      <c r="G49" s="89">
        <f>T.TOLIS!G46</f>
        <v>0</v>
      </c>
      <c r="H49" s="89">
        <f>T.TOLIS!H46</f>
        <v>0</v>
      </c>
      <c r="I49" s="145">
        <f>PI!AH309</f>
        <v>0</v>
      </c>
      <c r="J49" s="145">
        <f>PI!AI309</f>
        <v>0</v>
      </c>
      <c r="K49" s="145">
        <f>PI!AJ309</f>
        <v>0.97739100000000001</v>
      </c>
      <c r="L49" s="145">
        <f>PI!AK309</f>
        <v>1.844376</v>
      </c>
      <c r="M49" s="145">
        <f>PI!AL309</f>
        <v>8.7684359999999995</v>
      </c>
      <c r="N49" s="145">
        <f>PI!AM309</f>
        <v>8.7684359999999995</v>
      </c>
      <c r="O49" s="145">
        <f>PI!AN309</f>
        <v>8.7684359999999995</v>
      </c>
      <c r="P49" s="145">
        <f>PI!AO309</f>
        <v>8.7684359999999995</v>
      </c>
      <c r="Q49" s="145">
        <f>PI!AP309</f>
        <v>12.490337</v>
      </c>
      <c r="R49" s="145">
        <f>PI!AQ309</f>
        <v>0</v>
      </c>
      <c r="S49" s="145">
        <f>PI!AR309</f>
        <v>0</v>
      </c>
      <c r="T49" s="145">
        <f>PI!AS309</f>
        <v>0</v>
      </c>
    </row>
    <row r="50" spans="1:20" ht="16.5">
      <c r="A50" s="51">
        <f>T.TOLIS!A50</f>
        <v>13</v>
      </c>
      <c r="B50" s="311" t="str">
        <f>T.TOLIS!B50</f>
        <v>Kepatuhan :</v>
      </c>
      <c r="C50" s="441"/>
      <c r="D50" s="53">
        <f>T.TOLIS!D50</f>
        <v>0</v>
      </c>
      <c r="E50" s="61" t="str">
        <f>T.TOLIS!E44</f>
        <v>Tidak ada LBKB Gangguan Baca dan Gangguan Meter Pelanggan Pascabayar diatas 3 bulan berturut-turut</v>
      </c>
      <c r="F50" s="53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111"/>
    </row>
    <row r="51" spans="1:20" ht="16.5">
      <c r="A51" s="51"/>
      <c r="B51" s="52" t="str">
        <f>T.TOLIS!B51</f>
        <v>a. Pengelolaan K3, Keamanan dan Lingkungan Hidup</v>
      </c>
      <c r="C51" s="441"/>
      <c r="D51" s="53">
        <f>T.TOLIS!D51</f>
        <v>0</v>
      </c>
      <c r="E51" s="61" t="e">
        <f>T.TOLIS!#REF!</f>
        <v>#REF!</v>
      </c>
      <c r="F51" s="53" t="str">
        <f>T.TOLIS!F51</f>
        <v>Max-8</v>
      </c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111"/>
    </row>
    <row r="52" spans="1:20" ht="33">
      <c r="A52" s="51"/>
      <c r="B52" s="52" t="str">
        <f>T.TOLIS!B52</f>
        <v>b. Maturity Level Implementasi Sistem Manajemen Anti Penyuapan (SMAP)</v>
      </c>
      <c r="C52" s="441"/>
      <c r="D52" s="53">
        <f>T.TOLIS!D52</f>
        <v>0</v>
      </c>
      <c r="E52" s="61" t="e">
        <f>T.TOLIS!#REF!</f>
        <v>#REF!</v>
      </c>
      <c r="F52" s="53" t="str">
        <f>T.TOLIS!F52</f>
        <v>Max-4</v>
      </c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111"/>
    </row>
    <row r="53" spans="1:20" ht="33">
      <c r="A53" s="51"/>
      <c r="B53" s="52" t="str">
        <f>T.TOLIS!B53</f>
        <v>c. Ketepatan penyampaian pelaporan dan
Akurasi Data Kinerja</v>
      </c>
      <c r="C53" s="441"/>
      <c r="D53" s="53">
        <f>T.TOLIS!D53</f>
        <v>0</v>
      </c>
      <c r="E53" s="61" t="e">
        <f>T.TOLIS!#REF!</f>
        <v>#REF!</v>
      </c>
      <c r="F53" s="53" t="str">
        <f>T.TOLIS!F53</f>
        <v>Max-10</v>
      </c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111"/>
    </row>
    <row r="54" spans="1:20" ht="16.5">
      <c r="A54" s="51"/>
      <c r="B54" s="52" t="str">
        <f>T.TOLIS!B54</f>
        <v>d. Tindak Lanjut Temuan Auditor</v>
      </c>
      <c r="C54" s="441"/>
      <c r="D54" s="53">
        <f>T.TOLIS!D54</f>
        <v>0</v>
      </c>
      <c r="E54" s="61"/>
      <c r="F54" s="53" t="str">
        <f>T.TOLIS!F54</f>
        <v>Max-5</v>
      </c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111"/>
    </row>
    <row r="55" spans="1:20" ht="33">
      <c r="A55" s="51"/>
      <c r="B55" s="52" t="str">
        <f>T.TOLIS!B55</f>
        <v>e. Pencapaian Beyond RKAP</v>
      </c>
      <c r="C55" s="441"/>
      <c r="D55" s="53">
        <f>T.TOLIS!D55</f>
        <v>0</v>
      </c>
      <c r="E55" s="61" t="e">
        <f>T.TOLIS!#REF!</f>
        <v>#REF!</v>
      </c>
      <c r="F55" s="53" t="str">
        <f>T.TOLIS!F55</f>
        <v>Max-2
Max+2</v>
      </c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111"/>
    </row>
    <row r="56" spans="1:20" s="163" customFormat="1" ht="16.5">
      <c r="A56" s="54"/>
      <c r="B56" s="55" t="str">
        <f>T.TOLIS!B56</f>
        <v>TOTAL BOBOT</v>
      </c>
      <c r="C56" s="442"/>
      <c r="D56" s="129"/>
      <c r="E56" s="55"/>
      <c r="F56" s="139">
        <f>F7+F18</f>
        <v>100</v>
      </c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</row>
    <row r="58" spans="1:20">
      <c r="A58" s="2"/>
      <c r="B58" s="3" t="s">
        <v>369</v>
      </c>
      <c r="C58" s="444"/>
      <c r="D58" s="4">
        <f>COUNTA(D8:D55)</f>
        <v>37</v>
      </c>
      <c r="E58" s="2"/>
      <c r="F58" s="4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60" spans="1:20">
      <c r="A60" s="63" t="s">
        <v>370</v>
      </c>
      <c r="B60" s="26"/>
      <c r="C60" s="445"/>
      <c r="D60" s="25"/>
      <c r="E60" s="25"/>
      <c r="F60" s="25"/>
      <c r="G60" s="25"/>
      <c r="H60" s="25"/>
      <c r="I60" s="25"/>
      <c r="J60" s="25"/>
      <c r="K60" s="25"/>
      <c r="L60" s="25"/>
      <c r="M60" s="25"/>
      <c r="Q60" s="25"/>
      <c r="S60" s="25"/>
    </row>
    <row r="61" spans="1:20">
      <c r="A61" s="25">
        <v>3</v>
      </c>
      <c r="B61" s="64" t="s">
        <v>371</v>
      </c>
      <c r="C61" s="445"/>
      <c r="D61" s="25"/>
      <c r="E61" s="25"/>
      <c r="F61" s="25"/>
      <c r="G61" s="25"/>
      <c r="H61" s="25"/>
      <c r="I61" s="25"/>
      <c r="J61" s="25"/>
      <c r="K61" s="25"/>
      <c r="L61" s="25"/>
      <c r="M61" s="25"/>
      <c r="Q61" s="25"/>
      <c r="S61" s="25"/>
    </row>
    <row r="62" spans="1:20">
      <c r="A62" s="25">
        <v>1</v>
      </c>
      <c r="B62" s="64" t="s">
        <v>372</v>
      </c>
      <c r="C62" s="445"/>
      <c r="D62" s="25"/>
      <c r="E62" s="25"/>
      <c r="F62" s="25"/>
      <c r="G62" s="25"/>
      <c r="H62" s="25"/>
      <c r="I62" s="25"/>
      <c r="J62" s="25"/>
      <c r="K62" s="25"/>
      <c r="L62" s="25"/>
      <c r="M62" s="25"/>
      <c r="Q62" s="25"/>
      <c r="S62" s="25"/>
    </row>
    <row r="63" spans="1:20">
      <c r="A63" s="25"/>
      <c r="B63" s="26"/>
      <c r="C63" s="445"/>
      <c r="D63" s="25"/>
      <c r="E63" s="25"/>
      <c r="F63" s="25"/>
      <c r="G63" s="25"/>
      <c r="H63" s="25"/>
      <c r="I63" s="25"/>
      <c r="J63" s="25"/>
      <c r="K63" s="25"/>
      <c r="L63" s="25"/>
      <c r="M63" s="25"/>
      <c r="Q63" s="25"/>
      <c r="S63" s="25"/>
    </row>
    <row r="64" spans="1:20">
      <c r="A64" s="25"/>
      <c r="B64" s="26"/>
      <c r="C64" s="445"/>
      <c r="D64" s="25"/>
      <c r="E64" s="25"/>
      <c r="F64" s="25"/>
      <c r="G64" s="25"/>
      <c r="H64" s="25"/>
      <c r="I64" s="25"/>
      <c r="J64" s="25"/>
      <c r="K64" s="25"/>
      <c r="L64" s="25"/>
      <c r="M64" s="25"/>
      <c r="Q64" s="25"/>
      <c r="S64" s="25"/>
    </row>
    <row r="65" spans="1:19">
      <c r="A65" s="24"/>
      <c r="B65" s="23"/>
      <c r="C65" s="445"/>
      <c r="D65" s="24"/>
      <c r="E65" s="24"/>
      <c r="F65" s="24"/>
      <c r="G65" s="24"/>
      <c r="H65" s="24"/>
      <c r="I65" s="24"/>
      <c r="J65" s="24"/>
      <c r="K65" s="24"/>
      <c r="L65" s="24"/>
      <c r="M65" s="24"/>
    </row>
    <row r="66" spans="1:19">
      <c r="Q66" s="24"/>
      <c r="S66" s="24"/>
    </row>
  </sheetData>
  <mergeCells count="9">
    <mergeCell ref="H4:H5"/>
    <mergeCell ref="I4:T4"/>
    <mergeCell ref="B6:C6"/>
    <mergeCell ref="E4:E5"/>
    <mergeCell ref="A4:A5"/>
    <mergeCell ref="B4:C5"/>
    <mergeCell ref="D4:D5"/>
    <mergeCell ref="F4:F5"/>
    <mergeCell ref="G4:G5"/>
  </mergeCells>
  <conditionalFormatting sqref="A61">
    <cfRule type="iconSet" priority="28">
      <iconSet iconSet="3ArrowsGray" showValue="0">
        <cfvo type="percent" val="0"/>
        <cfvo type="num" val="2"/>
        <cfvo type="num" val="3"/>
      </iconSet>
    </cfRule>
    <cfRule type="iconSet" priority="30">
      <iconSet iconSet="3ArrowsGray" showValue="0">
        <cfvo type="percent" val="0"/>
        <cfvo type="num" val="2"/>
        <cfvo type="num" val="3"/>
      </iconSet>
    </cfRule>
    <cfRule type="iconSet" priority="32">
      <iconSet iconSet="3ArrowsGray" showValue="0">
        <cfvo type="percent" val="0"/>
        <cfvo type="num" val="2"/>
        <cfvo type="num" val="3"/>
      </iconSet>
    </cfRule>
    <cfRule type="iconSet" priority="34">
      <iconSet iconSet="3ArrowsGray" showValue="0">
        <cfvo type="percent" val="0"/>
        <cfvo type="num" val="2"/>
        <cfvo type="num" val="3"/>
      </iconSet>
    </cfRule>
  </conditionalFormatting>
  <conditionalFormatting sqref="A62">
    <cfRule type="iconSet" priority="27">
      <iconSet iconSet="3ArrowsGray" showValue="0">
        <cfvo type="percent" val="0"/>
        <cfvo type="num" val="2"/>
        <cfvo type="num" val="3"/>
      </iconSet>
    </cfRule>
    <cfRule type="iconSet" priority="29">
      <iconSet iconSet="3ArrowsGray" showValue="0">
        <cfvo type="percent" val="0"/>
        <cfvo type="num" val="2"/>
        <cfvo type="num" val="3"/>
      </iconSet>
    </cfRule>
    <cfRule type="iconSet" priority="31">
      <iconSet iconSet="3ArrowsGray" showValue="0">
        <cfvo type="percent" val="0"/>
        <cfvo type="num" val="2"/>
        <cfvo type="num" val="3"/>
      </iconSet>
    </cfRule>
    <cfRule type="iconSet" priority="33">
      <iconSet iconSet="3ArrowsGray" showValue="0">
        <cfvo type="percent" val="0"/>
        <cfvo type="num" val="2"/>
        <cfvo type="num" val="3"/>
      </iconSet>
    </cfRule>
  </conditionalFormatting>
  <conditionalFormatting sqref="C8:C17">
    <cfRule type="iconSet" priority="47733">
      <iconSet iconSet="3ArrowsGray" showValue="0">
        <cfvo type="percent" val="0"/>
        <cfvo type="num" val="2"/>
        <cfvo type="num" val="3"/>
      </iconSet>
    </cfRule>
    <cfRule type="iconSet" priority="47734">
      <iconSet iconSet="3ArrowsGray" showValue="0">
        <cfvo type="percent" val="0"/>
        <cfvo type="num" val="2"/>
        <cfvo type="num" val="3"/>
      </iconSet>
    </cfRule>
  </conditionalFormatting>
  <conditionalFormatting sqref="C19:C55">
    <cfRule type="iconSet" priority="47737">
      <iconSet iconSet="3ArrowsGray" showValue="0">
        <cfvo type="percent" val="0"/>
        <cfvo type="num" val="2"/>
        <cfvo type="num" val="3"/>
      </iconSet>
    </cfRule>
  </conditionalFormatting>
  <conditionalFormatting sqref="C57">
    <cfRule type="iconSet" priority="37">
      <iconSet iconSet="3ArrowsGray" showValue="0">
        <cfvo type="percent" val="0"/>
        <cfvo type="num" val="2"/>
        <cfvo type="num" val="3"/>
      </iconSet>
    </cfRule>
    <cfRule type="iconSet" priority="39">
      <iconSet iconSet="3ArrowsGray" showValue="0">
        <cfvo type="percent" val="0"/>
        <cfvo type="num" val="2"/>
        <cfvo type="num" val="3"/>
      </iconSet>
    </cfRule>
  </conditionalFormatting>
  <conditionalFormatting sqref="C58">
    <cfRule type="iconSet" priority="43">
      <iconSet iconSet="3ArrowsGray" showValue="0">
        <cfvo type="percent" val="0"/>
        <cfvo type="num" val="2"/>
        <cfvo type="num" val="3"/>
      </iconSet>
    </cfRule>
  </conditionalFormatting>
  <conditionalFormatting sqref="D57 H57">
    <cfRule type="iconSet" priority="38">
      <iconSet iconSet="3ArrowsGray" showValue="0">
        <cfvo type="percent" val="0"/>
        <cfvo type="num" val="2"/>
        <cfvo type="num" val="3"/>
      </iconSet>
    </cfRule>
  </conditionalFormatting>
  <conditionalFormatting sqref="D57">
    <cfRule type="iconSet" priority="41">
      <iconSet iconSet="3ArrowsGray" showValue="0">
        <cfvo type="percent" val="0"/>
        <cfvo type="num" val="2"/>
        <cfvo type="num" val="3"/>
      </iconSet>
    </cfRule>
  </conditionalFormatting>
  <conditionalFormatting sqref="E57">
    <cfRule type="iconSet" priority="40">
      <iconSet iconSet="3ArrowsGray" showValue="0">
        <cfvo type="percent" val="0"/>
        <cfvo type="num" val="2"/>
        <cfvo type="num" val="3"/>
      </iconSet>
    </cfRule>
  </conditionalFormatting>
  <conditionalFormatting sqref="H57">
    <cfRule type="iconSet" priority="36">
      <iconSet iconSet="3ArrowsGray" showValue="0">
        <cfvo type="percent" val="0"/>
        <cfvo type="num" val="2"/>
        <cfvo type="num" val="3"/>
      </iconSet>
    </cfRule>
  </conditionalFormatting>
  <conditionalFormatting sqref="H58:T58">
    <cfRule type="iconSet" priority="42">
      <iconSet iconSet="3ArrowsGray" showValue="0">
        <cfvo type="percent" val="0"/>
        <cfvo type="num" val="2"/>
        <cfvo type="num" val="3"/>
      </iconSet>
    </cfRule>
    <cfRule type="iconSet" priority="44">
      <iconSet iconSet="3ArrowsGray" showValue="0">
        <cfvo type="percent" val="0"/>
        <cfvo type="num" val="2"/>
        <cfvo type="num" val="3"/>
      </iconSet>
    </cfRule>
  </conditionalFormatting>
  <conditionalFormatting sqref="I57:T57">
    <cfRule type="iconSet" priority="35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10000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1:W66"/>
  <sheetViews>
    <sheetView workbookViewId="0"/>
  </sheetViews>
  <sheetFormatPr defaultColWidth="9.140625" defaultRowHeight="15"/>
  <cols>
    <col min="1" max="1" width="5.5703125" customWidth="1"/>
    <col min="2" max="2" width="47.85546875" customWidth="1"/>
    <col min="3" max="3" width="9.7109375" style="443" customWidth="1"/>
    <col min="4" max="4" width="11.7109375" customWidth="1"/>
    <col min="5" max="5" width="113.5703125" hidden="1" customWidth="1"/>
    <col min="6" max="6" width="7.7109375" bestFit="1" customWidth="1"/>
    <col min="7" max="7" width="11" customWidth="1"/>
    <col min="8" max="8" width="12" bestFit="1" customWidth="1"/>
    <col min="9" max="20" width="12.140625" customWidth="1"/>
    <col min="21" max="21" width="13.28515625" bestFit="1" customWidth="1"/>
  </cols>
  <sheetData>
    <row r="1" spans="1:22" s="30" customFormat="1" ht="15.75">
      <c r="A1" s="28"/>
      <c r="B1" s="29" t="s">
        <v>271</v>
      </c>
      <c r="C1" s="439"/>
      <c r="D1" s="28"/>
      <c r="E1" s="28"/>
      <c r="I1" s="22"/>
      <c r="U1" s="31"/>
      <c r="V1" s="31"/>
    </row>
    <row r="2" spans="1:22" s="30" customFormat="1" ht="15.75">
      <c r="A2" s="28"/>
      <c r="B2" s="29" t="s">
        <v>123</v>
      </c>
      <c r="C2" s="439"/>
      <c r="D2" s="28"/>
      <c r="E2" s="28"/>
      <c r="U2" s="31"/>
      <c r="V2" s="31"/>
    </row>
    <row r="3" spans="1:22" s="30" customFormat="1" ht="15.75">
      <c r="A3" s="28"/>
      <c r="B3" s="29" t="s">
        <v>377</v>
      </c>
      <c r="C3" s="439"/>
      <c r="D3" s="28"/>
      <c r="E3" s="28"/>
      <c r="U3" s="31"/>
      <c r="V3" s="31"/>
    </row>
    <row r="4" spans="1:22" ht="15" customHeight="1">
      <c r="A4" s="735" t="s">
        <v>8</v>
      </c>
      <c r="B4" s="737" t="s">
        <v>9</v>
      </c>
      <c r="C4" s="738"/>
      <c r="D4" s="713" t="s">
        <v>93</v>
      </c>
      <c r="E4" s="718" t="s">
        <v>272</v>
      </c>
      <c r="F4" s="713" t="s">
        <v>99</v>
      </c>
      <c r="G4" s="713" t="s">
        <v>374</v>
      </c>
      <c r="H4" s="713" t="s">
        <v>375</v>
      </c>
      <c r="I4" s="730" t="s">
        <v>376</v>
      </c>
      <c r="J4" s="731"/>
      <c r="K4" s="731"/>
      <c r="L4" s="731"/>
      <c r="M4" s="731"/>
      <c r="N4" s="731"/>
      <c r="O4" s="731"/>
      <c r="P4" s="731"/>
      <c r="Q4" s="731"/>
      <c r="R4" s="731"/>
      <c r="S4" s="731"/>
      <c r="T4" s="732"/>
    </row>
    <row r="5" spans="1:22" ht="15" customHeight="1">
      <c r="A5" s="736"/>
      <c r="B5" s="739"/>
      <c r="C5" s="740"/>
      <c r="D5" s="714"/>
      <c r="E5" s="719"/>
      <c r="F5" s="714"/>
      <c r="G5" s="714"/>
      <c r="H5" s="714"/>
      <c r="I5" s="602" t="s">
        <v>94</v>
      </c>
      <c r="J5" s="602" t="s">
        <v>95</v>
      </c>
      <c r="K5" s="602" t="s">
        <v>96</v>
      </c>
      <c r="L5" s="602" t="s">
        <v>97</v>
      </c>
      <c r="M5" s="602" t="s">
        <v>98</v>
      </c>
      <c r="N5" s="602" t="s">
        <v>153</v>
      </c>
      <c r="O5" s="602" t="s">
        <v>163</v>
      </c>
      <c r="P5" s="602" t="s">
        <v>165</v>
      </c>
      <c r="Q5" s="602" t="s">
        <v>167</v>
      </c>
      <c r="R5" s="602" t="s">
        <v>169</v>
      </c>
      <c r="S5" s="602" t="s">
        <v>171</v>
      </c>
      <c r="T5" s="602" t="s">
        <v>174</v>
      </c>
    </row>
    <row r="6" spans="1:22" ht="15" customHeight="1">
      <c r="A6" s="605">
        <v>1</v>
      </c>
      <c r="B6" s="733">
        <v>2</v>
      </c>
      <c r="C6" s="734"/>
      <c r="D6" s="647">
        <v>3</v>
      </c>
      <c r="E6" s="603">
        <v>4</v>
      </c>
      <c r="F6" s="647">
        <v>4</v>
      </c>
      <c r="G6" s="647">
        <v>5</v>
      </c>
      <c r="H6" s="602">
        <v>6</v>
      </c>
      <c r="I6" s="647">
        <v>7</v>
      </c>
      <c r="J6" s="602">
        <v>8</v>
      </c>
      <c r="K6" s="647">
        <v>9</v>
      </c>
      <c r="L6" s="602">
        <v>10</v>
      </c>
      <c r="M6" s="647">
        <v>11</v>
      </c>
      <c r="N6" s="602">
        <v>12</v>
      </c>
      <c r="O6" s="647">
        <v>13</v>
      </c>
      <c r="P6" s="602">
        <v>14</v>
      </c>
      <c r="Q6" s="647">
        <v>15</v>
      </c>
      <c r="R6" s="602">
        <v>16</v>
      </c>
      <c r="S6" s="647">
        <v>17</v>
      </c>
      <c r="T6" s="602">
        <v>18</v>
      </c>
    </row>
    <row r="7" spans="1:22" ht="15" customHeight="1">
      <c r="A7" s="47" t="s">
        <v>269</v>
      </c>
      <c r="B7" s="48" t="str">
        <f>T.TOLIS!B7</f>
        <v>Key Performance Indicators</v>
      </c>
      <c r="C7" s="440"/>
      <c r="D7" s="50"/>
      <c r="E7" s="48"/>
      <c r="F7" s="62">
        <f>SUM(F8:F17)</f>
        <v>40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</row>
    <row r="8" spans="1:22" ht="16.5">
      <c r="A8" s="51">
        <f>T.LEOK!A8</f>
        <v>1</v>
      </c>
      <c r="B8" s="311" t="str">
        <f>T.LEOK!B8</f>
        <v>Penjualan Tenaga Listrik</v>
      </c>
      <c r="C8" s="441" t="str">
        <f>T.LEOK!C8</f>
        <v>ñ</v>
      </c>
      <c r="D8" s="53" t="str">
        <f>T.LEOK!D8</f>
        <v>GWh</v>
      </c>
      <c r="E8" s="53" t="str">
        <f>T.LEOK!E8</f>
        <v>Total penjualan tenaga listrik</v>
      </c>
      <c r="F8" s="53">
        <f>T.LEOK!F8</f>
        <v>14</v>
      </c>
      <c r="G8" s="312">
        <f>T.LEOK!G8</f>
        <v>25.92</v>
      </c>
      <c r="H8" s="312">
        <f>T.LEOK!H8</f>
        <v>52.76</v>
      </c>
      <c r="I8" s="89">
        <f>KPI!AH11</f>
        <v>5.0476841700000001</v>
      </c>
      <c r="J8" s="89">
        <f>KPI!AI11</f>
        <v>9.2606318190000003</v>
      </c>
      <c r="K8" s="89">
        <f>KPI!AJ11</f>
        <v>13.557085798000001</v>
      </c>
      <c r="L8" s="89">
        <f>KPI!AK11</f>
        <v>17.302419342</v>
      </c>
      <c r="M8" s="89">
        <f>KPI!AL11</f>
        <v>21.423936208000001</v>
      </c>
      <c r="N8" s="89">
        <f>KPI!AM11</f>
        <v>25.687128249000001</v>
      </c>
      <c r="O8" s="89">
        <f>KPI!AN11</f>
        <v>30.000446562</v>
      </c>
      <c r="P8" s="89">
        <f>KPI!AO11</f>
        <v>34.460204871000002</v>
      </c>
      <c r="Q8" s="89">
        <f>KPI!AP11</f>
        <v>38.821155293000004</v>
      </c>
      <c r="R8" s="89">
        <f>KPI!AQ11</f>
        <v>0</v>
      </c>
      <c r="S8" s="89">
        <f>KPI!AR11</f>
        <v>0</v>
      </c>
      <c r="T8" s="89">
        <f>KPI!AS11</f>
        <v>0</v>
      </c>
    </row>
    <row r="9" spans="1:22" ht="15" customHeight="1">
      <c r="A9" s="51">
        <f>T.LEOK!A9</f>
        <v>2</v>
      </c>
      <c r="B9" s="311" t="str">
        <f>T.LEOK!B9</f>
        <v>Keandalan Sistem</v>
      </c>
      <c r="C9" s="441"/>
      <c r="D9" s="53"/>
      <c r="E9" s="61"/>
      <c r="F9" s="53">
        <f>T.LEOK!F9</f>
        <v>14</v>
      </c>
      <c r="G9" s="312"/>
      <c r="H9" s="312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111"/>
    </row>
    <row r="10" spans="1:22" ht="15" customHeight="1">
      <c r="A10" s="51"/>
      <c r="B10" s="52" t="str">
        <f>T.LEOK!B10</f>
        <v>a. SAIDI (sesuai kewenangan)</v>
      </c>
      <c r="C10" s="441" t="str">
        <f>T.LEOK!C10</f>
        <v>ò</v>
      </c>
      <c r="D10" s="53" t="str">
        <f>T.LEOK!D10</f>
        <v>Menit/plg</v>
      </c>
      <c r="E10" s="61" t="e">
        <f>#REF!</f>
        <v>#REF!</v>
      </c>
      <c r="F10" s="53"/>
      <c r="G10" s="312">
        <f>T.LEOK!G10</f>
        <v>151.34</v>
      </c>
      <c r="H10" s="312">
        <f>T.LEOK!H10</f>
        <v>302.68</v>
      </c>
      <c r="I10" s="89">
        <f>KPI!AH35</f>
        <v>26.386050020958503</v>
      </c>
      <c r="J10" s="89">
        <f>KPI!AI35</f>
        <v>30.397213941437048</v>
      </c>
      <c r="K10" s="89">
        <f>KPI!AJ35</f>
        <v>31.13457455677208</v>
      </c>
      <c r="L10" s="89">
        <f>KPI!AK35</f>
        <v>43.83850480755909</v>
      </c>
      <c r="M10" s="89">
        <f>KPI!AL35</f>
        <v>89.018717168924525</v>
      </c>
      <c r="N10" s="89">
        <f>KPI!AM35</f>
        <v>131.2654684786504</v>
      </c>
      <c r="O10" s="89">
        <f>KPI!AN35</f>
        <v>155.86345635553599</v>
      </c>
      <c r="P10" s="89">
        <f>KPI!AO35</f>
        <v>155.5875226039783</v>
      </c>
      <c r="Q10" s="89">
        <f>KPI!AP35</f>
        <v>167.87464569509299</v>
      </c>
      <c r="R10" s="89">
        <f>KPI!AQ35</f>
        <v>0</v>
      </c>
      <c r="S10" s="89">
        <f>KPI!AR35</f>
        <v>0</v>
      </c>
      <c r="T10" s="89">
        <f>KPI!AS35</f>
        <v>0</v>
      </c>
    </row>
    <row r="11" spans="1:22" ht="15" customHeight="1">
      <c r="A11" s="51"/>
      <c r="B11" s="52" t="str">
        <f>T.LEOK!B11</f>
        <v>b. SAIFI (sesuai kewenangan)</v>
      </c>
      <c r="C11" s="441" t="str">
        <f>T.LEOK!C11</f>
        <v>ò</v>
      </c>
      <c r="D11" s="53" t="str">
        <f>T.LEOK!D11</f>
        <v>Kali/plg</v>
      </c>
      <c r="E11" s="61"/>
      <c r="F11" s="53"/>
      <c r="G11" s="312">
        <f>T.LEOK!G11</f>
        <v>1.6</v>
      </c>
      <c r="H11" s="312">
        <f>T.LEOK!H11</f>
        <v>3.2</v>
      </c>
      <c r="I11" s="89">
        <f>KPI!AH57</f>
        <v>0.32815425457593966</v>
      </c>
      <c r="J11" s="89">
        <f>KPI!AI57</f>
        <v>0.36962638954670829</v>
      </c>
      <c r="K11" s="89">
        <f>KPI!AJ57</f>
        <v>0.45734452287000499</v>
      </c>
      <c r="L11" s="89">
        <f>KPI!AK57</f>
        <v>0.59691318684363659</v>
      </c>
      <c r="M11" s="89">
        <f>KPI!AL57</f>
        <v>1.0137959635056677</v>
      </c>
      <c r="N11" s="89">
        <f>KPI!AM57</f>
        <v>1.3611379110731316</v>
      </c>
      <c r="O11" s="89">
        <f>KPI!AN57</f>
        <v>1.6419338870249161</v>
      </c>
      <c r="P11" s="89">
        <f>KPI!AO57</f>
        <v>1.6472135459477231</v>
      </c>
      <c r="Q11" s="89">
        <f>KPI!AP57</f>
        <v>1.763059446765517</v>
      </c>
      <c r="R11" s="89">
        <f>KPI!AQ57</f>
        <v>0</v>
      </c>
      <c r="S11" s="89">
        <f>KPI!AR57</f>
        <v>0</v>
      </c>
      <c r="T11" s="89">
        <f>KPI!AS57</f>
        <v>0</v>
      </c>
    </row>
    <row r="12" spans="1:22" ht="15" customHeight="1">
      <c r="A12" s="51"/>
      <c r="B12" s="52" t="str">
        <f>T.LEOK!B12</f>
        <v>c. ENS (sesuai kewenangan)</v>
      </c>
      <c r="C12" s="441" t="str">
        <f>T.LEOK!C12</f>
        <v>ò</v>
      </c>
      <c r="D12" s="53" t="str">
        <f>T.LEOK!D12</f>
        <v>MWh</v>
      </c>
      <c r="E12" s="61"/>
      <c r="F12" s="53"/>
      <c r="G12" s="312">
        <f>T.LEOK!G12</f>
        <v>14.69</v>
      </c>
      <c r="H12" s="312">
        <f>T.LEOK!H12</f>
        <v>29.39</v>
      </c>
      <c r="I12" s="89">
        <f>KPI!AH75</f>
        <v>2.7029999999999998</v>
      </c>
      <c r="J12" s="89">
        <f>KPI!AI75</f>
        <v>3.355</v>
      </c>
      <c r="K12" s="89">
        <f>KPI!AJ75</f>
        <v>3.5830000000000002</v>
      </c>
      <c r="L12" s="89">
        <f>KPI!AK75</f>
        <v>4.8600000000000003</v>
      </c>
      <c r="M12" s="89">
        <f>KPI!AL75</f>
        <v>8.0020000000000007</v>
      </c>
      <c r="N12" s="89">
        <f>KPI!AM75</f>
        <v>10.838000000000001</v>
      </c>
      <c r="O12" s="89">
        <f>KPI!AN75</f>
        <v>12.664000000000001</v>
      </c>
      <c r="P12" s="89">
        <f>KPI!AO75</f>
        <v>12.686000000000002</v>
      </c>
      <c r="Q12" s="89">
        <f>KPI!AP75</f>
        <v>14.169000000000002</v>
      </c>
      <c r="R12" s="89">
        <f>KPI!AQ75</f>
        <v>0</v>
      </c>
      <c r="S12" s="89">
        <f>KPI!AR75</f>
        <v>0</v>
      </c>
      <c r="T12" s="89">
        <f>KPI!AS75</f>
        <v>0</v>
      </c>
    </row>
    <row r="13" spans="1:22" ht="15" customHeight="1">
      <c r="A13" s="51">
        <f>T.LEOK!A13</f>
        <v>3</v>
      </c>
      <c r="B13" s="311" t="str">
        <f>T.LEOK!B13</f>
        <v>Efisiensi Jaringan Distribusi</v>
      </c>
      <c r="C13" s="441"/>
      <c r="D13" s="53"/>
      <c r="E13" s="61"/>
      <c r="F13" s="53">
        <f>T.LEOK!F13</f>
        <v>12</v>
      </c>
      <c r="G13" s="312"/>
      <c r="H13" s="312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111"/>
    </row>
    <row r="14" spans="1:22" ht="15" customHeight="1">
      <c r="A14" s="51"/>
      <c r="B14" s="52" t="str">
        <f>T.LEOK!B14</f>
        <v>a. Susut Distribusi Tanpa E-min (sesuai kewenangan)</v>
      </c>
      <c r="C14" s="441" t="str">
        <f>T.LEOK!C14</f>
        <v>ò</v>
      </c>
      <c r="D14" s="53" t="str">
        <f>T.LEOK!D14</f>
        <v>%</v>
      </c>
      <c r="E14" s="61"/>
      <c r="F14" s="53"/>
      <c r="G14" s="312">
        <f>T.LEOK!G14</f>
        <v>10.82</v>
      </c>
      <c r="H14" s="312">
        <f>T.LEOK!H14</f>
        <v>10.35</v>
      </c>
      <c r="I14" s="89">
        <f>KPI!AH93</f>
        <v>-13.955661650139845</v>
      </c>
      <c r="J14" s="89">
        <f>KPI!AI93</f>
        <v>-4.650942620126532</v>
      </c>
      <c r="K14" s="89">
        <f>KPI!AJ93</f>
        <v>2.653542683207148</v>
      </c>
      <c r="L14" s="89">
        <f>KPI!AK93</f>
        <v>7.3350255707589476</v>
      </c>
      <c r="M14" s="89">
        <f>KPI!AL93</f>
        <v>9.5498288721732809</v>
      </c>
      <c r="N14" s="89">
        <f>KPI!AM93</f>
        <v>9.8068621374288316</v>
      </c>
      <c r="O14" s="89">
        <f>KPI!AN93</f>
        <v>10.690451858883089</v>
      </c>
      <c r="P14" s="89">
        <f>KPI!AO93</f>
        <v>10.794904975039504</v>
      </c>
      <c r="Q14" s="89">
        <f>KPI!AP93</f>
        <v>11.082476818198327</v>
      </c>
      <c r="R14" s="89">
        <f>KPI!AQ93</f>
        <v>0</v>
      </c>
      <c r="S14" s="89">
        <f>KPI!AR93</f>
        <v>0</v>
      </c>
      <c r="T14" s="89">
        <f>KPI!AS93</f>
        <v>0</v>
      </c>
    </row>
    <row r="15" spans="1:22" ht="15" customHeight="1">
      <c r="A15" s="51"/>
      <c r="B15" s="52" t="str">
        <f>T.LEOK!B15</f>
        <v>b. Perolehan Temuan P2TL</v>
      </c>
      <c r="C15" s="441" t="str">
        <f>T.LEOK!C15</f>
        <v>ñ</v>
      </c>
      <c r="D15" s="53" t="str">
        <f>T.LEOK!D15</f>
        <v>%</v>
      </c>
      <c r="E15" s="61" t="e">
        <f>#REF!</f>
        <v>#REF!</v>
      </c>
      <c r="F15" s="53"/>
      <c r="G15" s="312">
        <f>T.LEOK!G15</f>
        <v>0</v>
      </c>
      <c r="H15" s="312">
        <f>T.LEOK!H15</f>
        <v>0</v>
      </c>
      <c r="I15" s="89">
        <v>0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</row>
    <row r="16" spans="1:22" ht="15" customHeight="1">
      <c r="A16" s="51"/>
      <c r="B16" s="52" t="str">
        <f>T.LEOK!B16</f>
        <v>b. Penyelesaian Temuan P2TL</v>
      </c>
      <c r="C16" s="441" t="str">
        <f>T.LEOK!C16</f>
        <v>ñ</v>
      </c>
      <c r="D16" s="53" t="str">
        <f>T.LEOK!D16</f>
        <v>%</v>
      </c>
      <c r="E16" s="61" t="e">
        <f>#REF!</f>
        <v>#REF!</v>
      </c>
      <c r="F16" s="53"/>
      <c r="G16" s="312">
        <f>T.LEOK!G16</f>
        <v>40</v>
      </c>
      <c r="H16" s="312">
        <f>T.LEOK!H16</f>
        <v>100</v>
      </c>
      <c r="I16" s="89">
        <f>KPI!AH117</f>
        <v>9.3707999999999991</v>
      </c>
      <c r="J16" s="89">
        <f>KPI!AI117</f>
        <v>9.7013333333333325</v>
      </c>
      <c r="K16" s="89">
        <f>KPI!AJ117</f>
        <v>16.819866666666666</v>
      </c>
      <c r="L16" s="89">
        <f>KPI!AK117</f>
        <v>24.103666666666665</v>
      </c>
      <c r="M16" s="89">
        <f>KPI!AL117</f>
        <v>31.534266666666667</v>
      </c>
      <c r="N16" s="89">
        <f>KPI!AM117</f>
        <v>45.771333333333331</v>
      </c>
      <c r="O16" s="89">
        <f>KPI!AN117</f>
        <v>53.532466666666664</v>
      </c>
      <c r="P16" s="89">
        <f>KPI!AO117</f>
        <v>66.910799999999995</v>
      </c>
      <c r="Q16" s="89">
        <f>KPI!AP117</f>
        <v>79.757666666666665</v>
      </c>
      <c r="R16" s="89">
        <f>KPI!AQ117</f>
        <v>79.757666666666665</v>
      </c>
      <c r="S16" s="89">
        <f>KPI!AR117</f>
        <v>79.757666666666665</v>
      </c>
      <c r="T16" s="89">
        <f>KPI!AS117</f>
        <v>79.757666666666665</v>
      </c>
    </row>
    <row r="17" spans="1:20" ht="15" customHeight="1">
      <c r="A17" s="51"/>
      <c r="B17" s="52" t="str">
        <f>T.LEOK!B17</f>
        <v>c. Penyelesaian Ganti Meter</v>
      </c>
      <c r="C17" s="441" t="str">
        <f>T.LEOK!C17</f>
        <v>ñ</v>
      </c>
      <c r="D17" s="53" t="str">
        <f>T.LEOK!D17</f>
        <v>Unit</v>
      </c>
      <c r="E17" s="61" t="e">
        <f>#REF!</f>
        <v>#REF!</v>
      </c>
      <c r="F17" s="53"/>
      <c r="G17" s="312">
        <f>T.LEOK!G17</f>
        <v>657</v>
      </c>
      <c r="H17" s="312">
        <f>T.LEOK!H17</f>
        <v>1091</v>
      </c>
      <c r="I17" s="89">
        <f>KPI!AH131</f>
        <v>0</v>
      </c>
      <c r="J17" s="89">
        <f>KPI!AI131</f>
        <v>93</v>
      </c>
      <c r="K17" s="89">
        <f>KPI!AJ131</f>
        <v>303</v>
      </c>
      <c r="L17" s="89">
        <f>KPI!AK131</f>
        <v>392</v>
      </c>
      <c r="M17" s="89">
        <f>KPI!AL131</f>
        <v>534</v>
      </c>
      <c r="N17" s="89">
        <f>KPI!AM131</f>
        <v>599</v>
      </c>
      <c r="O17" s="89">
        <f>KPI!AN131</f>
        <v>728</v>
      </c>
      <c r="P17" s="89">
        <f>KPI!AO131</f>
        <v>728</v>
      </c>
      <c r="Q17" s="89">
        <f>KPI!AP131</f>
        <v>828</v>
      </c>
      <c r="R17" s="89">
        <f>KPI!AQ131</f>
        <v>828</v>
      </c>
      <c r="S17" s="89">
        <f>KPI!AR131</f>
        <v>828</v>
      </c>
      <c r="T17" s="89">
        <f>KPI!AS131</f>
        <v>828</v>
      </c>
    </row>
    <row r="18" spans="1:20" ht="15" customHeight="1">
      <c r="A18" s="47" t="str">
        <f>T.LEOK!A18:B18</f>
        <v>II</v>
      </c>
      <c r="B18" s="48" t="str">
        <f>T.LEOK!B18</f>
        <v>Perfomance Indicators</v>
      </c>
      <c r="C18" s="440"/>
      <c r="D18" s="50"/>
      <c r="E18" s="48"/>
      <c r="F18" s="139">
        <f>SUM(F19:F55)</f>
        <v>60</v>
      </c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80"/>
    </row>
    <row r="19" spans="1:20" ht="15" customHeight="1">
      <c r="A19" s="51">
        <f>T.LEOK!A19</f>
        <v>4</v>
      </c>
      <c r="B19" s="315" t="str">
        <f>T.LEOK!B19</f>
        <v>Keandalan Jaringan Distribusi</v>
      </c>
      <c r="C19" s="441"/>
      <c r="D19" s="53"/>
      <c r="E19" s="61"/>
      <c r="F19" s="53">
        <f>T.LEOK!F19</f>
        <v>9</v>
      </c>
      <c r="G19" s="89"/>
      <c r="H19" s="89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95"/>
    </row>
    <row r="20" spans="1:20" ht="16.5">
      <c r="A20" s="51"/>
      <c r="B20" s="319" t="str">
        <f>T.LEOK!B20</f>
        <v>a. Gangguan TM &gt; 5 Menit</v>
      </c>
      <c r="C20" s="441" t="str">
        <f>T.LEOK!C20</f>
        <v>ò</v>
      </c>
      <c r="D20" s="53" t="str">
        <f>T.LEOK!D20</f>
        <v>Kali</v>
      </c>
      <c r="E20" s="61" t="e">
        <f>#REF!</f>
        <v>#REF!</v>
      </c>
      <c r="F20" s="53"/>
      <c r="G20" s="89">
        <f>T.LEOK!G20</f>
        <v>15.999999999999998</v>
      </c>
      <c r="H20" s="89">
        <f>T.LEOK!H20</f>
        <v>30</v>
      </c>
      <c r="I20" s="145">
        <f>PI!AH11</f>
        <v>2</v>
      </c>
      <c r="J20" s="145">
        <f>PI!AI11</f>
        <v>5</v>
      </c>
      <c r="K20" s="145">
        <f>PI!AJ11</f>
        <v>8</v>
      </c>
      <c r="L20" s="145">
        <f>PI!AK11</f>
        <v>10</v>
      </c>
      <c r="M20" s="145">
        <f>PI!AL11</f>
        <v>13</v>
      </c>
      <c r="N20" s="145">
        <f>PI!AM11</f>
        <v>13</v>
      </c>
      <c r="O20" s="145">
        <f>PI!AN11</f>
        <v>15</v>
      </c>
      <c r="P20" s="145">
        <f>PI!AO11</f>
        <v>15</v>
      </c>
      <c r="Q20" s="145">
        <f>PI!AP11</f>
        <v>16</v>
      </c>
      <c r="R20" s="145">
        <f>PI!AQ11</f>
        <v>16</v>
      </c>
      <c r="S20" s="145">
        <f>PI!AR11</f>
        <v>16</v>
      </c>
      <c r="T20" s="145">
        <f>PI!AS11</f>
        <v>16</v>
      </c>
    </row>
    <row r="21" spans="1:20" ht="16.5">
      <c r="A21" s="51"/>
      <c r="B21" s="319" t="str">
        <f>T.LEOK!B21</f>
        <v>b. Gangguan TM ≤ 5 Menit</v>
      </c>
      <c r="C21" s="441" t="str">
        <f>T.LEOK!C21</f>
        <v>ò</v>
      </c>
      <c r="D21" s="53" t="str">
        <f>T.LEOK!D21</f>
        <v>Kali</v>
      </c>
      <c r="E21" s="61" t="e">
        <f>#REF!</f>
        <v>#REF!</v>
      </c>
      <c r="F21" s="53"/>
      <c r="G21" s="89">
        <f>T.LEOK!G21</f>
        <v>22</v>
      </c>
      <c r="H21" s="89">
        <f>T.LEOK!H21</f>
        <v>44</v>
      </c>
      <c r="I21" s="145">
        <f>PI!AH12</f>
        <v>0</v>
      </c>
      <c r="J21" s="145">
        <f>PI!AI12</f>
        <v>2</v>
      </c>
      <c r="K21" s="145">
        <f>PI!AJ12</f>
        <v>3</v>
      </c>
      <c r="L21" s="145">
        <f>PI!AK12</f>
        <v>4</v>
      </c>
      <c r="M21" s="145">
        <f>PI!AL12</f>
        <v>15</v>
      </c>
      <c r="N21" s="145">
        <f>PI!AM12</f>
        <v>19</v>
      </c>
      <c r="O21" s="145">
        <f>PI!AN12</f>
        <v>20</v>
      </c>
      <c r="P21" s="145">
        <f>PI!AO12</f>
        <v>20</v>
      </c>
      <c r="Q21" s="145">
        <f>PI!AP12</f>
        <v>21</v>
      </c>
      <c r="R21" s="145">
        <f>PI!AQ12</f>
        <v>21</v>
      </c>
      <c r="S21" s="145">
        <f>PI!AR12</f>
        <v>21</v>
      </c>
      <c r="T21" s="145">
        <f>PI!AS12</f>
        <v>21</v>
      </c>
    </row>
    <row r="22" spans="1:20" ht="16.5">
      <c r="A22" s="51"/>
      <c r="B22" s="319" t="str">
        <f>T.LEOK!B22</f>
        <v>c. Kerusakan Peralatan Distribusi (PHB TM dan Trafo) Sesuai Kewenangan</v>
      </c>
      <c r="C22" s="441" t="str">
        <f>T.LEOK!C22</f>
        <v>ò</v>
      </c>
      <c r="D22" s="53" t="str">
        <f>T.LEOK!D22</f>
        <v>Unit</v>
      </c>
      <c r="E22" s="61" t="e">
        <f>#REF!</f>
        <v>#REF!</v>
      </c>
      <c r="F22" s="53"/>
      <c r="G22" s="89">
        <f>T.LEOK!G22</f>
        <v>1</v>
      </c>
      <c r="H22" s="89">
        <f>T.LEOK!H22</f>
        <v>1</v>
      </c>
      <c r="I22" s="145">
        <f>PI!AH36</f>
        <v>0</v>
      </c>
      <c r="J22" s="145">
        <f>PI!AI36</f>
        <v>0</v>
      </c>
      <c r="K22" s="145">
        <f>PI!AJ36</f>
        <v>0</v>
      </c>
      <c r="L22" s="145">
        <f>PI!AK36</f>
        <v>0</v>
      </c>
      <c r="M22" s="145">
        <f>PI!AL36</f>
        <v>0</v>
      </c>
      <c r="N22" s="145">
        <f>PI!AM36</f>
        <v>0</v>
      </c>
      <c r="O22" s="145">
        <f>PI!AN36</f>
        <v>0</v>
      </c>
      <c r="P22" s="145">
        <f>PI!AO36</f>
        <v>0</v>
      </c>
      <c r="Q22" s="145">
        <f>PI!AP36</f>
        <v>0</v>
      </c>
      <c r="R22" s="145">
        <f>PI!AQ36</f>
        <v>0</v>
      </c>
      <c r="S22" s="145">
        <f>PI!AR36</f>
        <v>0</v>
      </c>
      <c r="T22" s="145">
        <f>PI!AS36</f>
        <v>0</v>
      </c>
    </row>
    <row r="23" spans="1:20" ht="15" customHeight="1">
      <c r="A23" s="51">
        <f>T.LEOK!A23</f>
        <v>5</v>
      </c>
      <c r="B23" s="315" t="str">
        <f>T.LEOK!B23</f>
        <v>Peningkatan Layanan</v>
      </c>
      <c r="C23" s="441"/>
      <c r="D23" s="53"/>
      <c r="E23" s="61" t="e">
        <f>#REF!</f>
        <v>#REF!</v>
      </c>
      <c r="F23" s="53">
        <f>T.LEOK!F23</f>
        <v>8</v>
      </c>
      <c r="G23" s="89"/>
      <c r="H23" s="8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</row>
    <row r="24" spans="1:20" ht="15" customHeight="1">
      <c r="A24" s="51"/>
      <c r="B24" s="319" t="str">
        <f>T.LEOK!B24</f>
        <v>a. Feedback Rating Negatif pada PLN Mobile - Gangguan</v>
      </c>
      <c r="C24" s="441" t="str">
        <f>T.LEOK!C24</f>
        <v>ò</v>
      </c>
      <c r="D24" s="53" t="str">
        <f>T.LEOK!D24</f>
        <v>%</v>
      </c>
      <c r="E24" s="61"/>
      <c r="F24" s="53"/>
      <c r="G24" s="89">
        <f>T.LEOK!G24</f>
        <v>0.09</v>
      </c>
      <c r="H24" s="89">
        <f>T.LEOK!H24</f>
        <v>0.09</v>
      </c>
      <c r="I24" s="249">
        <f>PI!AH55</f>
        <v>0</v>
      </c>
      <c r="J24" s="249">
        <f>PI!AI55</f>
        <v>0</v>
      </c>
      <c r="K24" s="249">
        <f>PI!AJ55</f>
        <v>0</v>
      </c>
      <c r="L24" s="249">
        <f>PI!AK55</f>
        <v>0</v>
      </c>
      <c r="M24" s="249">
        <f>PI!AL55</f>
        <v>0</v>
      </c>
      <c r="N24" s="249">
        <f>PI!AM55</f>
        <v>0</v>
      </c>
      <c r="O24" s="249">
        <f>PI!AN55</f>
        <v>0</v>
      </c>
      <c r="P24" s="249">
        <f>PI!AO55</f>
        <v>0</v>
      </c>
      <c r="Q24" s="249">
        <f>PI!AP55</f>
        <v>0</v>
      </c>
      <c r="R24" s="249">
        <f>PI!AQ55</f>
        <v>0</v>
      </c>
      <c r="S24" s="249">
        <f>PI!AR55</f>
        <v>0</v>
      </c>
      <c r="T24" s="249">
        <f>PI!AS55</f>
        <v>0</v>
      </c>
    </row>
    <row r="25" spans="1:20" ht="16.5">
      <c r="A25" s="51"/>
      <c r="B25" s="319" t="str">
        <f>T.LEOK!B25</f>
        <v>b. Pengaduan Gangguan Berulang pada PLN Mobile</v>
      </c>
      <c r="C25" s="441" t="str">
        <f>T.LEOK!C25</f>
        <v>ò</v>
      </c>
      <c r="D25" s="53" t="str">
        <f>T.LEOK!D25</f>
        <v>%</v>
      </c>
      <c r="E25" s="61"/>
      <c r="F25" s="53"/>
      <c r="G25" s="89">
        <f>T.LEOK!G25</f>
        <v>0.04</v>
      </c>
      <c r="H25" s="89">
        <f>T.LEOK!H25</f>
        <v>0.04</v>
      </c>
      <c r="I25" s="249">
        <f>PI!AH77</f>
        <v>0</v>
      </c>
      <c r="J25" s="249">
        <f>PI!AI77</f>
        <v>0</v>
      </c>
      <c r="K25" s="249">
        <f>PI!AJ77</f>
        <v>0</v>
      </c>
      <c r="L25" s="249">
        <f>PI!AK77</f>
        <v>0</v>
      </c>
      <c r="M25" s="249">
        <f>PI!AL77</f>
        <v>0</v>
      </c>
      <c r="N25" s="249">
        <f>PI!AM77</f>
        <v>0</v>
      </c>
      <c r="O25" s="249">
        <f>PI!AN77</f>
        <v>0</v>
      </c>
      <c r="P25" s="249">
        <f>PI!AO77</f>
        <v>0</v>
      </c>
      <c r="Q25" s="249">
        <f>PI!AP77</f>
        <v>0</v>
      </c>
      <c r="R25" s="249">
        <f>PI!AQ77</f>
        <v>0</v>
      </c>
      <c r="S25" s="249">
        <f>PI!AR77</f>
        <v>3.3388981636060099E-2</v>
      </c>
      <c r="T25" s="249">
        <f>PI!AS77</f>
        <v>3.3388981636060099E-2</v>
      </c>
    </row>
    <row r="26" spans="1:20" ht="15" customHeight="1">
      <c r="A26" s="51"/>
      <c r="B26" s="319" t="str">
        <f>T.LEOK!B26</f>
        <v>c. Rating PLN Mobile</v>
      </c>
      <c r="C26" s="441" t="str">
        <f>T.LEOK!C26</f>
        <v>ñ</v>
      </c>
      <c r="D26" s="53" t="str">
        <f>T.LEOK!D26</f>
        <v>Rating</v>
      </c>
      <c r="E26" s="61" t="e">
        <f>#REF!</f>
        <v>#REF!</v>
      </c>
      <c r="F26" s="53"/>
      <c r="G26" s="89">
        <f>T.LEOK!G26</f>
        <v>4.9000000000000004</v>
      </c>
      <c r="H26" s="89">
        <f>T.LEOK!H26</f>
        <v>4.9000000000000004</v>
      </c>
      <c r="I26" s="145">
        <f>PI!AH97</f>
        <v>4.91</v>
      </c>
      <c r="J26" s="145">
        <f>PI!AI97</f>
        <v>4.91</v>
      </c>
      <c r="K26" s="145">
        <f>PI!AJ97</f>
        <v>4.91</v>
      </c>
      <c r="L26" s="145">
        <f>PI!AK97</f>
        <v>4.91</v>
      </c>
      <c r="M26" s="145">
        <f>PI!AL97</f>
        <v>4.9000000000000004</v>
      </c>
      <c r="N26" s="145">
        <f>PI!AM97</f>
        <v>4.9000000000000004</v>
      </c>
      <c r="O26" s="145">
        <f>PI!AN97</f>
        <v>4.9000000000000004</v>
      </c>
      <c r="P26" s="145">
        <f>PI!AO97</f>
        <v>4.9000000000000004</v>
      </c>
      <c r="Q26" s="145">
        <f>PI!AP97</f>
        <v>4.9000000000000004</v>
      </c>
      <c r="R26" s="145">
        <f>PI!AQ97</f>
        <v>4.9000000000000004</v>
      </c>
      <c r="S26" s="145">
        <f>PI!AR97</f>
        <v>4.9000000000000004</v>
      </c>
      <c r="T26" s="145">
        <f>PI!AS97</f>
        <v>4.9000000000000004</v>
      </c>
    </row>
    <row r="27" spans="1:20" ht="15" customHeight="1">
      <c r="A27" s="51"/>
      <c r="B27" s="319" t="str">
        <f>T.LEOK!B27</f>
        <v>d. Jumlah Kali Transaksi Keuangan melalui PLN Mobile</v>
      </c>
      <c r="C27" s="441" t="str">
        <f>T.LEOK!C27</f>
        <v>ñ</v>
      </c>
      <c r="D27" s="53" t="str">
        <f>T.LEOK!D27</f>
        <v>Kali Transaksi</v>
      </c>
      <c r="E27" s="61" t="e">
        <f>#REF!</f>
        <v>#REF!</v>
      </c>
      <c r="F27" s="53"/>
      <c r="G27" s="89">
        <f>T.LEOK!G27</f>
        <v>10664</v>
      </c>
      <c r="H27" s="89">
        <f>T.LEOK!H27</f>
        <v>17774</v>
      </c>
      <c r="I27" s="145">
        <f>PI!AH103</f>
        <v>1054</v>
      </c>
      <c r="J27" s="145">
        <f>PI!AI103</f>
        <v>2171</v>
      </c>
      <c r="K27" s="145">
        <f>PI!AJ103</f>
        <v>5189</v>
      </c>
      <c r="L27" s="145">
        <f>PI!AK103</f>
        <v>7623</v>
      </c>
      <c r="M27" s="145">
        <f>PI!AL103</f>
        <v>10199</v>
      </c>
      <c r="N27" s="145">
        <f>PI!AM103</f>
        <v>12631</v>
      </c>
      <c r="O27" s="145">
        <f>PI!AN103</f>
        <v>15277</v>
      </c>
      <c r="P27" s="145">
        <f>PI!AO103</f>
        <v>16938</v>
      </c>
      <c r="Q27" s="145">
        <f>PI!AP103</f>
        <v>18553</v>
      </c>
      <c r="R27" s="145">
        <f>PI!AQ103</f>
        <v>0</v>
      </c>
      <c r="S27" s="145">
        <f>PI!AR103</f>
        <v>0</v>
      </c>
      <c r="T27" s="145">
        <f>PI!AS103</f>
        <v>0</v>
      </c>
    </row>
    <row r="28" spans="1:20" ht="15" customHeight="1">
      <c r="A28" s="51">
        <f>T.LEOK!A28</f>
        <v>6</v>
      </c>
      <c r="B28" s="315" t="str">
        <f>T.LEOK!B28</f>
        <v>Dispatch Respon Time</v>
      </c>
      <c r="C28" s="441"/>
      <c r="D28" s="53"/>
      <c r="E28" s="61"/>
      <c r="F28" s="53">
        <f>T.LEOK!F28</f>
        <v>3</v>
      </c>
      <c r="G28" s="89"/>
      <c r="H28" s="89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</row>
    <row r="29" spans="1:20" ht="15" customHeight="1">
      <c r="A29" s="51"/>
      <c r="B29" s="319" t="str">
        <f>T.LEOK!B29</f>
        <v>a. Response Time atas Gangguan (diluar Clear Tamper)</v>
      </c>
      <c r="C29" s="441" t="str">
        <f>T.LEOK!C29</f>
        <v>ò</v>
      </c>
      <c r="D29" s="53" t="str">
        <f>T.LEOK!D29</f>
        <v>Menit</v>
      </c>
      <c r="E29" s="61"/>
      <c r="F29" s="53"/>
      <c r="G29" s="89">
        <f>T.LEOK!G29</f>
        <v>30</v>
      </c>
      <c r="H29" s="89">
        <f>T.LEOK!H29</f>
        <v>30</v>
      </c>
      <c r="I29" s="145">
        <f>PI!AH115</f>
        <v>6.2834097859327196</v>
      </c>
      <c r="J29" s="145">
        <f>PI!AI115</f>
        <v>6.3765533778148438</v>
      </c>
      <c r="K29" s="145">
        <f>PI!AJ115</f>
        <v>6.4610717515751759</v>
      </c>
      <c r="L29" s="145">
        <f>PI!AK115</f>
        <v>6.5008917231226153</v>
      </c>
      <c r="M29" s="145">
        <f>PI!AL115</f>
        <v>7.8207133784980929</v>
      </c>
      <c r="N29" s="145">
        <f>PI!AM115</f>
        <v>7.9532516180450692</v>
      </c>
      <c r="O29" s="145">
        <f>PI!AN115</f>
        <v>8.0479217891500525</v>
      </c>
      <c r="P29" s="145">
        <f>PI!AO115</f>
        <v>8.3654567384501846</v>
      </c>
      <c r="Q29" s="145">
        <f>PI!AP115</f>
        <v>8.7027642371561775</v>
      </c>
      <c r="R29" s="145">
        <f>PI!AQ115</f>
        <v>8.7027642371561775</v>
      </c>
      <c r="S29" s="145">
        <f>PI!AR115</f>
        <v>8.7027642371561775</v>
      </c>
      <c r="T29" s="145">
        <f>PI!AS115</f>
        <v>8.7027642371561775</v>
      </c>
    </row>
    <row r="30" spans="1:20" ht="15" customHeight="1">
      <c r="A30" s="51"/>
      <c r="B30" s="319" t="str">
        <f>T.LEOK!B30</f>
        <v>b. Success Rate Auto Dispatch Gangguan Individual (diluar Clear Tamper)</v>
      </c>
      <c r="C30" s="441" t="str">
        <f>T.LEOK!C30</f>
        <v>ñ</v>
      </c>
      <c r="D30" s="53" t="str">
        <f>T.LEOK!D30</f>
        <v>%</v>
      </c>
      <c r="E30" s="61"/>
      <c r="F30" s="53"/>
      <c r="G30" s="89">
        <f>T.LEOK!G30</f>
        <v>0</v>
      </c>
      <c r="H30" s="89">
        <f>T.LEOK!H30</f>
        <v>0</v>
      </c>
      <c r="I30" s="145">
        <f>PI!AH131</f>
        <v>0</v>
      </c>
      <c r="J30" s="145">
        <f>PI!AI131</f>
        <v>0</v>
      </c>
      <c r="K30" s="145">
        <f>PI!AJ131</f>
        <v>0</v>
      </c>
      <c r="L30" s="145">
        <f>PI!AK131</f>
        <v>0</v>
      </c>
      <c r="M30" s="145">
        <f>PI!AL131</f>
        <v>0</v>
      </c>
      <c r="N30" s="145">
        <f>PI!AM131</f>
        <v>0</v>
      </c>
      <c r="O30" s="145">
        <f>PI!AN131</f>
        <v>0</v>
      </c>
      <c r="P30" s="145">
        <f>PI!AO131</f>
        <v>0</v>
      </c>
      <c r="Q30" s="145">
        <f>PI!AP131</f>
        <v>0</v>
      </c>
      <c r="R30" s="145">
        <f>PI!AQ131</f>
        <v>0</v>
      </c>
      <c r="S30" s="145">
        <f>PI!AR131</f>
        <v>0</v>
      </c>
      <c r="T30" s="145">
        <f>PI!AS131</f>
        <v>0</v>
      </c>
    </row>
    <row r="31" spans="1:20" ht="16.5">
      <c r="A31" s="51">
        <f>T.LEOK!A31</f>
        <v>7</v>
      </c>
      <c r="B31" s="315" t="str">
        <f>T.LEOK!B31</f>
        <v>Sistem Recovery :</v>
      </c>
      <c r="C31" s="441"/>
      <c r="D31" s="53"/>
      <c r="E31" s="61" t="e">
        <f>#REF!</f>
        <v>#REF!</v>
      </c>
      <c r="F31" s="53">
        <f>T.LEOK!F31</f>
        <v>6</v>
      </c>
      <c r="G31" s="89"/>
      <c r="H31" s="89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</row>
    <row r="32" spans="1:20" ht="16.5">
      <c r="A32" s="51"/>
      <c r="B32" s="319" t="str">
        <f>T.LEOK!B32</f>
        <v>a. Recovery Time Gangguan Meluas TM</v>
      </c>
      <c r="C32" s="441" t="str">
        <f>T.LEOK!C32</f>
        <v>ñ</v>
      </c>
      <c r="D32" s="53" t="str">
        <f>T.LEOK!D32</f>
        <v>%</v>
      </c>
      <c r="E32" s="61"/>
      <c r="F32" s="53"/>
      <c r="G32" s="89">
        <f>T.LEOK!G32</f>
        <v>100</v>
      </c>
      <c r="H32" s="89">
        <f>T.LEOK!H32</f>
        <v>100</v>
      </c>
      <c r="I32" s="145">
        <f>PI!AH148</f>
        <v>108.25</v>
      </c>
      <c r="J32" s="145">
        <f>PI!AI148</f>
        <v>84.25</v>
      </c>
      <c r="K32" s="145">
        <f>PI!AJ148</f>
        <v>101.25</v>
      </c>
      <c r="L32" s="145">
        <f>PI!AK148</f>
        <v>107</v>
      </c>
      <c r="M32" s="145">
        <f>PI!AL148</f>
        <v>109.5</v>
      </c>
      <c r="N32" s="145">
        <f>PI!AM148</f>
        <v>109.5</v>
      </c>
      <c r="O32" s="145">
        <f>PI!AN148</f>
        <v>109.5</v>
      </c>
      <c r="P32" s="145">
        <f>PI!AO148</f>
        <v>110</v>
      </c>
      <c r="Q32" s="145">
        <f>PI!AP148</f>
        <v>110</v>
      </c>
      <c r="R32" s="145">
        <f>PI!AQ148</f>
        <v>0</v>
      </c>
      <c r="S32" s="145">
        <f>PI!AR148</f>
        <v>0</v>
      </c>
      <c r="T32" s="145">
        <f>PI!AS148</f>
        <v>0</v>
      </c>
    </row>
    <row r="33" spans="1:23" ht="16.5">
      <c r="A33" s="51"/>
      <c r="B33" s="319" t="str">
        <f>T.LEOK!B33</f>
        <v>b. Penormalan Siaga 1 Gangguan TM</v>
      </c>
      <c r="C33" s="441" t="str">
        <f>T.LEOK!C33</f>
        <v>ñ</v>
      </c>
      <c r="D33" s="53" t="str">
        <f>T.LEOK!D33</f>
        <v>%</v>
      </c>
      <c r="E33" s="61"/>
      <c r="F33" s="53"/>
      <c r="G33" s="89">
        <f>T.LEOK!G33</f>
        <v>100</v>
      </c>
      <c r="H33" s="89">
        <f>T.LEOK!H33</f>
        <v>100</v>
      </c>
      <c r="I33" s="145">
        <f>PI!AH170</f>
        <v>110</v>
      </c>
      <c r="J33" s="145">
        <f>PI!AI170</f>
        <v>110</v>
      </c>
      <c r="K33" s="145">
        <f>PI!AJ170</f>
        <v>110</v>
      </c>
      <c r="L33" s="145">
        <f>PI!AK170</f>
        <v>110</v>
      </c>
      <c r="M33" s="145">
        <f>PI!AL170</f>
        <v>110</v>
      </c>
      <c r="N33" s="145">
        <f>PI!AM170</f>
        <v>110</v>
      </c>
      <c r="O33" s="145">
        <f>PI!AN170</f>
        <v>110</v>
      </c>
      <c r="P33" s="145">
        <f>PI!AO170</f>
        <v>110</v>
      </c>
      <c r="Q33" s="145">
        <f>PI!AP170</f>
        <v>110</v>
      </c>
      <c r="R33" s="145">
        <f>PI!AQ170</f>
        <v>0</v>
      </c>
      <c r="S33" s="145">
        <f>PI!AR170</f>
        <v>0</v>
      </c>
      <c r="T33" s="145">
        <f>PI!AS170</f>
        <v>0</v>
      </c>
    </row>
    <row r="34" spans="1:23" ht="14.45" customHeight="1">
      <c r="A34" s="51">
        <f>T.LEOK!A34</f>
        <v>8</v>
      </c>
      <c r="B34" s="315" t="str">
        <f>T.LEOK!B34</f>
        <v>Percepatan Penyambungan Pelanggan</v>
      </c>
      <c r="C34" s="441"/>
      <c r="D34" s="53"/>
      <c r="E34" s="61" t="e">
        <f>#REF!</f>
        <v>#REF!</v>
      </c>
      <c r="F34" s="53">
        <f>T.LEOK!F34</f>
        <v>10</v>
      </c>
      <c r="G34" s="89"/>
      <c r="H34" s="89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V34" s="21"/>
      <c r="W34" s="21"/>
    </row>
    <row r="35" spans="1:23" ht="16.5">
      <c r="A35" s="51"/>
      <c r="B35" s="315" t="str">
        <f>T.LEOK!B35</f>
        <v>a. Penambahan Daya Tersambung</v>
      </c>
      <c r="C35" s="441" t="str">
        <f>T.LEOK!C35</f>
        <v>ñ</v>
      </c>
      <c r="D35" s="53" t="str">
        <f>T.LEOK!D35</f>
        <v>MVA</v>
      </c>
      <c r="E35" s="61"/>
      <c r="F35" s="53"/>
      <c r="G35" s="89">
        <f>T.LEOK!G35</f>
        <v>1.38</v>
      </c>
      <c r="H35" s="89">
        <f>T.LEOK!H35</f>
        <v>3.49</v>
      </c>
      <c r="I35" s="145">
        <f>PI!AH195</f>
        <v>0.11225</v>
      </c>
      <c r="J35" s="145">
        <f>PI!AI195</f>
        <v>0.23485</v>
      </c>
      <c r="K35" s="145">
        <f>PI!AJ195</f>
        <v>0.34660000000000002</v>
      </c>
      <c r="L35" s="145">
        <f>PI!AK195</f>
        <v>0.46213333333333334</v>
      </c>
      <c r="M35" s="145">
        <f>PI!AL195</f>
        <v>0.58793333333333331</v>
      </c>
      <c r="N35" s="145">
        <f>PI!AM195</f>
        <v>0.69793333333333329</v>
      </c>
      <c r="O35" s="145">
        <f>PI!AN195</f>
        <v>0.8138333333333333</v>
      </c>
      <c r="P35" s="145">
        <f>PI!AO195</f>
        <v>1.0222333333333333</v>
      </c>
      <c r="Q35" s="145">
        <f>PI!AP195</f>
        <v>1.1843333333333332</v>
      </c>
      <c r="R35" s="145">
        <f>PI!AQ195</f>
        <v>0</v>
      </c>
      <c r="S35" s="145">
        <f>PI!AR195</f>
        <v>0</v>
      </c>
      <c r="T35" s="145">
        <f>PI!AS195</f>
        <v>0</v>
      </c>
    </row>
    <row r="36" spans="1:23" ht="16.5">
      <c r="A36" s="51"/>
      <c r="B36" s="319" t="str">
        <f>T.LEOK!B36</f>
        <v>b. Penambahan Jumlah Pelanggan</v>
      </c>
      <c r="C36" s="441" t="str">
        <f>T.LEOK!C36</f>
        <v>ñ</v>
      </c>
      <c r="D36" s="53" t="str">
        <f>T.LEOK!D36</f>
        <v>Pelanggan</v>
      </c>
      <c r="E36" s="61"/>
      <c r="F36" s="53"/>
      <c r="G36" s="89">
        <f>T.LEOK!G36</f>
        <v>1127</v>
      </c>
      <c r="H36" s="89">
        <f>T.LEOK!H36</f>
        <v>2594</v>
      </c>
      <c r="I36" s="145">
        <f>PI!AH201</f>
        <v>62</v>
      </c>
      <c r="J36" s="145">
        <f>PI!AI201</f>
        <v>170</v>
      </c>
      <c r="K36" s="145">
        <f>PI!AJ201</f>
        <v>263</v>
      </c>
      <c r="L36" s="145">
        <f>PI!AK201</f>
        <v>366</v>
      </c>
      <c r="M36" s="145">
        <f>PI!AL201</f>
        <v>447</v>
      </c>
      <c r="N36" s="145">
        <f>PI!AM201</f>
        <v>554</v>
      </c>
      <c r="O36" s="145">
        <f>PI!AN201</f>
        <v>639</v>
      </c>
      <c r="P36" s="145">
        <f>PI!AO201</f>
        <v>775</v>
      </c>
      <c r="Q36" s="145">
        <f>PI!AP201</f>
        <v>898</v>
      </c>
      <c r="R36" s="145">
        <f>PI!AQ201</f>
        <v>0</v>
      </c>
      <c r="S36" s="145">
        <f>PI!AR201</f>
        <v>0</v>
      </c>
      <c r="T36" s="145">
        <f>PI!AS201</f>
        <v>0</v>
      </c>
    </row>
    <row r="37" spans="1:23" ht="16.5">
      <c r="A37" s="51"/>
      <c r="B37" s="319" t="str">
        <f>T.LEOK!B37</f>
        <v>c. Jumlah Penambahan Pelanggan Produk Tematik</v>
      </c>
      <c r="C37" s="441" t="str">
        <f>T.LEOK!C37</f>
        <v>ñ</v>
      </c>
      <c r="D37" s="53" t="str">
        <f>T.LEOK!D37</f>
        <v>Pelanggan</v>
      </c>
      <c r="E37" s="61"/>
      <c r="F37" s="53"/>
      <c r="G37" s="89">
        <f>T.LEOK!G37</f>
        <v>132</v>
      </c>
      <c r="H37" s="89">
        <f>T.LEOK!H37</f>
        <v>222</v>
      </c>
      <c r="I37" s="145">
        <f>PI!AH207</f>
        <v>19</v>
      </c>
      <c r="J37" s="145">
        <f>PI!AI207</f>
        <v>39</v>
      </c>
      <c r="K37" s="145">
        <f>PI!AJ207</f>
        <v>42</v>
      </c>
      <c r="L37" s="145">
        <f>PI!AK207</f>
        <v>42</v>
      </c>
      <c r="M37" s="145">
        <f>PI!AL207</f>
        <v>58</v>
      </c>
      <c r="N37" s="145">
        <f>PI!AM207</f>
        <v>68</v>
      </c>
      <c r="O37" s="145">
        <f>PI!AN207</f>
        <v>84</v>
      </c>
      <c r="P37" s="145">
        <f>PI!AO207</f>
        <v>108</v>
      </c>
      <c r="Q37" s="145">
        <f>PI!AP207</f>
        <v>118</v>
      </c>
      <c r="R37" s="145">
        <f>PI!AQ207</f>
        <v>0</v>
      </c>
      <c r="S37" s="145">
        <f>PI!AR207</f>
        <v>0</v>
      </c>
      <c r="T37" s="145">
        <f>PI!AS207</f>
        <v>0</v>
      </c>
    </row>
    <row r="38" spans="1:23" ht="15" customHeight="1">
      <c r="A38" s="51"/>
      <c r="B38" s="319" t="str">
        <f>T.LEOK!B38</f>
        <v>d. Implementasi Kesesuaian Sektor Bisnis sesuai KBLI 2020</v>
      </c>
      <c r="C38" s="441" t="str">
        <f>T.LEOK!C38</f>
        <v>ñ</v>
      </c>
      <c r="D38" s="53" t="str">
        <f>T.LEOK!D38</f>
        <v>Pelanggan</v>
      </c>
      <c r="E38" s="61" t="e">
        <f>#REF!</f>
        <v>#REF!</v>
      </c>
      <c r="F38" s="53"/>
      <c r="G38" s="89">
        <f>T.LEOK!G38</f>
        <v>0</v>
      </c>
      <c r="H38" s="89">
        <f>T.LEOK!H38</f>
        <v>0</v>
      </c>
      <c r="I38" s="145">
        <f>PI!AH208</f>
        <v>17</v>
      </c>
      <c r="J38" s="145">
        <f>PI!AI208</f>
        <v>18</v>
      </c>
      <c r="K38" s="145">
        <f>PI!AJ208</f>
        <v>34</v>
      </c>
      <c r="L38" s="145">
        <f>PI!AK208</f>
        <v>34</v>
      </c>
      <c r="M38" s="145">
        <f>PI!AL208</f>
        <v>50</v>
      </c>
      <c r="N38" s="145">
        <f>PI!AM208</f>
        <v>99</v>
      </c>
      <c r="O38" s="145">
        <f>PI!AN208</f>
        <v>99</v>
      </c>
      <c r="P38" s="145">
        <f>PI!AO208</f>
        <v>133</v>
      </c>
      <c r="Q38" s="145">
        <f>PI!AP208</f>
        <v>138</v>
      </c>
      <c r="R38" s="145">
        <f>PI!AQ208</f>
        <v>0</v>
      </c>
      <c r="S38" s="145">
        <f>PI!AR208</f>
        <v>0</v>
      </c>
      <c r="T38" s="145">
        <f>PI!AS208</f>
        <v>0</v>
      </c>
    </row>
    <row r="39" spans="1:23" ht="15" customHeight="1">
      <c r="A39" s="51">
        <f>T.LEOK!A39</f>
        <v>9</v>
      </c>
      <c r="B39" s="315" t="str">
        <f>T.LEOK!B39</f>
        <v>Percepatan Penyambungan Pelanggan Lisdes</v>
      </c>
      <c r="C39" s="441"/>
      <c r="D39" s="53"/>
      <c r="E39" s="61" t="e">
        <f>#REF!</f>
        <v>#REF!</v>
      </c>
      <c r="F39" s="53">
        <f>T.LEOK!F39</f>
        <v>4</v>
      </c>
      <c r="G39" s="89"/>
      <c r="H39" s="89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</row>
    <row r="40" spans="1:23" s="163" customFormat="1" ht="33">
      <c r="A40" s="51"/>
      <c r="B40" s="52" t="str">
        <f>T.LEOK!B40</f>
        <v>a. Penambahan Jumlah Pelanggan Rumah Tangga Lisdes</v>
      </c>
      <c r="C40" s="441" t="str">
        <f>T.LEOK!C40</f>
        <v>ñ</v>
      </c>
      <c r="D40" s="53" t="str">
        <f>T.LEOK!D40</f>
        <v>Pelanggan</v>
      </c>
      <c r="E40" s="61" t="e">
        <f>#REF!</f>
        <v>#REF!</v>
      </c>
      <c r="F40" s="53"/>
      <c r="G40" s="89">
        <f>T.LEOK!G40</f>
        <v>26</v>
      </c>
      <c r="H40" s="89">
        <f>T.LEOK!H40</f>
        <v>37</v>
      </c>
      <c r="I40" s="248">
        <f>PI!AH219</f>
        <v>2</v>
      </c>
      <c r="J40" s="248">
        <f>PI!AI219</f>
        <v>2</v>
      </c>
      <c r="K40" s="248">
        <f>PI!AJ219</f>
        <v>3</v>
      </c>
      <c r="L40" s="248">
        <f>PI!AK219</f>
        <v>9</v>
      </c>
      <c r="M40" s="248">
        <f>PI!AL219</f>
        <v>11</v>
      </c>
      <c r="N40" s="248">
        <f>PI!AM219</f>
        <v>11</v>
      </c>
      <c r="O40" s="248">
        <f>PI!AN219</f>
        <v>13</v>
      </c>
      <c r="P40" s="248">
        <f>PI!AO219</f>
        <v>14</v>
      </c>
      <c r="Q40" s="248">
        <f>PI!AP219</f>
        <v>15</v>
      </c>
      <c r="R40" s="248">
        <f>PI!AQ219</f>
        <v>0</v>
      </c>
      <c r="S40" s="248">
        <f>PI!AR219</f>
        <v>0</v>
      </c>
      <c r="T40" s="248">
        <f>PI!AS219</f>
        <v>0</v>
      </c>
    </row>
    <row r="41" spans="1:23" ht="15" customHeight="1">
      <c r="A41" s="51"/>
      <c r="B41" s="319" t="str">
        <f>T.LEOK!B41</f>
        <v>b. Peningkatan kWh Penjualan dari Pelanggan Rumah Tangga Lisdes</v>
      </c>
      <c r="C41" s="441" t="str">
        <f>T.LEOK!C41</f>
        <v>ñ</v>
      </c>
      <c r="D41" s="53" t="str">
        <f>T.LEOK!D41</f>
        <v>kWh</v>
      </c>
      <c r="E41" s="61"/>
      <c r="F41" s="53"/>
      <c r="G41" s="89">
        <f>T.LEOK!G41</f>
        <v>3369.6</v>
      </c>
      <c r="H41" s="89">
        <f>T.LEOK!H41</f>
        <v>4795.2</v>
      </c>
      <c r="I41" s="248">
        <f>PI!AH225</f>
        <v>450.9</v>
      </c>
      <c r="J41" s="248">
        <f>PI!AI225</f>
        <v>962</v>
      </c>
      <c r="K41" s="248">
        <f>PI!AJ225</f>
        <v>977.7</v>
      </c>
      <c r="L41" s="248">
        <f>PI!AK225</f>
        <v>1322.5</v>
      </c>
      <c r="M41" s="248">
        <f>PI!AL225</f>
        <v>1472.9</v>
      </c>
      <c r="N41" s="248">
        <f>PI!AM225</f>
        <v>1760.1000000000001</v>
      </c>
      <c r="O41" s="248">
        <f>PI!AN225</f>
        <v>2503.7000000000003</v>
      </c>
      <c r="P41" s="248">
        <f>PI!AO225</f>
        <v>2848.1000000000004</v>
      </c>
      <c r="Q41" s="248">
        <f>PI!AP225</f>
        <v>3297.5000000000005</v>
      </c>
      <c r="R41" s="248">
        <f>PI!AQ225</f>
        <v>0</v>
      </c>
      <c r="S41" s="248">
        <f>PI!AR225</f>
        <v>0</v>
      </c>
      <c r="T41" s="248">
        <f>PI!AS225</f>
        <v>0</v>
      </c>
    </row>
    <row r="42" spans="1:23" ht="15" customHeight="1">
      <c r="A42" s="51">
        <f>T.LEOK!A42</f>
        <v>10</v>
      </c>
      <c r="B42" s="315" t="str">
        <f>T.LEOK!B42</f>
        <v>Pengelolaan Pembacaan Meter</v>
      </c>
      <c r="C42" s="441"/>
      <c r="D42" s="53"/>
      <c r="E42" s="61"/>
      <c r="F42" s="53">
        <f>T.LEOK!F42</f>
        <v>8</v>
      </c>
      <c r="G42" s="89"/>
      <c r="H42" s="89"/>
      <c r="I42" s="248"/>
      <c r="J42" s="248"/>
      <c r="K42" s="248"/>
      <c r="L42" s="248"/>
      <c r="M42" s="248"/>
      <c r="N42" s="248"/>
      <c r="O42" s="248"/>
      <c r="P42" s="248"/>
      <c r="Q42" s="248"/>
      <c r="R42" s="248"/>
      <c r="S42" s="248"/>
      <c r="T42" s="248"/>
    </row>
    <row r="43" spans="1:23" ht="15" customHeight="1">
      <c r="A43" s="51"/>
      <c r="B43" s="319" t="str">
        <f>T.LEOK!B43</f>
        <v>a. Jumlah Pengguna Swa Cam</v>
      </c>
      <c r="C43" s="441" t="str">
        <f>T.LEOK!C43</f>
        <v>ñ</v>
      </c>
      <c r="D43" s="53" t="str">
        <f>T.LEOK!D43</f>
        <v>Pelanggan</v>
      </c>
      <c r="E43" s="61"/>
      <c r="F43" s="53"/>
      <c r="G43" s="89">
        <f>T.LEOK!G43</f>
        <v>1449</v>
      </c>
      <c r="H43" s="89">
        <f>T.LEOK!H43</f>
        <v>1449</v>
      </c>
      <c r="I43" s="248">
        <f>PI!AH235</f>
        <v>3652</v>
      </c>
      <c r="J43" s="248">
        <f>PI!AI235</f>
        <v>2886</v>
      </c>
      <c r="K43" s="248">
        <f>PI!AJ235</f>
        <v>2577.5</v>
      </c>
      <c r="L43" s="248">
        <f>PI!AK235</f>
        <v>2413</v>
      </c>
      <c r="M43" s="248">
        <f>PI!AL235</f>
        <v>2114.1999999999998</v>
      </c>
      <c r="N43" s="248">
        <f>PI!AM235</f>
        <v>2007.8333333333333</v>
      </c>
      <c r="O43" s="248">
        <f>PI!AN235</f>
        <v>1907.2857142857142</v>
      </c>
      <c r="P43" s="248">
        <f>PI!AO235</f>
        <v>1822.5</v>
      </c>
      <c r="Q43" s="248">
        <f>PI!AP235</f>
        <v>1775.3333333333333</v>
      </c>
      <c r="R43" s="248">
        <f>PI!AQ235</f>
        <v>1775.3333333333333</v>
      </c>
      <c r="S43" s="248">
        <f>PI!AR235</f>
        <v>1775.3333333333333</v>
      </c>
      <c r="T43" s="248">
        <f>PI!AS235</f>
        <v>1775.3333333333333</v>
      </c>
    </row>
    <row r="44" spans="1:23" ht="15" customHeight="1">
      <c r="A44" s="51"/>
      <c r="B44" s="319" t="str">
        <f>T.LEOK!B44</f>
        <v>b. Tindak Lanjut LBKB (Laporan Bulanan Kelainan Baca Meter)</v>
      </c>
      <c r="C44" s="441" t="str">
        <f>T.LEOK!C44</f>
        <v>ò</v>
      </c>
      <c r="D44" s="53" t="str">
        <f>T.LEOK!D44</f>
        <v>Pelanggan</v>
      </c>
      <c r="E44" s="61"/>
      <c r="F44" s="53"/>
      <c r="G44" s="89">
        <f>T.LEOK!G44</f>
        <v>0</v>
      </c>
      <c r="H44" s="89">
        <f>T.LEOK!H44</f>
        <v>0</v>
      </c>
      <c r="I44" s="248">
        <v>0</v>
      </c>
      <c r="J44" s="248">
        <v>0</v>
      </c>
      <c r="K44" s="248">
        <v>0</v>
      </c>
      <c r="L44" s="248">
        <v>0</v>
      </c>
      <c r="M44" s="248">
        <v>0</v>
      </c>
      <c r="N44" s="248">
        <v>0</v>
      </c>
      <c r="O44" s="248">
        <v>0</v>
      </c>
      <c r="P44" s="248">
        <v>0</v>
      </c>
      <c r="Q44" s="248">
        <v>0</v>
      </c>
      <c r="R44" s="248">
        <v>0</v>
      </c>
      <c r="S44" s="248">
        <v>0</v>
      </c>
      <c r="T44" s="248">
        <v>0</v>
      </c>
    </row>
    <row r="45" spans="1:23" ht="15" customHeight="1">
      <c r="A45" s="51">
        <f>T.LEOK!A45</f>
        <v>11</v>
      </c>
      <c r="B45" s="315" t="str">
        <f>T.LEOK!B45</f>
        <v>Sisa Stand Bongkar Migrasi</v>
      </c>
      <c r="C45" s="441" t="str">
        <f>T.LEOK!C45</f>
        <v>ñ</v>
      </c>
      <c r="D45" s="53"/>
      <c r="E45" s="61"/>
      <c r="F45" s="53">
        <f>T.LEOK!F45</f>
        <v>3</v>
      </c>
      <c r="G45" s="89">
        <f>T.LEOK!G45</f>
        <v>100</v>
      </c>
      <c r="H45" s="89">
        <f>T.LEOK!H45</f>
        <v>100</v>
      </c>
      <c r="I45" s="248">
        <f>PI!AH249</f>
        <v>100</v>
      </c>
      <c r="J45" s="248">
        <f>PI!AI249</f>
        <v>100</v>
      </c>
      <c r="K45" s="248">
        <f>PI!AJ249</f>
        <v>100</v>
      </c>
      <c r="L45" s="248">
        <f>PI!AK249</f>
        <v>100</v>
      </c>
      <c r="M45" s="248">
        <f>PI!AL249</f>
        <v>100</v>
      </c>
      <c r="N45" s="248">
        <f>PI!AM249</f>
        <v>100</v>
      </c>
      <c r="O45" s="248">
        <f>PI!AN249</f>
        <v>100</v>
      </c>
      <c r="P45" s="248">
        <f>PI!AO249</f>
        <v>100</v>
      </c>
      <c r="Q45" s="248">
        <f>PI!AP249</f>
        <v>100</v>
      </c>
      <c r="R45" s="248">
        <f>PI!AQ249</f>
        <v>100</v>
      </c>
      <c r="S45" s="248">
        <f>PI!AR249</f>
        <v>100</v>
      </c>
      <c r="T45" s="248">
        <f>PI!AS249</f>
        <v>100</v>
      </c>
    </row>
    <row r="46" spans="1:23" ht="27.6" customHeight="1">
      <c r="A46" s="51">
        <f>T.LEOK!A46</f>
        <v>12</v>
      </c>
      <c r="B46" s="311" t="str">
        <f>T.LEOK!B46</f>
        <v>Percepatan Cash In</v>
      </c>
      <c r="C46" s="441"/>
      <c r="D46" s="53" t="str">
        <f>T.LEOK!D46</f>
        <v>%</v>
      </c>
      <c r="E46" s="61"/>
      <c r="F46" s="53">
        <f>T.LEOK!F46</f>
        <v>9</v>
      </c>
      <c r="G46" s="89">
        <f>T.LEOK!G46</f>
        <v>0</v>
      </c>
      <c r="H46" s="89">
        <f>T.LEOK!H46</f>
        <v>0</v>
      </c>
      <c r="I46" s="248">
        <f>PI!AH213</f>
        <v>0</v>
      </c>
      <c r="J46" s="248">
        <f>PI!AI213</f>
        <v>0</v>
      </c>
      <c r="K46" s="248">
        <f>PI!AJ213</f>
        <v>0</v>
      </c>
      <c r="L46" s="248">
        <f>PI!AK213</f>
        <v>0</v>
      </c>
      <c r="M46" s="248">
        <f>PI!AL213</f>
        <v>0</v>
      </c>
      <c r="N46" s="248">
        <f>PI!AM213</f>
        <v>0</v>
      </c>
      <c r="O46" s="248">
        <f>PI!AN213</f>
        <v>0</v>
      </c>
      <c r="P46" s="248">
        <f>PI!AO213</f>
        <v>0</v>
      </c>
      <c r="Q46" s="248">
        <f>PI!AP213</f>
        <v>0</v>
      </c>
      <c r="R46" s="248">
        <f>PI!AQ213</f>
        <v>0</v>
      </c>
      <c r="S46" s="248">
        <f>PI!AR213</f>
        <v>0</v>
      </c>
      <c r="T46" s="248">
        <f>PI!AS213</f>
        <v>0</v>
      </c>
    </row>
    <row r="47" spans="1:23" ht="15" customHeight="1">
      <c r="A47" s="51"/>
      <c r="B47" s="315" t="str">
        <f>T.LEOK!B47</f>
        <v>a. Persentase Rata-Rata Saldo Tanggal 20 Non Kogol 1 dan Non Kogol 2</v>
      </c>
      <c r="C47" s="441" t="str">
        <f>T.LEOK!C47</f>
        <v>ò</v>
      </c>
      <c r="D47" s="53" t="str">
        <f>T.LEOK!D47</f>
        <v>Rp. Juta</v>
      </c>
      <c r="E47" s="61"/>
      <c r="F47" s="53"/>
      <c r="G47" s="89">
        <f>T.LEOK!G47</f>
        <v>354</v>
      </c>
      <c r="H47" s="89">
        <f>T.LEOK!H47</f>
        <v>354</v>
      </c>
      <c r="I47" s="248">
        <f>PI!AH267</f>
        <v>432.64853799999997</v>
      </c>
      <c r="J47" s="248">
        <f>PI!AI267</f>
        <v>262.09724999999997</v>
      </c>
      <c r="K47" s="248">
        <f>PI!AJ267</f>
        <v>203.27037699999997</v>
      </c>
      <c r="L47" s="248">
        <f>PI!AK267</f>
        <v>204.79259424999998</v>
      </c>
      <c r="M47" s="248">
        <f>PI!AL267</f>
        <v>203.12221959999997</v>
      </c>
      <c r="N47" s="248">
        <f>PI!AM267</f>
        <v>204.70423233333329</v>
      </c>
      <c r="O47" s="248">
        <f>PI!AN267</f>
        <v>207.58398814285712</v>
      </c>
      <c r="P47" s="248">
        <f>PI!AO267</f>
        <v>212.62195174999999</v>
      </c>
      <c r="Q47" s="248">
        <f>PI!AP267</f>
        <v>214.83072299999998</v>
      </c>
      <c r="R47" s="248">
        <f>PI!AQ267</f>
        <v>214.83072299999998</v>
      </c>
      <c r="S47" s="248">
        <f>PI!AR267</f>
        <v>214.83072299999998</v>
      </c>
      <c r="T47" s="248">
        <f>PI!AS267</f>
        <v>214.83072299999998</v>
      </c>
    </row>
    <row r="48" spans="1:23" ht="15" customHeight="1">
      <c r="A48" s="51"/>
      <c r="B48" s="315" t="str">
        <f>T.LEOK!B48</f>
        <v>b. Pencapaian Saldo Rata-Rata Akhir Bulan Non Kogol 1 dan Non Kogol 2</v>
      </c>
      <c r="C48" s="441" t="str">
        <f>T.LEOK!C48</f>
        <v>ò</v>
      </c>
      <c r="D48" s="53" t="str">
        <f>T.LEOK!D48</f>
        <v>Rp. Juta</v>
      </c>
      <c r="E48" s="61"/>
      <c r="F48" s="53"/>
      <c r="G48" s="89">
        <f>T.LEOK!G48</f>
        <v>4.17</v>
      </c>
      <c r="H48" s="89">
        <f>T.LEOK!H48</f>
        <v>4.17</v>
      </c>
      <c r="I48" s="248">
        <f>PI!AH289</f>
        <v>5.237749</v>
      </c>
      <c r="J48" s="248">
        <f>PI!AI289</f>
        <v>2.6188745</v>
      </c>
      <c r="K48" s="248">
        <f>PI!AJ289</f>
        <v>1.7459163333333334</v>
      </c>
      <c r="L48" s="248">
        <f>PI!AK289</f>
        <v>2.9689424999999998</v>
      </c>
      <c r="M48" s="248">
        <f>PI!AL289</f>
        <v>2.7957200000000002</v>
      </c>
      <c r="N48" s="248">
        <f>PI!AM289</f>
        <v>2.4672841666666669</v>
      </c>
      <c r="O48" s="248">
        <f>PI!AN289</f>
        <v>2.6471661428571429</v>
      </c>
      <c r="P48" s="248">
        <f>PI!AO289</f>
        <v>2.6505557500000001</v>
      </c>
      <c r="Q48" s="248">
        <f>PI!AP289</f>
        <v>2.399983555555556</v>
      </c>
      <c r="R48" s="248">
        <f>PI!AQ289</f>
        <v>2.399983555555556</v>
      </c>
      <c r="S48" s="248">
        <f>PI!AR289</f>
        <v>2.399983555555556</v>
      </c>
      <c r="T48" s="248">
        <f>PI!AS289</f>
        <v>2.399983555555556</v>
      </c>
    </row>
    <row r="49" spans="1:20" ht="15" customHeight="1">
      <c r="A49" s="51"/>
      <c r="B49" s="315" t="str">
        <f>T.LEOK!B49</f>
        <v>c. Pencapaian Pelunasan PRR</v>
      </c>
      <c r="C49" s="441" t="str">
        <f>T.LEOK!C49</f>
        <v>ñ</v>
      </c>
      <c r="D49" s="53" t="str">
        <f>T.LEOK!D49</f>
        <v>Rp. Juta</v>
      </c>
      <c r="E49" s="61"/>
      <c r="F49" s="53"/>
      <c r="G49" s="89">
        <f>T.LEOK!G49</f>
        <v>0</v>
      </c>
      <c r="H49" s="89">
        <f>T.LEOK!H49</f>
        <v>0</v>
      </c>
      <c r="I49" s="248">
        <f>PI!AH312</f>
        <v>0</v>
      </c>
      <c r="J49" s="248">
        <f>PI!AI312</f>
        <v>0</v>
      </c>
      <c r="K49" s="248">
        <f>PI!AJ312</f>
        <v>0</v>
      </c>
      <c r="L49" s="248">
        <f>PI!AK312</f>
        <v>0</v>
      </c>
      <c r="M49" s="248">
        <f>PI!AL312</f>
        <v>0</v>
      </c>
      <c r="N49" s="248">
        <f>PI!AM312</f>
        <v>0</v>
      </c>
      <c r="O49" s="248">
        <f>PI!AN312</f>
        <v>0</v>
      </c>
      <c r="P49" s="248">
        <f>PI!AO312</f>
        <v>0</v>
      </c>
      <c r="Q49" s="248">
        <f>PI!AP312</f>
        <v>0</v>
      </c>
      <c r="R49" s="248">
        <f>PI!AQ312</f>
        <v>0</v>
      </c>
      <c r="S49" s="248">
        <f>PI!AR312</f>
        <v>0</v>
      </c>
      <c r="T49" s="248">
        <f>PI!AS312</f>
        <v>0</v>
      </c>
    </row>
    <row r="50" spans="1:20" ht="15" customHeight="1">
      <c r="A50" s="51">
        <f>T.LEOK!A50</f>
        <v>13</v>
      </c>
      <c r="B50" s="315" t="str">
        <f>T.LEOK!B50</f>
        <v>Kepatuhan :</v>
      </c>
      <c r="C50" s="441"/>
      <c r="D50" s="53"/>
      <c r="E50" s="61"/>
      <c r="F50" s="53"/>
      <c r="G50" s="89"/>
      <c r="H50" s="89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</row>
    <row r="51" spans="1:20" ht="16.5">
      <c r="A51" s="51"/>
      <c r="B51" s="315" t="str">
        <f>T.LEOK!B51</f>
        <v>a. Pengelolaan K3, Keamanan dan Lingkungan Hidup</v>
      </c>
      <c r="C51" s="441"/>
      <c r="D51" s="53"/>
      <c r="E51" s="61" t="e">
        <f>#REF!</f>
        <v>#REF!</v>
      </c>
      <c r="F51" s="53" t="str">
        <f>T.LEOK!F51</f>
        <v>Max-8</v>
      </c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</row>
    <row r="52" spans="1:20" ht="14.45" customHeight="1">
      <c r="A52" s="51"/>
      <c r="B52" s="319" t="str">
        <f>T.LEOK!B52</f>
        <v>b. Maturity Level Implementasi Sistem Manajemen Anti Penyuapan (SMAP)</v>
      </c>
      <c r="C52" s="441"/>
      <c r="D52" s="53"/>
      <c r="E52" s="61" t="e">
        <f>#REF!</f>
        <v>#REF!</v>
      </c>
      <c r="F52" s="53" t="str">
        <f>T.LEOK!F52</f>
        <v>Max-4</v>
      </c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</row>
    <row r="53" spans="1:20" ht="25.9" customHeight="1">
      <c r="A53" s="51"/>
      <c r="B53" s="319" t="str">
        <f>T.LEOK!B53</f>
        <v>c. Ketepatan penyampaian pelaporan dan
Akurasi Data Kinerja</v>
      </c>
      <c r="C53" s="441"/>
      <c r="D53" s="53"/>
      <c r="E53" s="61" t="e">
        <f>#REF!</f>
        <v>#REF!</v>
      </c>
      <c r="F53" s="53" t="str">
        <f>T.LEOK!F53</f>
        <v>Max-10</v>
      </c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111"/>
    </row>
    <row r="54" spans="1:20" ht="16.5">
      <c r="A54" s="51"/>
      <c r="B54" s="319" t="str">
        <f>T.LEOK!B54</f>
        <v>d. Tindak Lanjut Temuan Auditor</v>
      </c>
      <c r="C54" s="441"/>
      <c r="D54" s="53"/>
      <c r="E54" s="61"/>
      <c r="F54" s="53" t="str">
        <f>T.LEOK!F54</f>
        <v>Max-5</v>
      </c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</row>
    <row r="55" spans="1:20" ht="27.6" customHeight="1">
      <c r="A55" s="51"/>
      <c r="B55" s="319" t="str">
        <f>T.LEOK!B55</f>
        <v>e. Pencapaian Beyond RKAP</v>
      </c>
      <c r="C55" s="441"/>
      <c r="D55" s="53"/>
      <c r="E55" s="61" t="e">
        <f>#REF!</f>
        <v>#REF!</v>
      </c>
      <c r="F55" s="53" t="str">
        <f>T.LEOK!F55</f>
        <v>Max-2
Max+2</v>
      </c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</row>
    <row r="56" spans="1:20" s="163" customFormat="1" ht="15" customHeight="1">
      <c r="A56" s="54"/>
      <c r="B56" s="55" t="str">
        <f>T.TOLIS!B56</f>
        <v>TOTAL BOBOT</v>
      </c>
      <c r="C56" s="442"/>
      <c r="D56" s="129"/>
      <c r="E56" s="55"/>
      <c r="F56" s="139">
        <f>F7+F18</f>
        <v>100</v>
      </c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80"/>
    </row>
    <row r="58" spans="1:20">
      <c r="A58" s="2"/>
      <c r="B58" s="3" t="s">
        <v>369</v>
      </c>
      <c r="C58" s="444"/>
      <c r="D58" s="4">
        <f>COUNTA(D8:D55)</f>
        <v>31</v>
      </c>
      <c r="E58" s="2"/>
      <c r="F58" s="4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60" spans="1:20">
      <c r="A60" s="63" t="s">
        <v>370</v>
      </c>
      <c r="B60" s="26"/>
      <c r="C60" s="445"/>
      <c r="D60" s="25"/>
      <c r="E60" s="25"/>
      <c r="F60" s="25"/>
      <c r="G60" s="25"/>
      <c r="H60" s="25"/>
      <c r="I60" s="25"/>
      <c r="J60" s="25"/>
      <c r="K60" s="25"/>
      <c r="L60" s="25"/>
      <c r="M60" s="25"/>
      <c r="Q60" s="25"/>
      <c r="S60" s="25"/>
    </row>
    <row r="61" spans="1:20">
      <c r="A61" s="25">
        <v>3</v>
      </c>
      <c r="B61" s="64" t="s">
        <v>371</v>
      </c>
      <c r="C61" s="445"/>
      <c r="D61" s="25"/>
      <c r="E61" s="25"/>
      <c r="F61" s="25"/>
      <c r="G61" s="25"/>
      <c r="H61" s="25"/>
      <c r="I61" s="25"/>
      <c r="J61" s="25"/>
      <c r="K61" s="25"/>
      <c r="L61" s="25"/>
      <c r="M61" s="25"/>
      <c r="Q61" s="25"/>
      <c r="S61" s="25"/>
    </row>
    <row r="62" spans="1:20">
      <c r="A62" s="25">
        <v>1</v>
      </c>
      <c r="B62" s="64" t="s">
        <v>372</v>
      </c>
      <c r="C62" s="445"/>
      <c r="D62" s="25"/>
      <c r="E62" s="25"/>
      <c r="F62" s="25"/>
      <c r="G62" s="25"/>
      <c r="H62" s="25"/>
      <c r="I62" s="25"/>
      <c r="J62" s="25"/>
      <c r="K62" s="25"/>
      <c r="L62" s="25"/>
      <c r="M62" s="25"/>
      <c r="Q62" s="25"/>
      <c r="S62" s="25"/>
    </row>
    <row r="63" spans="1:20">
      <c r="A63" s="25"/>
      <c r="B63" s="26"/>
      <c r="C63" s="445"/>
      <c r="D63" s="25"/>
      <c r="E63" s="25"/>
      <c r="F63" s="25"/>
      <c r="G63" s="25"/>
      <c r="H63" s="25"/>
      <c r="I63" s="25"/>
      <c r="J63" s="25"/>
      <c r="K63" s="25"/>
      <c r="L63" s="25"/>
      <c r="M63" s="25"/>
      <c r="Q63" s="25"/>
      <c r="S63" s="25"/>
    </row>
    <row r="64" spans="1:20">
      <c r="A64" s="25"/>
      <c r="B64" s="26"/>
      <c r="C64" s="445"/>
      <c r="D64" s="25"/>
      <c r="E64" s="25"/>
      <c r="F64" s="25"/>
      <c r="G64" s="25"/>
      <c r="H64" s="25"/>
      <c r="I64" s="25"/>
      <c r="J64" s="25"/>
      <c r="K64" s="25"/>
      <c r="L64" s="25"/>
      <c r="M64" s="25"/>
      <c r="Q64" s="25"/>
      <c r="S64" s="25"/>
    </row>
    <row r="65" spans="1:19">
      <c r="A65" s="24"/>
      <c r="B65" s="23"/>
      <c r="C65" s="445"/>
      <c r="D65" s="24"/>
      <c r="E65" s="24"/>
      <c r="F65" s="24"/>
      <c r="G65" s="24"/>
      <c r="H65" s="24"/>
      <c r="I65" s="24"/>
      <c r="J65" s="24"/>
      <c r="K65" s="24"/>
      <c r="L65" s="24"/>
      <c r="M65" s="24"/>
    </row>
    <row r="66" spans="1:19">
      <c r="Q66" s="24"/>
      <c r="S66" s="24"/>
    </row>
  </sheetData>
  <mergeCells count="9">
    <mergeCell ref="H4:H5"/>
    <mergeCell ref="I4:T4"/>
    <mergeCell ref="B6:C6"/>
    <mergeCell ref="A4:A5"/>
    <mergeCell ref="B4:C5"/>
    <mergeCell ref="D4:D5"/>
    <mergeCell ref="E4:E5"/>
    <mergeCell ref="F4:F5"/>
    <mergeCell ref="G4:G5"/>
  </mergeCells>
  <conditionalFormatting sqref="A61">
    <cfRule type="iconSet" priority="3">
      <iconSet iconSet="3ArrowsGray" showValue="0">
        <cfvo type="percent" val="0"/>
        <cfvo type="num" val="2"/>
        <cfvo type="num" val="3"/>
      </iconSet>
    </cfRule>
    <cfRule type="iconSet" priority="5">
      <iconSet iconSet="3ArrowsGray" showValue="0">
        <cfvo type="percent" val="0"/>
        <cfvo type="num" val="2"/>
        <cfvo type="num" val="3"/>
      </iconSet>
    </cfRule>
    <cfRule type="iconSet" priority="7">
      <iconSet iconSet="3ArrowsGray" showValue="0">
        <cfvo type="percent" val="0"/>
        <cfvo type="num" val="2"/>
        <cfvo type="num" val="3"/>
      </iconSet>
    </cfRule>
    <cfRule type="iconSet" priority="9">
      <iconSet iconSet="3ArrowsGray" showValue="0">
        <cfvo type="percent" val="0"/>
        <cfvo type="num" val="2"/>
        <cfvo type="num" val="3"/>
      </iconSet>
    </cfRule>
  </conditionalFormatting>
  <conditionalFormatting sqref="A62">
    <cfRule type="iconSet" priority="2">
      <iconSet iconSet="3ArrowsGray" showValue="0">
        <cfvo type="percent" val="0"/>
        <cfvo type="num" val="2"/>
        <cfvo type="num" val="3"/>
      </iconSet>
    </cfRule>
    <cfRule type="iconSet" priority="4">
      <iconSet iconSet="3ArrowsGray" showValue="0">
        <cfvo type="percent" val="0"/>
        <cfvo type="num" val="2"/>
        <cfvo type="num" val="3"/>
      </iconSet>
    </cfRule>
    <cfRule type="iconSet" priority="6">
      <iconSet iconSet="3ArrowsGray" showValue="0">
        <cfvo type="percent" val="0"/>
        <cfvo type="num" val="2"/>
        <cfvo type="num" val="3"/>
      </iconSet>
    </cfRule>
    <cfRule type="iconSet" priority="8">
      <iconSet iconSet="3ArrowsGray" showValue="0">
        <cfvo type="percent" val="0"/>
        <cfvo type="num" val="2"/>
        <cfvo type="num" val="3"/>
      </iconSet>
    </cfRule>
  </conditionalFormatting>
  <conditionalFormatting sqref="C8:C17">
    <cfRule type="iconSet" priority="47741">
      <iconSet iconSet="3ArrowsGray" showValue="0">
        <cfvo type="percent" val="0"/>
        <cfvo type="num" val="2"/>
        <cfvo type="num" val="3"/>
      </iconSet>
    </cfRule>
    <cfRule type="iconSet" priority="47742">
      <iconSet iconSet="3ArrowsGray" showValue="0">
        <cfvo type="percent" val="0"/>
        <cfvo type="num" val="2"/>
        <cfvo type="num" val="3"/>
      </iconSet>
    </cfRule>
  </conditionalFormatting>
  <conditionalFormatting sqref="C19:C55">
    <cfRule type="iconSet" priority="47743">
      <iconSet iconSet="3ArrowsGray" showValue="0">
        <cfvo type="percent" val="0"/>
        <cfvo type="num" val="2"/>
        <cfvo type="num" val="3"/>
      </iconSet>
    </cfRule>
  </conditionalFormatting>
  <conditionalFormatting sqref="C57">
    <cfRule type="iconSet" priority="12">
      <iconSet iconSet="3ArrowsGray" showValue="0">
        <cfvo type="percent" val="0"/>
        <cfvo type="num" val="2"/>
        <cfvo type="num" val="3"/>
      </iconSet>
    </cfRule>
    <cfRule type="iconSet" priority="14">
      <iconSet iconSet="3ArrowsGray" showValue="0">
        <cfvo type="percent" val="0"/>
        <cfvo type="num" val="2"/>
        <cfvo type="num" val="3"/>
      </iconSet>
    </cfRule>
  </conditionalFormatting>
  <conditionalFormatting sqref="C58">
    <cfRule type="iconSet" priority="18">
      <iconSet iconSet="3ArrowsGray" showValue="0">
        <cfvo type="percent" val="0"/>
        <cfvo type="num" val="2"/>
        <cfvo type="num" val="3"/>
      </iconSet>
    </cfRule>
  </conditionalFormatting>
  <conditionalFormatting sqref="D57 H57">
    <cfRule type="iconSet" priority="13">
      <iconSet iconSet="3ArrowsGray" showValue="0">
        <cfvo type="percent" val="0"/>
        <cfvo type="num" val="2"/>
        <cfvo type="num" val="3"/>
      </iconSet>
    </cfRule>
  </conditionalFormatting>
  <conditionalFormatting sqref="D57">
    <cfRule type="iconSet" priority="16">
      <iconSet iconSet="3ArrowsGray" showValue="0">
        <cfvo type="percent" val="0"/>
        <cfvo type="num" val="2"/>
        <cfvo type="num" val="3"/>
      </iconSet>
    </cfRule>
  </conditionalFormatting>
  <conditionalFormatting sqref="E57">
    <cfRule type="iconSet" priority="15">
      <iconSet iconSet="3ArrowsGray" showValue="0">
        <cfvo type="percent" val="0"/>
        <cfvo type="num" val="2"/>
        <cfvo type="num" val="3"/>
      </iconSet>
    </cfRule>
  </conditionalFormatting>
  <conditionalFormatting sqref="H57">
    <cfRule type="iconSet" priority="11">
      <iconSet iconSet="3ArrowsGray" showValue="0">
        <cfvo type="percent" val="0"/>
        <cfvo type="num" val="2"/>
        <cfvo type="num" val="3"/>
      </iconSet>
    </cfRule>
  </conditionalFormatting>
  <conditionalFormatting sqref="H58:T58">
    <cfRule type="iconSet" priority="17">
      <iconSet iconSet="3ArrowsGray" showValue="0">
        <cfvo type="percent" val="0"/>
        <cfvo type="num" val="2"/>
        <cfvo type="num" val="3"/>
      </iconSet>
    </cfRule>
    <cfRule type="iconSet" priority="19">
      <iconSet iconSet="3ArrowsGray" showValue="0">
        <cfvo type="percent" val="0"/>
        <cfvo type="num" val="2"/>
        <cfvo type="num" val="3"/>
      </iconSet>
    </cfRule>
  </conditionalFormatting>
  <conditionalFormatting sqref="I57:T57">
    <cfRule type="iconSet" priority="10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10000" scale="48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  <pageSetUpPr fitToPage="1"/>
  </sheetPr>
  <dimension ref="A1:W66"/>
  <sheetViews>
    <sheetView workbookViewId="0"/>
  </sheetViews>
  <sheetFormatPr defaultColWidth="9.140625" defaultRowHeight="15"/>
  <cols>
    <col min="1" max="1" width="5.5703125" customWidth="1"/>
    <col min="2" max="2" width="44.7109375" customWidth="1"/>
    <col min="3" max="3" width="4.140625" style="443" customWidth="1"/>
    <col min="4" max="4" width="12.42578125" customWidth="1"/>
    <col min="5" max="5" width="113.5703125" hidden="1" customWidth="1"/>
    <col min="6" max="6" width="7.7109375" bestFit="1" customWidth="1"/>
    <col min="7" max="7" width="11" customWidth="1"/>
    <col min="8" max="8" width="11.140625" customWidth="1"/>
    <col min="9" max="20" width="12.140625" customWidth="1"/>
    <col min="21" max="21" width="13.28515625" bestFit="1" customWidth="1"/>
  </cols>
  <sheetData>
    <row r="1" spans="1:22" s="30" customFormat="1" ht="15.75">
      <c r="A1" s="28"/>
      <c r="B1" s="29" t="s">
        <v>271</v>
      </c>
      <c r="C1" s="439"/>
      <c r="D1" s="28"/>
      <c r="E1" s="28"/>
      <c r="I1" s="22"/>
      <c r="U1" s="31"/>
      <c r="V1" s="31"/>
    </row>
    <row r="2" spans="1:22" s="30" customFormat="1" ht="15.75">
      <c r="A2" s="28"/>
      <c r="B2" s="29" t="s">
        <v>123</v>
      </c>
      <c r="C2" s="439"/>
      <c r="D2" s="28"/>
      <c r="E2" s="28"/>
      <c r="U2" s="31"/>
      <c r="V2" s="31"/>
    </row>
    <row r="3" spans="1:22" s="30" customFormat="1" ht="15.75">
      <c r="A3" s="28"/>
      <c r="B3" s="29" t="s">
        <v>378</v>
      </c>
      <c r="C3" s="439"/>
      <c r="D3" s="28"/>
      <c r="E3" s="28"/>
      <c r="U3" s="31"/>
      <c r="V3" s="31"/>
    </row>
    <row r="4" spans="1:22" ht="15" customHeight="1">
      <c r="A4" s="735" t="s">
        <v>8</v>
      </c>
      <c r="B4" s="737" t="s">
        <v>9</v>
      </c>
      <c r="C4" s="738"/>
      <c r="D4" s="713" t="s">
        <v>93</v>
      </c>
      <c r="E4" s="718" t="s">
        <v>272</v>
      </c>
      <c r="F4" s="713" t="s">
        <v>99</v>
      </c>
      <c r="G4" s="713" t="s">
        <v>374</v>
      </c>
      <c r="H4" s="713" t="s">
        <v>375</v>
      </c>
      <c r="I4" s="730" t="s">
        <v>379</v>
      </c>
      <c r="J4" s="731"/>
      <c r="K4" s="731"/>
      <c r="L4" s="731"/>
      <c r="M4" s="731"/>
      <c r="N4" s="731"/>
      <c r="O4" s="731"/>
      <c r="P4" s="731"/>
      <c r="Q4" s="731"/>
      <c r="R4" s="731"/>
      <c r="S4" s="731"/>
      <c r="T4" s="732"/>
    </row>
    <row r="5" spans="1:22" ht="15" customHeight="1">
      <c r="A5" s="736"/>
      <c r="B5" s="739"/>
      <c r="C5" s="740"/>
      <c r="D5" s="714"/>
      <c r="E5" s="719"/>
      <c r="F5" s="714"/>
      <c r="G5" s="714"/>
      <c r="H5" s="714"/>
      <c r="I5" s="602" t="s">
        <v>94</v>
      </c>
      <c r="J5" s="602" t="s">
        <v>95</v>
      </c>
      <c r="K5" s="602" t="s">
        <v>96</v>
      </c>
      <c r="L5" s="602" t="s">
        <v>97</v>
      </c>
      <c r="M5" s="602" t="s">
        <v>98</v>
      </c>
      <c r="N5" s="602" t="s">
        <v>153</v>
      </c>
      <c r="O5" s="602" t="s">
        <v>163</v>
      </c>
      <c r="P5" s="602" t="s">
        <v>165</v>
      </c>
      <c r="Q5" s="602" t="s">
        <v>167</v>
      </c>
      <c r="R5" s="602" t="s">
        <v>169</v>
      </c>
      <c r="S5" s="602" t="s">
        <v>171</v>
      </c>
      <c r="T5" s="602" t="s">
        <v>174</v>
      </c>
    </row>
    <row r="6" spans="1:22" ht="15" customHeight="1">
      <c r="A6" s="605">
        <v>1</v>
      </c>
      <c r="B6" s="733">
        <v>2</v>
      </c>
      <c r="C6" s="734"/>
      <c r="D6" s="647">
        <v>3</v>
      </c>
      <c r="E6" s="603">
        <v>4</v>
      </c>
      <c r="F6" s="647">
        <v>4</v>
      </c>
      <c r="G6" s="647">
        <v>5</v>
      </c>
      <c r="H6" s="602">
        <v>6</v>
      </c>
      <c r="I6" s="605">
        <v>7</v>
      </c>
      <c r="J6" s="602">
        <v>8</v>
      </c>
      <c r="K6" s="647">
        <v>9</v>
      </c>
      <c r="L6" s="602">
        <v>10</v>
      </c>
      <c r="M6" s="647">
        <v>11</v>
      </c>
      <c r="N6" s="602">
        <v>12</v>
      </c>
      <c r="O6" s="647">
        <v>13</v>
      </c>
      <c r="P6" s="602">
        <v>14</v>
      </c>
      <c r="Q6" s="647">
        <v>15</v>
      </c>
      <c r="R6" s="602">
        <v>16</v>
      </c>
      <c r="S6" s="647">
        <v>17</v>
      </c>
      <c r="T6" s="602">
        <v>18</v>
      </c>
    </row>
    <row r="7" spans="1:22" ht="15" customHeight="1">
      <c r="A7" s="47" t="s">
        <v>269</v>
      </c>
      <c r="B7" s="48" t="str">
        <f>T.TOLIS!B7</f>
        <v>Key Performance Indicators</v>
      </c>
      <c r="C7" s="440"/>
      <c r="D7" s="50"/>
      <c r="E7" s="48"/>
      <c r="F7" s="62">
        <f>SUM(F8:F17)</f>
        <v>40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289"/>
    </row>
    <row r="8" spans="1:22" ht="16.5">
      <c r="A8" s="51">
        <f>T.BANGKIR!A8</f>
        <v>1</v>
      </c>
      <c r="B8" s="311" t="str">
        <f>T.BANGKIR!B8</f>
        <v>Penjualan Tenaga Listrik</v>
      </c>
      <c r="C8" s="441" t="str">
        <f>T.BANGKIR!C8</f>
        <v>ñ</v>
      </c>
      <c r="D8" s="53" t="str">
        <f>T.BANGKIR!D8</f>
        <v>GWh</v>
      </c>
      <c r="E8" s="61" t="e">
        <f>#REF!</f>
        <v>#REF!</v>
      </c>
      <c r="F8" s="53">
        <f>T.BANGKIR!F8</f>
        <v>14</v>
      </c>
      <c r="G8" s="89">
        <f>T.BANGKIR!G8</f>
        <v>13.31</v>
      </c>
      <c r="H8" s="89">
        <f>T.BANGKIR!H8</f>
        <v>27.1</v>
      </c>
      <c r="I8" s="89">
        <f>KPI!AH14</f>
        <v>3.349951645</v>
      </c>
      <c r="J8" s="89">
        <f>KPI!AI14</f>
        <v>6.1451815389999993</v>
      </c>
      <c r="K8" s="89">
        <f>KPI!AJ14</f>
        <v>8.5735038369999987</v>
      </c>
      <c r="L8" s="89">
        <f>KPI!AK14</f>
        <v>9.9639753729999985</v>
      </c>
      <c r="M8" s="89">
        <f>KPI!AL14</f>
        <v>11.682466393999999</v>
      </c>
      <c r="N8" s="89">
        <f>KPI!AM14</f>
        <v>13.639104963999998</v>
      </c>
      <c r="O8" s="89">
        <f>KPI!AN14</f>
        <v>15.664647543999997</v>
      </c>
      <c r="P8" s="89">
        <f>KPI!AO14</f>
        <v>17.818448144999998</v>
      </c>
      <c r="Q8" s="89">
        <f>KPI!AP14</f>
        <v>20.044852349999999</v>
      </c>
      <c r="R8" s="89">
        <f>KPI!AQ14</f>
        <v>0</v>
      </c>
      <c r="S8" s="89">
        <f>KPI!AR14</f>
        <v>0</v>
      </c>
      <c r="T8" s="89">
        <f>KPI!AS14</f>
        <v>0</v>
      </c>
    </row>
    <row r="9" spans="1:22" ht="15" customHeight="1">
      <c r="A9" s="51">
        <f>T.BANGKIR!A9</f>
        <v>2</v>
      </c>
      <c r="B9" s="311" t="str">
        <f>T.BANGKIR!B9</f>
        <v>Keandalan Sistem</v>
      </c>
      <c r="C9" s="441"/>
      <c r="D9" s="53"/>
      <c r="E9" s="61"/>
      <c r="F9" s="53">
        <f>T.BANGKIR!F9</f>
        <v>14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111"/>
    </row>
    <row r="10" spans="1:22" ht="15" customHeight="1">
      <c r="A10" s="51"/>
      <c r="B10" s="52" t="str">
        <f>T.BANGKIR!B10</f>
        <v>a. SAIDI (sesuai kewenangan)</v>
      </c>
      <c r="C10" s="441" t="str">
        <f>T.BANGKIR!C10</f>
        <v>ò</v>
      </c>
      <c r="D10" s="53" t="str">
        <f>T.BANGKIR!D10</f>
        <v>Menit/plg</v>
      </c>
      <c r="E10" s="61" t="e">
        <f>#REF!</f>
        <v>#REF!</v>
      </c>
      <c r="F10" s="53"/>
      <c r="G10" s="89">
        <f>T.BANGKIR!G10</f>
        <v>87.89</v>
      </c>
      <c r="H10" s="89">
        <f>T.BANGKIR!H10</f>
        <v>175.78</v>
      </c>
      <c r="I10" s="89">
        <f>KPI!AH38</f>
        <v>15.179571527297856</v>
      </c>
      <c r="J10" s="89">
        <f>KPI!AI38</f>
        <v>15.281531883591558</v>
      </c>
      <c r="K10" s="89">
        <f>KPI!AJ38</f>
        <v>18.773988439306358</v>
      </c>
      <c r="L10" s="89">
        <f>KPI!AK38</f>
        <v>33.332720032953453</v>
      </c>
      <c r="M10" s="89">
        <f>KPI!AL38</f>
        <v>50.742571454661679</v>
      </c>
      <c r="N10" s="89">
        <f>KPI!AM38</f>
        <v>66.18075679613861</v>
      </c>
      <c r="O10" s="89">
        <f>KPI!AN38</f>
        <v>86.78775398881767</v>
      </c>
      <c r="P10" s="89">
        <f>KPI!AO38</f>
        <v>86.942387802332448</v>
      </c>
      <c r="Q10" s="89">
        <f>KPI!AP38</f>
        <v>98.540400108626784</v>
      </c>
      <c r="R10" s="89">
        <f>KPI!AQ38</f>
        <v>0</v>
      </c>
      <c r="S10" s="89">
        <f>KPI!AR38</f>
        <v>0</v>
      </c>
      <c r="T10" s="89">
        <f>KPI!AS38</f>
        <v>0</v>
      </c>
    </row>
    <row r="11" spans="1:22" ht="15" customHeight="1">
      <c r="A11" s="51"/>
      <c r="B11" s="52" t="str">
        <f>T.BANGKIR!B11</f>
        <v>b. SAIFI (sesuai kewenangan)</v>
      </c>
      <c r="C11" s="441" t="str">
        <f>T.BANGKIR!C11</f>
        <v>ò</v>
      </c>
      <c r="D11" s="53" t="str">
        <f>T.BANGKIR!D11</f>
        <v>Kali/plg</v>
      </c>
      <c r="E11" s="61"/>
      <c r="F11" s="53"/>
      <c r="G11" s="89">
        <f>T.BANGKIR!G11</f>
        <v>1.4</v>
      </c>
      <c r="H11" s="89">
        <f>T.BANGKIR!H11</f>
        <v>2.81</v>
      </c>
      <c r="I11" s="89">
        <f>KPI!AH60</f>
        <v>0.1485372034093527</v>
      </c>
      <c r="J11" s="89">
        <f>KPI!AI60</f>
        <v>0.15934899544848513</v>
      </c>
      <c r="K11" s="89">
        <f>KPI!AJ60</f>
        <v>0.3023213138820075</v>
      </c>
      <c r="L11" s="89">
        <f>KPI!AK60</f>
        <v>0.39850794086685887</v>
      </c>
      <c r="M11" s="89">
        <f>KPI!AL60</f>
        <v>0.82083827960916811</v>
      </c>
      <c r="N11" s="89">
        <f>KPI!AM60</f>
        <v>1.1430718091161605</v>
      </c>
      <c r="O11" s="89">
        <f>KPI!AN60</f>
        <v>1.4126551206873039</v>
      </c>
      <c r="P11" s="89">
        <f>KPI!AO60</f>
        <v>1.4216544901756138</v>
      </c>
      <c r="Q11" s="89">
        <f>KPI!AP60</f>
        <v>1.6025165203222593</v>
      </c>
      <c r="R11" s="89">
        <f>KPI!AQ60</f>
        <v>0</v>
      </c>
      <c r="S11" s="89">
        <f>KPI!AR60</f>
        <v>0</v>
      </c>
      <c r="T11" s="89">
        <f>KPI!AS60</f>
        <v>0</v>
      </c>
    </row>
    <row r="12" spans="1:22" ht="15" customHeight="1">
      <c r="A12" s="51"/>
      <c r="B12" s="52" t="str">
        <f>T.BANGKIR!B12</f>
        <v>c. ENS (sesuai kewenangan)</v>
      </c>
      <c r="C12" s="441" t="str">
        <f>T.BANGKIR!C12</f>
        <v>ò</v>
      </c>
      <c r="D12" s="53" t="str">
        <f>T.BANGKIR!D12</f>
        <v>MWh</v>
      </c>
      <c r="E12" s="61"/>
      <c r="F12" s="53"/>
      <c r="G12" s="89">
        <f>T.BANGKIR!G12</f>
        <v>3.54</v>
      </c>
      <c r="H12" s="89">
        <f>T.BANGKIR!H12</f>
        <v>7.08</v>
      </c>
      <c r="I12" s="89">
        <f>KPI!AH76</f>
        <v>0.79600000000000004</v>
      </c>
      <c r="J12" s="89">
        <f>KPI!AI76</f>
        <v>0.80200000000000005</v>
      </c>
      <c r="K12" s="89">
        <f>KPI!AJ76</f>
        <v>1.0550000000000002</v>
      </c>
      <c r="L12" s="89">
        <f>KPI!AK76</f>
        <v>1.8940000000000001</v>
      </c>
      <c r="M12" s="89">
        <f>KPI!AL76</f>
        <v>2.5420000000000003</v>
      </c>
      <c r="N12" s="89">
        <f>KPI!AM76</f>
        <v>3.0380000000000003</v>
      </c>
      <c r="O12" s="89">
        <f>KPI!AN76</f>
        <v>3.6530000000000005</v>
      </c>
      <c r="P12" s="89">
        <f>KPI!AO76</f>
        <v>3.6660000000000004</v>
      </c>
      <c r="Q12" s="89">
        <f>KPI!AP76</f>
        <v>4.1610000000000005</v>
      </c>
      <c r="R12" s="89">
        <f>KPI!AQ76</f>
        <v>0</v>
      </c>
      <c r="S12" s="89">
        <f>KPI!AR76</f>
        <v>0</v>
      </c>
      <c r="T12" s="89">
        <f>KPI!AS76</f>
        <v>0</v>
      </c>
    </row>
    <row r="13" spans="1:22" ht="15" customHeight="1">
      <c r="A13" s="51">
        <f>T.BANGKIR!A13</f>
        <v>3</v>
      </c>
      <c r="B13" s="311" t="str">
        <f>T.BANGKIR!B13</f>
        <v>Efisiensi Jaringan Distribusi</v>
      </c>
      <c r="C13" s="441"/>
      <c r="D13" s="53"/>
      <c r="E13" s="61"/>
      <c r="F13" s="53">
        <f>T.BANGKIR!F13</f>
        <v>12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111"/>
    </row>
    <row r="14" spans="1:22" ht="15" customHeight="1">
      <c r="A14" s="51"/>
      <c r="B14" s="52" t="str">
        <f>T.BANGKIR!B14</f>
        <v>a. Susut Distribusi Tanpa E-min (sesuai kewenangan)</v>
      </c>
      <c r="C14" s="441" t="str">
        <f>T.BANGKIR!C14</f>
        <v>ò</v>
      </c>
      <c r="D14" s="53" t="str">
        <f>T.BANGKIR!D14</f>
        <v>%</v>
      </c>
      <c r="E14" s="61"/>
      <c r="F14" s="53"/>
      <c r="G14" s="89">
        <f>T.BANGKIR!G14</f>
        <v>8.15</v>
      </c>
      <c r="H14" s="89">
        <f>T.BANGKIR!H14</f>
        <v>7.8</v>
      </c>
      <c r="I14" s="89">
        <f>KPI!AH97</f>
        <v>-42.071974368355406</v>
      </c>
      <c r="J14" s="89">
        <f>KPI!AI97</f>
        <v>-35.354654309349698</v>
      </c>
      <c r="K14" s="89">
        <f>KPI!AJ97</f>
        <v>-23.859018142778591</v>
      </c>
      <c r="L14" s="89">
        <f>KPI!AK97</f>
        <v>-10.249560685854476</v>
      </c>
      <c r="M14" s="89">
        <f>KPI!AL97</f>
        <v>-3.699252289146763</v>
      </c>
      <c r="N14" s="89">
        <f>KPI!AM97</f>
        <v>-1.1391962555810786</v>
      </c>
      <c r="O14" s="89">
        <f>KPI!AN97</f>
        <v>1.0833197905053189</v>
      </c>
      <c r="P14" s="89">
        <f>KPI!AO97</f>
        <v>2.4114935378769062</v>
      </c>
      <c r="Q14" s="89">
        <f>KPI!AP97</f>
        <v>3.3809757551298412</v>
      </c>
      <c r="R14" s="89">
        <f>KPI!AQ97</f>
        <v>0</v>
      </c>
      <c r="S14" s="89">
        <f>KPI!AR97</f>
        <v>0</v>
      </c>
      <c r="T14" s="89">
        <f>KPI!AS97</f>
        <v>0</v>
      </c>
    </row>
    <row r="15" spans="1:22" ht="15" customHeight="1">
      <c r="A15" s="51"/>
      <c r="B15" s="52" t="str">
        <f>T.BANGKIR!B15</f>
        <v>b. Perolehan Temuan P2TL</v>
      </c>
      <c r="C15" s="441" t="str">
        <f>T.BANGKIR!C15</f>
        <v>ñ</v>
      </c>
      <c r="D15" s="53" t="str">
        <f>T.BANGKIR!D15</f>
        <v>%</v>
      </c>
      <c r="E15" s="61" t="e">
        <f>#REF!</f>
        <v>#REF!</v>
      </c>
      <c r="F15" s="53"/>
      <c r="G15" s="89">
        <f>T.BANGKIR!G15</f>
        <v>0</v>
      </c>
      <c r="H15" s="89">
        <f>T.BANGKIR!H15</f>
        <v>0</v>
      </c>
      <c r="I15" s="89">
        <v>0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</row>
    <row r="16" spans="1:22" ht="15" customHeight="1">
      <c r="A16" s="51"/>
      <c r="B16" s="52" t="str">
        <f>T.BANGKIR!B16</f>
        <v>c. Penyelesaian Temuan P2TL</v>
      </c>
      <c r="C16" s="441" t="str">
        <f>T.BANGKIR!C16</f>
        <v>ñ</v>
      </c>
      <c r="D16" s="53" t="str">
        <f>T.BANGKIR!D16</f>
        <v>%</v>
      </c>
      <c r="E16" s="61" t="e">
        <f>#REF!</f>
        <v>#REF!</v>
      </c>
      <c r="F16" s="53"/>
      <c r="G16" s="89">
        <f>T.BANGKIR!G16</f>
        <v>40</v>
      </c>
      <c r="H16" s="89">
        <f>T.BANGKIR!H16</f>
        <v>100</v>
      </c>
      <c r="I16" s="89">
        <f>KPI!AH119</f>
        <v>0.99950000000000006</v>
      </c>
      <c r="J16" s="89">
        <f>KPI!AI119</f>
        <v>1.63</v>
      </c>
      <c r="K16" s="89">
        <f>KPI!AJ119</f>
        <v>20.366</v>
      </c>
      <c r="L16" s="89">
        <f>KPI!AK119</f>
        <v>39.002499999999998</v>
      </c>
      <c r="M16" s="89">
        <f>KPI!AL119</f>
        <v>56.213000000000001</v>
      </c>
      <c r="N16" s="89">
        <f>KPI!AM119</f>
        <v>114.065</v>
      </c>
      <c r="O16" s="89">
        <f>KPI!AN119</f>
        <v>135.39250000000001</v>
      </c>
      <c r="P16" s="89">
        <f>KPI!AO119</f>
        <v>155.3065</v>
      </c>
      <c r="Q16" s="89">
        <f>KPI!AP119</f>
        <v>174.14400000000001</v>
      </c>
      <c r="R16" s="89">
        <f>KPI!AQ119</f>
        <v>174.14400000000001</v>
      </c>
      <c r="S16" s="89">
        <f>KPI!AR119</f>
        <v>174.14400000000001</v>
      </c>
      <c r="T16" s="89">
        <f>KPI!AS119</f>
        <v>174.14400000000001</v>
      </c>
    </row>
    <row r="17" spans="1:20" ht="15" customHeight="1">
      <c r="A17" s="51"/>
      <c r="B17" s="52" t="str">
        <f>T.BANGKIR!B17</f>
        <v>d. Penyelesaian Ganti Meter</v>
      </c>
      <c r="C17" s="441" t="str">
        <f>T.BANGKIR!C17</f>
        <v>ñ</v>
      </c>
      <c r="D17" s="53" t="str">
        <f>T.BANGKIR!D17</f>
        <v>Unit</v>
      </c>
      <c r="E17" s="61" t="e">
        <f>#REF!</f>
        <v>#REF!</v>
      </c>
      <c r="F17" s="53"/>
      <c r="G17" s="89">
        <f>T.BANGKIR!G17</f>
        <v>266</v>
      </c>
      <c r="H17" s="89">
        <f>T.BANGKIR!H17</f>
        <v>793</v>
      </c>
      <c r="I17" s="89">
        <f>KPI!AH132</f>
        <v>7</v>
      </c>
      <c r="J17" s="89">
        <f>KPI!AI132</f>
        <v>16</v>
      </c>
      <c r="K17" s="89">
        <f>KPI!AJ132</f>
        <v>301</v>
      </c>
      <c r="L17" s="89">
        <f>KPI!AK132</f>
        <v>508</v>
      </c>
      <c r="M17" s="89">
        <f>KPI!AL132</f>
        <v>609</v>
      </c>
      <c r="N17" s="89">
        <f>KPI!AM132</f>
        <v>639</v>
      </c>
      <c r="O17" s="89">
        <f>KPI!AN132</f>
        <v>693</v>
      </c>
      <c r="P17" s="89">
        <f>KPI!AO132</f>
        <v>711</v>
      </c>
      <c r="Q17" s="89">
        <f>KPI!AP132</f>
        <v>729</v>
      </c>
      <c r="R17" s="89">
        <f>KPI!AQ132</f>
        <v>729</v>
      </c>
      <c r="S17" s="89">
        <f>KPI!AR132</f>
        <v>729</v>
      </c>
      <c r="T17" s="89">
        <f>KPI!AS132</f>
        <v>729</v>
      </c>
    </row>
    <row r="18" spans="1:20" ht="15" customHeight="1">
      <c r="A18" s="47" t="str">
        <f>T.BANGKIR!A18</f>
        <v>II</v>
      </c>
      <c r="B18" s="313" t="str">
        <f>T.BANGKIR!B18</f>
        <v>Perfomance Indicators</v>
      </c>
      <c r="C18" s="442"/>
      <c r="D18" s="50"/>
      <c r="E18" s="48"/>
      <c r="F18" s="139">
        <f>SUM(F19:F55)</f>
        <v>60</v>
      </c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80"/>
    </row>
    <row r="19" spans="1:20" ht="16.5">
      <c r="A19" s="51">
        <f>T.BANGKIR!A19</f>
        <v>4</v>
      </c>
      <c r="B19" s="311" t="str">
        <f>T.BANGKIR!B19</f>
        <v>Keandalan Jaringan Distribusi</v>
      </c>
      <c r="C19" s="441"/>
      <c r="D19" s="53"/>
      <c r="E19" s="61"/>
      <c r="F19" s="53">
        <f>T.BANGKIR!F19</f>
        <v>9</v>
      </c>
      <c r="G19" s="89"/>
      <c r="H19" s="89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95"/>
    </row>
    <row r="20" spans="1:20" ht="16.5">
      <c r="A20" s="51"/>
      <c r="B20" s="52" t="str">
        <f>T.BANGKIR!B20</f>
        <v>a. Gangguan TM &gt; 5 Menit</v>
      </c>
      <c r="C20" s="441" t="str">
        <f>T.BANGKIR!C20</f>
        <v>ò</v>
      </c>
      <c r="D20" s="53" t="str">
        <f>T.BANGKIR!D20</f>
        <v>Kali</v>
      </c>
      <c r="E20" s="61" t="e">
        <f>#REF!</f>
        <v>#REF!</v>
      </c>
      <c r="F20" s="53"/>
      <c r="G20" s="89">
        <f>T.BANGKIR!G20</f>
        <v>19</v>
      </c>
      <c r="H20" s="89">
        <f>T.BANGKIR!H20</f>
        <v>36</v>
      </c>
      <c r="I20" s="145">
        <f>PI!AH14</f>
        <v>0</v>
      </c>
      <c r="J20" s="145">
        <f>PI!AI14</f>
        <v>0</v>
      </c>
      <c r="K20" s="145">
        <f>PI!AJ14</f>
        <v>8</v>
      </c>
      <c r="L20" s="145">
        <f>PI!AK14</f>
        <v>9</v>
      </c>
      <c r="M20" s="145">
        <f>PI!AL14</f>
        <v>11</v>
      </c>
      <c r="N20" s="145">
        <f>PI!AM14</f>
        <v>13</v>
      </c>
      <c r="O20" s="145">
        <f>PI!AN14</f>
        <v>16</v>
      </c>
      <c r="P20" s="145">
        <f>PI!AO14</f>
        <v>16</v>
      </c>
      <c r="Q20" s="145">
        <f>PI!AP14</f>
        <v>18</v>
      </c>
      <c r="R20" s="145">
        <f>PI!AQ14</f>
        <v>18</v>
      </c>
      <c r="S20" s="145">
        <f>PI!AR14</f>
        <v>18</v>
      </c>
      <c r="T20" s="145">
        <f>PI!AS14</f>
        <v>18</v>
      </c>
    </row>
    <row r="21" spans="1:20" ht="16.5">
      <c r="A21" s="51"/>
      <c r="B21" s="52" t="str">
        <f>T.BANGKIR!B21</f>
        <v>b. Gangguan TM ≤ 5 Menit</v>
      </c>
      <c r="C21" s="441" t="str">
        <f>T.BANGKIR!C21</f>
        <v>ò</v>
      </c>
      <c r="D21" s="53" t="str">
        <f>T.BANGKIR!D21</f>
        <v>Kali</v>
      </c>
      <c r="E21" s="61" t="e">
        <f>#REF!</f>
        <v>#REF!</v>
      </c>
      <c r="F21" s="53"/>
      <c r="G21" s="89">
        <f>T.BANGKIR!G21</f>
        <v>11</v>
      </c>
      <c r="H21" s="89">
        <f>T.BANGKIR!H21</f>
        <v>21</v>
      </c>
      <c r="I21" s="145">
        <f>PI!AH15</f>
        <v>0</v>
      </c>
      <c r="J21" s="145">
        <f>PI!AI15</f>
        <v>4</v>
      </c>
      <c r="K21" s="145">
        <f>PI!AJ15</f>
        <v>4</v>
      </c>
      <c r="L21" s="145">
        <f>PI!AK15</f>
        <v>4</v>
      </c>
      <c r="M21" s="145">
        <f>PI!AL15</f>
        <v>7</v>
      </c>
      <c r="N21" s="145">
        <f>PI!AM15</f>
        <v>9</v>
      </c>
      <c r="O21" s="145">
        <f>PI!AN15</f>
        <v>11</v>
      </c>
      <c r="P21" s="145">
        <f>PI!AO15</f>
        <v>11</v>
      </c>
      <c r="Q21" s="145">
        <f>PI!AP15</f>
        <v>12</v>
      </c>
      <c r="R21" s="145">
        <f>PI!AQ15</f>
        <v>12</v>
      </c>
      <c r="S21" s="145">
        <f>PI!AR15</f>
        <v>12</v>
      </c>
      <c r="T21" s="145">
        <f>PI!AS15</f>
        <v>12</v>
      </c>
    </row>
    <row r="22" spans="1:20" ht="25.9" customHeight="1">
      <c r="A22" s="51"/>
      <c r="B22" s="52" t="str">
        <f>T.BANGKIR!B22</f>
        <v>c. Kerusakan Peralatan Distribusi (PHB TM dan Trafo) Sesuai Kewenangan</v>
      </c>
      <c r="C22" s="441" t="str">
        <f>T.BANGKIR!C22</f>
        <v>ò</v>
      </c>
      <c r="D22" s="53" t="str">
        <f>T.BANGKIR!D22</f>
        <v>Unit</v>
      </c>
      <c r="E22" s="61" t="e">
        <f>#REF!</f>
        <v>#REF!</v>
      </c>
      <c r="F22" s="53"/>
      <c r="G22" s="89">
        <f>T.BANGKIR!G22</f>
        <v>1</v>
      </c>
      <c r="H22" s="89">
        <f>T.BANGKIR!H22</f>
        <v>1</v>
      </c>
      <c r="I22" s="145">
        <f>PI!AH39</f>
        <v>0</v>
      </c>
      <c r="J22" s="145">
        <f>PI!AI39</f>
        <v>0</v>
      </c>
      <c r="K22" s="145">
        <f>PI!AJ39</f>
        <v>0</v>
      </c>
      <c r="L22" s="145">
        <f>PI!AK39</f>
        <v>0</v>
      </c>
      <c r="M22" s="145">
        <f>PI!AL39</f>
        <v>0</v>
      </c>
      <c r="N22" s="145">
        <f>PI!AM39</f>
        <v>0</v>
      </c>
      <c r="O22" s="145">
        <f>PI!AN39</f>
        <v>0</v>
      </c>
      <c r="P22" s="145">
        <f>PI!AO39</f>
        <v>0</v>
      </c>
      <c r="Q22" s="145">
        <f>PI!AP39</f>
        <v>0</v>
      </c>
      <c r="R22" s="145">
        <f>PI!AQ39</f>
        <v>0</v>
      </c>
      <c r="S22" s="145">
        <f>PI!AR39</f>
        <v>0</v>
      </c>
      <c r="T22" s="145">
        <f>PI!AS39</f>
        <v>0</v>
      </c>
    </row>
    <row r="23" spans="1:20" ht="16.5">
      <c r="A23" s="51">
        <f>T.BANGKIR!A23</f>
        <v>5</v>
      </c>
      <c r="B23" s="311" t="str">
        <f>T.BANGKIR!B23</f>
        <v>Peningkatan Layanan</v>
      </c>
      <c r="C23" s="441"/>
      <c r="D23" s="53"/>
      <c r="E23" s="61"/>
      <c r="F23" s="53">
        <f>T.BANGKIR!F23</f>
        <v>8</v>
      </c>
      <c r="G23" s="89"/>
      <c r="H23" s="89"/>
      <c r="I23" s="145"/>
      <c r="J23" s="145"/>
      <c r="K23" s="145"/>
      <c r="L23" s="145"/>
      <c r="M23" s="145"/>
      <c r="N23" s="145"/>
      <c r="O23" s="145"/>
      <c r="P23" s="145"/>
      <c r="Q23" s="145"/>
      <c r="R23" s="145"/>
      <c r="S23" s="145"/>
      <c r="T23" s="145"/>
    </row>
    <row r="24" spans="1:20" ht="33">
      <c r="A24" s="51"/>
      <c r="B24" s="52" t="str">
        <f>T.BANGKIR!B24</f>
        <v>a. Feedback Rating Negatif pada PLN Mobile - Gangguan</v>
      </c>
      <c r="C24" s="441" t="str">
        <f>T.BANGKIR!C24</f>
        <v>ò</v>
      </c>
      <c r="D24" s="53" t="str">
        <f>T.BANGKIR!D24</f>
        <v>%</v>
      </c>
      <c r="E24" s="61"/>
      <c r="F24" s="53"/>
      <c r="G24" s="89">
        <f>T.BANGKIR!G24</f>
        <v>0.09</v>
      </c>
      <c r="H24" s="89">
        <f>T.BANGKIR!H24</f>
        <v>0.09</v>
      </c>
      <c r="I24" s="145">
        <f>PI!AH61</f>
        <v>0</v>
      </c>
      <c r="J24" s="145">
        <f>PI!AI61</f>
        <v>0</v>
      </c>
      <c r="K24" s="145">
        <f>PI!AJ61</f>
        <v>0</v>
      </c>
      <c r="L24" s="145">
        <f>PI!AK61</f>
        <v>0</v>
      </c>
      <c r="M24" s="145">
        <f>PI!AL61</f>
        <v>0</v>
      </c>
      <c r="N24" s="145">
        <f>PI!AM61</f>
        <v>0</v>
      </c>
      <c r="O24" s="145">
        <f>PI!AN61</f>
        <v>0</v>
      </c>
      <c r="P24" s="145">
        <f>PI!AO61</f>
        <v>0</v>
      </c>
      <c r="Q24" s="145">
        <f>PI!AP61</f>
        <v>0</v>
      </c>
      <c r="R24" s="145">
        <f>PI!AQ61</f>
        <v>0</v>
      </c>
      <c r="S24" s="145">
        <f>PI!AR61</f>
        <v>0</v>
      </c>
      <c r="T24" s="145">
        <f>PI!AS61</f>
        <v>0</v>
      </c>
    </row>
    <row r="25" spans="1:20" ht="16.5">
      <c r="A25" s="51"/>
      <c r="B25" s="52" t="str">
        <f>T.BANGKIR!B25</f>
        <v>b. Pengaduan Gangguan Berulang pada PLN Mobile</v>
      </c>
      <c r="C25" s="441" t="str">
        <f>T.BANGKIR!C25</f>
        <v>ò</v>
      </c>
      <c r="D25" s="53" t="str">
        <f>T.BANGKIR!D25</f>
        <v>%</v>
      </c>
      <c r="E25" s="61"/>
      <c r="F25" s="53"/>
      <c r="G25" s="89">
        <f>T.BANGKIR!G25</f>
        <v>0.04</v>
      </c>
      <c r="H25" s="89">
        <f>T.BANGKIR!H25</f>
        <v>0.04</v>
      </c>
      <c r="I25" s="145">
        <f>PI!AH83</f>
        <v>0</v>
      </c>
      <c r="J25" s="145">
        <f>PI!AI83</f>
        <v>0</v>
      </c>
      <c r="K25" s="145">
        <f>PI!AJ83</f>
        <v>0</v>
      </c>
      <c r="L25" s="145">
        <f>PI!AK83</f>
        <v>0</v>
      </c>
      <c r="M25" s="145">
        <f>PI!AL83</f>
        <v>0</v>
      </c>
      <c r="N25" s="145">
        <f>PI!AM83</f>
        <v>0</v>
      </c>
      <c r="O25" s="145">
        <f>PI!AN83</f>
        <v>0</v>
      </c>
      <c r="P25" s="145">
        <f>PI!AO83</f>
        <v>0</v>
      </c>
      <c r="Q25" s="145">
        <f>PI!AP83</f>
        <v>0</v>
      </c>
      <c r="R25" s="145">
        <f>PI!AQ83</f>
        <v>0</v>
      </c>
      <c r="S25" s="145">
        <f>PI!AR83</f>
        <v>3.4025178632187819E-2</v>
      </c>
      <c r="T25" s="145">
        <f>PI!AS83</f>
        <v>3.4025178632187819E-2</v>
      </c>
    </row>
    <row r="26" spans="1:20" ht="37.9" customHeight="1">
      <c r="A26" s="51"/>
      <c r="B26" s="52" t="str">
        <f>T.BANGKIR!B26</f>
        <v>c. Rating PLN Mobile</v>
      </c>
      <c r="C26" s="441" t="str">
        <f>T.BANGKIR!C26</f>
        <v>ñ</v>
      </c>
      <c r="D26" s="53" t="str">
        <f>T.BANGKIR!D26</f>
        <v>Rating</v>
      </c>
      <c r="E26" s="61"/>
      <c r="F26" s="53"/>
      <c r="G26" s="89">
        <f>T.BANGKIR!G26</f>
        <v>4.9000000000000004</v>
      </c>
      <c r="H26" s="89">
        <f>T.BANGKIR!H26</f>
        <v>4.9000000000000004</v>
      </c>
      <c r="I26" s="145">
        <f>PI!AH97</f>
        <v>4.91</v>
      </c>
      <c r="J26" s="145">
        <f>PI!AI97</f>
        <v>4.91</v>
      </c>
      <c r="K26" s="145">
        <f>PI!AJ97</f>
        <v>4.91</v>
      </c>
      <c r="L26" s="145">
        <f>PI!AK97</f>
        <v>4.91</v>
      </c>
      <c r="M26" s="145">
        <f>PI!AL97</f>
        <v>4.9000000000000004</v>
      </c>
      <c r="N26" s="145">
        <f>PI!AM97</f>
        <v>4.9000000000000004</v>
      </c>
      <c r="O26" s="145">
        <f>PI!AN97</f>
        <v>4.9000000000000004</v>
      </c>
      <c r="P26" s="145">
        <f>PI!AO97</f>
        <v>4.9000000000000004</v>
      </c>
      <c r="Q26" s="145">
        <f>PI!AP97</f>
        <v>4.9000000000000004</v>
      </c>
      <c r="R26" s="145">
        <f>PI!AQ97</f>
        <v>4.9000000000000004</v>
      </c>
      <c r="S26" s="145">
        <f>PI!AR97</f>
        <v>4.9000000000000004</v>
      </c>
      <c r="T26" s="145">
        <f>PI!AS97</f>
        <v>4.9000000000000004</v>
      </c>
    </row>
    <row r="27" spans="1:20" ht="33">
      <c r="A27" s="51"/>
      <c r="B27" s="52" t="str">
        <f>T.BANGKIR!B27</f>
        <v>d. Jumlah Kali Transaksi Keuangan melalui PLN Mobile</v>
      </c>
      <c r="C27" s="441" t="str">
        <f>T.BANGKIR!C27</f>
        <v>ñ</v>
      </c>
      <c r="D27" s="53" t="str">
        <f>T.BANGKIR!D27</f>
        <v>Kali Transaksi</v>
      </c>
      <c r="E27" s="61"/>
      <c r="F27" s="53"/>
      <c r="G27" s="89">
        <f>T.BANGKIR!G27</f>
        <v>4912</v>
      </c>
      <c r="H27" s="89">
        <f>T.BANGKIR!H27</f>
        <v>9824</v>
      </c>
      <c r="I27" s="145">
        <f>PI!AH104</f>
        <v>293</v>
      </c>
      <c r="J27" s="145">
        <f>PI!AI104</f>
        <v>515</v>
      </c>
      <c r="K27" s="145">
        <f>PI!AJ104</f>
        <v>2124</v>
      </c>
      <c r="L27" s="145">
        <f>PI!AK104</f>
        <v>3968</v>
      </c>
      <c r="M27" s="145">
        <f>PI!AL104</f>
        <v>5435</v>
      </c>
      <c r="N27" s="145">
        <f>PI!AM104</f>
        <v>6265</v>
      </c>
      <c r="O27" s="145">
        <f>PI!AN104</f>
        <v>7241</v>
      </c>
      <c r="P27" s="145">
        <f>PI!AO104</f>
        <v>8114</v>
      </c>
      <c r="Q27" s="145">
        <f>PI!AP104</f>
        <v>9488</v>
      </c>
      <c r="R27" s="145">
        <f>PI!AQ104</f>
        <v>0</v>
      </c>
      <c r="S27" s="145">
        <f>PI!AR104</f>
        <v>0</v>
      </c>
      <c r="T27" s="145">
        <f>PI!AS104</f>
        <v>0</v>
      </c>
    </row>
    <row r="28" spans="1:20" ht="16.5">
      <c r="A28" s="51">
        <f>T.BANGKIR!A28</f>
        <v>6</v>
      </c>
      <c r="B28" s="311" t="str">
        <f>T.BANGKIR!B28</f>
        <v>Dispatch Respon Time</v>
      </c>
      <c r="C28" s="441"/>
      <c r="D28" s="53"/>
      <c r="E28" s="61"/>
      <c r="F28" s="53">
        <f>T.BANGKIR!F28</f>
        <v>3</v>
      </c>
      <c r="G28" s="89"/>
      <c r="H28" s="89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</row>
    <row r="29" spans="1:20" ht="33">
      <c r="A29" s="51"/>
      <c r="B29" s="52" t="str">
        <f>T.BANGKIR!B29</f>
        <v>a. Response Time atas Gangguan (diluar Clear Tamper)</v>
      </c>
      <c r="C29" s="441" t="str">
        <f>T.BANGKIR!C29</f>
        <v>ò</v>
      </c>
      <c r="D29" s="53" t="str">
        <f>T.BANGKIR!D29</f>
        <v>Menit</v>
      </c>
      <c r="E29" s="61"/>
      <c r="F29" s="53"/>
      <c r="G29" s="89">
        <f>T.BANGKIR!G29</f>
        <v>30</v>
      </c>
      <c r="H29" s="89">
        <f>T.BANGKIR!H29</f>
        <v>30</v>
      </c>
      <c r="I29" s="145">
        <f>PI!AH117</f>
        <v>5.9774038461538472</v>
      </c>
      <c r="J29" s="145">
        <f>PI!AI117</f>
        <v>5.9760125291375301</v>
      </c>
      <c r="K29" s="145">
        <f>PI!AJ117</f>
        <v>6.0147331635906918</v>
      </c>
      <c r="L29" s="145">
        <f>PI!AK117</f>
        <v>6.009756374524521</v>
      </c>
      <c r="M29" s="145">
        <f>PI!AL117</f>
        <v>7.465805099619617</v>
      </c>
      <c r="N29" s="145">
        <f>PI!AM117</f>
        <v>7.5801323675968462</v>
      </c>
      <c r="O29" s="145">
        <f>PI!AN117</f>
        <v>7.6617947018662962</v>
      </c>
      <c r="P29" s="145">
        <f>PI!AO117</f>
        <v>7.9087392340137761</v>
      </c>
      <c r="Q29" s="145">
        <f>PI!AP117</f>
        <v>8.3605463442592161</v>
      </c>
      <c r="R29" s="145">
        <f>PI!AQ117</f>
        <v>8.3605463442592161</v>
      </c>
      <c r="S29" s="145">
        <f>PI!AR117</f>
        <v>8.3605463442592161</v>
      </c>
      <c r="T29" s="145">
        <f>PI!AS117</f>
        <v>8.3605463442592161</v>
      </c>
    </row>
    <row r="30" spans="1:20" ht="33">
      <c r="A30" s="51"/>
      <c r="B30" s="52" t="str">
        <f>T.BANGKIR!B30</f>
        <v>b. Success Rate Auto Dispatch Gangguan Individual (diluar Clear Tamper)</v>
      </c>
      <c r="C30" s="441" t="str">
        <f>T.BANGKIR!C30</f>
        <v>ñ</v>
      </c>
      <c r="D30" s="53" t="str">
        <f>T.BANGKIR!D30</f>
        <v>%</v>
      </c>
      <c r="E30" s="61"/>
      <c r="F30" s="53"/>
      <c r="G30" s="89">
        <f>T.BANGKIR!G30</f>
        <v>0</v>
      </c>
      <c r="H30" s="89">
        <f>T.BANGKIR!H30</f>
        <v>0</v>
      </c>
      <c r="I30" s="145">
        <f>PI!AH133</f>
        <v>0</v>
      </c>
      <c r="J30" s="145">
        <f>PI!AI133</f>
        <v>0</v>
      </c>
      <c r="K30" s="145">
        <f>PI!AJ133</f>
        <v>0</v>
      </c>
      <c r="L30" s="145">
        <f>PI!AK133</f>
        <v>0</v>
      </c>
      <c r="M30" s="145">
        <f>PI!AL133</f>
        <v>0</v>
      </c>
      <c r="N30" s="145">
        <f>PI!AM133</f>
        <v>0</v>
      </c>
      <c r="O30" s="145">
        <f>PI!AN133</f>
        <v>0</v>
      </c>
      <c r="P30" s="145">
        <f>PI!AO133</f>
        <v>0</v>
      </c>
      <c r="Q30" s="145">
        <f>PI!AP133</f>
        <v>0</v>
      </c>
      <c r="R30" s="145">
        <f>PI!AQ133</f>
        <v>0</v>
      </c>
      <c r="S30" s="145">
        <f>PI!AR133</f>
        <v>0</v>
      </c>
      <c r="T30" s="145">
        <f>PI!AS133</f>
        <v>0</v>
      </c>
    </row>
    <row r="31" spans="1:20" ht="16.5">
      <c r="A31" s="51">
        <f>T.BANGKIR!A31</f>
        <v>7</v>
      </c>
      <c r="B31" s="311" t="str">
        <f>T.BANGKIR!B31</f>
        <v>Sistem Recovery :</v>
      </c>
      <c r="C31" s="441"/>
      <c r="D31" s="53"/>
      <c r="E31" s="61"/>
      <c r="F31" s="53">
        <f>T.BANGKIR!F31</f>
        <v>6</v>
      </c>
      <c r="G31" s="89"/>
      <c r="H31" s="89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</row>
    <row r="32" spans="1:20" ht="16.5">
      <c r="A32" s="51"/>
      <c r="B32" s="52" t="str">
        <f>T.BANGKIR!B32</f>
        <v>a. Recovery Time Gangguan Meluas TM</v>
      </c>
      <c r="C32" s="441" t="str">
        <f>T.BANGKIR!C32</f>
        <v>ñ</v>
      </c>
      <c r="D32" s="53" t="str">
        <f>T.BANGKIR!D32</f>
        <v>%</v>
      </c>
      <c r="E32" s="61"/>
      <c r="F32" s="53"/>
      <c r="G32" s="89">
        <f>T.BANGKIR!G32</f>
        <v>100</v>
      </c>
      <c r="H32" s="89">
        <f>T.BANGKIR!H32</f>
        <v>100</v>
      </c>
      <c r="I32" s="145">
        <f>PI!AH151</f>
        <v>110</v>
      </c>
      <c r="J32" s="145">
        <f>PI!AI151</f>
        <v>110</v>
      </c>
      <c r="K32" s="145">
        <f>PI!AJ151</f>
        <v>110</v>
      </c>
      <c r="L32" s="145">
        <f>PI!AK151</f>
        <v>110</v>
      </c>
      <c r="M32" s="145">
        <f>PI!AL151</f>
        <v>110</v>
      </c>
      <c r="N32" s="145">
        <f>PI!AM151</f>
        <v>110</v>
      </c>
      <c r="O32" s="145">
        <f>PI!AN151</f>
        <v>110</v>
      </c>
      <c r="P32" s="145">
        <f>PI!AO151</f>
        <v>110</v>
      </c>
      <c r="Q32" s="145">
        <f>PI!AP151</f>
        <v>110</v>
      </c>
      <c r="R32" s="145">
        <f>PI!AQ151</f>
        <v>0</v>
      </c>
      <c r="S32" s="145">
        <f>PI!AR151</f>
        <v>0</v>
      </c>
      <c r="T32" s="145">
        <f>PI!AS151</f>
        <v>0</v>
      </c>
    </row>
    <row r="33" spans="1:23" ht="16.5">
      <c r="A33" s="51"/>
      <c r="B33" s="52" t="str">
        <f>T.BANGKIR!B33</f>
        <v>b. Penormalan Siaga 1 Gangguan TM</v>
      </c>
      <c r="C33" s="441" t="str">
        <f>T.BANGKIR!C33</f>
        <v>ñ</v>
      </c>
      <c r="D33" s="53" t="str">
        <f>T.BANGKIR!D33</f>
        <v>%</v>
      </c>
      <c r="E33" s="61"/>
      <c r="F33" s="53"/>
      <c r="G33" s="89">
        <f>T.BANGKIR!G33</f>
        <v>100</v>
      </c>
      <c r="H33" s="89">
        <f>T.BANGKIR!H33</f>
        <v>100</v>
      </c>
      <c r="I33" s="145">
        <f>PI!AH173</f>
        <v>110</v>
      </c>
      <c r="J33" s="145">
        <f>PI!AI173</f>
        <v>110</v>
      </c>
      <c r="K33" s="145">
        <f>PI!AJ173</f>
        <v>110</v>
      </c>
      <c r="L33" s="145">
        <f>PI!AK173</f>
        <v>110</v>
      </c>
      <c r="M33" s="145">
        <f>PI!AL173</f>
        <v>110</v>
      </c>
      <c r="N33" s="145">
        <f>PI!AM173</f>
        <v>110</v>
      </c>
      <c r="O33" s="145">
        <f>PI!AN173</f>
        <v>110</v>
      </c>
      <c r="P33" s="145">
        <f>PI!AO173</f>
        <v>110</v>
      </c>
      <c r="Q33" s="145">
        <f>PI!AP173</f>
        <v>110</v>
      </c>
      <c r="R33" s="145">
        <f>PI!AQ173</f>
        <v>0</v>
      </c>
      <c r="S33" s="145">
        <f>PI!AR173</f>
        <v>0</v>
      </c>
      <c r="T33" s="145">
        <f>PI!AS173</f>
        <v>0</v>
      </c>
    </row>
    <row r="34" spans="1:23" ht="16.5">
      <c r="A34" s="51">
        <f>T.BANGKIR!A34</f>
        <v>8</v>
      </c>
      <c r="B34" s="311" t="str">
        <f>T.BANGKIR!B34</f>
        <v>Percepatan Penyambungan Pelanggan</v>
      </c>
      <c r="C34" s="441"/>
      <c r="D34" s="53"/>
      <c r="E34" s="61"/>
      <c r="F34" s="53">
        <f>T.BANGKIR!F34</f>
        <v>10</v>
      </c>
      <c r="G34" s="89"/>
      <c r="H34" s="89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</row>
    <row r="35" spans="1:23" ht="16.5">
      <c r="A35" s="51"/>
      <c r="B35" s="52" t="str">
        <f>T.BANGKIR!B35</f>
        <v>a. Penambahan Daya Tersambung</v>
      </c>
      <c r="C35" s="441" t="str">
        <f>T.BANGKIR!C35</f>
        <v>ñ</v>
      </c>
      <c r="D35" s="53" t="str">
        <f>T.BANGKIR!D35</f>
        <v>MVA</v>
      </c>
      <c r="E35" s="61"/>
      <c r="F35" s="53"/>
      <c r="G35" s="89">
        <f>T.BANGKIR!G35</f>
        <v>0.62</v>
      </c>
      <c r="H35" s="89">
        <f>T.BANGKIR!H35</f>
        <v>1.57</v>
      </c>
      <c r="I35" s="145">
        <f>PI!AH196</f>
        <v>0.23050000000000001</v>
      </c>
      <c r="J35" s="145">
        <f>PI!AI196</f>
        <v>0.27365</v>
      </c>
      <c r="K35" s="145">
        <f>PI!AJ196</f>
        <v>0.34379999999999999</v>
      </c>
      <c r="L35" s="145">
        <f>PI!AK196</f>
        <v>0.45839999999999997</v>
      </c>
      <c r="M35" s="145">
        <f>PI!AL196</f>
        <v>0.52405000000000002</v>
      </c>
      <c r="N35" s="145">
        <f>PI!AM196</f>
        <v>0.58365</v>
      </c>
      <c r="O35" s="145">
        <f>PI!AN196</f>
        <v>0.65820000000000001</v>
      </c>
      <c r="P35" s="145">
        <f>PI!AO196</f>
        <v>0.76949999999999996</v>
      </c>
      <c r="Q35" s="145">
        <f>PI!AP196</f>
        <v>0.86299999999999999</v>
      </c>
      <c r="R35" s="145">
        <f>PI!AQ196</f>
        <v>0</v>
      </c>
      <c r="S35" s="145">
        <f>PI!AR196</f>
        <v>0</v>
      </c>
      <c r="T35" s="145">
        <f>PI!AS196</f>
        <v>0</v>
      </c>
    </row>
    <row r="36" spans="1:23" ht="16.5">
      <c r="A36" s="51"/>
      <c r="B36" s="52" t="str">
        <f>T.BANGKIR!B36</f>
        <v>b. Penambahan Jumlah Pelanggan</v>
      </c>
      <c r="C36" s="441" t="str">
        <f>T.BANGKIR!C36</f>
        <v>ñ</v>
      </c>
      <c r="D36" s="53" t="str">
        <f>T.BANGKIR!D36</f>
        <v>Pelanggan</v>
      </c>
      <c r="E36" s="61"/>
      <c r="F36" s="53"/>
      <c r="G36" s="88">
        <f>T.BANGKIR!G36</f>
        <v>556</v>
      </c>
      <c r="H36" s="88">
        <f>T.BANGKIR!H36</f>
        <v>1280</v>
      </c>
      <c r="I36" s="88">
        <f>PI!AH202</f>
        <v>168</v>
      </c>
      <c r="J36" s="88">
        <f>PI!AI202</f>
        <v>214</v>
      </c>
      <c r="K36" s="88">
        <f>PI!AJ202</f>
        <v>261</v>
      </c>
      <c r="L36" s="88">
        <f>PI!AK202</f>
        <v>312</v>
      </c>
      <c r="M36" s="88">
        <f>PI!AL202</f>
        <v>365</v>
      </c>
      <c r="N36" s="88">
        <f>PI!AM202</f>
        <v>424</v>
      </c>
      <c r="O36" s="88">
        <f>PI!AN202</f>
        <v>462</v>
      </c>
      <c r="P36" s="88">
        <f>PI!AO202</f>
        <v>500</v>
      </c>
      <c r="Q36" s="88">
        <f>PI!AP202</f>
        <v>557</v>
      </c>
      <c r="R36" s="88">
        <f>PI!AQ202</f>
        <v>0</v>
      </c>
      <c r="S36" s="88">
        <f>PI!AR202</f>
        <v>0</v>
      </c>
      <c r="T36" s="88">
        <f>PI!AS202</f>
        <v>0</v>
      </c>
    </row>
    <row r="37" spans="1:23" ht="16.5">
      <c r="A37" s="51"/>
      <c r="B37" s="52" t="str">
        <f>T.BANGKIR!B37</f>
        <v>c. Jumlah Penambahan Pelanggan Produk Tematik</v>
      </c>
      <c r="C37" s="441" t="str">
        <f>T.BANGKIR!C37</f>
        <v>ñ</v>
      </c>
      <c r="D37" s="53" t="str">
        <f>T.BANGKIR!D37</f>
        <v>Pelanggan</v>
      </c>
      <c r="E37" s="61"/>
      <c r="F37" s="53"/>
      <c r="G37" s="89">
        <f>T.BANGKIR!G37</f>
        <v>90</v>
      </c>
      <c r="H37" s="89">
        <f>T.BANGKIR!H37</f>
        <v>150</v>
      </c>
      <c r="I37" s="145">
        <f>PI!AH208</f>
        <v>17</v>
      </c>
      <c r="J37" s="145">
        <f>PI!AI208</f>
        <v>18</v>
      </c>
      <c r="K37" s="145">
        <f>PI!AJ208</f>
        <v>34</v>
      </c>
      <c r="L37" s="145">
        <f>PI!AK208</f>
        <v>34</v>
      </c>
      <c r="M37" s="145">
        <f>PI!AL208</f>
        <v>50</v>
      </c>
      <c r="N37" s="145">
        <f>PI!AM208</f>
        <v>99</v>
      </c>
      <c r="O37" s="145">
        <f>PI!AN208</f>
        <v>99</v>
      </c>
      <c r="P37" s="145">
        <f>PI!AO208</f>
        <v>133</v>
      </c>
      <c r="Q37" s="145">
        <f>PI!AP208</f>
        <v>138</v>
      </c>
      <c r="R37" s="145">
        <f>PI!AQ208</f>
        <v>0</v>
      </c>
      <c r="S37" s="145">
        <f>PI!AR208</f>
        <v>0</v>
      </c>
      <c r="T37" s="145">
        <f>PI!AS208</f>
        <v>0</v>
      </c>
    </row>
    <row r="38" spans="1:23" ht="30" customHeight="1">
      <c r="A38" s="51"/>
      <c r="B38" s="52" t="str">
        <f>T.BANGKIR!B38</f>
        <v>d. Implementasi Kesesuaian Sektor Bisnis sesuai KBLI 2020</v>
      </c>
      <c r="C38" s="441" t="str">
        <f>T.BANGKIR!C38</f>
        <v>ñ</v>
      </c>
      <c r="D38" s="53" t="str">
        <f>T.BANGKIR!D38</f>
        <v>Pelanggan</v>
      </c>
      <c r="E38" s="61"/>
      <c r="F38" s="53"/>
      <c r="G38" s="89">
        <f>T.BANGKIR!G38</f>
        <v>0</v>
      </c>
      <c r="H38" s="89">
        <f>T.BANGKIR!H38</f>
        <v>0</v>
      </c>
      <c r="I38" s="145">
        <f>PI!AH214</f>
        <v>0</v>
      </c>
      <c r="J38" s="145">
        <f>PI!AI214</f>
        <v>0</v>
      </c>
      <c r="K38" s="145">
        <f>PI!AJ214</f>
        <v>0</v>
      </c>
      <c r="L38" s="145">
        <f>PI!AK214</f>
        <v>0</v>
      </c>
      <c r="M38" s="145">
        <f>PI!AL214</f>
        <v>0</v>
      </c>
      <c r="N38" s="145">
        <f>PI!AM214</f>
        <v>0</v>
      </c>
      <c r="O38" s="145">
        <f>PI!AN214</f>
        <v>0</v>
      </c>
      <c r="P38" s="145">
        <f>PI!AO214</f>
        <v>0</v>
      </c>
      <c r="Q38" s="145">
        <f>PI!AP214</f>
        <v>0</v>
      </c>
      <c r="R38" s="145">
        <f>PI!AQ214</f>
        <v>0</v>
      </c>
      <c r="S38" s="145">
        <f>PI!AR214</f>
        <v>0</v>
      </c>
      <c r="T38" s="145">
        <f>PI!AS214</f>
        <v>0</v>
      </c>
    </row>
    <row r="39" spans="1:23" ht="16.5">
      <c r="A39" s="51">
        <f>T.BANGKIR!A39</f>
        <v>9</v>
      </c>
      <c r="B39" s="311" t="str">
        <f>T.BANGKIR!B39</f>
        <v>Percepatan Penyambungan Pelanggan Lisdes</v>
      </c>
      <c r="C39" s="441"/>
      <c r="D39" s="53"/>
      <c r="E39" s="61" t="e">
        <f>#REF!</f>
        <v>#REF!</v>
      </c>
      <c r="F39" s="53">
        <f>T.BANGKIR!F39</f>
        <v>4</v>
      </c>
      <c r="G39" s="89"/>
      <c r="H39" s="89"/>
      <c r="I39" s="249"/>
      <c r="J39" s="249"/>
      <c r="K39" s="249"/>
      <c r="L39" s="249"/>
      <c r="M39" s="249"/>
      <c r="N39" s="249"/>
      <c r="O39" s="249"/>
      <c r="P39" s="249"/>
      <c r="Q39" s="249"/>
      <c r="R39" s="249"/>
      <c r="S39" s="249"/>
      <c r="T39" s="249"/>
    </row>
    <row r="40" spans="1:23" ht="33">
      <c r="A40" s="51"/>
      <c r="B40" s="52" t="str">
        <f>T.BANGKIR!B40</f>
        <v>a. Penambahan Jumlah Pelanggan Rumah Tangga Lisdes</v>
      </c>
      <c r="C40" s="441" t="str">
        <f>T.BANGKIR!C40</f>
        <v>ñ</v>
      </c>
      <c r="D40" s="53" t="str">
        <f>T.BANGKIR!D40</f>
        <v>Pelanggan</v>
      </c>
      <c r="E40" s="61"/>
      <c r="F40" s="53"/>
      <c r="G40" s="89">
        <f>T.BANGKIR!G40</f>
        <v>4</v>
      </c>
      <c r="H40" s="89">
        <f>T.BANGKIR!H40</f>
        <v>128</v>
      </c>
      <c r="I40" s="88">
        <f>PI!AH220</f>
        <v>35</v>
      </c>
      <c r="J40" s="88">
        <f>PI!AI220</f>
        <v>44</v>
      </c>
      <c r="K40" s="88">
        <f>PI!AJ220</f>
        <v>48</v>
      </c>
      <c r="L40" s="88">
        <f>PI!AK220</f>
        <v>53</v>
      </c>
      <c r="M40" s="88">
        <f>PI!AL220</f>
        <v>54</v>
      </c>
      <c r="N40" s="88">
        <f>PI!AM220</f>
        <v>54</v>
      </c>
      <c r="O40" s="88">
        <f>PI!AN220</f>
        <v>54</v>
      </c>
      <c r="P40" s="88">
        <f>PI!AO220</f>
        <v>54</v>
      </c>
      <c r="Q40" s="88">
        <f>PI!AP220</f>
        <v>54</v>
      </c>
      <c r="R40" s="88">
        <f>PI!AQ220</f>
        <v>0</v>
      </c>
      <c r="S40" s="88">
        <f>PI!AR220</f>
        <v>0</v>
      </c>
      <c r="T40" s="88">
        <f>PI!AS220</f>
        <v>0</v>
      </c>
    </row>
    <row r="41" spans="1:23" ht="33">
      <c r="A41" s="51"/>
      <c r="B41" s="52" t="str">
        <f>T.BANGKIR!B41</f>
        <v>b. Peningkatan kWh Penjualan dari Pelanggan Rumah Tangga Lisdes</v>
      </c>
      <c r="C41" s="441" t="str">
        <f>T.BANGKIR!C41</f>
        <v>ñ</v>
      </c>
      <c r="D41" s="53" t="str">
        <f>T.BANGKIR!D41</f>
        <v>kWh</v>
      </c>
      <c r="E41" s="61" t="e">
        <f>#REF!</f>
        <v>#REF!</v>
      </c>
      <c r="F41" s="53"/>
      <c r="G41" s="89">
        <f>T.BANGKIR!G41</f>
        <v>162</v>
      </c>
      <c r="H41" s="89">
        <f>T.BANGKIR!H41</f>
        <v>17110.491000000002</v>
      </c>
      <c r="I41" s="145">
        <f>PI!AH226</f>
        <v>8530</v>
      </c>
      <c r="J41" s="145">
        <f>PI!AI226</f>
        <v>14226.8</v>
      </c>
      <c r="K41" s="145">
        <f>PI!AJ226</f>
        <v>14800.400000000001</v>
      </c>
      <c r="L41" s="145">
        <f>PI!AK226</f>
        <v>15733.2</v>
      </c>
      <c r="M41" s="145">
        <f>PI!AL226</f>
        <v>17680.300000000003</v>
      </c>
      <c r="N41" s="145">
        <f>PI!AM226</f>
        <v>18973.800000000003</v>
      </c>
      <c r="O41" s="145">
        <f>PI!AN226</f>
        <v>20717.900000000001</v>
      </c>
      <c r="P41" s="145">
        <f>PI!AO226</f>
        <v>22466.2</v>
      </c>
      <c r="Q41" s="145">
        <f>PI!AP226</f>
        <v>24409.8</v>
      </c>
      <c r="R41" s="145">
        <f>PI!AQ226</f>
        <v>0</v>
      </c>
      <c r="S41" s="145">
        <f>PI!AR226</f>
        <v>0</v>
      </c>
      <c r="T41" s="145">
        <f>PI!AS226</f>
        <v>0</v>
      </c>
    </row>
    <row r="42" spans="1:23" ht="16.5">
      <c r="A42" s="51">
        <f>T.BANGKIR!A42</f>
        <v>10</v>
      </c>
      <c r="B42" s="311" t="str">
        <f>T.BANGKIR!B42</f>
        <v>Pengelolaan Pembacaan Meter</v>
      </c>
      <c r="C42" s="441"/>
      <c r="D42" s="53"/>
      <c r="E42" s="61" t="e">
        <f>#REF!</f>
        <v>#REF!</v>
      </c>
      <c r="F42" s="53">
        <f>T.BANGKIR!F42</f>
        <v>8</v>
      </c>
      <c r="G42" s="89"/>
      <c r="H42" s="89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</row>
    <row r="43" spans="1:23" ht="16.5">
      <c r="A43" s="51"/>
      <c r="B43" s="52" t="str">
        <f>T.BANGKIR!B43</f>
        <v>a. Jumlah Pengguna Swa Cam</v>
      </c>
      <c r="C43" s="441" t="str">
        <f>T.BANGKIR!C43</f>
        <v>ñ</v>
      </c>
      <c r="D43" s="53" t="str">
        <f>T.BANGKIR!D43</f>
        <v>Pelanggan</v>
      </c>
      <c r="E43" s="61" t="e">
        <f>#REF!</f>
        <v>#REF!</v>
      </c>
      <c r="F43" s="53"/>
      <c r="G43" s="89">
        <f>T.BANGKIR!G43</f>
        <v>12</v>
      </c>
      <c r="H43" s="89">
        <f>T.BANGKIR!H43</f>
        <v>12</v>
      </c>
      <c r="I43" s="145">
        <f>PI!AH236</f>
        <v>21</v>
      </c>
      <c r="J43" s="145">
        <f>PI!AI236</f>
        <v>22</v>
      </c>
      <c r="K43" s="145">
        <f>PI!AJ236</f>
        <v>22.5</v>
      </c>
      <c r="L43" s="145">
        <f>PI!AK236</f>
        <v>22</v>
      </c>
      <c r="M43" s="145">
        <f>PI!AL236</f>
        <v>22</v>
      </c>
      <c r="N43" s="145">
        <f>PI!AM236</f>
        <v>22.666666666666668</v>
      </c>
      <c r="O43" s="145">
        <f>PI!AN236</f>
        <v>26.285714285714285</v>
      </c>
      <c r="P43" s="145">
        <f>PI!AO236</f>
        <v>32.25</v>
      </c>
      <c r="Q43" s="145">
        <f>PI!AP236</f>
        <v>37.222222222222221</v>
      </c>
      <c r="R43" s="145">
        <f>PI!AQ236</f>
        <v>37.222222222222221</v>
      </c>
      <c r="S43" s="145">
        <f>PI!AR236</f>
        <v>37.222222222222221</v>
      </c>
      <c r="T43" s="145">
        <f>PI!AS236</f>
        <v>37.222222222222221</v>
      </c>
    </row>
    <row r="44" spans="1:23" ht="33">
      <c r="A44" s="51"/>
      <c r="B44" s="52" t="str">
        <f>T.BANGKIR!B44</f>
        <v>b. Tindak Lanjut LBKB (Laporan Bulanan Kelainan Baca Meter)</v>
      </c>
      <c r="C44" s="441" t="str">
        <f>T.BANGKIR!C44</f>
        <v>ò</v>
      </c>
      <c r="D44" s="53" t="str">
        <f>T.BANGKIR!D44</f>
        <v>Pelanggan</v>
      </c>
      <c r="E44" s="61" t="e">
        <f>#REF!</f>
        <v>#REF!</v>
      </c>
      <c r="F44" s="53"/>
      <c r="G44" s="89">
        <f>T.BANGKIR!G44</f>
        <v>0</v>
      </c>
      <c r="H44" s="89">
        <f>T.BANGKIR!H44</f>
        <v>0</v>
      </c>
      <c r="I44" s="145">
        <v>0</v>
      </c>
      <c r="J44" s="145">
        <v>0</v>
      </c>
      <c r="K44" s="145">
        <v>0</v>
      </c>
      <c r="L44" s="145">
        <v>0</v>
      </c>
      <c r="M44" s="145">
        <v>0</v>
      </c>
      <c r="N44" s="145">
        <v>0</v>
      </c>
      <c r="O44" s="145">
        <v>0</v>
      </c>
      <c r="P44" s="145">
        <v>0</v>
      </c>
      <c r="Q44" s="145">
        <v>0</v>
      </c>
      <c r="R44" s="145">
        <v>0</v>
      </c>
      <c r="S44" s="145">
        <v>0</v>
      </c>
      <c r="T44" s="145">
        <v>0</v>
      </c>
      <c r="V44" s="21"/>
      <c r="W44" s="21"/>
    </row>
    <row r="45" spans="1:23" ht="16.5">
      <c r="A45" s="51">
        <f>T.BANGKIR!A45</f>
        <v>11</v>
      </c>
      <c r="B45" s="311" t="str">
        <f>T.BANGKIR!B45</f>
        <v>Sisa Stand Bongkar Migrasi</v>
      </c>
      <c r="C45" s="441" t="str">
        <f>T.BANGKIR!C45</f>
        <v>ñ</v>
      </c>
      <c r="D45" s="53"/>
      <c r="E45" s="61"/>
      <c r="F45" s="53">
        <f>T.BANGKIR!F45</f>
        <v>3</v>
      </c>
      <c r="G45" s="89">
        <f>T.BANGKIR!G45</f>
        <v>100</v>
      </c>
      <c r="H45" s="89">
        <f>T.BANGKIR!H45</f>
        <v>100</v>
      </c>
      <c r="I45" s="145">
        <f>PI!AH252</f>
        <v>100</v>
      </c>
      <c r="J45" s="145">
        <f>PI!AI252</f>
        <v>100</v>
      </c>
      <c r="K45" s="145">
        <f>PI!AJ252</f>
        <v>100</v>
      </c>
      <c r="L45" s="145">
        <f>PI!AK252</f>
        <v>100</v>
      </c>
      <c r="M45" s="145">
        <f>PI!AL252</f>
        <v>100</v>
      </c>
      <c r="N45" s="145">
        <f>PI!AM252</f>
        <v>100</v>
      </c>
      <c r="O45" s="145">
        <f>PI!AN252</f>
        <v>100</v>
      </c>
      <c r="P45" s="145">
        <f>PI!AO252</f>
        <v>100</v>
      </c>
      <c r="Q45" s="145">
        <f>PI!AP252</f>
        <v>100</v>
      </c>
      <c r="R45" s="145">
        <f>PI!AQ252</f>
        <v>100</v>
      </c>
      <c r="S45" s="145">
        <f>PI!AR252</f>
        <v>100</v>
      </c>
      <c r="T45" s="145">
        <f>PI!AS252</f>
        <v>100</v>
      </c>
    </row>
    <row r="46" spans="1:23" ht="16.5">
      <c r="A46" s="51">
        <f>T.BANGKIR!A46</f>
        <v>12</v>
      </c>
      <c r="B46" s="311" t="str">
        <f>T.BANGKIR!B46</f>
        <v>Percepatan Cash In</v>
      </c>
      <c r="C46" s="441"/>
      <c r="D46" s="53" t="str">
        <f>T.BANGKIR!D46</f>
        <v>%</v>
      </c>
      <c r="E46" s="61"/>
      <c r="F46" s="53">
        <f>T.BANGKIR!F46</f>
        <v>9</v>
      </c>
      <c r="G46" s="89"/>
      <c r="H46" s="89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</row>
    <row r="47" spans="1:23" ht="33">
      <c r="A47" s="51"/>
      <c r="B47" s="52" t="str">
        <f>T.BANGKIR!B47</f>
        <v>a. Persentase Rata-Rata Saldo Tanggal 20 Non Kogol 1 dan Non Kogol 2</v>
      </c>
      <c r="C47" s="441" t="str">
        <f>T.BANGKIR!C47</f>
        <v>ò</v>
      </c>
      <c r="D47" s="53" t="str">
        <f>T.BANGKIR!D47</f>
        <v>Rp. Juta</v>
      </c>
      <c r="E47" s="61"/>
      <c r="F47" s="53"/>
      <c r="G47" s="89">
        <f>T.BANGKIR!G47</f>
        <v>16</v>
      </c>
      <c r="H47" s="89">
        <f>T.BANGKIR!H47</f>
        <v>16</v>
      </c>
      <c r="I47" s="145">
        <f>PI!AH270</f>
        <v>2.0411350000000001</v>
      </c>
      <c r="J47" s="145">
        <f>PI!AI270</f>
        <v>1.3961895000000002</v>
      </c>
      <c r="K47" s="145">
        <f>PI!AJ270</f>
        <v>1.3391616666666668</v>
      </c>
      <c r="L47" s="145">
        <f>PI!AK270</f>
        <v>1.0043712500000002</v>
      </c>
      <c r="M47" s="145">
        <f>PI!AL270</f>
        <v>0.80349700000000013</v>
      </c>
      <c r="N47" s="145">
        <f>PI!AM270</f>
        <v>0.6695808333333334</v>
      </c>
      <c r="O47" s="145">
        <f>PI!AN270</f>
        <v>0.57392642857142862</v>
      </c>
      <c r="P47" s="145">
        <f>PI!AO270</f>
        <v>0.50218562500000008</v>
      </c>
      <c r="Q47" s="145">
        <f>PI!AP270</f>
        <v>0.44638722222222227</v>
      </c>
      <c r="R47" s="145">
        <f>PI!AQ270</f>
        <v>0.44638722222222227</v>
      </c>
      <c r="S47" s="145">
        <f>PI!AR270</f>
        <v>0.44638722222222227</v>
      </c>
      <c r="T47" s="145">
        <f>PI!AS270</f>
        <v>0.44638722222222227</v>
      </c>
    </row>
    <row r="48" spans="1:23" ht="33">
      <c r="A48" s="51"/>
      <c r="B48" s="52" t="str">
        <f>T.BANGKIR!B48</f>
        <v>b. Pencapaian Saldo Rata-Rata Akhir Bulan Non Kogol 1 dan Non Kogol 2</v>
      </c>
      <c r="C48" s="441" t="str">
        <f>T.BANGKIR!C48</f>
        <v>ò</v>
      </c>
      <c r="D48" s="53" t="str">
        <f>T.BANGKIR!D48</f>
        <v>Rp. Juta</v>
      </c>
      <c r="E48" s="61"/>
      <c r="F48" s="53"/>
      <c r="G48" s="89">
        <f>T.BANGKIR!G48</f>
        <v>2.72</v>
      </c>
      <c r="H48" s="89">
        <f>T.BANGKIR!H48</f>
        <v>2.72</v>
      </c>
      <c r="I48" s="145">
        <f>PI!AH292</f>
        <v>2.0411350000000001</v>
      </c>
      <c r="J48" s="145">
        <f>PI!AI292</f>
        <v>1.0205675000000001</v>
      </c>
      <c r="K48" s="145">
        <f>PI!AJ292</f>
        <v>0.68037833333333342</v>
      </c>
      <c r="L48" s="145">
        <f>PI!AK292</f>
        <v>0.51028375000000004</v>
      </c>
      <c r="M48" s="145">
        <f>PI!AL292</f>
        <v>0.40822700000000001</v>
      </c>
      <c r="N48" s="145">
        <f>PI!AM292</f>
        <v>0.34018916666666671</v>
      </c>
      <c r="O48" s="145">
        <f>PI!AN292</f>
        <v>0.29159071428571431</v>
      </c>
      <c r="P48" s="145">
        <f>PI!AO292</f>
        <v>0.25514187500000002</v>
      </c>
      <c r="Q48" s="145">
        <f>PI!AP292</f>
        <v>0.22679277777777779</v>
      </c>
      <c r="R48" s="145">
        <f>PI!AQ292</f>
        <v>0.22679277777777779</v>
      </c>
      <c r="S48" s="145">
        <f>PI!AR292</f>
        <v>0.22679277777777779</v>
      </c>
      <c r="T48" s="145">
        <f>PI!AS292</f>
        <v>0.22679277777777779</v>
      </c>
    </row>
    <row r="49" spans="1:20" ht="16.5">
      <c r="A49" s="51"/>
      <c r="B49" s="52" t="str">
        <f>T.BANGKIR!B49</f>
        <v>c. Pencapaian Pelunasan PRR</v>
      </c>
      <c r="C49" s="441" t="str">
        <f>T.BANGKIR!C49</f>
        <v>ñ</v>
      </c>
      <c r="D49" s="53" t="str">
        <f>T.BANGKIR!D49</f>
        <v>Rp. Juta</v>
      </c>
      <c r="E49" s="61"/>
      <c r="F49" s="53"/>
      <c r="G49" s="89">
        <f>T.BANGKIR!G46</f>
        <v>0</v>
      </c>
      <c r="H49" s="89">
        <f>T.BANGKIR!H46</f>
        <v>0</v>
      </c>
      <c r="I49" s="145">
        <f>PI!AH315</f>
        <v>0</v>
      </c>
      <c r="J49" s="145">
        <f>PI!AI315</f>
        <v>0</v>
      </c>
      <c r="K49" s="145">
        <f>PI!AJ315</f>
        <v>0</v>
      </c>
      <c r="L49" s="145">
        <f>PI!AK315</f>
        <v>0</v>
      </c>
      <c r="M49" s="145">
        <f>PI!AL315</f>
        <v>0</v>
      </c>
      <c r="N49" s="145">
        <f>PI!AM315</f>
        <v>0</v>
      </c>
      <c r="O49" s="145">
        <f>PI!AN315</f>
        <v>0</v>
      </c>
      <c r="P49" s="145">
        <f>PI!AO315</f>
        <v>0</v>
      </c>
      <c r="Q49" s="145">
        <f>PI!AP315</f>
        <v>0</v>
      </c>
      <c r="R49" s="145">
        <f>PI!AQ315</f>
        <v>0</v>
      </c>
      <c r="S49" s="145">
        <f>PI!AR315</f>
        <v>0</v>
      </c>
      <c r="T49" s="145">
        <f>PI!AS315</f>
        <v>0</v>
      </c>
    </row>
    <row r="50" spans="1:20" ht="16.5">
      <c r="A50" s="51">
        <f>T.BANGKIR!A50</f>
        <v>13</v>
      </c>
      <c r="B50" s="311" t="str">
        <f>T.BANGKIR!B50</f>
        <v>Kepatuhan :</v>
      </c>
      <c r="C50" s="441"/>
      <c r="D50" s="53"/>
      <c r="E50" s="61" t="e">
        <f>#REF!</f>
        <v>#REF!</v>
      </c>
      <c r="F50" s="53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</row>
    <row r="51" spans="1:20" ht="36" customHeight="1">
      <c r="A51" s="51"/>
      <c r="B51" s="52" t="str">
        <f>T.BANGKIR!B51</f>
        <v>a. Pengelolaan K3, Keamanan dan Lingkungan Hidup</v>
      </c>
      <c r="C51" s="441"/>
      <c r="D51" s="53"/>
      <c r="E51" s="61" t="e">
        <f>#REF!</f>
        <v>#REF!</v>
      </c>
      <c r="F51" s="53" t="str">
        <f>T.BANGKIR!F51</f>
        <v>Max-8</v>
      </c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</row>
    <row r="52" spans="1:20" ht="24.6" customHeight="1">
      <c r="A52" s="51"/>
      <c r="B52" s="52" t="str">
        <f>T.BANGKIR!B52</f>
        <v>b. Maturity Level Implementasi Sistem Manajemen Anti Penyuapan (SMAP)</v>
      </c>
      <c r="C52" s="441"/>
      <c r="D52" s="53"/>
      <c r="E52" s="61" t="e">
        <f>#REF!</f>
        <v>#REF!</v>
      </c>
      <c r="F52" s="53" t="str">
        <f>T.BANGKIR!F52</f>
        <v>Max-4</v>
      </c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</row>
    <row r="53" spans="1:20" ht="33">
      <c r="A53" s="51"/>
      <c r="B53" s="52" t="str">
        <f>T.BANGKIR!B53</f>
        <v>c. Ketepatan penyampaian pelaporan dan
Akurasi Data Kinerja</v>
      </c>
      <c r="C53" s="441"/>
      <c r="D53" s="53"/>
      <c r="E53" s="61" t="e">
        <f>#REF!</f>
        <v>#REF!</v>
      </c>
      <c r="F53" s="53" t="str">
        <f>T.BANGKIR!F53</f>
        <v>Max-10</v>
      </c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111"/>
    </row>
    <row r="54" spans="1:20" ht="16.5">
      <c r="A54" s="51"/>
      <c r="B54" s="52" t="str">
        <f>T.BANGKIR!B54</f>
        <v>d. Tindak Lanjut Temuan Auditor</v>
      </c>
      <c r="C54" s="441"/>
      <c r="D54" s="53"/>
      <c r="E54" s="61"/>
      <c r="F54" s="53" t="str">
        <f>T.BANGKIR!F54</f>
        <v>Max-5</v>
      </c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</row>
    <row r="55" spans="1:20" ht="33">
      <c r="A55" s="51"/>
      <c r="B55" s="52" t="str">
        <f>T.BANGKIR!B55</f>
        <v>e. Pencapaian Beyond RKAP</v>
      </c>
      <c r="C55" s="441"/>
      <c r="D55" s="53"/>
      <c r="E55" s="61" t="e">
        <f>#REF!</f>
        <v>#REF!</v>
      </c>
      <c r="F55" s="53" t="str">
        <f>T.BANGKIR!F55</f>
        <v>Max-2
Max+2</v>
      </c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</row>
    <row r="56" spans="1:20" s="163" customFormat="1" ht="15" customHeight="1">
      <c r="A56" s="54"/>
      <c r="B56" s="55" t="str">
        <f>T.TOLIS!B56</f>
        <v>TOTAL BOBOT</v>
      </c>
      <c r="C56" s="442"/>
      <c r="D56" s="129"/>
      <c r="E56" s="55"/>
      <c r="F56" s="139">
        <f>F7+F18</f>
        <v>100</v>
      </c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</row>
    <row r="58" spans="1:20">
      <c r="A58" s="2"/>
      <c r="B58" s="3" t="s">
        <v>369</v>
      </c>
      <c r="C58" s="444"/>
      <c r="D58" s="4">
        <f>COUNTA(D8:D55)</f>
        <v>31</v>
      </c>
      <c r="E58" s="2"/>
      <c r="F58" s="4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60" spans="1:20">
      <c r="A60" s="63" t="s">
        <v>370</v>
      </c>
      <c r="B60" s="26"/>
      <c r="C60" s="445"/>
      <c r="D60" s="25"/>
      <c r="E60" s="25"/>
      <c r="F60" s="25"/>
      <c r="G60" s="25"/>
      <c r="H60" s="25"/>
      <c r="I60" s="25"/>
      <c r="J60" s="25"/>
      <c r="K60" s="25"/>
      <c r="L60" s="25"/>
      <c r="M60" s="25"/>
      <c r="Q60" s="25"/>
      <c r="S60" s="25"/>
    </row>
    <row r="61" spans="1:20">
      <c r="A61" s="25">
        <v>3</v>
      </c>
      <c r="B61" s="64" t="s">
        <v>371</v>
      </c>
      <c r="C61" s="445"/>
      <c r="D61" s="25"/>
      <c r="E61" s="25"/>
      <c r="F61" s="25"/>
      <c r="G61" s="25"/>
      <c r="H61" s="25"/>
      <c r="I61" s="25"/>
      <c r="J61" s="25"/>
      <c r="K61" s="25"/>
      <c r="L61" s="25"/>
      <c r="M61" s="25"/>
      <c r="Q61" s="25"/>
      <c r="S61" s="25"/>
    </row>
    <row r="62" spans="1:20">
      <c r="A62" s="25">
        <v>1</v>
      </c>
      <c r="B62" s="64" t="s">
        <v>372</v>
      </c>
      <c r="C62" s="445"/>
      <c r="D62" s="25"/>
      <c r="E62" s="25"/>
      <c r="F62" s="25"/>
      <c r="G62" s="25"/>
      <c r="H62" s="25"/>
      <c r="I62" s="25"/>
      <c r="J62" s="25"/>
      <c r="K62" s="25"/>
      <c r="L62" s="25"/>
      <c r="M62" s="25"/>
      <c r="Q62" s="25"/>
      <c r="S62" s="25"/>
    </row>
    <row r="63" spans="1:20">
      <c r="A63" s="25"/>
      <c r="B63" s="26"/>
      <c r="C63" s="445"/>
      <c r="D63" s="25"/>
      <c r="E63" s="25"/>
      <c r="F63" s="25"/>
      <c r="G63" s="25"/>
      <c r="H63" s="25"/>
      <c r="I63" s="25"/>
      <c r="J63" s="25"/>
      <c r="K63" s="25"/>
      <c r="L63" s="25"/>
      <c r="M63" s="25"/>
      <c r="Q63" s="25"/>
      <c r="S63" s="25"/>
    </row>
    <row r="64" spans="1:20">
      <c r="A64" s="25"/>
      <c r="B64" s="26"/>
      <c r="C64" s="445"/>
      <c r="D64" s="25"/>
      <c r="E64" s="25"/>
      <c r="F64" s="25"/>
      <c r="G64" s="25"/>
      <c r="H64" s="25"/>
      <c r="I64" s="25"/>
      <c r="J64" s="25"/>
      <c r="K64" s="25"/>
      <c r="L64" s="25"/>
      <c r="M64" s="25"/>
      <c r="Q64" s="25"/>
      <c r="S64" s="25"/>
    </row>
    <row r="65" spans="1:19">
      <c r="A65" s="24"/>
      <c r="B65" s="23"/>
      <c r="C65" s="445"/>
      <c r="D65" s="24"/>
      <c r="E65" s="24"/>
      <c r="F65" s="24"/>
      <c r="G65" s="24"/>
      <c r="H65" s="24"/>
      <c r="I65" s="24"/>
      <c r="J65" s="24"/>
      <c r="K65" s="24"/>
      <c r="L65" s="24"/>
      <c r="M65" s="24"/>
    </row>
    <row r="66" spans="1:19">
      <c r="Q66" s="24"/>
      <c r="S66" s="24"/>
    </row>
  </sheetData>
  <mergeCells count="9">
    <mergeCell ref="H4:H5"/>
    <mergeCell ref="I4:T4"/>
    <mergeCell ref="B6:C6"/>
    <mergeCell ref="A4:A5"/>
    <mergeCell ref="B4:C5"/>
    <mergeCell ref="D4:D5"/>
    <mergeCell ref="E4:E5"/>
    <mergeCell ref="F4:F5"/>
    <mergeCell ref="G4:G5"/>
  </mergeCells>
  <conditionalFormatting sqref="A61">
    <cfRule type="iconSet" priority="3">
      <iconSet iconSet="3ArrowsGray" showValue="0">
        <cfvo type="percent" val="0"/>
        <cfvo type="num" val="2"/>
        <cfvo type="num" val="3"/>
      </iconSet>
    </cfRule>
    <cfRule type="iconSet" priority="5">
      <iconSet iconSet="3ArrowsGray" showValue="0">
        <cfvo type="percent" val="0"/>
        <cfvo type="num" val="2"/>
        <cfvo type="num" val="3"/>
      </iconSet>
    </cfRule>
    <cfRule type="iconSet" priority="7">
      <iconSet iconSet="3ArrowsGray" showValue="0">
        <cfvo type="percent" val="0"/>
        <cfvo type="num" val="2"/>
        <cfvo type="num" val="3"/>
      </iconSet>
    </cfRule>
    <cfRule type="iconSet" priority="9">
      <iconSet iconSet="3ArrowsGray" showValue="0">
        <cfvo type="percent" val="0"/>
        <cfvo type="num" val="2"/>
        <cfvo type="num" val="3"/>
      </iconSet>
    </cfRule>
  </conditionalFormatting>
  <conditionalFormatting sqref="A62">
    <cfRule type="iconSet" priority="2">
      <iconSet iconSet="3ArrowsGray" showValue="0">
        <cfvo type="percent" val="0"/>
        <cfvo type="num" val="2"/>
        <cfvo type="num" val="3"/>
      </iconSet>
    </cfRule>
    <cfRule type="iconSet" priority="4">
      <iconSet iconSet="3ArrowsGray" showValue="0">
        <cfvo type="percent" val="0"/>
        <cfvo type="num" val="2"/>
        <cfvo type="num" val="3"/>
      </iconSet>
    </cfRule>
    <cfRule type="iconSet" priority="6">
      <iconSet iconSet="3ArrowsGray" showValue="0">
        <cfvo type="percent" val="0"/>
        <cfvo type="num" val="2"/>
        <cfvo type="num" val="3"/>
      </iconSet>
    </cfRule>
    <cfRule type="iconSet" priority="8">
      <iconSet iconSet="3ArrowsGray" showValue="0">
        <cfvo type="percent" val="0"/>
        <cfvo type="num" val="2"/>
        <cfvo type="num" val="3"/>
      </iconSet>
    </cfRule>
  </conditionalFormatting>
  <conditionalFormatting sqref="C8:C17">
    <cfRule type="iconSet" priority="47747">
      <iconSet iconSet="3ArrowsGray" showValue="0">
        <cfvo type="percent" val="0"/>
        <cfvo type="num" val="2"/>
        <cfvo type="num" val="3"/>
      </iconSet>
    </cfRule>
    <cfRule type="iconSet" priority="47748">
      <iconSet iconSet="3ArrowsGray" showValue="0">
        <cfvo type="percent" val="0"/>
        <cfvo type="num" val="2"/>
        <cfvo type="num" val="3"/>
      </iconSet>
    </cfRule>
  </conditionalFormatting>
  <conditionalFormatting sqref="C19:C55">
    <cfRule type="iconSet" priority="47753">
      <iconSet iconSet="3ArrowsGray" showValue="0">
        <cfvo type="percent" val="0"/>
        <cfvo type="num" val="2"/>
        <cfvo type="num" val="3"/>
      </iconSet>
    </cfRule>
  </conditionalFormatting>
  <conditionalFormatting sqref="C57">
    <cfRule type="iconSet" priority="12">
      <iconSet iconSet="3ArrowsGray" showValue="0">
        <cfvo type="percent" val="0"/>
        <cfvo type="num" val="2"/>
        <cfvo type="num" val="3"/>
      </iconSet>
    </cfRule>
    <cfRule type="iconSet" priority="14">
      <iconSet iconSet="3ArrowsGray" showValue="0">
        <cfvo type="percent" val="0"/>
        <cfvo type="num" val="2"/>
        <cfvo type="num" val="3"/>
      </iconSet>
    </cfRule>
  </conditionalFormatting>
  <conditionalFormatting sqref="C58">
    <cfRule type="iconSet" priority="18">
      <iconSet iconSet="3ArrowsGray" showValue="0">
        <cfvo type="percent" val="0"/>
        <cfvo type="num" val="2"/>
        <cfvo type="num" val="3"/>
      </iconSet>
    </cfRule>
  </conditionalFormatting>
  <conditionalFormatting sqref="D57 H57">
    <cfRule type="iconSet" priority="13">
      <iconSet iconSet="3ArrowsGray" showValue="0">
        <cfvo type="percent" val="0"/>
        <cfvo type="num" val="2"/>
        <cfvo type="num" val="3"/>
      </iconSet>
    </cfRule>
  </conditionalFormatting>
  <conditionalFormatting sqref="D57">
    <cfRule type="iconSet" priority="16">
      <iconSet iconSet="3ArrowsGray" showValue="0">
        <cfvo type="percent" val="0"/>
        <cfvo type="num" val="2"/>
        <cfvo type="num" val="3"/>
      </iconSet>
    </cfRule>
  </conditionalFormatting>
  <conditionalFormatting sqref="E57">
    <cfRule type="iconSet" priority="15">
      <iconSet iconSet="3ArrowsGray" showValue="0">
        <cfvo type="percent" val="0"/>
        <cfvo type="num" val="2"/>
        <cfvo type="num" val="3"/>
      </iconSet>
    </cfRule>
  </conditionalFormatting>
  <conditionalFormatting sqref="H57">
    <cfRule type="iconSet" priority="11">
      <iconSet iconSet="3ArrowsGray" showValue="0">
        <cfvo type="percent" val="0"/>
        <cfvo type="num" val="2"/>
        <cfvo type="num" val="3"/>
      </iconSet>
    </cfRule>
  </conditionalFormatting>
  <conditionalFormatting sqref="H58:T58">
    <cfRule type="iconSet" priority="17">
      <iconSet iconSet="3ArrowsGray" showValue="0">
        <cfvo type="percent" val="0"/>
        <cfvo type="num" val="2"/>
        <cfvo type="num" val="3"/>
      </iconSet>
    </cfRule>
    <cfRule type="iconSet" priority="19">
      <iconSet iconSet="3ArrowsGray" showValue="0">
        <cfvo type="percent" val="0"/>
        <cfvo type="num" val="2"/>
        <cfvo type="num" val="3"/>
      </iconSet>
    </cfRule>
  </conditionalFormatting>
  <conditionalFormatting sqref="I57:T57">
    <cfRule type="iconSet" priority="10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10000" scale="4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  <pageSetUpPr fitToPage="1"/>
  </sheetPr>
  <dimension ref="A1:W66"/>
  <sheetViews>
    <sheetView workbookViewId="0"/>
  </sheetViews>
  <sheetFormatPr defaultColWidth="9.140625" defaultRowHeight="15"/>
  <cols>
    <col min="1" max="1" width="5.5703125" customWidth="1"/>
    <col min="2" max="2" width="44.7109375" customWidth="1"/>
    <col min="3" max="3" width="4.140625" style="443" customWidth="1"/>
    <col min="4" max="4" width="12.42578125" customWidth="1"/>
    <col min="5" max="5" width="113.5703125" hidden="1" customWidth="1"/>
    <col min="6" max="6" width="7.7109375" bestFit="1" customWidth="1"/>
    <col min="7" max="7" width="11" customWidth="1"/>
    <col min="8" max="8" width="11.140625" customWidth="1"/>
    <col min="9" max="20" width="12.140625" customWidth="1"/>
    <col min="21" max="21" width="13.28515625" bestFit="1" customWidth="1"/>
  </cols>
  <sheetData>
    <row r="1" spans="1:22" s="30" customFormat="1" ht="15.75">
      <c r="A1" s="28"/>
      <c r="B1" s="29" t="s">
        <v>271</v>
      </c>
      <c r="C1" s="439"/>
      <c r="D1" s="28"/>
      <c r="E1" s="28"/>
      <c r="I1" s="22"/>
      <c r="U1" s="31"/>
      <c r="V1" s="31"/>
    </row>
    <row r="2" spans="1:22" s="30" customFormat="1" ht="15.75">
      <c r="A2" s="28"/>
      <c r="B2" s="29" t="s">
        <v>123</v>
      </c>
      <c r="C2" s="439"/>
      <c r="D2" s="28"/>
      <c r="E2" s="28"/>
      <c r="U2" s="31"/>
      <c r="V2" s="31"/>
    </row>
    <row r="3" spans="1:22" s="30" customFormat="1" ht="15.75">
      <c r="A3" s="28"/>
      <c r="B3" s="29" t="s">
        <v>380</v>
      </c>
      <c r="C3" s="439"/>
      <c r="D3" s="28"/>
      <c r="E3" s="28"/>
      <c r="U3" s="31"/>
      <c r="V3" s="31"/>
    </row>
    <row r="4" spans="1:22" ht="15" customHeight="1">
      <c r="A4" s="735" t="s">
        <v>8</v>
      </c>
      <c r="B4" s="737" t="s">
        <v>9</v>
      </c>
      <c r="C4" s="738"/>
      <c r="D4" s="713" t="s">
        <v>93</v>
      </c>
      <c r="E4" s="718" t="s">
        <v>272</v>
      </c>
      <c r="F4" s="713" t="s">
        <v>99</v>
      </c>
      <c r="G4" s="713" t="s">
        <v>374</v>
      </c>
      <c r="H4" s="713" t="s">
        <v>375</v>
      </c>
      <c r="I4" s="730" t="s">
        <v>379</v>
      </c>
      <c r="J4" s="731"/>
      <c r="K4" s="731"/>
      <c r="L4" s="731"/>
      <c r="M4" s="731"/>
      <c r="N4" s="731"/>
      <c r="O4" s="731"/>
      <c r="P4" s="731"/>
      <c r="Q4" s="731"/>
      <c r="R4" s="731"/>
      <c r="S4" s="731"/>
      <c r="T4" s="732"/>
    </row>
    <row r="5" spans="1:22" ht="15" customHeight="1">
      <c r="A5" s="736"/>
      <c r="B5" s="739"/>
      <c r="C5" s="740"/>
      <c r="D5" s="714"/>
      <c r="E5" s="719"/>
      <c r="F5" s="714"/>
      <c r="G5" s="714"/>
      <c r="H5" s="714"/>
      <c r="I5" s="602" t="s">
        <v>94</v>
      </c>
      <c r="J5" s="602" t="s">
        <v>95</v>
      </c>
      <c r="K5" s="602" t="s">
        <v>96</v>
      </c>
      <c r="L5" s="602" t="s">
        <v>97</v>
      </c>
      <c r="M5" s="602" t="s">
        <v>98</v>
      </c>
      <c r="N5" s="602" t="s">
        <v>153</v>
      </c>
      <c r="O5" s="602" t="s">
        <v>163</v>
      </c>
      <c r="P5" s="602" t="s">
        <v>165</v>
      </c>
      <c r="Q5" s="602" t="s">
        <v>167</v>
      </c>
      <c r="R5" s="602" t="s">
        <v>169</v>
      </c>
      <c r="S5" s="602" t="s">
        <v>171</v>
      </c>
      <c r="T5" s="602" t="s">
        <v>174</v>
      </c>
    </row>
    <row r="6" spans="1:22" ht="15" customHeight="1">
      <c r="A6" s="605">
        <v>1</v>
      </c>
      <c r="B6" s="733">
        <v>2</v>
      </c>
      <c r="C6" s="734"/>
      <c r="D6" s="647">
        <v>3</v>
      </c>
      <c r="E6" s="603">
        <v>4</v>
      </c>
      <c r="F6" s="647">
        <v>4</v>
      </c>
      <c r="G6" s="647">
        <v>5</v>
      </c>
      <c r="H6" s="602">
        <v>6</v>
      </c>
      <c r="I6" s="605">
        <v>7</v>
      </c>
      <c r="J6" s="602">
        <v>8</v>
      </c>
      <c r="K6" s="647">
        <v>9</v>
      </c>
      <c r="L6" s="602">
        <v>10</v>
      </c>
      <c r="M6" s="647">
        <v>11</v>
      </c>
      <c r="N6" s="602">
        <v>12</v>
      </c>
      <c r="O6" s="647">
        <v>13</v>
      </c>
      <c r="P6" s="602">
        <v>14</v>
      </c>
      <c r="Q6" s="647">
        <v>15</v>
      </c>
      <c r="R6" s="602">
        <v>16</v>
      </c>
      <c r="S6" s="647">
        <v>17</v>
      </c>
      <c r="T6" s="602">
        <v>18</v>
      </c>
    </row>
    <row r="7" spans="1:22" ht="15" customHeight="1">
      <c r="A7" s="47" t="s">
        <v>269</v>
      </c>
      <c r="B7" s="48" t="str">
        <f>T.TOLIS!B7</f>
        <v>Key Performance Indicators</v>
      </c>
      <c r="C7" s="440"/>
      <c r="D7" s="50"/>
      <c r="E7" s="48"/>
      <c r="F7" s="62">
        <f>SUM(F8:F17)</f>
        <v>40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289"/>
    </row>
    <row r="8" spans="1:22" ht="16.5">
      <c r="A8" s="51">
        <f>T.MOUTONG!A8</f>
        <v>1</v>
      </c>
      <c r="B8" s="311" t="str">
        <f>T.MOUTONG!B8</f>
        <v>Penjualan Tenaga Listrik</v>
      </c>
      <c r="C8" s="441" t="str">
        <f>T.MOUTONG!C8</f>
        <v>ñ</v>
      </c>
      <c r="D8" s="53" t="str">
        <f>T.MOUTONG!D8</f>
        <v>GWh</v>
      </c>
      <c r="E8" s="61" t="e">
        <f>#REF!</f>
        <v>#REF!</v>
      </c>
      <c r="F8" s="53">
        <f>T.MOUTONG!F8</f>
        <v>14</v>
      </c>
      <c r="G8" s="89">
        <f>T.MOUTONG!G8</f>
        <v>17.11</v>
      </c>
      <c r="H8" s="89">
        <f>T.MOUTONG!H8</f>
        <v>34.83</v>
      </c>
      <c r="I8" s="89">
        <f>KPI!AH17</f>
        <v>3.2428241830000002</v>
      </c>
      <c r="J8" s="89">
        <f>KPI!AI17</f>
        <v>5.7889627060000004</v>
      </c>
      <c r="K8" s="89">
        <f>KPI!AJ17</f>
        <v>8.5049774920000001</v>
      </c>
      <c r="L8" s="89">
        <f>KPI!AK17</f>
        <v>10.994418871000001</v>
      </c>
      <c r="M8" s="89">
        <f>KPI!AL17</f>
        <v>13.792614825000001</v>
      </c>
      <c r="N8" s="89">
        <f>KPI!AM17</f>
        <v>16.607850453000001</v>
      </c>
      <c r="O8" s="89">
        <f>KPI!AN17</f>
        <v>19.324304726000001</v>
      </c>
      <c r="P8" s="89">
        <f>KPI!AO17</f>
        <v>21.942900960000003</v>
      </c>
      <c r="Q8" s="89">
        <f>KPI!AP17</f>
        <v>24.667147634000003</v>
      </c>
      <c r="R8" s="89">
        <f>KPI!AQ17</f>
        <v>0</v>
      </c>
      <c r="S8" s="89">
        <f>KPI!AR17</f>
        <v>0</v>
      </c>
      <c r="T8" s="89">
        <f>KPI!AS17</f>
        <v>0</v>
      </c>
    </row>
    <row r="9" spans="1:22" ht="15" customHeight="1">
      <c r="A9" s="51">
        <f>T.MOUTONG!A9</f>
        <v>2</v>
      </c>
      <c r="B9" s="311" t="str">
        <f>T.MOUTONG!B9</f>
        <v>Keandalan Sistem</v>
      </c>
      <c r="C9" s="441"/>
      <c r="D9" s="53">
        <f>T.MOUTONG!D9</f>
        <v>0</v>
      </c>
      <c r="E9" s="61"/>
      <c r="F9" s="53">
        <f>T.MOUTONG!F9</f>
        <v>14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111"/>
    </row>
    <row r="10" spans="1:22" ht="15" customHeight="1">
      <c r="A10" s="51"/>
      <c r="B10" s="52" t="str">
        <f>T.MOUTONG!B10</f>
        <v>a. SAIDI (sesuai kewenangan)</v>
      </c>
      <c r="C10" s="441" t="str">
        <f>T.MOUTONG!C10</f>
        <v>ò</v>
      </c>
      <c r="D10" s="53" t="str">
        <f>T.MOUTONG!D10</f>
        <v>Menit/plg</v>
      </c>
      <c r="E10" s="61" t="e">
        <f>#REF!</f>
        <v>#REF!</v>
      </c>
      <c r="F10" s="53"/>
      <c r="G10" s="89">
        <f>T.MOUTONG!G10</f>
        <v>103.85</v>
      </c>
      <c r="H10" s="89">
        <f>T.MOUTONG!H10</f>
        <v>207.7</v>
      </c>
      <c r="I10" s="89">
        <f>KPI!AH41</f>
        <v>0.92438209165273988</v>
      </c>
      <c r="J10" s="89">
        <f>KPI!AI41</f>
        <v>1.3442828353631824</v>
      </c>
      <c r="K10" s="89">
        <f>KPI!AJ41</f>
        <v>2.4056408238226421</v>
      </c>
      <c r="L10" s="89">
        <f>KPI!AK41</f>
        <v>15.731639601885805</v>
      </c>
      <c r="M10" s="89">
        <f>KPI!AL41</f>
        <v>55.858462611120792</v>
      </c>
      <c r="N10" s="89">
        <f>KPI!AM41</f>
        <v>73.554834782608694</v>
      </c>
      <c r="O10" s="89">
        <f>KPI!AN41</f>
        <v>90.279628585065311</v>
      </c>
      <c r="P10" s="89">
        <f>KPI!AO41</f>
        <v>90.410040317336467</v>
      </c>
      <c r="Q10" s="89">
        <f>KPI!AP41</f>
        <v>94.163549824758789</v>
      </c>
      <c r="R10" s="89">
        <f>KPI!AQ41</f>
        <v>0</v>
      </c>
      <c r="S10" s="89">
        <f>KPI!AR41</f>
        <v>0</v>
      </c>
      <c r="T10" s="89">
        <f>KPI!AS41</f>
        <v>0</v>
      </c>
    </row>
    <row r="11" spans="1:22" ht="15" customHeight="1">
      <c r="A11" s="51"/>
      <c r="B11" s="52" t="str">
        <f>T.MOUTONG!B11</f>
        <v>b. SAIFI (sesuai kewenangan)</v>
      </c>
      <c r="C11" s="441" t="str">
        <f>T.MOUTONG!C11</f>
        <v>ò</v>
      </c>
      <c r="D11" s="53" t="str">
        <f>T.MOUTONG!D11</f>
        <v>Kali/plg</v>
      </c>
      <c r="E11" s="61" t="e">
        <f>#REF!</f>
        <v>#REF!</v>
      </c>
      <c r="F11" s="53"/>
      <c r="G11" s="89">
        <f>T.MOUTONG!G11</f>
        <v>1.02</v>
      </c>
      <c r="H11" s="89">
        <f>T.MOUTONG!H11</f>
        <v>2.0499999999999998</v>
      </c>
      <c r="I11" s="89">
        <f>KPI!AH63</f>
        <v>1.8647198522297476E-2</v>
      </c>
      <c r="J11" s="89">
        <f>KPI!AI63</f>
        <v>5.9712608428984494E-2</v>
      </c>
      <c r="K11" s="89">
        <f>KPI!AJ63</f>
        <v>0.16476452840089204</v>
      </c>
      <c r="L11" s="89">
        <f>KPI!AK63</f>
        <v>0.3115505500261917</v>
      </c>
      <c r="M11" s="89">
        <f>KPI!AL63</f>
        <v>0.59399511940038352</v>
      </c>
      <c r="N11" s="89">
        <f>KPI!AM63</f>
        <v>0.7974347826086956</v>
      </c>
      <c r="O11" s="89">
        <f>KPI!AN63</f>
        <v>1.0018223629973533</v>
      </c>
      <c r="P11" s="89">
        <f>KPI!AO63</f>
        <v>1.0083669311137122</v>
      </c>
      <c r="Q11" s="89">
        <f>KPI!AP63</f>
        <v>1.0747263207996192</v>
      </c>
      <c r="R11" s="89">
        <f>KPI!AQ63</f>
        <v>0</v>
      </c>
      <c r="S11" s="89">
        <f>KPI!AR63</f>
        <v>0</v>
      </c>
      <c r="T11" s="89">
        <f>KPI!AS63</f>
        <v>0</v>
      </c>
    </row>
    <row r="12" spans="1:22" ht="15" customHeight="1">
      <c r="A12" s="51"/>
      <c r="B12" s="52" t="str">
        <f>T.MOUTONG!B12</f>
        <v>c. ENS (sesuai kewenangan)</v>
      </c>
      <c r="C12" s="441" t="str">
        <f>T.MOUTONG!C12</f>
        <v>ò</v>
      </c>
      <c r="D12" s="53" t="str">
        <f>T.MOUTONG!D12</f>
        <v>MWh</v>
      </c>
      <c r="E12" s="61" t="e">
        <f>#REF!</f>
        <v>#REF!</v>
      </c>
      <c r="F12" s="53"/>
      <c r="G12" s="89">
        <f>T.MOUTONG!G12</f>
        <v>5.17</v>
      </c>
      <c r="H12" s="89">
        <f>T.MOUTONG!H12</f>
        <v>10.34</v>
      </c>
      <c r="I12" s="89">
        <f>KPI!AH77</f>
        <v>0.154</v>
      </c>
      <c r="J12" s="89">
        <f>KPI!AI77</f>
        <v>0.17499999999999999</v>
      </c>
      <c r="K12" s="89">
        <f>KPI!AJ77</f>
        <v>0.24199999999999999</v>
      </c>
      <c r="L12" s="89">
        <f>KPI!AK77</f>
        <v>0.88700000000000001</v>
      </c>
      <c r="M12" s="89">
        <f>KPI!AL77</f>
        <v>3.0979999999999999</v>
      </c>
      <c r="N12" s="89">
        <f>KPI!AM77</f>
        <v>4.1280000000000001</v>
      </c>
      <c r="O12" s="89">
        <f>KPI!AN77</f>
        <v>4.9930000000000003</v>
      </c>
      <c r="P12" s="89">
        <f>KPI!AO77</f>
        <v>5.0020000000000007</v>
      </c>
      <c r="Q12" s="89">
        <f>KPI!AP77</f>
        <v>5.2640000000000011</v>
      </c>
      <c r="R12" s="89">
        <f>KPI!AQ77</f>
        <v>0</v>
      </c>
      <c r="S12" s="89">
        <f>KPI!AR77</f>
        <v>0</v>
      </c>
      <c r="T12" s="89">
        <f>KPI!AS77</f>
        <v>0</v>
      </c>
    </row>
    <row r="13" spans="1:22" ht="15" customHeight="1">
      <c r="A13" s="51">
        <f>T.MOUTONG!A13</f>
        <v>3</v>
      </c>
      <c r="B13" s="311" t="str">
        <f>T.MOUTONG!B13</f>
        <v>Efisiensi Jaringan Distribusi</v>
      </c>
      <c r="C13" s="441"/>
      <c r="D13" s="53">
        <f>T.MOUTONG!D13</f>
        <v>0</v>
      </c>
      <c r="E13" s="61"/>
      <c r="F13" s="53">
        <f>T.MOUTONG!F13</f>
        <v>12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111"/>
    </row>
    <row r="14" spans="1:22" ht="15" customHeight="1">
      <c r="A14" s="51"/>
      <c r="B14" s="52" t="str">
        <f>T.MOUTONG!B14</f>
        <v>a. Susut Distribusi Tanpa E-min (sesuai kewenangan)</v>
      </c>
      <c r="C14" s="441" t="str">
        <f>T.MOUTONG!C14</f>
        <v>ò</v>
      </c>
      <c r="D14" s="53" t="str">
        <f>T.MOUTONG!D14</f>
        <v>%</v>
      </c>
      <c r="E14" s="61"/>
      <c r="F14" s="53"/>
      <c r="G14" s="89">
        <f>T.MOUTONG!G14</f>
        <v>10.039999999999999</v>
      </c>
      <c r="H14" s="89">
        <f>T.MOUTONG!H14</f>
        <v>9.6</v>
      </c>
      <c r="I14" s="89">
        <f>KPI!AH101</f>
        <v>-12.631806947440765</v>
      </c>
      <c r="J14" s="89">
        <f>KPI!AI101</f>
        <v>-4.8323047376231782</v>
      </c>
      <c r="K14" s="89">
        <f>KPI!AJ101</f>
        <v>2.4670830796497727</v>
      </c>
      <c r="L14" s="89">
        <f>KPI!AK101</f>
        <v>7.3814707844409595</v>
      </c>
      <c r="M14" s="89">
        <f>KPI!AL101</f>
        <v>9.2717188915289448</v>
      </c>
      <c r="N14" s="89">
        <f>KPI!AM101</f>
        <v>9.4679601842999137</v>
      </c>
      <c r="O14" s="89">
        <f>KPI!AN101</f>
        <v>9.4971667817519112</v>
      </c>
      <c r="P14" s="89">
        <f>KPI!AO101</f>
        <v>9.7770328229887475</v>
      </c>
      <c r="Q14" s="89">
        <f>KPI!AP101</f>
        <v>9.9033668486832145</v>
      </c>
      <c r="R14" s="89">
        <f>KPI!AQ101</f>
        <v>0</v>
      </c>
      <c r="S14" s="89">
        <f>KPI!AR101</f>
        <v>0</v>
      </c>
      <c r="T14" s="89">
        <f>KPI!AS101</f>
        <v>0</v>
      </c>
    </row>
    <row r="15" spans="1:22" ht="15" customHeight="1">
      <c r="A15" s="51"/>
      <c r="B15" s="52" t="str">
        <f>T.MOUTONG!B15</f>
        <v>b. Perolehan Temuan P2TL</v>
      </c>
      <c r="C15" s="441" t="str">
        <f>T.MOUTONG!C15</f>
        <v>ñ</v>
      </c>
      <c r="D15" s="53" t="str">
        <f>T.MOUTONG!D15</f>
        <v>%</v>
      </c>
      <c r="E15" s="61"/>
      <c r="F15" s="53"/>
      <c r="G15" s="89">
        <f>T.MOUTONG!G15</f>
        <v>0</v>
      </c>
      <c r="H15" s="89">
        <f>T.MOUTONG!H15</f>
        <v>0</v>
      </c>
      <c r="I15" s="89">
        <v>0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</row>
    <row r="16" spans="1:22" ht="15" customHeight="1">
      <c r="A16" s="51"/>
      <c r="B16" s="52" t="str">
        <f>T.MOUTONG!B16</f>
        <v>b. Penyelesaian Temuan P2TL</v>
      </c>
      <c r="C16" s="441" t="str">
        <f>T.MOUTONG!C16</f>
        <v>ñ</v>
      </c>
      <c r="D16" s="53" t="str">
        <f>T.MOUTONG!D16</f>
        <v>%</v>
      </c>
      <c r="E16" s="61"/>
      <c r="F16" s="53"/>
      <c r="G16" s="89">
        <f>T.MOUTONG!G16</f>
        <v>25.000000000000007</v>
      </c>
      <c r="H16" s="89">
        <f>T.MOUTONG!H16</f>
        <v>100</v>
      </c>
      <c r="I16" s="89">
        <f>KPI!AH121</f>
        <v>0</v>
      </c>
      <c r="J16" s="89">
        <f>KPI!AI121</f>
        <v>0</v>
      </c>
      <c r="K16" s="89">
        <f>KPI!AJ121</f>
        <v>1.2395</v>
      </c>
      <c r="L16" s="89">
        <f>KPI!AK121</f>
        <v>1.2395</v>
      </c>
      <c r="M16" s="89">
        <f>KPI!AL121</f>
        <v>9.9145000000000003</v>
      </c>
      <c r="N16" s="89">
        <f>KPI!AM121</f>
        <v>25.887499999999999</v>
      </c>
      <c r="O16" s="89">
        <f>KPI!AN121</f>
        <v>87.801500000000004</v>
      </c>
      <c r="P16" s="89">
        <f>KPI!AO121</f>
        <v>87.801500000000004</v>
      </c>
      <c r="Q16" s="89">
        <f>KPI!AP121</f>
        <v>89.040999999999997</v>
      </c>
      <c r="R16" s="89">
        <f>KPI!AQ121</f>
        <v>89.040999999999997</v>
      </c>
      <c r="S16" s="89">
        <f>KPI!AR121</f>
        <v>89.040999999999997</v>
      </c>
      <c r="T16" s="89">
        <f>KPI!AS121</f>
        <v>89.040999999999997</v>
      </c>
    </row>
    <row r="17" spans="1:20" ht="15" customHeight="1">
      <c r="A17" s="51"/>
      <c r="B17" s="52" t="str">
        <f>T.MOUTONG!B17</f>
        <v>c. Penyelesaian Ganti Meter</v>
      </c>
      <c r="C17" s="441" t="str">
        <f>T.MOUTONG!C17</f>
        <v>ñ</v>
      </c>
      <c r="D17" s="53" t="str">
        <f>T.MOUTONG!D17</f>
        <v>Unit</v>
      </c>
      <c r="E17" s="61" t="e">
        <f>#REF!</f>
        <v>#REF!</v>
      </c>
      <c r="F17" s="53"/>
      <c r="G17" s="89">
        <f>T.MOUTONG!G17</f>
        <v>244</v>
      </c>
      <c r="H17" s="89">
        <f>T.MOUTONG!H17</f>
        <v>698</v>
      </c>
      <c r="I17" s="89">
        <f>KPI!AH133</f>
        <v>0</v>
      </c>
      <c r="J17" s="89">
        <f>KPI!AI133</f>
        <v>73</v>
      </c>
      <c r="K17" s="89">
        <f>KPI!AJ133</f>
        <v>243</v>
      </c>
      <c r="L17" s="89">
        <f>KPI!AK133</f>
        <v>292</v>
      </c>
      <c r="M17" s="89">
        <f>KPI!AL133</f>
        <v>345</v>
      </c>
      <c r="N17" s="89">
        <f>KPI!AM133</f>
        <v>369</v>
      </c>
      <c r="O17" s="89">
        <f>KPI!AN133</f>
        <v>420</v>
      </c>
      <c r="P17" s="89">
        <f>KPI!AO133</f>
        <v>510</v>
      </c>
      <c r="Q17" s="89">
        <f>KPI!AP133</f>
        <v>600</v>
      </c>
      <c r="R17" s="89">
        <f>KPI!AQ133</f>
        <v>600</v>
      </c>
      <c r="S17" s="89">
        <f>KPI!AR133</f>
        <v>600</v>
      </c>
      <c r="T17" s="89">
        <f>KPI!AS133</f>
        <v>600</v>
      </c>
    </row>
    <row r="18" spans="1:20" ht="15" customHeight="1">
      <c r="A18" s="47" t="str">
        <f>T.MOUTONG!A18</f>
        <v>II</v>
      </c>
      <c r="B18" s="313" t="str">
        <f>T.MOUTONG!B18</f>
        <v>Perfomance Indicators</v>
      </c>
      <c r="C18" s="442"/>
      <c r="D18" s="50"/>
      <c r="E18" s="48"/>
      <c r="F18" s="139">
        <f>SUM(F19:F55)</f>
        <v>60</v>
      </c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80"/>
    </row>
    <row r="19" spans="1:20" ht="15" customHeight="1">
      <c r="A19" s="51">
        <f>T.MOUTONG!A19</f>
        <v>4</v>
      </c>
      <c r="B19" s="311" t="str">
        <f>T.MOUTONG!B19</f>
        <v>Keandalan Jaringan Distribusi</v>
      </c>
      <c r="C19" s="441"/>
      <c r="D19" s="53"/>
      <c r="E19" s="61"/>
      <c r="F19" s="53">
        <f>T.MOUTONG!F19</f>
        <v>9</v>
      </c>
      <c r="G19" s="89"/>
      <c r="H19" s="89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95"/>
    </row>
    <row r="20" spans="1:20" ht="16.5">
      <c r="A20" s="51"/>
      <c r="B20" s="52" t="str">
        <f>T.MOUTONG!B20</f>
        <v>a. Gangguan TM &gt; 5 Menit</v>
      </c>
      <c r="C20" s="441" t="str">
        <f>T.MOUTONG!C20</f>
        <v>ò</v>
      </c>
      <c r="D20" s="53" t="str">
        <f>T.MOUTONG!D20</f>
        <v>Kali</v>
      </c>
      <c r="E20" s="61" t="e">
        <f>#REF!</f>
        <v>#REF!</v>
      </c>
      <c r="F20" s="53"/>
      <c r="G20" s="89">
        <f>T.MOUTONG!G20</f>
        <v>6</v>
      </c>
      <c r="H20" s="89">
        <f>T.MOUTONG!H20</f>
        <v>12</v>
      </c>
      <c r="I20" s="145">
        <f>PI!AH17</f>
        <v>0</v>
      </c>
      <c r="J20" s="145">
        <f>PI!AI17</f>
        <v>1</v>
      </c>
      <c r="K20" s="145">
        <f>PI!AJ17</f>
        <v>2</v>
      </c>
      <c r="L20" s="145">
        <f>PI!AK17</f>
        <v>3</v>
      </c>
      <c r="M20" s="145">
        <f>PI!AL17</f>
        <v>4</v>
      </c>
      <c r="N20" s="145">
        <f>PI!AM17</f>
        <v>5</v>
      </c>
      <c r="O20" s="145">
        <f>PI!AN17</f>
        <v>7</v>
      </c>
      <c r="P20" s="145">
        <f>PI!AO17</f>
        <v>7</v>
      </c>
      <c r="Q20" s="145">
        <f>PI!AP17</f>
        <v>7</v>
      </c>
      <c r="R20" s="145">
        <f>PI!AQ17</f>
        <v>7</v>
      </c>
      <c r="S20" s="145">
        <f>PI!AR17</f>
        <v>7</v>
      </c>
      <c r="T20" s="145">
        <f>PI!AS17</f>
        <v>7</v>
      </c>
    </row>
    <row r="21" spans="1:20" ht="16.5">
      <c r="A21" s="51"/>
      <c r="B21" s="52" t="str">
        <f>T.MOUTONG!B21</f>
        <v>b. Gangguan TM ≤ 5 Menit</v>
      </c>
      <c r="C21" s="441" t="str">
        <f>T.MOUTONG!C21</f>
        <v>ò</v>
      </c>
      <c r="D21" s="53" t="str">
        <f>T.MOUTONG!D21</f>
        <v>Kali</v>
      </c>
      <c r="E21" s="61" t="e">
        <f>#REF!</f>
        <v>#REF!</v>
      </c>
      <c r="F21" s="53"/>
      <c r="G21" s="89">
        <f>T.MOUTONG!G21</f>
        <v>10</v>
      </c>
      <c r="H21" s="89">
        <f>T.MOUTONG!H21</f>
        <v>20</v>
      </c>
      <c r="I21" s="145">
        <f>PI!AH18</f>
        <v>0</v>
      </c>
      <c r="J21" s="145">
        <f>PI!AI86</f>
        <v>0</v>
      </c>
      <c r="K21" s="145">
        <f>PI!AJ86</f>
        <v>0</v>
      </c>
      <c r="L21" s="145">
        <f>PI!AK86</f>
        <v>0</v>
      </c>
      <c r="M21" s="145">
        <f>PI!AL86</f>
        <v>0</v>
      </c>
      <c r="N21" s="145">
        <f>PI!AM86</f>
        <v>0</v>
      </c>
      <c r="O21" s="145">
        <f>PI!AN86</f>
        <v>0</v>
      </c>
      <c r="P21" s="145">
        <f>PI!AO86</f>
        <v>0</v>
      </c>
      <c r="Q21" s="145">
        <f>PI!AP86</f>
        <v>0</v>
      </c>
      <c r="R21" s="145">
        <f>PI!AQ86</f>
        <v>0</v>
      </c>
      <c r="S21" s="145">
        <f>PI!AR86</f>
        <v>0</v>
      </c>
      <c r="T21" s="145">
        <f>PI!AS86</f>
        <v>0</v>
      </c>
    </row>
    <row r="22" spans="1:20" ht="33">
      <c r="A22" s="51"/>
      <c r="B22" s="52" t="str">
        <f>T.MOUTONG!B22</f>
        <v>c. Kerusakan Peralatan Distribusi (PHB TM dan Trafo) Sesuai Kewenangan</v>
      </c>
      <c r="C22" s="441" t="str">
        <f>T.MOUTONG!C22</f>
        <v>ò</v>
      </c>
      <c r="D22" s="53" t="str">
        <f>T.MOUTONG!D22</f>
        <v>Unit</v>
      </c>
      <c r="E22" s="61" t="e">
        <f>#REF!</f>
        <v>#REF!</v>
      </c>
      <c r="F22" s="53"/>
      <c r="G22" s="89">
        <f>T.MOUTONG!G22</f>
        <v>1</v>
      </c>
      <c r="H22" s="89">
        <f>T.MOUTONG!H22</f>
        <v>1</v>
      </c>
      <c r="I22" s="145">
        <f>PI!AH42</f>
        <v>0</v>
      </c>
      <c r="J22" s="145">
        <f>PI!AI42</f>
        <v>0</v>
      </c>
      <c r="K22" s="145">
        <f>PI!AJ42</f>
        <v>0</v>
      </c>
      <c r="L22" s="145">
        <f>PI!AK42</f>
        <v>0</v>
      </c>
      <c r="M22" s="145">
        <f>PI!AL42</f>
        <v>0</v>
      </c>
      <c r="N22" s="145">
        <f>PI!AM42</f>
        <v>0</v>
      </c>
      <c r="O22" s="145">
        <f>PI!AN42</f>
        <v>0</v>
      </c>
      <c r="P22" s="145">
        <f>PI!AO42</f>
        <v>0</v>
      </c>
      <c r="Q22" s="145">
        <f>PI!AP42</f>
        <v>0</v>
      </c>
      <c r="R22" s="145">
        <f>PI!AQ42</f>
        <v>0</v>
      </c>
      <c r="S22" s="145">
        <f>PI!AR42</f>
        <v>0</v>
      </c>
      <c r="T22" s="145">
        <f>PI!AS42</f>
        <v>0</v>
      </c>
    </row>
    <row r="23" spans="1:20" ht="16.5">
      <c r="A23" s="51">
        <f>T.MOUTONG!A23</f>
        <v>5</v>
      </c>
      <c r="B23" s="311" t="str">
        <f>T.MOUTONG!B23</f>
        <v>Peningkatan Layanan</v>
      </c>
      <c r="C23" s="441"/>
      <c r="D23" s="53"/>
      <c r="E23" s="61" t="e">
        <f>#REF!</f>
        <v>#REF!</v>
      </c>
      <c r="F23" s="53">
        <f>T.MOUTONG!F23</f>
        <v>8</v>
      </c>
      <c r="G23" s="89"/>
      <c r="H23" s="8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</row>
    <row r="24" spans="1:20" ht="33">
      <c r="A24" s="51"/>
      <c r="B24" s="52" t="str">
        <f>T.MOUTONG!B24</f>
        <v>a. Feedback Rating Negatif pada PLN Mobile - Gangguan</v>
      </c>
      <c r="C24" s="441" t="str">
        <f>T.MOUTONG!C24</f>
        <v>ò</v>
      </c>
      <c r="D24" s="53" t="str">
        <f>T.MOUTONG!D24</f>
        <v>%</v>
      </c>
      <c r="E24" s="61"/>
      <c r="F24" s="53"/>
      <c r="G24" s="89">
        <f>T.MOUTONG!G24</f>
        <v>0.09</v>
      </c>
      <c r="H24" s="89">
        <f>T.MOUTONG!H24</f>
        <v>0.09</v>
      </c>
      <c r="I24" s="249">
        <f>PI!AH64</f>
        <v>0</v>
      </c>
      <c r="J24" s="249">
        <f>PI!AI64</f>
        <v>0</v>
      </c>
      <c r="K24" s="249">
        <f>PI!AJ64</f>
        <v>0</v>
      </c>
      <c r="L24" s="249">
        <f>PI!AK64</f>
        <v>0</v>
      </c>
      <c r="M24" s="249">
        <f>PI!AL64</f>
        <v>0</v>
      </c>
      <c r="N24" s="249">
        <f>PI!AM64</f>
        <v>0</v>
      </c>
      <c r="O24" s="249">
        <f>PI!AN64</f>
        <v>0</v>
      </c>
      <c r="P24" s="249">
        <f>PI!AO64</f>
        <v>0</v>
      </c>
      <c r="Q24" s="249">
        <f>PI!AP64</f>
        <v>0</v>
      </c>
      <c r="R24" s="249">
        <f>PI!AQ64</f>
        <v>0</v>
      </c>
      <c r="S24" s="249">
        <f>PI!AR64</f>
        <v>0</v>
      </c>
      <c r="T24" s="249">
        <f>PI!AS64</f>
        <v>0</v>
      </c>
    </row>
    <row r="25" spans="1:20" ht="16.5">
      <c r="A25" s="51"/>
      <c r="B25" s="52" t="str">
        <f>T.MOUTONG!B25</f>
        <v>b. Pengaduan Gangguan Berulang pada PLN Mobile</v>
      </c>
      <c r="C25" s="441" t="str">
        <f>T.MOUTONG!C25</f>
        <v>ò</v>
      </c>
      <c r="D25" s="53" t="str">
        <f>T.MOUTONG!D25</f>
        <v>%</v>
      </c>
      <c r="E25" s="61"/>
      <c r="F25" s="53"/>
      <c r="G25" s="89">
        <f>T.MOUTONG!G25</f>
        <v>0.04</v>
      </c>
      <c r="H25" s="89">
        <f>T.MOUTONG!H25</f>
        <v>0.04</v>
      </c>
      <c r="I25" s="249">
        <f>PI!AH86</f>
        <v>0</v>
      </c>
      <c r="J25" s="249">
        <f>PI!AI86</f>
        <v>0</v>
      </c>
      <c r="K25" s="249">
        <f>PI!AJ86</f>
        <v>0</v>
      </c>
      <c r="L25" s="249">
        <f>PI!AK86</f>
        <v>0</v>
      </c>
      <c r="M25" s="249">
        <f>PI!AL86</f>
        <v>0</v>
      </c>
      <c r="N25" s="249">
        <f>PI!AM86</f>
        <v>0</v>
      </c>
      <c r="O25" s="249">
        <f>PI!AN86</f>
        <v>0</v>
      </c>
      <c r="P25" s="249">
        <f>PI!AO86</f>
        <v>0</v>
      </c>
      <c r="Q25" s="249">
        <f>PI!AP86</f>
        <v>0</v>
      </c>
      <c r="R25" s="249">
        <f>PI!AQ86</f>
        <v>0</v>
      </c>
      <c r="S25" s="249">
        <f>PI!AR86</f>
        <v>0</v>
      </c>
      <c r="T25" s="249">
        <f>PI!AS86</f>
        <v>0</v>
      </c>
    </row>
    <row r="26" spans="1:20" ht="15" customHeight="1">
      <c r="A26" s="51"/>
      <c r="B26" s="52" t="str">
        <f>T.MOUTONG!B26</f>
        <v>c. Rating PLN Mobile</v>
      </c>
      <c r="C26" s="441" t="str">
        <f>T.MOUTONG!C26</f>
        <v>ñ</v>
      </c>
      <c r="D26" s="53" t="str">
        <f>T.MOUTONG!D26</f>
        <v>Rating</v>
      </c>
      <c r="E26" s="61" t="e">
        <f>#REF!</f>
        <v>#REF!</v>
      </c>
      <c r="F26" s="53"/>
      <c r="G26" s="89">
        <f>T.MOUTONG!G26</f>
        <v>4.9000000000000004</v>
      </c>
      <c r="H26" s="89">
        <f>T.MOUTONG!H26</f>
        <v>4.9000000000000004</v>
      </c>
      <c r="I26" s="145">
        <f>PI!AH97</f>
        <v>4.91</v>
      </c>
      <c r="J26" s="145">
        <f>PI!AI97</f>
        <v>4.91</v>
      </c>
      <c r="K26" s="145">
        <f>PI!AJ97</f>
        <v>4.91</v>
      </c>
      <c r="L26" s="145">
        <f>PI!AK97</f>
        <v>4.91</v>
      </c>
      <c r="M26" s="145">
        <f>PI!AL97</f>
        <v>4.9000000000000004</v>
      </c>
      <c r="N26" s="145">
        <f>PI!AM97</f>
        <v>4.9000000000000004</v>
      </c>
      <c r="O26" s="145">
        <f>PI!AN97</f>
        <v>4.9000000000000004</v>
      </c>
      <c r="P26" s="145">
        <f>PI!AO97</f>
        <v>4.9000000000000004</v>
      </c>
      <c r="Q26" s="145">
        <f>PI!AP97</f>
        <v>4.9000000000000004</v>
      </c>
      <c r="R26" s="145">
        <f>PI!AQ97</f>
        <v>4.9000000000000004</v>
      </c>
      <c r="S26" s="145">
        <f>PI!AR97</f>
        <v>4.9000000000000004</v>
      </c>
      <c r="T26" s="145">
        <f>PI!AS97</f>
        <v>4.9000000000000004</v>
      </c>
    </row>
    <row r="27" spans="1:20" ht="15" customHeight="1">
      <c r="A27" s="51"/>
      <c r="B27" s="52" t="str">
        <f>T.MOUTONG!B27</f>
        <v>d. Jumlah Kali Transaksi Keuangan melalui PLN Mobile</v>
      </c>
      <c r="C27" s="441" t="str">
        <f>T.MOUTONG!C27</f>
        <v>ñ</v>
      </c>
      <c r="D27" s="53" t="str">
        <f>T.MOUTONG!D27</f>
        <v>Kali Transaksi</v>
      </c>
      <c r="E27" s="61" t="e">
        <f>#REF!</f>
        <v>#REF!</v>
      </c>
      <c r="F27" s="53"/>
      <c r="G27" s="89">
        <f>T.MOUTONG!G27</f>
        <v>5762</v>
      </c>
      <c r="H27" s="89">
        <f>T.MOUTONG!H27</f>
        <v>9603</v>
      </c>
      <c r="I27" s="145">
        <f>PI!AH105</f>
        <v>239</v>
      </c>
      <c r="J27" s="145">
        <f>PI!AI105</f>
        <v>627</v>
      </c>
      <c r="K27" s="145">
        <f>PI!AJ105</f>
        <v>2370</v>
      </c>
      <c r="L27" s="145">
        <f>PI!AK105</f>
        <v>4148</v>
      </c>
      <c r="M27" s="145">
        <f>PI!AL105</f>
        <v>6272</v>
      </c>
      <c r="N27" s="145">
        <f>PI!AM105</f>
        <v>8671</v>
      </c>
      <c r="O27" s="145">
        <f>PI!AN105</f>
        <v>10672</v>
      </c>
      <c r="P27" s="145">
        <f>PI!AO105</f>
        <v>12244</v>
      </c>
      <c r="Q27" s="145">
        <f>PI!AP105</f>
        <v>13302</v>
      </c>
      <c r="R27" s="145">
        <f>PI!AQ105</f>
        <v>0</v>
      </c>
      <c r="S27" s="145">
        <f>PI!AR105</f>
        <v>0</v>
      </c>
      <c r="T27" s="145">
        <f>PI!AS105</f>
        <v>0</v>
      </c>
    </row>
    <row r="28" spans="1:20" ht="15" customHeight="1">
      <c r="A28" s="51">
        <f>T.MOUTONG!A28</f>
        <v>6</v>
      </c>
      <c r="B28" s="311" t="str">
        <f>T.MOUTONG!B28</f>
        <v>Dispatch Respon Time</v>
      </c>
      <c r="C28" s="441"/>
      <c r="D28" s="53"/>
      <c r="E28" s="61"/>
      <c r="F28" s="53">
        <f>T.MOUTONG!F28</f>
        <v>3</v>
      </c>
      <c r="G28" s="89"/>
      <c r="H28" s="89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</row>
    <row r="29" spans="1:20" ht="15" customHeight="1">
      <c r="A29" s="51"/>
      <c r="B29" s="52" t="str">
        <f>T.MOUTONG!B29</f>
        <v>a. Response Time atas Gangguan (diluar Clear Tamper)</v>
      </c>
      <c r="C29" s="441" t="str">
        <f>T.MOUTONG!C29</f>
        <v>ò</v>
      </c>
      <c r="D29" s="53" t="str">
        <f>T.MOUTONG!D29</f>
        <v>Menit</v>
      </c>
      <c r="E29" s="61"/>
      <c r="F29" s="53"/>
      <c r="G29" s="89">
        <f>T.MOUTONG!G29</f>
        <v>30</v>
      </c>
      <c r="H29" s="89">
        <f>T.MOUTONG!H29</f>
        <v>30</v>
      </c>
      <c r="I29" s="145">
        <f>PI!AH119</f>
        <v>8.5426282051281994</v>
      </c>
      <c r="J29" s="145">
        <f>PI!AI119</f>
        <v>8.1045451864086786</v>
      </c>
      <c r="K29" s="145">
        <f>PI!AJ119</f>
        <v>7.9316219028642303</v>
      </c>
      <c r="L29" s="145">
        <f>PI!AK119</f>
        <v>7.9007510275380373</v>
      </c>
      <c r="M29" s="145">
        <f>PI!AL119</f>
        <v>9.1246008220304304</v>
      </c>
      <c r="N29" s="145">
        <f>PI!AM119</f>
        <v>9.1038201985687532</v>
      </c>
      <c r="O29" s="145">
        <f>PI!AN119</f>
        <v>9.0889768960961259</v>
      </c>
      <c r="P29" s="145">
        <f>PI!AO119</f>
        <v>9.1740044587045002</v>
      </c>
      <c r="Q29" s="145">
        <f>PI!AP119</f>
        <v>9.260615768181351</v>
      </c>
      <c r="R29" s="145">
        <f>PI!AQ119</f>
        <v>9.260615768181351</v>
      </c>
      <c r="S29" s="145">
        <f>PI!AR119</f>
        <v>9.260615768181351</v>
      </c>
      <c r="T29" s="145">
        <f>PI!AS119</f>
        <v>9.260615768181351</v>
      </c>
    </row>
    <row r="30" spans="1:20" ht="34.9" customHeight="1">
      <c r="A30" s="51"/>
      <c r="B30" s="52" t="str">
        <f>T.MOUTONG!B30</f>
        <v>b. Success Rate Auto Dispatch Gangguan Individual (diluar Clear Tamper)</v>
      </c>
      <c r="C30" s="441" t="str">
        <f>T.MOUTONG!C30</f>
        <v>ñ</v>
      </c>
      <c r="D30" s="53" t="str">
        <f>T.MOUTONG!D30</f>
        <v>%</v>
      </c>
      <c r="E30" s="61"/>
      <c r="F30" s="53"/>
      <c r="G30" s="89">
        <f>T.MOUTONG!G30</f>
        <v>0</v>
      </c>
      <c r="H30" s="89">
        <f>T.MOUTONG!H30</f>
        <v>0</v>
      </c>
      <c r="I30" s="145">
        <f>PI!AH135</f>
        <v>0</v>
      </c>
      <c r="J30" s="145">
        <f>PI!AI135</f>
        <v>0</v>
      </c>
      <c r="K30" s="145">
        <f>PI!AJ135</f>
        <v>0</v>
      </c>
      <c r="L30" s="145">
        <f>PI!AK135</f>
        <v>0</v>
      </c>
      <c r="M30" s="145">
        <f>PI!AL135</f>
        <v>0</v>
      </c>
      <c r="N30" s="145">
        <f>PI!AM135</f>
        <v>0</v>
      </c>
      <c r="O30" s="145">
        <f>PI!AN135</f>
        <v>0</v>
      </c>
      <c r="P30" s="145">
        <f>PI!AO135</f>
        <v>0</v>
      </c>
      <c r="Q30" s="145">
        <f>PI!AP135</f>
        <v>0</v>
      </c>
      <c r="R30" s="145">
        <f>PI!AQ135</f>
        <v>0</v>
      </c>
      <c r="S30" s="145">
        <f>PI!AR135</f>
        <v>0</v>
      </c>
      <c r="T30" s="145">
        <f>PI!AS135</f>
        <v>0</v>
      </c>
    </row>
    <row r="31" spans="1:20" ht="15" customHeight="1">
      <c r="A31" s="51">
        <f>T.MOUTONG!A31</f>
        <v>7</v>
      </c>
      <c r="B31" s="311" t="str">
        <f>T.MOUTONG!B31</f>
        <v>Sistem Recovery :</v>
      </c>
      <c r="C31" s="441"/>
      <c r="D31" s="53"/>
      <c r="E31" s="61"/>
      <c r="F31" s="53">
        <f>T.MOUTONG!F31</f>
        <v>6</v>
      </c>
      <c r="G31" s="89"/>
      <c r="H31" s="89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</row>
    <row r="32" spans="1:20" ht="16.5">
      <c r="A32" s="51"/>
      <c r="B32" s="52" t="str">
        <f>T.MOUTONG!B32</f>
        <v>a. Recovery Time Gangguan Meluas TM</v>
      </c>
      <c r="C32" s="441" t="str">
        <f>T.MOUTONG!C32</f>
        <v>ñ</v>
      </c>
      <c r="D32" s="53" t="str">
        <f>T.MOUTONG!D32</f>
        <v>%</v>
      </c>
      <c r="E32" s="61" t="e">
        <f>#REF!</f>
        <v>#REF!</v>
      </c>
      <c r="F32" s="53"/>
      <c r="G32" s="89">
        <f>T.MOUTONG!G32</f>
        <v>100</v>
      </c>
      <c r="H32" s="89">
        <f>T.MOUTONG!H32</f>
        <v>100</v>
      </c>
      <c r="I32" s="145">
        <f>PI!AH154</f>
        <v>110</v>
      </c>
      <c r="J32" s="145">
        <f>PI!AI154</f>
        <v>110</v>
      </c>
      <c r="K32" s="145">
        <f>PI!AJ154</f>
        <v>110</v>
      </c>
      <c r="L32" s="145">
        <f>PI!AK154</f>
        <v>110</v>
      </c>
      <c r="M32" s="145">
        <f>PI!AL154</f>
        <v>110</v>
      </c>
      <c r="N32" s="145">
        <f>PI!AM154</f>
        <v>110</v>
      </c>
      <c r="O32" s="145">
        <f>PI!AN154</f>
        <v>110</v>
      </c>
      <c r="P32" s="145">
        <f>PI!AO154</f>
        <v>110</v>
      </c>
      <c r="Q32" s="145">
        <f>PI!AP154</f>
        <v>110</v>
      </c>
      <c r="R32" s="145">
        <f>PI!AQ154</f>
        <v>0</v>
      </c>
      <c r="S32" s="145">
        <f>PI!AR154</f>
        <v>0</v>
      </c>
      <c r="T32" s="145">
        <f>PI!AS154</f>
        <v>0</v>
      </c>
    </row>
    <row r="33" spans="1:23" ht="16.5">
      <c r="A33" s="51"/>
      <c r="B33" s="52" t="str">
        <f>T.MOUTONG!B33</f>
        <v>b. Penormalan Siaga 1 Gangguan TM</v>
      </c>
      <c r="C33" s="441" t="str">
        <f>T.MOUTONG!C33</f>
        <v>ñ</v>
      </c>
      <c r="D33" s="53" t="str">
        <f>T.MOUTONG!D33</f>
        <v>%</v>
      </c>
      <c r="E33" s="61"/>
      <c r="F33" s="53"/>
      <c r="G33" s="89">
        <f>T.MOUTONG!G33</f>
        <v>100</v>
      </c>
      <c r="H33" s="89">
        <f>T.MOUTONG!H33</f>
        <v>100</v>
      </c>
      <c r="I33" s="145">
        <f>PI!AH176</f>
        <v>110</v>
      </c>
      <c r="J33" s="145">
        <f>PI!AI176</f>
        <v>110</v>
      </c>
      <c r="K33" s="145">
        <f>PI!AJ176</f>
        <v>110</v>
      </c>
      <c r="L33" s="145">
        <f>PI!AK176</f>
        <v>110</v>
      </c>
      <c r="M33" s="145">
        <f>PI!AL176</f>
        <v>110</v>
      </c>
      <c r="N33" s="145">
        <f>PI!AM176</f>
        <v>110</v>
      </c>
      <c r="O33" s="145">
        <f>PI!AN176</f>
        <v>110</v>
      </c>
      <c r="P33" s="145">
        <f>PI!AO176</f>
        <v>110</v>
      </c>
      <c r="Q33" s="145">
        <f>PI!AP176</f>
        <v>110</v>
      </c>
      <c r="R33" s="145">
        <f>PI!AQ176</f>
        <v>0</v>
      </c>
      <c r="S33" s="145">
        <f>PI!AR176</f>
        <v>0</v>
      </c>
      <c r="T33" s="145">
        <f>PI!AS176</f>
        <v>0</v>
      </c>
    </row>
    <row r="34" spans="1:23" ht="14.45" customHeight="1">
      <c r="A34" s="51">
        <f>T.MOUTONG!A34</f>
        <v>8</v>
      </c>
      <c r="B34" s="311" t="str">
        <f>T.MOUTONG!B34</f>
        <v>Percepatan Penyambungan Pelanggan</v>
      </c>
      <c r="C34" s="441"/>
      <c r="D34" s="53"/>
      <c r="E34" s="61" t="e">
        <f>#REF!</f>
        <v>#REF!</v>
      </c>
      <c r="F34" s="53">
        <f>T.MOUTONG!F34</f>
        <v>10</v>
      </c>
      <c r="G34" s="89"/>
      <c r="H34" s="89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V34" s="21"/>
      <c r="W34" s="21"/>
    </row>
    <row r="35" spans="1:23" ht="14.45" customHeight="1">
      <c r="A35" s="51"/>
      <c r="B35" s="52" t="str">
        <f>T.MOUTONG!B35</f>
        <v>a. Penambahan Daya Tersambung</v>
      </c>
      <c r="C35" s="441" t="str">
        <f>T.MOUTONG!C35</f>
        <v>ñ</v>
      </c>
      <c r="D35" s="53" t="str">
        <f>T.MOUTONG!D35</f>
        <v>MVA</v>
      </c>
      <c r="E35" s="61"/>
      <c r="F35" s="53"/>
      <c r="G35" s="89">
        <f>T.MOUTONG!G35</f>
        <v>0.5</v>
      </c>
      <c r="H35" s="89">
        <f>T.MOUTONG!H35</f>
        <v>1.26</v>
      </c>
      <c r="I35" s="145">
        <f>PI!AH197</f>
        <v>5.4449999999999998E-2</v>
      </c>
      <c r="J35" s="145">
        <f>PI!AI197</f>
        <v>0.13190000000000002</v>
      </c>
      <c r="K35" s="145">
        <f>PI!AJ197</f>
        <v>0.18990000000000001</v>
      </c>
      <c r="L35" s="145">
        <f>PI!AK197</f>
        <v>0.25319999999999998</v>
      </c>
      <c r="M35" s="145">
        <f>PI!AL197</f>
        <v>0.29535</v>
      </c>
      <c r="N35" s="145">
        <f>PI!AM197</f>
        <v>0.3518</v>
      </c>
      <c r="O35" s="145">
        <f>PI!AN197</f>
        <v>0.39565</v>
      </c>
      <c r="P35" s="145">
        <f>PI!AO197</f>
        <v>0.4476</v>
      </c>
      <c r="Q35" s="145">
        <f>PI!AP197</f>
        <v>0.53025</v>
      </c>
      <c r="R35" s="145">
        <f>PI!AQ197</f>
        <v>0</v>
      </c>
      <c r="S35" s="145">
        <f>PI!AR197</f>
        <v>0</v>
      </c>
      <c r="T35" s="145">
        <f>PI!AS197</f>
        <v>0</v>
      </c>
      <c r="V35" s="21"/>
      <c r="W35" s="21"/>
    </row>
    <row r="36" spans="1:23" ht="14.45" customHeight="1">
      <c r="A36" s="51"/>
      <c r="B36" s="52" t="str">
        <f>T.MOUTONG!B36</f>
        <v>b. Penambahan Jumlah Pelanggan</v>
      </c>
      <c r="C36" s="441" t="str">
        <f>T.MOUTONG!C36</f>
        <v>ñ</v>
      </c>
      <c r="D36" s="53" t="str">
        <f>T.MOUTONG!D36</f>
        <v>Pelanggan</v>
      </c>
      <c r="E36" s="61"/>
      <c r="F36" s="53"/>
      <c r="G36" s="89">
        <f>T.MOUTONG!G36</f>
        <v>748</v>
      </c>
      <c r="H36" s="89">
        <f>T.MOUTONG!H36</f>
        <v>1721</v>
      </c>
      <c r="I36" s="145">
        <f>PI!AH203</f>
        <v>84</v>
      </c>
      <c r="J36" s="145">
        <f>PI!AI203</f>
        <v>172</v>
      </c>
      <c r="K36" s="145">
        <f>PI!AJ203</f>
        <v>215</v>
      </c>
      <c r="L36" s="145">
        <f>PI!AK203</f>
        <v>254</v>
      </c>
      <c r="M36" s="145">
        <f>PI!AL203</f>
        <v>294</v>
      </c>
      <c r="N36" s="145">
        <f>PI!AM203</f>
        <v>346</v>
      </c>
      <c r="O36" s="145">
        <f>PI!AN203</f>
        <v>393</v>
      </c>
      <c r="P36" s="145">
        <f>PI!AO203</f>
        <v>413</v>
      </c>
      <c r="Q36" s="145">
        <f>PI!AP203</f>
        <v>457</v>
      </c>
      <c r="R36" s="145">
        <f>PI!AQ203</f>
        <v>0</v>
      </c>
      <c r="S36" s="145">
        <f>PI!AR203</f>
        <v>0</v>
      </c>
      <c r="T36" s="145">
        <f>PI!AS203</f>
        <v>0</v>
      </c>
      <c r="V36" s="21"/>
      <c r="W36" s="21"/>
    </row>
    <row r="37" spans="1:23" ht="14.45" customHeight="1">
      <c r="A37" s="51"/>
      <c r="B37" s="52" t="str">
        <f>T.MOUTONG!B37</f>
        <v>c. Jumlah Penambahan Pelanggan Produk Tematik</v>
      </c>
      <c r="C37" s="441" t="str">
        <f>T.MOUTONG!C37</f>
        <v>ñ</v>
      </c>
      <c r="D37" s="53" t="str">
        <f>T.MOUTONG!D37</f>
        <v>Pelanggan</v>
      </c>
      <c r="E37" s="61"/>
      <c r="F37" s="53"/>
      <c r="G37" s="89">
        <f>T.MOUTONG!G37</f>
        <v>90</v>
      </c>
      <c r="H37" s="89">
        <f>T.MOUTONG!H37</f>
        <v>150</v>
      </c>
      <c r="I37" s="145">
        <f>PI!AH209</f>
        <v>8</v>
      </c>
      <c r="J37" s="145">
        <f>PI!AI209</f>
        <v>12</v>
      </c>
      <c r="K37" s="145">
        <f>PI!AJ209</f>
        <v>33</v>
      </c>
      <c r="L37" s="145">
        <f>PI!AK209</f>
        <v>33</v>
      </c>
      <c r="M37" s="145">
        <f>PI!AL209</f>
        <v>42</v>
      </c>
      <c r="N37" s="145">
        <f>PI!AM209</f>
        <v>42</v>
      </c>
      <c r="O37" s="145">
        <f>PI!AN209</f>
        <v>42</v>
      </c>
      <c r="P37" s="145">
        <f>PI!AO209</f>
        <v>68</v>
      </c>
      <c r="Q37" s="145">
        <f>PI!AP209</f>
        <v>78</v>
      </c>
      <c r="R37" s="145">
        <f>PI!AQ209</f>
        <v>0</v>
      </c>
      <c r="S37" s="145">
        <f>PI!AR209</f>
        <v>0</v>
      </c>
      <c r="T37" s="145">
        <f>PI!AS209</f>
        <v>0</v>
      </c>
      <c r="V37" s="21"/>
      <c r="W37" s="21"/>
    </row>
    <row r="38" spans="1:23" ht="27" customHeight="1">
      <c r="A38" s="51"/>
      <c r="B38" s="52" t="str">
        <f>T.MOUTONG!B38</f>
        <v>d. Implementasi Kesesuaian Sektor Bisnis sesuai KBLI 2020</v>
      </c>
      <c r="C38" s="441" t="str">
        <f>T.MOUTONG!C38</f>
        <v>ñ</v>
      </c>
      <c r="D38" s="53" t="str">
        <f>T.MOUTONG!D38</f>
        <v>Pelanggan</v>
      </c>
      <c r="E38" s="61"/>
      <c r="F38" s="53"/>
      <c r="G38" s="89">
        <f>T.MOUTONG!G38</f>
        <v>2</v>
      </c>
      <c r="H38" s="89">
        <f>T.MOUTONG!H38</f>
        <v>2</v>
      </c>
      <c r="I38" s="145">
        <f>PI!AH215</f>
        <v>0</v>
      </c>
      <c r="J38" s="145">
        <f>PI!AI215</f>
        <v>0</v>
      </c>
      <c r="K38" s="145">
        <f>PI!AJ215</f>
        <v>0</v>
      </c>
      <c r="L38" s="145">
        <f>PI!AK215</f>
        <v>2</v>
      </c>
      <c r="M38" s="145">
        <f>PI!AL215</f>
        <v>2</v>
      </c>
      <c r="N38" s="145">
        <f>PI!AM215</f>
        <v>2</v>
      </c>
      <c r="O38" s="145">
        <f>PI!AN215</f>
        <v>2</v>
      </c>
      <c r="P38" s="145">
        <f>PI!AO215</f>
        <v>2</v>
      </c>
      <c r="Q38" s="145">
        <f>PI!AP215</f>
        <v>2</v>
      </c>
      <c r="R38" s="145">
        <f>PI!AQ215</f>
        <v>0</v>
      </c>
      <c r="S38" s="145">
        <f>PI!AR215</f>
        <v>0</v>
      </c>
      <c r="T38" s="145">
        <f>PI!AS215</f>
        <v>0</v>
      </c>
      <c r="V38" s="21"/>
      <c r="W38" s="21"/>
    </row>
    <row r="39" spans="1:23" ht="16.5">
      <c r="A39" s="51">
        <f>T.MOUTONG!A39</f>
        <v>9</v>
      </c>
      <c r="B39" s="311" t="str">
        <f>T.MOUTONG!B39</f>
        <v>Percepatan Penyambungan Pelanggan Lisdes</v>
      </c>
      <c r="C39" s="441"/>
      <c r="D39" s="53"/>
      <c r="E39" s="61"/>
      <c r="F39" s="53">
        <f>T.MOUTONG!F39</f>
        <v>4</v>
      </c>
      <c r="G39" s="89"/>
      <c r="H39" s="89"/>
      <c r="I39" s="145"/>
      <c r="J39" s="145"/>
      <c r="K39" s="145"/>
      <c r="L39" s="145"/>
      <c r="M39" s="145"/>
      <c r="N39" s="145"/>
      <c r="O39" s="145"/>
      <c r="P39" s="145"/>
      <c r="Q39" s="145"/>
      <c r="R39" s="145"/>
      <c r="S39" s="145"/>
      <c r="T39" s="145"/>
      <c r="V39" s="21"/>
      <c r="W39" s="21"/>
    </row>
    <row r="40" spans="1:23" ht="33">
      <c r="A40" s="51"/>
      <c r="B40" s="52" t="str">
        <f>T.MOUTONG!B40</f>
        <v>a. Penambahan Jumlah Pelanggan Rumah Tangga Lisdes</v>
      </c>
      <c r="C40" s="441" t="str">
        <f>T.MOUTONG!C40</f>
        <v>ñ</v>
      </c>
      <c r="D40" s="53" t="str">
        <f>T.MOUTONG!D40</f>
        <v>Pelanggan</v>
      </c>
      <c r="E40" s="61"/>
      <c r="F40" s="53"/>
      <c r="G40" s="89">
        <f>T.MOUTONG!G40</f>
        <v>0</v>
      </c>
      <c r="H40" s="89">
        <f>T.MOUTONG!H40</f>
        <v>0</v>
      </c>
      <c r="I40" s="145">
        <f>PI!AH221</f>
        <v>1</v>
      </c>
      <c r="J40" s="145">
        <f>PI!AI221</f>
        <v>2</v>
      </c>
      <c r="K40" s="145">
        <f>PI!AJ221</f>
        <v>3</v>
      </c>
      <c r="L40" s="145">
        <f>PI!AK221</f>
        <v>3</v>
      </c>
      <c r="M40" s="145">
        <f>PI!AL221</f>
        <v>3</v>
      </c>
      <c r="N40" s="145">
        <f>PI!AM221</f>
        <v>3</v>
      </c>
      <c r="O40" s="145">
        <f>PI!AN221</f>
        <v>5</v>
      </c>
      <c r="P40" s="145">
        <f>PI!AO221</f>
        <v>5</v>
      </c>
      <c r="Q40" s="145">
        <f>PI!AP221</f>
        <v>6</v>
      </c>
      <c r="R40" s="145">
        <f>PI!AQ221</f>
        <v>0</v>
      </c>
      <c r="S40" s="145">
        <f>PI!AR221</f>
        <v>0</v>
      </c>
      <c r="T40" s="145">
        <f>PI!AS221</f>
        <v>0</v>
      </c>
      <c r="V40" s="21"/>
      <c r="W40" s="21"/>
    </row>
    <row r="41" spans="1:23" ht="33">
      <c r="A41" s="51"/>
      <c r="B41" s="52" t="str">
        <f>T.MOUTONG!B41</f>
        <v>b. Peningkatan kWh Penjualan dari Pelanggan Rumah Tangga Lisdes</v>
      </c>
      <c r="C41" s="441" t="str">
        <f>T.MOUTONG!C41</f>
        <v>ñ</v>
      </c>
      <c r="D41" s="53" t="str">
        <f>T.MOUTONG!D41</f>
        <v>kWh</v>
      </c>
      <c r="E41" s="61"/>
      <c r="F41" s="53"/>
      <c r="G41" s="89">
        <f>T.MOUTONG!G41</f>
        <v>0</v>
      </c>
      <c r="H41" s="89">
        <f>T.MOUTONG!H41</f>
        <v>0</v>
      </c>
      <c r="I41" s="145">
        <f>PI!AH227</f>
        <v>219.1</v>
      </c>
      <c r="J41" s="145">
        <f>PI!AI227</f>
        <v>369.4</v>
      </c>
      <c r="K41" s="145">
        <f>PI!AJ227</f>
        <v>519.70000000000005</v>
      </c>
      <c r="L41" s="145">
        <f>PI!AK227</f>
        <v>519.70000000000005</v>
      </c>
      <c r="M41" s="145">
        <f>PI!AL227</f>
        <v>854.8</v>
      </c>
      <c r="N41" s="145">
        <f>PI!AM227</f>
        <v>1114.8</v>
      </c>
      <c r="O41" s="145">
        <f>PI!AN227</f>
        <v>1913.8</v>
      </c>
      <c r="P41" s="145">
        <f>PI!AO227</f>
        <v>2098.6</v>
      </c>
      <c r="Q41" s="145">
        <f>PI!AP227</f>
        <v>2342.6999999999998</v>
      </c>
      <c r="R41" s="145">
        <f>PI!AQ227</f>
        <v>0</v>
      </c>
      <c r="S41" s="145">
        <f>PI!AR227</f>
        <v>0</v>
      </c>
      <c r="T41" s="145">
        <f>PI!AS227</f>
        <v>0</v>
      </c>
      <c r="V41" s="21"/>
      <c r="W41" s="21"/>
    </row>
    <row r="42" spans="1:23" ht="14.45" customHeight="1">
      <c r="A42" s="51">
        <f>T.MOUTONG!A42</f>
        <v>10</v>
      </c>
      <c r="B42" s="311" t="str">
        <f>T.MOUTONG!B42</f>
        <v>Pengelolaan Pembacaan Meter</v>
      </c>
      <c r="C42" s="441"/>
      <c r="D42" s="53"/>
      <c r="E42" s="61"/>
      <c r="F42" s="53">
        <f>T.MOUTONG!F42</f>
        <v>8</v>
      </c>
      <c r="G42" s="89"/>
      <c r="H42" s="89"/>
      <c r="I42" s="145"/>
      <c r="J42" s="145"/>
      <c r="K42" s="145"/>
      <c r="L42" s="145"/>
      <c r="M42" s="145"/>
      <c r="N42" s="145"/>
      <c r="O42" s="145"/>
      <c r="P42" s="145"/>
      <c r="Q42" s="145"/>
      <c r="R42" s="145"/>
      <c r="S42" s="145"/>
      <c r="T42" s="145"/>
      <c r="V42" s="21"/>
      <c r="W42" s="21"/>
    </row>
    <row r="43" spans="1:23" ht="18" customHeight="1">
      <c r="A43" s="51"/>
      <c r="B43" s="52" t="str">
        <f>T.MOUTONG!B43</f>
        <v>a. Jumlah Pengguna Swa Cam</v>
      </c>
      <c r="C43" s="441" t="str">
        <f>T.MOUTONG!C43</f>
        <v>ñ</v>
      </c>
      <c r="D43" s="53" t="str">
        <f>T.MOUTONG!D43</f>
        <v>Pelanggan</v>
      </c>
      <c r="E43" s="61"/>
      <c r="F43" s="53"/>
      <c r="G43" s="89">
        <f>T.MOUTONG!G43</f>
        <v>414</v>
      </c>
      <c r="H43" s="89">
        <f>T.MOUTONG!H43</f>
        <v>414</v>
      </c>
      <c r="I43" s="145">
        <f>PI!AH237</f>
        <v>1084</v>
      </c>
      <c r="J43" s="145">
        <f>PI!AI237</f>
        <v>786</v>
      </c>
      <c r="K43" s="145">
        <f>PI!AJ237</f>
        <v>585</v>
      </c>
      <c r="L43" s="145">
        <f>PI!AK237</f>
        <v>687.25</v>
      </c>
      <c r="M43" s="145">
        <f>PI!AL237</f>
        <v>654.20000000000005</v>
      </c>
      <c r="N43" s="145">
        <f>PI!AM237</f>
        <v>635.16666666666663</v>
      </c>
      <c r="O43" s="145">
        <f>PI!AN237</f>
        <v>617.71428571428567</v>
      </c>
      <c r="P43" s="145">
        <f>PI!AO237</f>
        <v>606.75</v>
      </c>
      <c r="Q43" s="145">
        <f>PI!AP237</f>
        <v>599.44444444444446</v>
      </c>
      <c r="R43" s="145">
        <f>PI!AQ237</f>
        <v>599.44444444444446</v>
      </c>
      <c r="S43" s="145">
        <f>PI!AR237</f>
        <v>599.44444444444446</v>
      </c>
      <c r="T43" s="145">
        <f>PI!AS237</f>
        <v>599.44444444444446</v>
      </c>
      <c r="V43" s="21"/>
      <c r="W43" s="21"/>
    </row>
    <row r="44" spans="1:23" ht="27" customHeight="1">
      <c r="A44" s="51"/>
      <c r="B44" s="52" t="str">
        <f>T.MOUTONG!B44</f>
        <v>b. Tindak Lanjut LBKB (Laporan Bulanan Kelainan Baca Meter)</v>
      </c>
      <c r="C44" s="441" t="str">
        <f>T.MOUTONG!C44</f>
        <v>ò</v>
      </c>
      <c r="D44" s="53" t="str">
        <f>T.MOUTONG!D44</f>
        <v>Pelanggan</v>
      </c>
      <c r="E44" s="61"/>
      <c r="F44" s="53"/>
      <c r="G44" s="89">
        <f>T.MOUTONG!G44</f>
        <v>0</v>
      </c>
      <c r="H44" s="89">
        <f>T.MOUTONG!H44</f>
        <v>0</v>
      </c>
      <c r="I44" s="145">
        <v>0</v>
      </c>
      <c r="J44" s="145">
        <v>0</v>
      </c>
      <c r="K44" s="145">
        <v>0</v>
      </c>
      <c r="L44" s="145">
        <v>0</v>
      </c>
      <c r="M44" s="145">
        <v>0</v>
      </c>
      <c r="N44" s="145">
        <v>0</v>
      </c>
      <c r="O44" s="145">
        <v>0</v>
      </c>
      <c r="P44" s="145">
        <v>0</v>
      </c>
      <c r="Q44" s="145">
        <v>0</v>
      </c>
      <c r="R44" s="145">
        <v>0</v>
      </c>
      <c r="S44" s="145">
        <v>0</v>
      </c>
      <c r="T44" s="145">
        <v>0</v>
      </c>
      <c r="V44" s="21"/>
      <c r="W44" s="21"/>
    </row>
    <row r="45" spans="1:23" ht="16.5">
      <c r="A45" s="51">
        <f>T.MOUTONG!A45</f>
        <v>11</v>
      </c>
      <c r="B45" s="311" t="str">
        <f>T.MOUTONG!B45</f>
        <v>Sisa Stand Bongkar Migrasi</v>
      </c>
      <c r="C45" s="441" t="str">
        <f>T.MOUTONG!C45</f>
        <v>ñ</v>
      </c>
      <c r="D45" s="53"/>
      <c r="E45" s="61"/>
      <c r="F45" s="53">
        <f>T.MOUTONG!F45</f>
        <v>3</v>
      </c>
      <c r="G45" s="89">
        <f>T.MOUTONG!G45</f>
        <v>100</v>
      </c>
      <c r="H45" s="89">
        <f>T.MOUTONG!H45</f>
        <v>100</v>
      </c>
      <c r="I45" s="145">
        <f>PI!AH255</f>
        <v>100</v>
      </c>
      <c r="J45" s="145">
        <f>PI!AI255</f>
        <v>100</v>
      </c>
      <c r="K45" s="145">
        <f>PI!AJ255</f>
        <v>100</v>
      </c>
      <c r="L45" s="145">
        <f>PI!AK255</f>
        <v>100</v>
      </c>
      <c r="M45" s="145">
        <f>PI!AL255</f>
        <v>100</v>
      </c>
      <c r="N45" s="145">
        <f>PI!AM255</f>
        <v>100</v>
      </c>
      <c r="O45" s="145">
        <f>PI!AN255</f>
        <v>100</v>
      </c>
      <c r="P45" s="145">
        <f>PI!AO255</f>
        <v>100</v>
      </c>
      <c r="Q45" s="145">
        <f>PI!AP255</f>
        <v>100</v>
      </c>
      <c r="R45" s="145">
        <f>PI!AQ255</f>
        <v>100</v>
      </c>
      <c r="S45" s="145">
        <f>PI!AR255</f>
        <v>100</v>
      </c>
      <c r="T45" s="145">
        <f>PI!AS255</f>
        <v>100</v>
      </c>
    </row>
    <row r="46" spans="1:23" ht="16.5">
      <c r="A46" s="51">
        <f>T.MOUTONG!A46</f>
        <v>12</v>
      </c>
      <c r="B46" s="311" t="str">
        <f>T.MOUTONG!B46</f>
        <v>Percepatan Cash In</v>
      </c>
      <c r="C46" s="441"/>
      <c r="D46" s="53" t="str">
        <f>T.MOUTONG!D46</f>
        <v>%</v>
      </c>
      <c r="E46" s="61"/>
      <c r="F46" s="53">
        <f>T.MOUTONG!F46</f>
        <v>9</v>
      </c>
      <c r="G46" s="89"/>
      <c r="H46" s="89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</row>
    <row r="47" spans="1:23" ht="33">
      <c r="A47" s="51"/>
      <c r="B47" s="52" t="str">
        <f>T.MOUTONG!B47</f>
        <v>a. Persentase Rata-Rata Saldo Tanggal 20 Non Kogol 1 dan Non Kogol 2</v>
      </c>
      <c r="C47" s="441" t="str">
        <f>T.MOUTONG!C47</f>
        <v>ò</v>
      </c>
      <c r="D47" s="53" t="str">
        <f>T.MOUTONG!D47</f>
        <v>Rp. Juta</v>
      </c>
      <c r="E47" s="61"/>
      <c r="F47" s="53"/>
      <c r="G47" s="89">
        <f>T.MOUTONG!G47</f>
        <v>213</v>
      </c>
      <c r="H47" s="89">
        <f>T.MOUTONG!H47</f>
        <v>213</v>
      </c>
      <c r="I47" s="145">
        <f>PI!AH273</f>
        <v>217.87441899999999</v>
      </c>
      <c r="J47" s="145">
        <f>PI!AI273</f>
        <v>221.28408049999999</v>
      </c>
      <c r="K47" s="145">
        <f>PI!AJ273</f>
        <v>249.64832133333334</v>
      </c>
      <c r="L47" s="145">
        <f>PI!AK273</f>
        <v>257.82090475000001</v>
      </c>
      <c r="M47" s="145">
        <f>PI!AL273</f>
        <v>261.50575980000002</v>
      </c>
      <c r="N47" s="145">
        <f>PI!AM273</f>
        <v>292.92861650000003</v>
      </c>
      <c r="O47" s="145">
        <f>PI!AN273</f>
        <v>283.552346</v>
      </c>
      <c r="P47" s="145">
        <f>PI!AO273</f>
        <v>258.82594562500003</v>
      </c>
      <c r="Q47" s="145">
        <f>PI!AP273</f>
        <v>239.46162522222227</v>
      </c>
      <c r="R47" s="145">
        <f>PI!AQ273</f>
        <v>239.46162522222227</v>
      </c>
      <c r="S47" s="145">
        <f>PI!AR273</f>
        <v>239.46162522222227</v>
      </c>
      <c r="T47" s="145">
        <f>PI!AS273</f>
        <v>239.46162522222227</v>
      </c>
    </row>
    <row r="48" spans="1:23" ht="33">
      <c r="A48" s="51"/>
      <c r="B48" s="52" t="str">
        <f>T.MOUTONG!B48</f>
        <v>b. Pencapaian Saldo Rata-Rata Akhir Bulan Non Kogol 1 dan Non Kogol 2</v>
      </c>
      <c r="C48" s="441" t="str">
        <f>T.MOUTONG!C48</f>
        <v>ò</v>
      </c>
      <c r="D48" s="53" t="str">
        <f>T.MOUTONG!D48</f>
        <v>Rp. Juta</v>
      </c>
      <c r="E48" s="61"/>
      <c r="F48" s="53"/>
      <c r="G48" s="89">
        <f>T.MOUTONG!G48</f>
        <v>96.04</v>
      </c>
      <c r="H48" s="89">
        <f>T.MOUTONG!H48</f>
        <v>96.04</v>
      </c>
      <c r="I48" s="145">
        <f>PI!AH295</f>
        <v>148.600922</v>
      </c>
      <c r="J48" s="145">
        <f>PI!AI295</f>
        <v>169.88312250000001</v>
      </c>
      <c r="K48" s="145">
        <f>PI!AJ295</f>
        <v>162.62208166666667</v>
      </c>
      <c r="L48" s="145">
        <f>PI!AK295</f>
        <v>172.87793300000001</v>
      </c>
      <c r="M48" s="145">
        <f>PI!AL295</f>
        <v>168.37847600000001</v>
      </c>
      <c r="N48" s="145">
        <f>PI!AM295</f>
        <v>156.22762766666668</v>
      </c>
      <c r="O48" s="145">
        <f>PI!AN295</f>
        <v>134.73275485714285</v>
      </c>
      <c r="P48" s="145">
        <f>PI!AO295</f>
        <v>118.46785025</v>
      </c>
      <c r="Q48" s="145">
        <f>PI!AP295</f>
        <v>106.06112455555555</v>
      </c>
      <c r="R48" s="145">
        <f>PI!AQ295</f>
        <v>106.06112455555555</v>
      </c>
      <c r="S48" s="145">
        <f>PI!AR295</f>
        <v>106.06112455555555</v>
      </c>
      <c r="T48" s="145">
        <f>PI!AS295</f>
        <v>106.06112455555555</v>
      </c>
    </row>
    <row r="49" spans="1:20" ht="22.9" customHeight="1">
      <c r="A49" s="51"/>
      <c r="B49" s="52" t="str">
        <f>T.MOUTONG!B49</f>
        <v>c. Pencapaian Pelunasan PRR</v>
      </c>
      <c r="C49" s="441" t="str">
        <f>T.MOUTONG!C49</f>
        <v>ñ</v>
      </c>
      <c r="D49" s="53" t="str">
        <f>T.MOUTONG!D49</f>
        <v>Rp. Juta</v>
      </c>
      <c r="E49" s="61"/>
      <c r="F49" s="53"/>
      <c r="G49" s="89">
        <f>T.MOUTONG!G49</f>
        <v>2.04</v>
      </c>
      <c r="H49" s="89">
        <f>T.MOUTONG!H49</f>
        <v>5.0999999999999996</v>
      </c>
      <c r="I49" s="145">
        <f>PI!AH318</f>
        <v>0</v>
      </c>
      <c r="J49" s="145">
        <f>PI!AI318</f>
        <v>0</v>
      </c>
      <c r="K49" s="145">
        <f>PI!AJ318</f>
        <v>1.539625</v>
      </c>
      <c r="L49" s="145">
        <f>PI!AK318</f>
        <v>1.539625</v>
      </c>
      <c r="M49" s="145">
        <f>PI!AL318</f>
        <v>2.7871760000000001</v>
      </c>
      <c r="N49" s="145">
        <f>PI!AM318</f>
        <v>2.7871760000000001</v>
      </c>
      <c r="O49" s="145">
        <f>PI!AN318</f>
        <v>2.7871760000000001</v>
      </c>
      <c r="P49" s="145">
        <f>PI!AO318</f>
        <v>2.7871760000000001</v>
      </c>
      <c r="Q49" s="145">
        <f>PI!AP318</f>
        <v>4.3891640000000001</v>
      </c>
      <c r="R49" s="145">
        <f>PI!AQ318</f>
        <v>0</v>
      </c>
      <c r="S49" s="145">
        <f>PI!AR318</f>
        <v>0</v>
      </c>
      <c r="T49" s="145">
        <f>PI!AS318</f>
        <v>0</v>
      </c>
    </row>
    <row r="50" spans="1:20" ht="15" customHeight="1">
      <c r="A50" s="51">
        <f>T.MOUTONG!A50</f>
        <v>13</v>
      </c>
      <c r="B50" s="311" t="str">
        <f>T.MOUTONG!B50</f>
        <v>Kepatuhan :</v>
      </c>
      <c r="C50" s="441"/>
      <c r="D50" s="53"/>
      <c r="E50" s="61" t="e">
        <f>#REF!</f>
        <v>#REF!</v>
      </c>
      <c r="F50" s="53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</row>
    <row r="51" spans="1:20" ht="16.5">
      <c r="A51" s="51"/>
      <c r="B51" s="52" t="str">
        <f>T.MOUTONG!B51</f>
        <v>a. Pengelolaan K3, Keamanan dan Lingkungan Hidup</v>
      </c>
      <c r="C51" s="441"/>
      <c r="D51" s="53"/>
      <c r="E51" s="61" t="e">
        <f>#REF!</f>
        <v>#REF!</v>
      </c>
      <c r="F51" s="53" t="str">
        <f>T.MOUTONG!F51</f>
        <v>Max-8</v>
      </c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</row>
    <row r="52" spans="1:20" ht="25.9" customHeight="1">
      <c r="A52" s="51"/>
      <c r="B52" s="52" t="str">
        <f>T.MOUTONG!B52</f>
        <v>b. Maturity Level Implementasi Sistem Manajemen Anti Penyuapan (SMAP)</v>
      </c>
      <c r="C52" s="441"/>
      <c r="D52" s="53"/>
      <c r="E52" s="61" t="e">
        <f>#REF!</f>
        <v>#REF!</v>
      </c>
      <c r="F52" s="53" t="str">
        <f>T.MOUTONG!F52</f>
        <v>Max-4</v>
      </c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</row>
    <row r="53" spans="1:20" ht="25.9" customHeight="1">
      <c r="A53" s="51"/>
      <c r="B53" s="52" t="str">
        <f>T.MOUTONG!B53</f>
        <v>c. Ketepatan penyampaian pelaporan dan
Akurasi Data Kinerja</v>
      </c>
      <c r="C53" s="441"/>
      <c r="D53" s="53"/>
      <c r="E53" s="61" t="e">
        <f>#REF!</f>
        <v>#REF!</v>
      </c>
      <c r="F53" s="53" t="str">
        <f>T.MOUTONG!F53</f>
        <v>Max-10</v>
      </c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111"/>
    </row>
    <row r="54" spans="1:20" ht="16.5">
      <c r="A54" s="51"/>
      <c r="B54" s="52" t="str">
        <f>T.MOUTONG!B54</f>
        <v>d. Tindak Lanjut Temuan Auditor</v>
      </c>
      <c r="C54" s="441"/>
      <c r="D54" s="53"/>
      <c r="E54" s="61"/>
      <c r="F54" s="53" t="str">
        <f>T.MOUTONG!F54</f>
        <v>Max-5</v>
      </c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</row>
    <row r="55" spans="1:20" ht="15" customHeight="1">
      <c r="A55" s="51"/>
      <c r="B55" s="52" t="str">
        <f>T.MOUTONG!B55</f>
        <v>e. Pencapaian Beyond RKAP</v>
      </c>
      <c r="C55" s="441"/>
      <c r="D55" s="53"/>
      <c r="E55" s="61" t="e">
        <f>#REF!</f>
        <v>#REF!</v>
      </c>
      <c r="F55" s="53" t="str">
        <f>T.MOUTONG!F55</f>
        <v>Max-2
Max+2</v>
      </c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</row>
    <row r="56" spans="1:20" s="163" customFormat="1" ht="15" customHeight="1">
      <c r="A56" s="54"/>
      <c r="B56" s="55" t="str">
        <f>T.TOLIS!B56</f>
        <v>TOTAL BOBOT</v>
      </c>
      <c r="C56" s="442"/>
      <c r="D56" s="129"/>
      <c r="E56" s="55"/>
      <c r="F56" s="139">
        <f>F7+F18</f>
        <v>100</v>
      </c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</row>
    <row r="58" spans="1:20">
      <c r="A58" s="2"/>
      <c r="B58" s="3" t="s">
        <v>369</v>
      </c>
      <c r="C58" s="444"/>
      <c r="D58" s="4">
        <f>COUNTA(D8:D55)</f>
        <v>33</v>
      </c>
      <c r="E58" s="2"/>
      <c r="F58" s="4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60" spans="1:20">
      <c r="A60" s="63" t="s">
        <v>370</v>
      </c>
      <c r="B60" s="26"/>
      <c r="C60" s="445"/>
      <c r="D60" s="25"/>
      <c r="E60" s="25"/>
      <c r="F60" s="25"/>
      <c r="G60" s="25"/>
      <c r="H60" s="25"/>
      <c r="I60" s="25"/>
      <c r="J60" s="25"/>
      <c r="K60" s="25"/>
      <c r="L60" s="25"/>
      <c r="M60" s="25"/>
      <c r="Q60" s="25"/>
      <c r="S60" s="25"/>
    </row>
    <row r="61" spans="1:20">
      <c r="A61" s="25">
        <v>3</v>
      </c>
      <c r="B61" s="64" t="s">
        <v>371</v>
      </c>
      <c r="C61" s="445"/>
      <c r="D61" s="25"/>
      <c r="E61" s="25"/>
      <c r="F61" s="25"/>
      <c r="G61" s="25"/>
      <c r="H61" s="25"/>
      <c r="I61" s="25"/>
      <c r="J61" s="25"/>
      <c r="K61" s="25"/>
      <c r="L61" s="25"/>
      <c r="M61" s="25"/>
      <c r="Q61" s="25"/>
      <c r="S61" s="25"/>
    </row>
    <row r="62" spans="1:20">
      <c r="A62" s="25">
        <v>1</v>
      </c>
      <c r="B62" s="64" t="s">
        <v>372</v>
      </c>
      <c r="C62" s="445"/>
      <c r="D62" s="25"/>
      <c r="E62" s="25"/>
      <c r="F62" s="25"/>
      <c r="G62" s="25"/>
      <c r="H62" s="25"/>
      <c r="I62" s="25"/>
      <c r="J62" s="25"/>
      <c r="K62" s="25"/>
      <c r="L62" s="25"/>
      <c r="M62" s="25"/>
      <c r="Q62" s="25"/>
      <c r="S62" s="25"/>
    </row>
    <row r="63" spans="1:20">
      <c r="A63" s="25"/>
      <c r="B63" s="26"/>
      <c r="C63" s="445"/>
      <c r="D63" s="25"/>
      <c r="E63" s="25"/>
      <c r="F63" s="25"/>
      <c r="G63" s="25"/>
      <c r="H63" s="25"/>
      <c r="I63" s="25"/>
      <c r="J63" s="25"/>
      <c r="K63" s="25"/>
      <c r="L63" s="25"/>
      <c r="M63" s="25"/>
      <c r="Q63" s="25"/>
      <c r="S63" s="25"/>
    </row>
    <row r="64" spans="1:20">
      <c r="A64" s="25"/>
      <c r="B64" s="26"/>
      <c r="C64" s="445"/>
      <c r="D64" s="25"/>
      <c r="E64" s="25"/>
      <c r="F64" s="25"/>
      <c r="G64" s="25"/>
      <c r="H64" s="25"/>
      <c r="I64" s="25"/>
      <c r="J64" s="25"/>
      <c r="K64" s="25"/>
      <c r="L64" s="25"/>
      <c r="M64" s="25"/>
      <c r="Q64" s="25"/>
      <c r="S64" s="25"/>
    </row>
    <row r="65" spans="1:19">
      <c r="A65" s="24"/>
      <c r="B65" s="23"/>
      <c r="C65" s="445"/>
      <c r="D65" s="24"/>
      <c r="E65" s="24"/>
      <c r="F65" s="24"/>
      <c r="G65" s="24"/>
      <c r="H65" s="24"/>
      <c r="I65" s="24"/>
      <c r="J65" s="24"/>
      <c r="K65" s="24"/>
      <c r="L65" s="24"/>
      <c r="M65" s="24"/>
    </row>
    <row r="66" spans="1:19">
      <c r="Q66" s="24"/>
      <c r="S66" s="24"/>
    </row>
  </sheetData>
  <mergeCells count="9">
    <mergeCell ref="H4:H5"/>
    <mergeCell ref="I4:T4"/>
    <mergeCell ref="B6:C6"/>
    <mergeCell ref="A4:A5"/>
    <mergeCell ref="B4:C5"/>
    <mergeCell ref="D4:D5"/>
    <mergeCell ref="E4:E5"/>
    <mergeCell ref="F4:F5"/>
    <mergeCell ref="G4:G5"/>
  </mergeCells>
  <conditionalFormatting sqref="A61">
    <cfRule type="iconSet" priority="3">
      <iconSet iconSet="3ArrowsGray" showValue="0">
        <cfvo type="percent" val="0"/>
        <cfvo type="num" val="2"/>
        <cfvo type="num" val="3"/>
      </iconSet>
    </cfRule>
    <cfRule type="iconSet" priority="5">
      <iconSet iconSet="3ArrowsGray" showValue="0">
        <cfvo type="percent" val="0"/>
        <cfvo type="num" val="2"/>
        <cfvo type="num" val="3"/>
      </iconSet>
    </cfRule>
    <cfRule type="iconSet" priority="7">
      <iconSet iconSet="3ArrowsGray" showValue="0">
        <cfvo type="percent" val="0"/>
        <cfvo type="num" val="2"/>
        <cfvo type="num" val="3"/>
      </iconSet>
    </cfRule>
    <cfRule type="iconSet" priority="9">
      <iconSet iconSet="3ArrowsGray" showValue="0">
        <cfvo type="percent" val="0"/>
        <cfvo type="num" val="2"/>
        <cfvo type="num" val="3"/>
      </iconSet>
    </cfRule>
  </conditionalFormatting>
  <conditionalFormatting sqref="A62">
    <cfRule type="iconSet" priority="2">
      <iconSet iconSet="3ArrowsGray" showValue="0">
        <cfvo type="percent" val="0"/>
        <cfvo type="num" val="2"/>
        <cfvo type="num" val="3"/>
      </iconSet>
    </cfRule>
    <cfRule type="iconSet" priority="4">
      <iconSet iconSet="3ArrowsGray" showValue="0">
        <cfvo type="percent" val="0"/>
        <cfvo type="num" val="2"/>
        <cfvo type="num" val="3"/>
      </iconSet>
    </cfRule>
    <cfRule type="iconSet" priority="6">
      <iconSet iconSet="3ArrowsGray" showValue="0">
        <cfvo type="percent" val="0"/>
        <cfvo type="num" val="2"/>
        <cfvo type="num" val="3"/>
      </iconSet>
    </cfRule>
    <cfRule type="iconSet" priority="8">
      <iconSet iconSet="3ArrowsGray" showValue="0">
        <cfvo type="percent" val="0"/>
        <cfvo type="num" val="2"/>
        <cfvo type="num" val="3"/>
      </iconSet>
    </cfRule>
  </conditionalFormatting>
  <conditionalFormatting sqref="C8:C17">
    <cfRule type="iconSet" priority="47757">
      <iconSet iconSet="3ArrowsGray" showValue="0">
        <cfvo type="percent" val="0"/>
        <cfvo type="num" val="2"/>
        <cfvo type="num" val="3"/>
      </iconSet>
    </cfRule>
    <cfRule type="iconSet" priority="47758">
      <iconSet iconSet="3ArrowsGray" showValue="0">
        <cfvo type="percent" val="0"/>
        <cfvo type="num" val="2"/>
        <cfvo type="num" val="3"/>
      </iconSet>
    </cfRule>
  </conditionalFormatting>
  <conditionalFormatting sqref="C19:C55">
    <cfRule type="iconSet" priority="47759">
      <iconSet iconSet="3ArrowsGray" showValue="0">
        <cfvo type="percent" val="0"/>
        <cfvo type="num" val="2"/>
        <cfvo type="num" val="3"/>
      </iconSet>
    </cfRule>
  </conditionalFormatting>
  <conditionalFormatting sqref="C57">
    <cfRule type="iconSet" priority="12">
      <iconSet iconSet="3ArrowsGray" showValue="0">
        <cfvo type="percent" val="0"/>
        <cfvo type="num" val="2"/>
        <cfvo type="num" val="3"/>
      </iconSet>
    </cfRule>
    <cfRule type="iconSet" priority="14">
      <iconSet iconSet="3ArrowsGray" showValue="0">
        <cfvo type="percent" val="0"/>
        <cfvo type="num" val="2"/>
        <cfvo type="num" val="3"/>
      </iconSet>
    </cfRule>
  </conditionalFormatting>
  <conditionalFormatting sqref="C58">
    <cfRule type="iconSet" priority="18">
      <iconSet iconSet="3ArrowsGray" showValue="0">
        <cfvo type="percent" val="0"/>
        <cfvo type="num" val="2"/>
        <cfvo type="num" val="3"/>
      </iconSet>
    </cfRule>
  </conditionalFormatting>
  <conditionalFormatting sqref="D57 H57">
    <cfRule type="iconSet" priority="13">
      <iconSet iconSet="3ArrowsGray" showValue="0">
        <cfvo type="percent" val="0"/>
        <cfvo type="num" val="2"/>
        <cfvo type="num" val="3"/>
      </iconSet>
    </cfRule>
  </conditionalFormatting>
  <conditionalFormatting sqref="D57">
    <cfRule type="iconSet" priority="16">
      <iconSet iconSet="3ArrowsGray" showValue="0">
        <cfvo type="percent" val="0"/>
        <cfvo type="num" val="2"/>
        <cfvo type="num" val="3"/>
      </iconSet>
    </cfRule>
  </conditionalFormatting>
  <conditionalFormatting sqref="E57">
    <cfRule type="iconSet" priority="15">
      <iconSet iconSet="3ArrowsGray" showValue="0">
        <cfvo type="percent" val="0"/>
        <cfvo type="num" val="2"/>
        <cfvo type="num" val="3"/>
      </iconSet>
    </cfRule>
  </conditionalFormatting>
  <conditionalFormatting sqref="H57">
    <cfRule type="iconSet" priority="11">
      <iconSet iconSet="3ArrowsGray" showValue="0">
        <cfvo type="percent" val="0"/>
        <cfvo type="num" val="2"/>
        <cfvo type="num" val="3"/>
      </iconSet>
    </cfRule>
  </conditionalFormatting>
  <conditionalFormatting sqref="H58:T58">
    <cfRule type="iconSet" priority="17">
      <iconSet iconSet="3ArrowsGray" showValue="0">
        <cfvo type="percent" val="0"/>
        <cfvo type="num" val="2"/>
        <cfvo type="num" val="3"/>
      </iconSet>
    </cfRule>
    <cfRule type="iconSet" priority="19">
      <iconSet iconSet="3ArrowsGray" showValue="0">
        <cfvo type="percent" val="0"/>
        <cfvo type="num" val="2"/>
        <cfvo type="num" val="3"/>
      </iconSet>
    </cfRule>
  </conditionalFormatting>
  <conditionalFormatting sqref="I57:T57">
    <cfRule type="iconSet" priority="10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10000" scale="43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  <pageSetUpPr fitToPage="1"/>
  </sheetPr>
  <dimension ref="A1:W66"/>
  <sheetViews>
    <sheetView workbookViewId="0"/>
  </sheetViews>
  <sheetFormatPr defaultColWidth="9.140625" defaultRowHeight="15"/>
  <cols>
    <col min="1" max="1" width="5.5703125" customWidth="1"/>
    <col min="2" max="2" width="44.7109375" customWidth="1"/>
    <col min="3" max="3" width="4.140625" style="443" customWidth="1"/>
    <col min="4" max="4" width="12.42578125" customWidth="1"/>
    <col min="5" max="5" width="113.5703125" hidden="1" customWidth="1"/>
    <col min="6" max="6" width="7.7109375" bestFit="1" customWidth="1"/>
    <col min="7" max="7" width="11" customWidth="1"/>
    <col min="8" max="8" width="11.140625" customWidth="1"/>
    <col min="9" max="20" width="12.140625" customWidth="1"/>
    <col min="21" max="21" width="13.28515625" bestFit="1" customWidth="1"/>
  </cols>
  <sheetData>
    <row r="1" spans="1:22" s="30" customFormat="1" ht="15.75">
      <c r="A1" s="28"/>
      <c r="B1" s="29" t="s">
        <v>271</v>
      </c>
      <c r="C1" s="439"/>
      <c r="D1" s="28"/>
      <c r="E1" s="28"/>
      <c r="I1" s="22"/>
      <c r="U1" s="31"/>
      <c r="V1" s="31"/>
    </row>
    <row r="2" spans="1:22" s="30" customFormat="1" ht="15.75">
      <c r="A2" s="28"/>
      <c r="B2" s="29" t="s">
        <v>123</v>
      </c>
      <c r="C2" s="439"/>
      <c r="D2" s="28"/>
      <c r="E2" s="28"/>
      <c r="U2" s="31"/>
      <c r="V2" s="31"/>
    </row>
    <row r="3" spans="1:22" s="30" customFormat="1" ht="15.75">
      <c r="A3" s="28"/>
      <c r="B3" s="29" t="s">
        <v>381</v>
      </c>
      <c r="C3" s="439"/>
      <c r="D3" s="28"/>
      <c r="E3" s="28"/>
      <c r="U3" s="31"/>
      <c r="V3" s="31"/>
    </row>
    <row r="4" spans="1:22" ht="15" customHeight="1">
      <c r="A4" s="735" t="s">
        <v>8</v>
      </c>
      <c r="B4" s="737" t="s">
        <v>9</v>
      </c>
      <c r="C4" s="738"/>
      <c r="D4" s="713" t="s">
        <v>93</v>
      </c>
      <c r="E4" s="718" t="s">
        <v>272</v>
      </c>
      <c r="F4" s="713" t="s">
        <v>99</v>
      </c>
      <c r="G4" s="713" t="s">
        <v>374</v>
      </c>
      <c r="H4" s="713" t="s">
        <v>375</v>
      </c>
      <c r="I4" s="730" t="s">
        <v>379</v>
      </c>
      <c r="J4" s="731"/>
      <c r="K4" s="731"/>
      <c r="L4" s="731"/>
      <c r="M4" s="731"/>
      <c r="N4" s="731"/>
      <c r="O4" s="731"/>
      <c r="P4" s="731"/>
      <c r="Q4" s="731"/>
      <c r="R4" s="731"/>
      <c r="S4" s="731"/>
      <c r="T4" s="732"/>
    </row>
    <row r="5" spans="1:22" ht="15" customHeight="1">
      <c r="A5" s="736"/>
      <c r="B5" s="739"/>
      <c r="C5" s="740"/>
      <c r="D5" s="714"/>
      <c r="E5" s="719"/>
      <c r="F5" s="714"/>
      <c r="G5" s="714"/>
      <c r="H5" s="714"/>
      <c r="I5" s="602" t="s">
        <v>94</v>
      </c>
      <c r="J5" s="602" t="s">
        <v>95</v>
      </c>
      <c r="K5" s="602" t="s">
        <v>96</v>
      </c>
      <c r="L5" s="602" t="s">
        <v>97</v>
      </c>
      <c r="M5" s="602" t="s">
        <v>98</v>
      </c>
      <c r="N5" s="602" t="s">
        <v>153</v>
      </c>
      <c r="O5" s="602" t="s">
        <v>163</v>
      </c>
      <c r="P5" s="602" t="s">
        <v>165</v>
      </c>
      <c r="Q5" s="602" t="s">
        <v>167</v>
      </c>
      <c r="R5" s="602" t="s">
        <v>169</v>
      </c>
      <c r="S5" s="602" t="s">
        <v>171</v>
      </c>
      <c r="T5" s="602" t="s">
        <v>174</v>
      </c>
    </row>
    <row r="6" spans="1:22" ht="15" customHeight="1">
      <c r="A6" s="605">
        <v>1</v>
      </c>
      <c r="B6" s="733">
        <v>2</v>
      </c>
      <c r="C6" s="734"/>
      <c r="D6" s="647">
        <v>3</v>
      </c>
      <c r="E6" s="603">
        <v>4</v>
      </c>
      <c r="F6" s="647">
        <v>4</v>
      </c>
      <c r="G6" s="647">
        <v>5</v>
      </c>
      <c r="H6" s="602">
        <v>6</v>
      </c>
      <c r="I6" s="605">
        <v>7</v>
      </c>
      <c r="J6" s="602">
        <v>8</v>
      </c>
      <c r="K6" s="647">
        <v>9</v>
      </c>
      <c r="L6" s="602">
        <v>10</v>
      </c>
      <c r="M6" s="647">
        <v>11</v>
      </c>
      <c r="N6" s="602">
        <v>12</v>
      </c>
      <c r="O6" s="647">
        <v>13</v>
      </c>
      <c r="P6" s="602">
        <v>14</v>
      </c>
      <c r="Q6" s="647">
        <v>15</v>
      </c>
      <c r="R6" s="602">
        <v>16</v>
      </c>
      <c r="S6" s="647">
        <v>17</v>
      </c>
      <c r="T6" s="602">
        <v>18</v>
      </c>
    </row>
    <row r="7" spans="1:22" ht="15" customHeight="1">
      <c r="A7" s="47" t="s">
        <v>269</v>
      </c>
      <c r="B7" s="48" t="str">
        <f>T.TOLIS!B7</f>
        <v>Key Performance Indicators</v>
      </c>
      <c r="C7" s="440"/>
      <c r="D7" s="50"/>
      <c r="E7" s="48"/>
      <c r="F7" s="62">
        <f>SUM(F8:F17)</f>
        <v>40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289"/>
    </row>
    <row r="8" spans="1:22" ht="16.5">
      <c r="A8" s="51">
        <f>T.KOTARAYA!A8</f>
        <v>1</v>
      </c>
      <c r="B8" s="311" t="str">
        <f>T.KOTARAYA!B8</f>
        <v>Penjualan Tenaga Listrik</v>
      </c>
      <c r="C8" s="441" t="str">
        <f>T.KOTARAYA!C8</f>
        <v>ñ</v>
      </c>
      <c r="D8" s="53" t="str">
        <f>T.KOTARAYA!D8</f>
        <v>GWh</v>
      </c>
      <c r="E8" s="61" t="e">
        <f>#REF!</f>
        <v>#REF!</v>
      </c>
      <c r="F8" s="53">
        <f>T.KOTARAYA!F8</f>
        <v>14</v>
      </c>
      <c r="G8" s="89">
        <f>T.KOTARAYA!G8</f>
        <v>17.68</v>
      </c>
      <c r="H8" s="89">
        <f>T.KOTARAYA!H8</f>
        <v>35.99</v>
      </c>
      <c r="I8" s="89">
        <f>KPI!AH20</f>
        <v>3.8265327429999996</v>
      </c>
      <c r="J8" s="89">
        <f>KPI!AI20</f>
        <v>6.8866293559999994</v>
      </c>
      <c r="K8" s="89">
        <f>KPI!AJ20</f>
        <v>9.8826701059999991</v>
      </c>
      <c r="L8" s="89">
        <f>KPI!AK20</f>
        <v>12.415903127999998</v>
      </c>
      <c r="M8" s="89">
        <f>KPI!AL20</f>
        <v>15.194438718999997</v>
      </c>
      <c r="N8" s="89">
        <f>KPI!AM20</f>
        <v>18.081826379999995</v>
      </c>
      <c r="O8" s="89">
        <f>KPI!AN20</f>
        <v>21.134440472999994</v>
      </c>
      <c r="P8" s="89">
        <f>KPI!AO20</f>
        <v>24.063353978999995</v>
      </c>
      <c r="Q8" s="89">
        <f>KPI!AP20</f>
        <v>26.957476767999996</v>
      </c>
      <c r="R8" s="89">
        <f>KPI!AQ20</f>
        <v>0</v>
      </c>
      <c r="S8" s="89">
        <f>KPI!AR20</f>
        <v>0</v>
      </c>
      <c r="T8" s="89">
        <f>KPI!AS20</f>
        <v>0</v>
      </c>
    </row>
    <row r="9" spans="1:22" ht="15" customHeight="1">
      <c r="A9" s="51">
        <f>T.KOTARAYA!A9</f>
        <v>2</v>
      </c>
      <c r="B9" s="311" t="str">
        <f>T.KOTARAYA!B9</f>
        <v>Keandalan Sistem</v>
      </c>
      <c r="C9" s="441"/>
      <c r="D9" s="53"/>
      <c r="E9" s="61"/>
      <c r="F9" s="53">
        <f>T.KOTARAYA!F9</f>
        <v>14</v>
      </c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111"/>
    </row>
    <row r="10" spans="1:22" ht="15" customHeight="1">
      <c r="A10" s="51"/>
      <c r="B10" s="52" t="str">
        <f>T.KOTARAYA!B10</f>
        <v>a. SAIDI (sesuai kewenangan)</v>
      </c>
      <c r="C10" s="441" t="str">
        <f>T.KOTARAYA!C10</f>
        <v>ò</v>
      </c>
      <c r="D10" s="53" t="str">
        <f>T.KOTARAYA!D10</f>
        <v>Menit/plg</v>
      </c>
      <c r="E10" s="61" t="e">
        <f>#REF!</f>
        <v>#REF!</v>
      </c>
      <c r="F10" s="53"/>
      <c r="G10" s="89">
        <f>T.KOTARAYA!G10</f>
        <v>422.13578461538452</v>
      </c>
      <c r="H10" s="89">
        <f>T.KOTARAYA!H10</f>
        <v>844.27156923076882</v>
      </c>
      <c r="I10" s="89">
        <f>KPI!AH44</f>
        <v>1.331227143437627</v>
      </c>
      <c r="J10" s="89">
        <f>KPI!AI44</f>
        <v>1.7393945530019237</v>
      </c>
      <c r="K10" s="89">
        <f>KPI!AJ44</f>
        <v>3.5206724949562878</v>
      </c>
      <c r="L10" s="89">
        <f>KPI!AK44</f>
        <v>5.2966133458269189</v>
      </c>
      <c r="M10" s="89">
        <f>KPI!AL44</f>
        <v>42.734803349234411</v>
      </c>
      <c r="N10" s="89">
        <f>KPI!AM44</f>
        <v>53.015522745411005</v>
      </c>
      <c r="O10" s="89">
        <f>KPI!AN44</f>
        <v>95.901216238608114</v>
      </c>
      <c r="P10" s="89">
        <f>KPI!AO44</f>
        <v>110.25374950403385</v>
      </c>
      <c r="Q10" s="89">
        <f>KPI!AP44</f>
        <v>109.91086827726943</v>
      </c>
      <c r="R10" s="89">
        <f>KPI!AQ44</f>
        <v>0</v>
      </c>
      <c r="S10" s="89">
        <f>KPI!AR44</f>
        <v>0</v>
      </c>
      <c r="T10" s="89">
        <f>KPI!AS44</f>
        <v>0</v>
      </c>
    </row>
    <row r="11" spans="1:22" ht="15" customHeight="1">
      <c r="A11" s="51"/>
      <c r="B11" s="52" t="str">
        <f>T.KOTARAYA!B11</f>
        <v>b. SAIFI (sesuai kewenangan)</v>
      </c>
      <c r="C11" s="441" t="str">
        <f>T.KOTARAYA!C11</f>
        <v>ò</v>
      </c>
      <c r="D11" s="53" t="str">
        <f>T.KOTARAYA!D11</f>
        <v>Kali/plg</v>
      </c>
      <c r="E11" s="61" t="e">
        <f>#REF!</f>
        <v>#REF!</v>
      </c>
      <c r="F11" s="53"/>
      <c r="G11" s="89">
        <f>T.KOTARAYA!G11</f>
        <v>1.31</v>
      </c>
      <c r="H11" s="89">
        <f>T.KOTARAYA!H11</f>
        <v>2.62</v>
      </c>
      <c r="I11" s="89">
        <f>KPI!AH66</f>
        <v>6.3795205201137753E-2</v>
      </c>
      <c r="J11" s="89">
        <f>KPI!AI66</f>
        <v>8.2076203975566128E-2</v>
      </c>
      <c r="K11" s="89">
        <f>KPI!AJ66</f>
        <v>0.23930733019502354</v>
      </c>
      <c r="L11" s="89">
        <f>KPI!AK66</f>
        <v>0.39170738237065794</v>
      </c>
      <c r="M11" s="89">
        <f>KPI!AL66</f>
        <v>0.84358007805984592</v>
      </c>
      <c r="N11" s="89">
        <f>KPI!AM66</f>
        <v>1.0790103750997606</v>
      </c>
      <c r="O11" s="89">
        <f>KPI!AN66</f>
        <v>1.3599005799502899</v>
      </c>
      <c r="P11" s="89">
        <f>KPI!AO66</f>
        <v>1.4534783758762069</v>
      </c>
      <c r="Q11" s="89">
        <f>KPI!AP66</f>
        <v>1.452438944111645</v>
      </c>
      <c r="R11" s="89">
        <f>KPI!AQ66</f>
        <v>0</v>
      </c>
      <c r="S11" s="89">
        <f>KPI!AR66</f>
        <v>0</v>
      </c>
      <c r="T11" s="89">
        <f>KPI!AS66</f>
        <v>0</v>
      </c>
    </row>
    <row r="12" spans="1:22" ht="15" customHeight="1">
      <c r="A12" s="51"/>
      <c r="B12" s="52" t="str">
        <f>T.KOTARAYA!B12</f>
        <v>c. ENS (sesuai kewenangan)</v>
      </c>
      <c r="C12" s="441" t="str">
        <f>T.KOTARAYA!C12</f>
        <v>ò</v>
      </c>
      <c r="D12" s="53" t="str">
        <f>T.KOTARAYA!D12</f>
        <v>MWh</v>
      </c>
      <c r="E12" s="61" t="e">
        <f>#REF!</f>
        <v>#REF!</v>
      </c>
      <c r="F12" s="53"/>
      <c r="G12" s="89">
        <f>T.KOTARAYA!G12</f>
        <v>6.3</v>
      </c>
      <c r="H12" s="89">
        <f>T.KOTARAYA!H12</f>
        <v>12.6</v>
      </c>
      <c r="I12" s="89">
        <f>KPI!AH78</f>
        <v>8.2000000000000003E-2</v>
      </c>
      <c r="J12" s="89">
        <f>KPI!AI78</f>
        <v>0.10600000000000001</v>
      </c>
      <c r="K12" s="89">
        <f>KPI!AJ78</f>
        <v>0.21900000000000003</v>
      </c>
      <c r="L12" s="89">
        <f>KPI!AK78</f>
        <v>0.30600000000000005</v>
      </c>
      <c r="M12" s="89">
        <f>KPI!AL78</f>
        <v>1.962</v>
      </c>
      <c r="N12" s="89">
        <f>KPI!AM78</f>
        <v>2.4239999999999999</v>
      </c>
      <c r="O12" s="89">
        <f>KPI!AN78</f>
        <v>4.2130000000000001</v>
      </c>
      <c r="P12" s="89">
        <f>KPI!AO78</f>
        <v>4.7990000000000004</v>
      </c>
      <c r="Q12" s="89">
        <f>KPI!AP78</f>
        <v>4.8029999999999999</v>
      </c>
      <c r="R12" s="89">
        <f>KPI!AQ78</f>
        <v>0</v>
      </c>
      <c r="S12" s="89">
        <f>KPI!AR78</f>
        <v>0</v>
      </c>
      <c r="T12" s="89">
        <f>KPI!AS78</f>
        <v>0</v>
      </c>
    </row>
    <row r="13" spans="1:22" ht="15" customHeight="1">
      <c r="A13" s="51">
        <f>T.KOTARAYA!A13</f>
        <v>3</v>
      </c>
      <c r="B13" s="311" t="str">
        <f>T.KOTARAYA!B13</f>
        <v>Efisiensi Jaringan Distribusi</v>
      </c>
      <c r="C13" s="441"/>
      <c r="D13" s="53"/>
      <c r="E13" s="61"/>
      <c r="F13" s="53">
        <f>T.KOTARAYA!F13</f>
        <v>12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111"/>
    </row>
    <row r="14" spans="1:22" ht="15" customHeight="1">
      <c r="A14" s="51"/>
      <c r="B14" s="52" t="str">
        <f>T.KOTARAYA!B14</f>
        <v>a. Susut Distribusi Tanpa E-min (sesuai kewenangan)</v>
      </c>
      <c r="C14" s="441" t="str">
        <f>T.KOTARAYA!C14</f>
        <v>ò</v>
      </c>
      <c r="D14" s="53" t="str">
        <f>T.KOTARAYA!D14</f>
        <v>%</v>
      </c>
      <c r="E14" s="61"/>
      <c r="F14" s="53"/>
      <c r="G14" s="89">
        <f>T.KOTARAYA!G14</f>
        <v>6.53</v>
      </c>
      <c r="H14" s="89">
        <f>T.KOTARAYA!H14</f>
        <v>6.25</v>
      </c>
      <c r="I14" s="89">
        <f>KPI!AH105</f>
        <v>-19.545105319366737</v>
      </c>
      <c r="J14" s="89">
        <f>KPI!AI105</f>
        <v>-12.482892240818543</v>
      </c>
      <c r="K14" s="89">
        <f>KPI!AJ105</f>
        <v>-3.658603530244986</v>
      </c>
      <c r="L14" s="89">
        <f>KPI!AK105</f>
        <v>2.6133052700012485</v>
      </c>
      <c r="M14" s="89">
        <f>KPI!AL105</f>
        <v>5.1738350593882574</v>
      </c>
      <c r="N14" s="89">
        <f>KPI!AM105</f>
        <v>-9.6744978307337881</v>
      </c>
      <c r="O14" s="89">
        <f>KPI!AN105</f>
        <v>-7.4007255182904936</v>
      </c>
      <c r="P14" s="89">
        <f>KPI!AO105</f>
        <v>-5.423386120709992</v>
      </c>
      <c r="Q14" s="89">
        <f>KPI!AP105</f>
        <v>-3.9737177716277801</v>
      </c>
      <c r="R14" s="89">
        <f>KPI!AQ105</f>
        <v>0</v>
      </c>
      <c r="S14" s="89">
        <f>KPI!AR105</f>
        <v>0</v>
      </c>
      <c r="T14" s="89">
        <f>KPI!AS105</f>
        <v>0</v>
      </c>
    </row>
    <row r="15" spans="1:22" ht="15" customHeight="1">
      <c r="A15" s="51"/>
      <c r="B15" s="52" t="str">
        <f>T.KOTARAYA!B15</f>
        <v>b. Perolehan Temuan P2TL</v>
      </c>
      <c r="C15" s="441" t="str">
        <f>T.KOTARAYA!C15</f>
        <v>ñ</v>
      </c>
      <c r="D15" s="53" t="str">
        <f>T.KOTARAYA!D15</f>
        <v>%</v>
      </c>
      <c r="E15" s="61"/>
      <c r="F15" s="53"/>
      <c r="G15" s="89">
        <f>T.KOTARAYA!G15</f>
        <v>0</v>
      </c>
      <c r="H15" s="89">
        <f>T.KOTARAYA!H15</f>
        <v>0</v>
      </c>
      <c r="I15" s="89">
        <v>0</v>
      </c>
      <c r="J15" s="89">
        <v>0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</row>
    <row r="16" spans="1:22" ht="15" customHeight="1">
      <c r="A16" s="51"/>
      <c r="B16" s="52" t="str">
        <f>T.KOTARAYA!B16</f>
        <v>b. Penyelesaian Temuan P2TL</v>
      </c>
      <c r="C16" s="441" t="str">
        <f>T.KOTARAYA!C16</f>
        <v>ñ</v>
      </c>
      <c r="D16" s="53" t="str">
        <f>T.KOTARAYA!D16</f>
        <v>%</v>
      </c>
      <c r="E16" s="61"/>
      <c r="F16" s="53"/>
      <c r="G16" s="89">
        <f>T.KOTARAYA!G16</f>
        <v>21.052631578947366</v>
      </c>
      <c r="H16" s="89">
        <f>T.KOTARAYA!H16</f>
        <v>100</v>
      </c>
      <c r="I16" s="89">
        <f>KPI!AH123</f>
        <v>0</v>
      </c>
      <c r="J16" s="89">
        <f>KPI!AI123</f>
        <v>1.3772222222222221</v>
      </c>
      <c r="K16" s="89">
        <f>KPI!AJ123</f>
        <v>1.6577777777777778</v>
      </c>
      <c r="L16" s="89">
        <f>KPI!AK123</f>
        <v>3.77</v>
      </c>
      <c r="M16" s="89">
        <f>KPI!AL123</f>
        <v>3.77</v>
      </c>
      <c r="N16" s="89">
        <f>KPI!AM123</f>
        <v>29.850555555555555</v>
      </c>
      <c r="O16" s="89">
        <f>KPI!AN123</f>
        <v>111.56055555555555</v>
      </c>
      <c r="P16" s="89">
        <f>KPI!AO123</f>
        <v>117.32444444444444</v>
      </c>
      <c r="Q16" s="89">
        <f>KPI!AP123</f>
        <v>118.70166666666667</v>
      </c>
      <c r="R16" s="89">
        <f>KPI!AQ123</f>
        <v>118.70166666666667</v>
      </c>
      <c r="S16" s="89">
        <f>KPI!AR123</f>
        <v>118.70166666666667</v>
      </c>
      <c r="T16" s="89">
        <f>KPI!AS123</f>
        <v>118.70166666666667</v>
      </c>
    </row>
    <row r="17" spans="1:20" ht="15" customHeight="1">
      <c r="A17" s="51"/>
      <c r="B17" s="52" t="str">
        <f>T.KOTARAYA!B17</f>
        <v>d. Penyelesaian Ganti Meter</v>
      </c>
      <c r="C17" s="441" t="str">
        <f>T.KOTARAYA!C17</f>
        <v>ñ</v>
      </c>
      <c r="D17" s="53" t="str">
        <f>T.KOTARAYA!D17</f>
        <v>Unit</v>
      </c>
      <c r="E17" s="61" t="e">
        <f>#REF!</f>
        <v>#REF!</v>
      </c>
      <c r="F17" s="53"/>
      <c r="G17" s="89">
        <f>T.KOTARAYA!G17</f>
        <v>262</v>
      </c>
      <c r="H17" s="89">
        <f>T.KOTARAYA!H17</f>
        <v>688</v>
      </c>
      <c r="I17" s="89">
        <f>KPI!AH134</f>
        <v>3</v>
      </c>
      <c r="J17" s="89">
        <f>KPI!AI134</f>
        <v>5</v>
      </c>
      <c r="K17" s="89">
        <f>KPI!AJ134</f>
        <v>143</v>
      </c>
      <c r="L17" s="89">
        <f>KPI!AK134</f>
        <v>323</v>
      </c>
      <c r="M17" s="89">
        <f>KPI!AL134</f>
        <v>384</v>
      </c>
      <c r="N17" s="89">
        <f>KPI!AM134</f>
        <v>466</v>
      </c>
      <c r="O17" s="89">
        <f>KPI!AN134</f>
        <v>552</v>
      </c>
      <c r="P17" s="89">
        <f>KPI!AO134</f>
        <v>560</v>
      </c>
      <c r="Q17" s="89">
        <f>KPI!AP134</f>
        <v>568</v>
      </c>
      <c r="R17" s="89">
        <f>KPI!AQ134</f>
        <v>568</v>
      </c>
      <c r="S17" s="89">
        <f>KPI!AR134</f>
        <v>568</v>
      </c>
      <c r="T17" s="89">
        <f>KPI!AS134</f>
        <v>568</v>
      </c>
    </row>
    <row r="18" spans="1:20" ht="15" customHeight="1">
      <c r="A18" s="47" t="str">
        <f>T.KOTARAYA!A18</f>
        <v>II</v>
      </c>
      <c r="B18" s="48" t="str">
        <f>T.KOTARAYA!B18</f>
        <v>Perfomance Indicators</v>
      </c>
      <c r="C18" s="440"/>
      <c r="D18" s="50"/>
      <c r="E18" s="48"/>
      <c r="F18" s="139">
        <f>SUM(F19:F55)</f>
        <v>60</v>
      </c>
      <c r="G18" s="139"/>
      <c r="H18" s="139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80"/>
    </row>
    <row r="19" spans="1:20" ht="15" customHeight="1">
      <c r="A19" s="51">
        <f>T.KOTARAYA!A19</f>
        <v>4</v>
      </c>
      <c r="B19" s="311" t="str">
        <f>T.KOTARAYA!B19</f>
        <v>Keandalan Jaringan Distribusi</v>
      </c>
      <c r="C19" s="441"/>
      <c r="D19" s="53"/>
      <c r="E19" s="61"/>
      <c r="F19" s="53">
        <f>T.KOTARAYA!F19</f>
        <v>9</v>
      </c>
      <c r="G19" s="89"/>
      <c r="H19" s="89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95"/>
    </row>
    <row r="20" spans="1:20" ht="16.5">
      <c r="A20" s="51"/>
      <c r="B20" s="52" t="str">
        <f>T.KOTARAYA!B20</f>
        <v>a. Gangguan TM &gt; 5 Menit</v>
      </c>
      <c r="C20" s="441" t="str">
        <f>T.KOTARAYA!C20</f>
        <v>ò</v>
      </c>
      <c r="D20" s="53" t="str">
        <f>T.KOTARAYA!D20</f>
        <v>Kali</v>
      </c>
      <c r="E20" s="61" t="e">
        <f>#REF!</f>
        <v>#REF!</v>
      </c>
      <c r="F20" s="53"/>
      <c r="G20" s="89">
        <f>T.KOTARAYA!G20</f>
        <v>14.000000000000002</v>
      </c>
      <c r="H20" s="89">
        <f>T.KOTARAYA!H20</f>
        <v>26</v>
      </c>
      <c r="I20" s="145">
        <f>PI!AH20</f>
        <v>1</v>
      </c>
      <c r="J20" s="145">
        <f>PI!AI20</f>
        <v>1</v>
      </c>
      <c r="K20" s="145">
        <f>PI!AJ20</f>
        <v>6</v>
      </c>
      <c r="L20" s="145">
        <f>PI!AK20</f>
        <v>7</v>
      </c>
      <c r="M20" s="145">
        <f>PI!AL20</f>
        <v>9</v>
      </c>
      <c r="N20" s="145">
        <f>PI!AM20</f>
        <v>11</v>
      </c>
      <c r="O20" s="145">
        <f>PI!AN20</f>
        <v>11</v>
      </c>
      <c r="P20" s="145">
        <f>PI!AO20</f>
        <v>11</v>
      </c>
      <c r="Q20" s="145">
        <f>PI!AP20</f>
        <v>11</v>
      </c>
      <c r="R20" s="145">
        <f>PI!AQ20</f>
        <v>11</v>
      </c>
      <c r="S20" s="145">
        <f>PI!AR20</f>
        <v>11</v>
      </c>
      <c r="T20" s="145">
        <f>PI!AS20</f>
        <v>11</v>
      </c>
    </row>
    <row r="21" spans="1:20" ht="16.5">
      <c r="A21" s="51"/>
      <c r="B21" s="52" t="str">
        <f>T.KOTARAYA!B21</f>
        <v>b. Gangguan TM ≤ 5 Menit</v>
      </c>
      <c r="C21" s="441" t="str">
        <f>T.KOTARAYA!C21</f>
        <v>ò</v>
      </c>
      <c r="D21" s="53" t="str">
        <f>T.KOTARAYA!D21</f>
        <v>Kali</v>
      </c>
      <c r="E21" s="61" t="e">
        <f>#REF!</f>
        <v>#REF!</v>
      </c>
      <c r="F21" s="53"/>
      <c r="G21" s="89">
        <f>T.KOTARAYA!G21</f>
        <v>10</v>
      </c>
      <c r="H21" s="89">
        <f>T.KOTARAYA!H21</f>
        <v>20</v>
      </c>
      <c r="I21" s="145">
        <f>PI!AH21</f>
        <v>1</v>
      </c>
      <c r="J21" s="145">
        <f>PI!AI21</f>
        <v>4</v>
      </c>
      <c r="K21" s="145">
        <f>PI!AJ21</f>
        <v>4</v>
      </c>
      <c r="L21" s="145">
        <f>PI!AK21</f>
        <v>4</v>
      </c>
      <c r="M21" s="145">
        <f>PI!AL21</f>
        <v>6</v>
      </c>
      <c r="N21" s="145">
        <f>PI!AM21</f>
        <v>7</v>
      </c>
      <c r="O21" s="145">
        <f>PI!AN21</f>
        <v>10</v>
      </c>
      <c r="P21" s="145">
        <f>PI!AO21</f>
        <v>10</v>
      </c>
      <c r="Q21" s="145">
        <f>PI!AP21</f>
        <v>12</v>
      </c>
      <c r="R21" s="145">
        <f>PI!AQ21</f>
        <v>12</v>
      </c>
      <c r="S21" s="145">
        <f>PI!AR21</f>
        <v>12</v>
      </c>
      <c r="T21" s="145">
        <f>PI!AS21</f>
        <v>12</v>
      </c>
    </row>
    <row r="22" spans="1:20" ht="33">
      <c r="A22" s="51"/>
      <c r="B22" s="52" t="str">
        <f>T.KOTARAYA!B22</f>
        <v>c. Kerusakan Peralatan Distribusi (PHB TM dan Trafo) Sesuai Kewenangan</v>
      </c>
      <c r="C22" s="441" t="str">
        <f>T.KOTARAYA!C22</f>
        <v>ò</v>
      </c>
      <c r="D22" s="53" t="str">
        <f>T.KOTARAYA!D22</f>
        <v>Unit</v>
      </c>
      <c r="E22" s="61" t="e">
        <f>#REF!</f>
        <v>#REF!</v>
      </c>
      <c r="F22" s="53"/>
      <c r="G22" s="89">
        <f>T.KOTARAYA!G22</f>
        <v>1</v>
      </c>
      <c r="H22" s="89">
        <f>T.KOTARAYA!H22</f>
        <v>1</v>
      </c>
      <c r="I22" s="145">
        <f>PI!AH45</f>
        <v>0</v>
      </c>
      <c r="J22" s="145">
        <f>PI!AI45</f>
        <v>0</v>
      </c>
      <c r="K22" s="145">
        <f>PI!AJ45</f>
        <v>0</v>
      </c>
      <c r="L22" s="145">
        <f>PI!AK45</f>
        <v>0</v>
      </c>
      <c r="M22" s="145">
        <f>PI!AL45</f>
        <v>0</v>
      </c>
      <c r="N22" s="145">
        <f>PI!AM45</f>
        <v>0</v>
      </c>
      <c r="O22" s="145">
        <f>PI!AN45</f>
        <v>0</v>
      </c>
      <c r="P22" s="145">
        <f>PI!AO45</f>
        <v>0</v>
      </c>
      <c r="Q22" s="145">
        <f>PI!AP45</f>
        <v>0</v>
      </c>
      <c r="R22" s="145">
        <f>PI!AQ45</f>
        <v>0</v>
      </c>
      <c r="S22" s="145">
        <f>PI!AR45</f>
        <v>0</v>
      </c>
      <c r="T22" s="145">
        <f>PI!AS45</f>
        <v>0</v>
      </c>
    </row>
    <row r="23" spans="1:20" ht="16.5">
      <c r="A23" s="51">
        <f>T.KOTARAYA!A23</f>
        <v>5</v>
      </c>
      <c r="B23" s="311" t="str">
        <f>T.KOTARAYA!B23</f>
        <v>Peningkatan Layanan</v>
      </c>
      <c r="C23" s="441"/>
      <c r="D23" s="53"/>
      <c r="E23" s="61" t="e">
        <f>#REF!</f>
        <v>#REF!</v>
      </c>
      <c r="F23" s="53">
        <f>T.KOTARAYA!F23</f>
        <v>8</v>
      </c>
      <c r="G23" s="89"/>
      <c r="H23" s="8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</row>
    <row r="24" spans="1:20" ht="33">
      <c r="A24" s="51"/>
      <c r="B24" s="52" t="str">
        <f>T.KOTARAYA!B24</f>
        <v>a. Feedback Rating Negatif pada PLN Mobile - Gangguan</v>
      </c>
      <c r="C24" s="441" t="str">
        <f>T.KOTARAYA!C24</f>
        <v>ò</v>
      </c>
      <c r="D24" s="53" t="str">
        <f>T.KOTARAYA!D24</f>
        <v>%</v>
      </c>
      <c r="E24" s="61"/>
      <c r="F24" s="53"/>
      <c r="G24" s="89">
        <f>T.KOTARAYA!G24</f>
        <v>0.09</v>
      </c>
      <c r="H24" s="89">
        <f>T.KOTARAYA!H24</f>
        <v>0.09</v>
      </c>
      <c r="I24" s="249">
        <f>PI!AH67</f>
        <v>0</v>
      </c>
      <c r="J24" s="249">
        <f>PI!AI67</f>
        <v>0</v>
      </c>
      <c r="K24" s="249">
        <f>PI!AJ67</f>
        <v>0</v>
      </c>
      <c r="L24" s="249">
        <f>PI!AK67</f>
        <v>0</v>
      </c>
      <c r="M24" s="249">
        <f>PI!AL67</f>
        <v>0</v>
      </c>
      <c r="N24" s="249">
        <f>PI!AM67</f>
        <v>0</v>
      </c>
      <c r="O24" s="249">
        <f>PI!AN67</f>
        <v>0</v>
      </c>
      <c r="P24" s="249">
        <f>PI!AO67</f>
        <v>0</v>
      </c>
      <c r="Q24" s="249">
        <f>PI!AP67</f>
        <v>0</v>
      </c>
      <c r="R24" s="249">
        <f>PI!AQ67</f>
        <v>0</v>
      </c>
      <c r="S24" s="249">
        <f>PI!AR67</f>
        <v>0</v>
      </c>
      <c r="T24" s="249">
        <f>PI!AS67</f>
        <v>0</v>
      </c>
    </row>
    <row r="25" spans="1:20" ht="16.5">
      <c r="A25" s="51"/>
      <c r="B25" s="52" t="str">
        <f>T.KOTARAYA!B25</f>
        <v>b. Pengaduan Gangguan Berulang pada PLN Mobile</v>
      </c>
      <c r="C25" s="441" t="str">
        <f>T.KOTARAYA!C25</f>
        <v>ò</v>
      </c>
      <c r="D25" s="53" t="str">
        <f>T.KOTARAYA!D25</f>
        <v>%</v>
      </c>
      <c r="E25" s="61"/>
      <c r="F25" s="53"/>
      <c r="G25" s="89">
        <f>T.KOTARAYA!G25</f>
        <v>0.04</v>
      </c>
      <c r="H25" s="89">
        <f>T.KOTARAYA!H25</f>
        <v>0.04</v>
      </c>
      <c r="I25" s="88">
        <f>PI!AH89</f>
        <v>0</v>
      </c>
      <c r="J25" s="88">
        <f>PI!AI89</f>
        <v>0</v>
      </c>
      <c r="K25" s="88">
        <f>PI!AJ89</f>
        <v>0</v>
      </c>
      <c r="L25" s="88">
        <f>PI!AK89</f>
        <v>0</v>
      </c>
      <c r="M25" s="88">
        <f>PI!AL89</f>
        <v>0</v>
      </c>
      <c r="N25" s="88">
        <f>PI!AM89</f>
        <v>0</v>
      </c>
      <c r="O25" s="88">
        <f>PI!AN89</f>
        <v>0</v>
      </c>
      <c r="P25" s="88">
        <f>PI!AO89</f>
        <v>0</v>
      </c>
      <c r="Q25" s="88">
        <f>PI!AP89</f>
        <v>0</v>
      </c>
      <c r="R25" s="88">
        <f>PI!AQ89</f>
        <v>0</v>
      </c>
      <c r="S25" s="88">
        <f>PI!AR89</f>
        <v>0</v>
      </c>
      <c r="T25" s="88">
        <f>PI!AS89</f>
        <v>0</v>
      </c>
    </row>
    <row r="26" spans="1:20" ht="15" customHeight="1">
      <c r="A26" s="51"/>
      <c r="B26" s="52" t="str">
        <f>T.KOTARAYA!B26</f>
        <v>c. Rating PLN Mobile</v>
      </c>
      <c r="C26" s="441" t="str">
        <f>T.KOTARAYA!C26</f>
        <v>ñ</v>
      </c>
      <c r="D26" s="53" t="str">
        <f>T.KOTARAYA!D26</f>
        <v>Rating</v>
      </c>
      <c r="E26" s="61" t="e">
        <f>#REF!</f>
        <v>#REF!</v>
      </c>
      <c r="F26" s="53"/>
      <c r="G26" s="89">
        <f>T.KOTARAYA!G26</f>
        <v>4.9000000000000004</v>
      </c>
      <c r="H26" s="89">
        <f>T.KOTARAYA!H26</f>
        <v>4.9000000000000004</v>
      </c>
      <c r="I26" s="145">
        <f>PI!AH97</f>
        <v>4.91</v>
      </c>
      <c r="J26" s="145">
        <f>PI!AI97</f>
        <v>4.91</v>
      </c>
      <c r="K26" s="145">
        <f>PI!AJ97</f>
        <v>4.91</v>
      </c>
      <c r="L26" s="145">
        <f>PI!AK97</f>
        <v>4.91</v>
      </c>
      <c r="M26" s="145">
        <f>PI!AL97</f>
        <v>4.9000000000000004</v>
      </c>
      <c r="N26" s="145">
        <f>PI!AM97</f>
        <v>4.9000000000000004</v>
      </c>
      <c r="O26" s="145">
        <f>PI!AN97</f>
        <v>4.9000000000000004</v>
      </c>
      <c r="P26" s="145">
        <f>PI!AO97</f>
        <v>4.9000000000000004</v>
      </c>
      <c r="Q26" s="145">
        <f>PI!AP97</f>
        <v>4.9000000000000004</v>
      </c>
      <c r="R26" s="145">
        <f>PI!AQ97</f>
        <v>4.9000000000000004</v>
      </c>
      <c r="S26" s="145">
        <f>PI!AR97</f>
        <v>4.9000000000000004</v>
      </c>
      <c r="T26" s="145">
        <f>PI!AS97</f>
        <v>4.9000000000000004</v>
      </c>
    </row>
    <row r="27" spans="1:20" ht="15" customHeight="1">
      <c r="A27" s="51"/>
      <c r="B27" s="52" t="str">
        <f>T.KOTARAYA!B27</f>
        <v>d. Jumlah Kali Transaksi Keuangan melalui PLN Mobile</v>
      </c>
      <c r="C27" s="441" t="str">
        <f>T.KOTARAYA!C27</f>
        <v>ñ</v>
      </c>
      <c r="D27" s="53" t="str">
        <f>T.KOTARAYA!D27</f>
        <v>Kali Transaksi</v>
      </c>
      <c r="E27" s="61" t="e">
        <f>#REF!</f>
        <v>#REF!</v>
      </c>
      <c r="F27" s="53"/>
      <c r="G27" s="89">
        <f>T.KOTARAYA!G27</f>
        <v>6091</v>
      </c>
      <c r="H27" s="89">
        <f>T.KOTARAYA!H27</f>
        <v>10152</v>
      </c>
      <c r="I27" s="145">
        <f>PI!AH106</f>
        <v>336</v>
      </c>
      <c r="J27" s="145">
        <f>PI!AI106</f>
        <v>836</v>
      </c>
      <c r="K27" s="145">
        <f>PI!AJ106</f>
        <v>2820</v>
      </c>
      <c r="L27" s="145">
        <f>PI!AK106</f>
        <v>4572</v>
      </c>
      <c r="M27" s="145">
        <f>PI!AL106</f>
        <v>6041</v>
      </c>
      <c r="N27" s="145">
        <f>PI!AM106</f>
        <v>7188</v>
      </c>
      <c r="O27" s="145">
        <f>PI!AN106</f>
        <v>8105</v>
      </c>
      <c r="P27" s="145">
        <f>PI!AO106</f>
        <v>9165</v>
      </c>
      <c r="Q27" s="145">
        <f>PI!AP106</f>
        <v>10638</v>
      </c>
      <c r="R27" s="145">
        <f>PI!AQ106</f>
        <v>0</v>
      </c>
      <c r="S27" s="145">
        <f>PI!AR106</f>
        <v>0</v>
      </c>
      <c r="T27" s="145">
        <f>PI!AS106</f>
        <v>0</v>
      </c>
    </row>
    <row r="28" spans="1:20" ht="15" customHeight="1">
      <c r="A28" s="51">
        <f>T.KOTARAYA!A28</f>
        <v>6</v>
      </c>
      <c r="B28" s="311" t="str">
        <f>T.KOTARAYA!B28</f>
        <v>Dispatch Respon Time</v>
      </c>
      <c r="C28" s="441"/>
      <c r="D28" s="53"/>
      <c r="E28" s="61"/>
      <c r="F28" s="53">
        <f>T.KOTARAYA!F28</f>
        <v>3</v>
      </c>
      <c r="G28" s="89"/>
      <c r="H28" s="89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</row>
    <row r="29" spans="1:20" ht="15" customHeight="1">
      <c r="A29" s="51"/>
      <c r="B29" s="52" t="str">
        <f>T.KOTARAYA!B29</f>
        <v>a. Response Time atas Gangguan (diluar Clear Tamper)</v>
      </c>
      <c r="C29" s="441" t="str">
        <f>T.KOTARAYA!C29</f>
        <v>ò</v>
      </c>
      <c r="D29" s="53" t="str">
        <f>T.KOTARAYA!D29</f>
        <v>Menit</v>
      </c>
      <c r="E29" s="61"/>
      <c r="F29" s="53"/>
      <c r="G29" s="89">
        <f>T.KOTARAYA!G29</f>
        <v>30</v>
      </c>
      <c r="H29" s="89">
        <f>T.KOTARAYA!H29</f>
        <v>30</v>
      </c>
      <c r="I29" s="145">
        <f>PI!AH121</f>
        <v>11.382941176470585</v>
      </c>
      <c r="J29" s="145">
        <f>PI!AI121</f>
        <v>10.881982520490874</v>
      </c>
      <c r="K29" s="145">
        <f>PI!AJ121</f>
        <v>10.424033237555745</v>
      </c>
      <c r="L29" s="145">
        <f>PI!AK121</f>
        <v>10.116471960890049</v>
      </c>
      <c r="M29" s="145">
        <f>PI!AL121</f>
        <v>10.76317756871204</v>
      </c>
      <c r="N29" s="145">
        <f>PI!AM121</f>
        <v>10.848403791187893</v>
      </c>
      <c r="O29" s="145">
        <f>PI!AN121</f>
        <v>10.909279664384931</v>
      </c>
      <c r="P29" s="145">
        <f>PI!AO121</f>
        <v>11.043343816369179</v>
      </c>
      <c r="Q29" s="145">
        <f>PI!AP121</f>
        <v>10.932176444057575</v>
      </c>
      <c r="R29" s="145">
        <f>PI!AQ121</f>
        <v>10.932176444057575</v>
      </c>
      <c r="S29" s="145">
        <f>PI!AR121</f>
        <v>10.932176444057575</v>
      </c>
      <c r="T29" s="145">
        <f>PI!AS121</f>
        <v>10.932176444057575</v>
      </c>
    </row>
    <row r="30" spans="1:20" ht="31.15" customHeight="1">
      <c r="A30" s="51"/>
      <c r="B30" s="52" t="str">
        <f>T.KOTARAYA!B30</f>
        <v>b. Success Rate Auto Dispatch Gangguan Individual (diluar Clear Tamper)</v>
      </c>
      <c r="C30" s="441" t="str">
        <f>T.KOTARAYA!C30</f>
        <v>ñ</v>
      </c>
      <c r="D30" s="53" t="str">
        <f>T.KOTARAYA!D30</f>
        <v>%</v>
      </c>
      <c r="E30" s="61"/>
      <c r="F30" s="53"/>
      <c r="G30" s="89">
        <f>T.KOTARAYA!G30</f>
        <v>0</v>
      </c>
      <c r="H30" s="89">
        <f>T.KOTARAYA!H30</f>
        <v>0</v>
      </c>
      <c r="I30" s="145">
        <f>PI!AH137</f>
        <v>0</v>
      </c>
      <c r="J30" s="145">
        <f>PI!AI137</f>
        <v>0</v>
      </c>
      <c r="K30" s="145">
        <f>PI!AJ137</f>
        <v>0</v>
      </c>
      <c r="L30" s="145">
        <f>PI!AK137</f>
        <v>0</v>
      </c>
      <c r="M30" s="145">
        <f>PI!AL137</f>
        <v>0</v>
      </c>
      <c r="N30" s="145">
        <f>PI!AM137</f>
        <v>0</v>
      </c>
      <c r="O30" s="145">
        <f>PI!AN137</f>
        <v>0</v>
      </c>
      <c r="P30" s="145">
        <f>PI!AO137</f>
        <v>0</v>
      </c>
      <c r="Q30" s="145">
        <f>PI!AP137</f>
        <v>0</v>
      </c>
      <c r="R30" s="145">
        <f>PI!AQ137</f>
        <v>0</v>
      </c>
      <c r="S30" s="145">
        <f>PI!AR137</f>
        <v>0</v>
      </c>
      <c r="T30" s="145">
        <f>PI!AS137</f>
        <v>0</v>
      </c>
    </row>
    <row r="31" spans="1:20" ht="15" customHeight="1">
      <c r="A31" s="51">
        <f>T.KOTARAYA!A31</f>
        <v>7</v>
      </c>
      <c r="B31" s="311" t="str">
        <f>T.KOTARAYA!B31</f>
        <v>Sistem Recovery :</v>
      </c>
      <c r="C31" s="441"/>
      <c r="D31" s="53"/>
      <c r="E31" s="61"/>
      <c r="F31" s="53">
        <f>T.KOTARAYA!F31</f>
        <v>6</v>
      </c>
      <c r="G31" s="89"/>
      <c r="H31" s="89"/>
      <c r="I31" s="145"/>
      <c r="J31" s="145"/>
      <c r="K31" s="145"/>
      <c r="L31" s="145"/>
      <c r="M31" s="145"/>
      <c r="N31" s="145"/>
      <c r="O31" s="145"/>
      <c r="P31" s="145"/>
      <c r="Q31" s="145"/>
      <c r="R31" s="145"/>
      <c r="S31" s="145"/>
      <c r="T31" s="145"/>
    </row>
    <row r="32" spans="1:20" ht="16.5">
      <c r="A32" s="51"/>
      <c r="B32" s="52" t="str">
        <f>T.KOTARAYA!B32</f>
        <v>a. Recovery Time Gangguan Meluas TM</v>
      </c>
      <c r="C32" s="441" t="str">
        <f>T.KOTARAYA!C32</f>
        <v>ñ</v>
      </c>
      <c r="D32" s="53" t="str">
        <f>T.KOTARAYA!D32</f>
        <v>%</v>
      </c>
      <c r="E32" s="61" t="e">
        <f>#REF!</f>
        <v>#REF!</v>
      </c>
      <c r="F32" s="53"/>
      <c r="G32" s="89">
        <f>T.KOTARAYA!G32</f>
        <v>100</v>
      </c>
      <c r="H32" s="89">
        <f>T.KOTARAYA!H32</f>
        <v>100</v>
      </c>
      <c r="I32" s="145">
        <f>PI!AH157</f>
        <v>110</v>
      </c>
      <c r="J32" s="145">
        <f>PI!AI157</f>
        <v>110</v>
      </c>
      <c r="K32" s="145">
        <f>PI!AJ157</f>
        <v>110</v>
      </c>
      <c r="L32" s="145">
        <f>PI!AK157</f>
        <v>110</v>
      </c>
      <c r="M32" s="145">
        <f>PI!AL157</f>
        <v>110</v>
      </c>
      <c r="N32" s="145">
        <f>PI!AM157</f>
        <v>110</v>
      </c>
      <c r="O32" s="145">
        <f>PI!AN157</f>
        <v>110</v>
      </c>
      <c r="P32" s="145">
        <f>PI!AO157</f>
        <v>110</v>
      </c>
      <c r="Q32" s="145">
        <f>PI!AP157</f>
        <v>110</v>
      </c>
      <c r="R32" s="145">
        <f>PI!AQ157</f>
        <v>0</v>
      </c>
      <c r="S32" s="145">
        <f>PI!AR157</f>
        <v>0</v>
      </c>
      <c r="T32" s="145">
        <f>PI!AS157</f>
        <v>0</v>
      </c>
    </row>
    <row r="33" spans="1:23" ht="16.5">
      <c r="A33" s="51"/>
      <c r="B33" s="52" t="str">
        <f>T.KOTARAYA!B33</f>
        <v>b. Penormalan Siaga 1 Gangguan TM</v>
      </c>
      <c r="C33" s="441" t="str">
        <f>T.KOTARAYA!C33</f>
        <v>ñ</v>
      </c>
      <c r="D33" s="53" t="str">
        <f>T.KOTARAYA!D33</f>
        <v>%</v>
      </c>
      <c r="E33" s="61"/>
      <c r="F33" s="53"/>
      <c r="G33" s="89">
        <f>T.KOTARAYA!G33</f>
        <v>100</v>
      </c>
      <c r="H33" s="89">
        <f>T.KOTARAYA!H33</f>
        <v>100</v>
      </c>
      <c r="I33" s="145">
        <f>PI!AH179</f>
        <v>110</v>
      </c>
      <c r="J33" s="145">
        <f>PI!AH179</f>
        <v>110</v>
      </c>
      <c r="K33" s="145">
        <f>PI!AI179</f>
        <v>110</v>
      </c>
      <c r="L33" s="145">
        <f>PI!AJ179</f>
        <v>110</v>
      </c>
      <c r="M33" s="145">
        <f>PI!AK179</f>
        <v>110</v>
      </c>
      <c r="N33" s="145">
        <f>PI!AL179</f>
        <v>110</v>
      </c>
      <c r="O33" s="145">
        <f>PI!AM179</f>
        <v>110</v>
      </c>
      <c r="P33" s="145">
        <f>PI!AN179</f>
        <v>110</v>
      </c>
      <c r="Q33" s="145">
        <f>PI!AO179</f>
        <v>110</v>
      </c>
      <c r="R33" s="145">
        <f>PI!AP179</f>
        <v>110</v>
      </c>
      <c r="S33" s="145">
        <f>PI!AQ179</f>
        <v>0</v>
      </c>
      <c r="T33" s="145">
        <f>PI!AR179</f>
        <v>0</v>
      </c>
    </row>
    <row r="34" spans="1:23" ht="14.45" customHeight="1">
      <c r="A34" s="51">
        <f>T.KOTARAYA!A34</f>
        <v>8</v>
      </c>
      <c r="B34" s="311" t="str">
        <f>T.KOTARAYA!B34</f>
        <v>Percepatan Penyambungan Pelanggan</v>
      </c>
      <c r="C34" s="441"/>
      <c r="D34" s="53"/>
      <c r="E34" s="61" t="e">
        <f>#REF!</f>
        <v>#REF!</v>
      </c>
      <c r="F34" s="53">
        <f>T.KOTARAYA!F34</f>
        <v>10</v>
      </c>
      <c r="G34" s="89"/>
      <c r="H34" s="89"/>
      <c r="I34" s="145"/>
      <c r="J34" s="145"/>
      <c r="K34" s="145"/>
      <c r="L34" s="145"/>
      <c r="M34" s="145"/>
      <c r="N34" s="145"/>
      <c r="O34" s="145"/>
      <c r="P34" s="145"/>
      <c r="Q34" s="145"/>
      <c r="R34" s="145"/>
      <c r="S34" s="145"/>
      <c r="T34" s="145"/>
      <c r="V34" s="21"/>
      <c r="W34" s="21"/>
    </row>
    <row r="35" spans="1:23" ht="14.45" customHeight="1">
      <c r="A35" s="51"/>
      <c r="B35" s="52" t="str">
        <f>T.KOTARAYA!B35</f>
        <v>a. Penambahan Daya Tersambung</v>
      </c>
      <c r="C35" s="441" t="str">
        <f>T.KOTARAYA!C35</f>
        <v>ñ</v>
      </c>
      <c r="D35" s="53" t="str">
        <f>T.KOTARAYA!D35</f>
        <v>MVA</v>
      </c>
      <c r="E35" s="61"/>
      <c r="F35" s="53"/>
      <c r="G35" s="89">
        <f>T.KOTARAYA!G35</f>
        <v>0.97</v>
      </c>
      <c r="H35" s="89">
        <f>T.KOTARAYA!H35</f>
        <v>2.46</v>
      </c>
      <c r="I35" s="145">
        <f>PI!AH198</f>
        <v>0.13285</v>
      </c>
      <c r="J35" s="145">
        <f>PI!AI198</f>
        <v>0.24404999999999999</v>
      </c>
      <c r="K35" s="145">
        <f>PI!AJ198</f>
        <v>0.38155</v>
      </c>
      <c r="L35" s="145">
        <f>PI!AK198</f>
        <v>0.57810000000000006</v>
      </c>
      <c r="M35" s="145">
        <f>PI!AL198</f>
        <v>0.72620000000000007</v>
      </c>
      <c r="N35" s="145">
        <f>PI!AM198</f>
        <v>0.87740000000000007</v>
      </c>
      <c r="O35" s="145">
        <f>PI!AN198</f>
        <v>1.0797000000000001</v>
      </c>
      <c r="P35" s="145">
        <f>PI!AO198</f>
        <v>1.2073500000000001</v>
      </c>
      <c r="Q35" s="145">
        <f>PI!AP198</f>
        <v>1.3872000000000002</v>
      </c>
      <c r="R35" s="145">
        <f>PI!AQ198</f>
        <v>0</v>
      </c>
      <c r="S35" s="145">
        <f>PI!AR198</f>
        <v>0</v>
      </c>
      <c r="T35" s="145">
        <f>PI!AS198</f>
        <v>0</v>
      </c>
      <c r="V35" s="21"/>
      <c r="W35" s="21"/>
    </row>
    <row r="36" spans="1:23" ht="14.45" customHeight="1">
      <c r="A36" s="51"/>
      <c r="B36" s="52" t="str">
        <f>T.KOTARAYA!B36</f>
        <v>b. Penambahan Jumlah Pelanggan</v>
      </c>
      <c r="C36" s="441" t="str">
        <f>T.KOTARAYA!C36</f>
        <v>ñ</v>
      </c>
      <c r="D36" s="53" t="str">
        <f>T.KOTARAYA!D36</f>
        <v>Pelanggan</v>
      </c>
      <c r="E36" s="61"/>
      <c r="F36" s="53"/>
      <c r="G36" s="89">
        <f>T.KOTARAYA!G36</f>
        <v>1093</v>
      </c>
      <c r="H36" s="89">
        <f>T.KOTARAYA!H36</f>
        <v>2517</v>
      </c>
      <c r="I36" s="145">
        <f>PI!AH204</f>
        <v>114</v>
      </c>
      <c r="J36" s="145">
        <f>PI!AI204</f>
        <v>213</v>
      </c>
      <c r="K36" s="145">
        <f>PI!AJ204</f>
        <v>322</v>
      </c>
      <c r="L36" s="145">
        <f>PI!AK204</f>
        <v>464</v>
      </c>
      <c r="M36" s="145">
        <f>PI!AL204</f>
        <v>559</v>
      </c>
      <c r="N36" s="145">
        <f>PI!AM204</f>
        <v>654</v>
      </c>
      <c r="O36" s="145">
        <f>PI!AN204</f>
        <v>757</v>
      </c>
      <c r="P36" s="145">
        <f>PI!AO204</f>
        <v>826</v>
      </c>
      <c r="Q36" s="145">
        <f>PI!AP204</f>
        <v>964</v>
      </c>
      <c r="R36" s="145">
        <f>PI!AQ204</f>
        <v>0</v>
      </c>
      <c r="S36" s="145">
        <f>PI!AR204</f>
        <v>0</v>
      </c>
      <c r="T36" s="145">
        <f>PI!AS204</f>
        <v>0</v>
      </c>
      <c r="V36" s="21"/>
      <c r="W36" s="21"/>
    </row>
    <row r="37" spans="1:23" ht="16.5">
      <c r="A37" s="51"/>
      <c r="B37" s="52" t="str">
        <f>T.KOTARAYA!B37</f>
        <v>c. Jumlah Penambahan Pelanggan Produk Tematik</v>
      </c>
      <c r="C37" s="441" t="str">
        <f>T.KOTARAYA!C37</f>
        <v>ñ</v>
      </c>
      <c r="D37" s="53" t="str">
        <f>T.KOTARAYA!D37</f>
        <v>Pelanggan</v>
      </c>
      <c r="E37" s="61"/>
      <c r="F37" s="53"/>
      <c r="G37" s="89">
        <f>T.KOTARAYA!G37</f>
        <v>120</v>
      </c>
      <c r="H37" s="89">
        <f>T.KOTARAYA!H37</f>
        <v>198</v>
      </c>
      <c r="I37" s="145">
        <f>PI!AH210</f>
        <v>28</v>
      </c>
      <c r="J37" s="145">
        <f>PI!AI210</f>
        <v>40</v>
      </c>
      <c r="K37" s="145">
        <f>PI!AJ210</f>
        <v>64</v>
      </c>
      <c r="L37" s="145">
        <f>PI!AK210</f>
        <v>64</v>
      </c>
      <c r="M37" s="145">
        <f>PI!AL210</f>
        <v>97</v>
      </c>
      <c r="N37" s="145">
        <f>PI!AM210</f>
        <v>138</v>
      </c>
      <c r="O37" s="145">
        <f>PI!AN210</f>
        <v>144</v>
      </c>
      <c r="P37" s="145">
        <f>PI!AO210</f>
        <v>175</v>
      </c>
      <c r="Q37" s="145">
        <f>PI!AP210</f>
        <v>198</v>
      </c>
      <c r="R37" s="145">
        <f>PI!AQ210</f>
        <v>0</v>
      </c>
      <c r="S37" s="145">
        <f>PI!AR210</f>
        <v>0</v>
      </c>
      <c r="T37" s="145">
        <f>PI!AS210</f>
        <v>0</v>
      </c>
    </row>
    <row r="38" spans="1:23" ht="33" customHeight="1">
      <c r="A38" s="51"/>
      <c r="B38" s="52" t="str">
        <f>T.KOTARAYA!B38</f>
        <v>d. Implementasi Kesesuaian Sektor Bisnis sesuai KBLI 2020</v>
      </c>
      <c r="C38" s="441" t="str">
        <f>T.KOTARAYA!C38</f>
        <v>ñ</v>
      </c>
      <c r="D38" s="53" t="str">
        <f>T.KOTARAYA!D38</f>
        <v>Pelanggan</v>
      </c>
      <c r="E38" s="61" t="e">
        <f>#REF!</f>
        <v>#REF!</v>
      </c>
      <c r="F38" s="53"/>
      <c r="G38" s="89">
        <f>T.KOTARAYA!G38</f>
        <v>0</v>
      </c>
      <c r="H38" s="89">
        <f>T.KOTARAYA!H38</f>
        <v>0</v>
      </c>
      <c r="I38" s="145">
        <f>PI!AH216</f>
        <v>0</v>
      </c>
      <c r="J38" s="145">
        <f>PI!AI216</f>
        <v>0</v>
      </c>
      <c r="K38" s="145">
        <f>PI!AJ216</f>
        <v>0</v>
      </c>
      <c r="L38" s="145">
        <f>PI!AK216</f>
        <v>0</v>
      </c>
      <c r="M38" s="145">
        <f>PI!AL216</f>
        <v>0</v>
      </c>
      <c r="N38" s="145">
        <f>PI!AM216</f>
        <v>0</v>
      </c>
      <c r="O38" s="145">
        <f>PI!AN216</f>
        <v>0</v>
      </c>
      <c r="P38" s="145">
        <f>PI!AO216</f>
        <v>0</v>
      </c>
      <c r="Q38" s="145">
        <f>PI!AP216</f>
        <v>0</v>
      </c>
      <c r="R38" s="145">
        <f>PI!AQ216</f>
        <v>0</v>
      </c>
      <c r="S38" s="145">
        <f>PI!AR216</f>
        <v>0</v>
      </c>
      <c r="T38" s="145">
        <f>PI!AS216</f>
        <v>0</v>
      </c>
    </row>
    <row r="39" spans="1:23" ht="16.5">
      <c r="A39" s="51">
        <f>T.KOTARAYA!A39</f>
        <v>9</v>
      </c>
      <c r="B39" s="311" t="str">
        <f>T.KOTARAYA!B39</f>
        <v>Percepatan Penyambungan Pelanggan Lisdes</v>
      </c>
      <c r="C39" s="441"/>
      <c r="D39" s="53"/>
      <c r="E39" s="61" t="e">
        <f>#REF!</f>
        <v>#REF!</v>
      </c>
      <c r="F39" s="53">
        <f>T.KOTARAYA!F39</f>
        <v>4</v>
      </c>
      <c r="G39" s="89"/>
      <c r="H39" s="89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</row>
    <row r="40" spans="1:23" s="163" customFormat="1" ht="33">
      <c r="A40" s="51"/>
      <c r="B40" s="52" t="str">
        <f>T.KOTARAYA!B40</f>
        <v>a. Penambahan Jumlah Pelanggan Rumah Tangga Lisdes</v>
      </c>
      <c r="C40" s="441" t="str">
        <f>T.KOTARAYA!C40</f>
        <v>ñ</v>
      </c>
      <c r="D40" s="53" t="str">
        <f>T.KOTARAYA!D40</f>
        <v>Pelanggan</v>
      </c>
      <c r="E40" s="61" t="e">
        <f>#REF!</f>
        <v>#REF!</v>
      </c>
      <c r="F40" s="53"/>
      <c r="G40" s="89">
        <f>T.KOTARAYA!G40</f>
        <v>3</v>
      </c>
      <c r="H40" s="89">
        <f>T.KOTARAYA!H40</f>
        <v>123</v>
      </c>
      <c r="I40" s="248">
        <f>PI!AH222</f>
        <v>12</v>
      </c>
      <c r="J40" s="248">
        <f>PI!AI222</f>
        <v>21</v>
      </c>
      <c r="K40" s="248">
        <f>PI!AJ222</f>
        <v>26</v>
      </c>
      <c r="L40" s="248">
        <f>PI!AK222</f>
        <v>38</v>
      </c>
      <c r="M40" s="248">
        <f>PI!AL222</f>
        <v>56</v>
      </c>
      <c r="N40" s="248">
        <f>PI!AM222</f>
        <v>64</v>
      </c>
      <c r="O40" s="248">
        <f>PI!AN222</f>
        <v>68</v>
      </c>
      <c r="P40" s="248">
        <f>PI!AO222</f>
        <v>75</v>
      </c>
      <c r="Q40" s="248">
        <f>PI!AP222</f>
        <v>83</v>
      </c>
      <c r="R40" s="248">
        <f>PI!AQ222</f>
        <v>0</v>
      </c>
      <c r="S40" s="248">
        <f>PI!AR222</f>
        <v>0</v>
      </c>
      <c r="T40" s="248">
        <f>PI!AS222</f>
        <v>0</v>
      </c>
    </row>
    <row r="41" spans="1:23" ht="33">
      <c r="A41" s="51"/>
      <c r="B41" s="52" t="str">
        <f>T.KOTARAYA!B41</f>
        <v>b. Peningkatan kWh Penjualan dari Pelanggan Rumah Tangga Lisdes</v>
      </c>
      <c r="C41" s="441" t="str">
        <f>T.KOTARAYA!C41</f>
        <v>ñ</v>
      </c>
      <c r="D41" s="53" t="str">
        <f>T.KOTARAYA!D41</f>
        <v>kWh</v>
      </c>
      <c r="E41" s="61"/>
      <c r="F41" s="53"/>
      <c r="G41" s="89">
        <f>T.KOTARAYA!G41</f>
        <v>121.5</v>
      </c>
      <c r="H41" s="89">
        <f>T.KOTARAYA!H41</f>
        <v>16442.113000000001</v>
      </c>
      <c r="I41" s="248">
        <f>PI!AH228</f>
        <v>2884.1</v>
      </c>
      <c r="J41" s="248">
        <f>PI!AI228</f>
        <v>7313.2000000000007</v>
      </c>
      <c r="K41" s="248">
        <f>PI!AJ228</f>
        <v>8164.0000000000018</v>
      </c>
      <c r="L41" s="248">
        <f>PI!AK228</f>
        <v>10604.7</v>
      </c>
      <c r="M41" s="248">
        <f>PI!AL228</f>
        <v>14422.2</v>
      </c>
      <c r="N41" s="248">
        <f>PI!AM228</f>
        <v>18369.099999999999</v>
      </c>
      <c r="O41" s="248">
        <f>PI!AN228</f>
        <v>21815.199999999997</v>
      </c>
      <c r="P41" s="248">
        <f>PI!AO228</f>
        <v>25685.599999999999</v>
      </c>
      <c r="Q41" s="248">
        <f>PI!AP228</f>
        <v>30036.1</v>
      </c>
      <c r="R41" s="248">
        <f>PI!AQ228</f>
        <v>0</v>
      </c>
      <c r="S41" s="248">
        <f>PI!AR228</f>
        <v>0</v>
      </c>
      <c r="T41" s="248">
        <f>PI!AS228</f>
        <v>0</v>
      </c>
    </row>
    <row r="42" spans="1:23" ht="15" customHeight="1">
      <c r="A42" s="51">
        <f>T.KOTARAYA!A42</f>
        <v>10</v>
      </c>
      <c r="B42" s="311" t="str">
        <f>T.KOTARAYA!B42</f>
        <v>Pengelolaan Pembacaan Meter</v>
      </c>
      <c r="C42" s="441"/>
      <c r="D42" s="53"/>
      <c r="E42" s="61"/>
      <c r="F42" s="53">
        <f>T.KOTARAYA!F42</f>
        <v>8</v>
      </c>
      <c r="G42" s="89"/>
      <c r="H42" s="89"/>
      <c r="I42" s="248"/>
      <c r="J42" s="248"/>
      <c r="K42" s="248"/>
      <c r="L42" s="248"/>
      <c r="M42" s="248"/>
      <c r="N42" s="248"/>
      <c r="O42" s="248"/>
      <c r="P42" s="248"/>
      <c r="Q42" s="248"/>
      <c r="R42" s="248"/>
      <c r="S42" s="248"/>
      <c r="T42" s="248"/>
    </row>
    <row r="43" spans="1:23" ht="15" customHeight="1">
      <c r="A43" s="51"/>
      <c r="B43" s="52" t="str">
        <f>T.KOTARAYA!B43</f>
        <v>a. Jumlah Pengguna Swa Cam</v>
      </c>
      <c r="C43" s="441" t="str">
        <f>T.KOTARAYA!C43</f>
        <v>ñ</v>
      </c>
      <c r="D43" s="53" t="str">
        <f>T.KOTARAYA!D43</f>
        <v>Pelanggan</v>
      </c>
      <c r="E43" s="61"/>
      <c r="F43" s="53"/>
      <c r="G43" s="89">
        <f>T.KOTARAYA!G43</f>
        <v>743</v>
      </c>
      <c r="H43" s="89">
        <f>T.KOTARAYA!H43</f>
        <v>743</v>
      </c>
      <c r="I43" s="248">
        <f>PI!AH238</f>
        <v>2044</v>
      </c>
      <c r="J43" s="248">
        <f>PI!AI238</f>
        <v>1820</v>
      </c>
      <c r="K43" s="248">
        <f>PI!AJ238</f>
        <v>2257</v>
      </c>
      <c r="L43" s="248">
        <f>PI!AK238</f>
        <v>1771</v>
      </c>
      <c r="M43" s="248">
        <f>PI!AL238</f>
        <v>1611.6</v>
      </c>
      <c r="N43" s="248">
        <f>PI!AM238</f>
        <v>1552.1666666666667</v>
      </c>
      <c r="O43" s="248">
        <f>PI!AN238</f>
        <v>1439.4285714285713</v>
      </c>
      <c r="P43" s="248">
        <f>PI!AO238</f>
        <v>1347.125</v>
      </c>
      <c r="Q43" s="248">
        <f>PI!AP238</f>
        <v>1302.3333333333333</v>
      </c>
      <c r="R43" s="248">
        <f>PI!AQ238</f>
        <v>1302.3333333333333</v>
      </c>
      <c r="S43" s="248">
        <f>PI!AR238</f>
        <v>1302.3333333333333</v>
      </c>
      <c r="T43" s="248">
        <f>PI!AS238</f>
        <v>1302.3333333333333</v>
      </c>
    </row>
    <row r="44" spans="1:23" ht="25.15" customHeight="1">
      <c r="A44" s="51"/>
      <c r="B44" s="52" t="str">
        <f>T.KOTARAYA!B44</f>
        <v>b. Tindak Lanjut LBKB (Laporan Bulanan Kelainan Baca Meter)</v>
      </c>
      <c r="C44" s="441" t="str">
        <f>T.KOTARAYA!C44</f>
        <v>ò</v>
      </c>
      <c r="D44" s="53" t="str">
        <f>T.KOTARAYA!D44</f>
        <v>Pelanggan</v>
      </c>
      <c r="E44" s="61"/>
      <c r="F44" s="53"/>
      <c r="G44" s="89"/>
      <c r="H44" s="89"/>
      <c r="I44" s="248"/>
      <c r="J44" s="248"/>
      <c r="K44" s="248"/>
      <c r="L44" s="248"/>
      <c r="M44" s="248"/>
      <c r="N44" s="248"/>
      <c r="O44" s="248"/>
      <c r="P44" s="248"/>
      <c r="Q44" s="248"/>
      <c r="R44" s="248"/>
      <c r="S44" s="248"/>
      <c r="T44" s="248"/>
    </row>
    <row r="45" spans="1:23" ht="15" customHeight="1">
      <c r="A45" s="51">
        <f>T.KOTARAYA!A45</f>
        <v>11</v>
      </c>
      <c r="B45" s="311" t="str">
        <f>T.KOTARAYA!B45</f>
        <v>Sisa Stand Bongkar Migrasi</v>
      </c>
      <c r="C45" s="441" t="str">
        <f>T.KOTARAYA!C45</f>
        <v>ñ</v>
      </c>
      <c r="D45" s="53" t="str">
        <f>T.KOTARAYA!D45</f>
        <v>%</v>
      </c>
      <c r="E45" s="61"/>
      <c r="F45" s="53">
        <f>T.KOTARAYA!F45</f>
        <v>3</v>
      </c>
      <c r="G45" s="89">
        <f>T.KOTARAYA!G45</f>
        <v>100</v>
      </c>
      <c r="H45" s="89">
        <f>T.KOTARAYA!H45</f>
        <v>100</v>
      </c>
      <c r="I45" s="248">
        <f>PI!AH258</f>
        <v>100</v>
      </c>
      <c r="J45" s="248">
        <f>PI!AI258</f>
        <v>100</v>
      </c>
      <c r="K45" s="248">
        <f>PI!AJ258</f>
        <v>100</v>
      </c>
      <c r="L45" s="248">
        <f>PI!AK258</f>
        <v>100</v>
      </c>
      <c r="M45" s="248">
        <f>PI!AL258</f>
        <v>100</v>
      </c>
      <c r="N45" s="248">
        <f>PI!AM258</f>
        <v>100</v>
      </c>
      <c r="O45" s="248">
        <f>PI!AN258</f>
        <v>100</v>
      </c>
      <c r="P45" s="248">
        <f>PI!AO258</f>
        <v>100</v>
      </c>
      <c r="Q45" s="248">
        <f>PI!AP258</f>
        <v>100</v>
      </c>
      <c r="R45" s="248">
        <f>PI!AQ258</f>
        <v>100</v>
      </c>
      <c r="S45" s="248">
        <f>PI!AR258</f>
        <v>100</v>
      </c>
      <c r="T45" s="248">
        <f>PI!AS258</f>
        <v>100</v>
      </c>
    </row>
    <row r="46" spans="1:23" ht="27.6" customHeight="1">
      <c r="A46" s="51">
        <f>T.KOTARAYA!A46</f>
        <v>12</v>
      </c>
      <c r="B46" s="311" t="str">
        <f>T.KOTARAYA!B46</f>
        <v>Percepatan Cash In</v>
      </c>
      <c r="C46" s="441"/>
      <c r="D46" s="53" t="str">
        <f>T.KOTARAYA!D46</f>
        <v>%</v>
      </c>
      <c r="E46" s="61"/>
      <c r="F46" s="53">
        <f>T.KOTARAYA!F46</f>
        <v>9</v>
      </c>
      <c r="G46" s="89"/>
      <c r="H46" s="89"/>
      <c r="I46" s="248"/>
      <c r="J46" s="248"/>
      <c r="K46" s="248"/>
      <c r="L46" s="248"/>
      <c r="M46" s="248"/>
      <c r="N46" s="248"/>
      <c r="O46" s="248"/>
      <c r="P46" s="248"/>
      <c r="Q46" s="248"/>
      <c r="R46" s="248"/>
      <c r="S46" s="248"/>
      <c r="T46" s="248"/>
    </row>
    <row r="47" spans="1:23" ht="27.6" customHeight="1">
      <c r="A47" s="51"/>
      <c r="B47" s="52" t="str">
        <f>T.KOTARAYA!B47</f>
        <v>a. Persentase Rata-Rata Saldo Tanggal 20 Non Kogol 1 dan Non Kogol 2</v>
      </c>
      <c r="C47" s="441" t="str">
        <f>T.KOTARAYA!C47</f>
        <v>ò</v>
      </c>
      <c r="D47" s="53" t="str">
        <f>T.KOTARAYA!D47</f>
        <v>Rp. Juta</v>
      </c>
      <c r="E47" s="61"/>
      <c r="F47" s="53"/>
      <c r="G47" s="89">
        <f>T.KOTARAYA!G47</f>
        <v>289</v>
      </c>
      <c r="H47" s="89">
        <f>T.KOTARAYA!H47</f>
        <v>289</v>
      </c>
      <c r="I47" s="248">
        <f>PI!AH276</f>
        <v>336.80340699999999</v>
      </c>
      <c r="J47" s="248">
        <f>PI!AI276</f>
        <v>358.99369799999999</v>
      </c>
      <c r="K47" s="248">
        <f>PI!AJ276</f>
        <v>383.11416499999996</v>
      </c>
      <c r="L47" s="248">
        <f>PI!AK276</f>
        <v>389.12921399999993</v>
      </c>
      <c r="M47" s="248">
        <f>PI!AL276</f>
        <v>390.48137859999997</v>
      </c>
      <c r="N47" s="248">
        <f>PI!AM276</f>
        <v>381.68486200000001</v>
      </c>
      <c r="O47" s="248">
        <f>PI!AN276</f>
        <v>374.00701100000003</v>
      </c>
      <c r="P47" s="248">
        <f>PI!AO276</f>
        <v>333.715638625</v>
      </c>
      <c r="Q47" s="248">
        <f>PI!AP276</f>
        <v>303.05131788888889</v>
      </c>
      <c r="R47" s="248">
        <f>PI!AQ276</f>
        <v>303.05131788888889</v>
      </c>
      <c r="S47" s="248">
        <f>PI!AR276</f>
        <v>303.05131788888889</v>
      </c>
      <c r="T47" s="248">
        <f>PI!AS276</f>
        <v>303.05131788888889</v>
      </c>
    </row>
    <row r="48" spans="1:23" ht="33.6" customHeight="1">
      <c r="A48" s="51"/>
      <c r="B48" s="52" t="str">
        <f>T.KOTARAYA!B48</f>
        <v>b. Pencapaian Saldo Rata-Rata Akhir Bulan Non Kogol 1 dan Non Kogol 2</v>
      </c>
      <c r="C48" s="441" t="str">
        <f>T.KOTARAYA!C48</f>
        <v>ò</v>
      </c>
      <c r="D48" s="53" t="str">
        <f>T.KOTARAYA!D48</f>
        <v>Rp. Juta</v>
      </c>
      <c r="E48" s="61"/>
      <c r="F48" s="53"/>
      <c r="G48" s="89">
        <f>T.KOTARAYA!G45</f>
        <v>100</v>
      </c>
      <c r="H48" s="89">
        <f>T.KOTARAYA!H45</f>
        <v>100</v>
      </c>
      <c r="I48" s="324">
        <f>PI!AH298</f>
        <v>271.73677099999998</v>
      </c>
      <c r="J48" s="324">
        <f>PI!AI298</f>
        <v>306.05932250000001</v>
      </c>
      <c r="K48" s="324">
        <f>PI!AJ298</f>
        <v>294.37288166666667</v>
      </c>
      <c r="L48" s="324">
        <f>PI!AK298</f>
        <v>305.78675425</v>
      </c>
      <c r="M48" s="324">
        <f>PI!AL298</f>
        <v>298.83761319999996</v>
      </c>
      <c r="N48" s="324">
        <f>PI!AM298</f>
        <v>282.74577833333336</v>
      </c>
      <c r="O48" s="324">
        <f>PI!AN298</f>
        <v>242.35352428571429</v>
      </c>
      <c r="P48" s="324">
        <f>PI!AO298</f>
        <v>212.05933375000001</v>
      </c>
      <c r="Q48" s="324">
        <f>PI!AP298</f>
        <v>188.49718555555557</v>
      </c>
      <c r="R48" s="324">
        <f>PI!AQ298</f>
        <v>169.64746700000001</v>
      </c>
      <c r="S48" s="324">
        <f>PI!AR298</f>
        <v>154.22497000000001</v>
      </c>
      <c r="T48" s="324">
        <f>PI!AS298</f>
        <v>141.37288916666668</v>
      </c>
    </row>
    <row r="49" spans="1:20" ht="33.6" customHeight="1">
      <c r="A49" s="51"/>
      <c r="B49" s="52" t="str">
        <f>T.KOTARAYA!B49</f>
        <v>c. Pencapaian Pelunasan PRR</v>
      </c>
      <c r="C49" s="441" t="str">
        <f>T.KOTARAYA!C49</f>
        <v>ñ</v>
      </c>
      <c r="D49" s="53" t="str">
        <f>T.KOTARAYA!D49</f>
        <v>Rp. Juta</v>
      </c>
      <c r="E49" s="61"/>
      <c r="F49" s="53"/>
      <c r="G49" s="89">
        <f>T.KOTARAYA!G46</f>
        <v>0</v>
      </c>
      <c r="H49" s="89">
        <f>T.KOTARAYA!H46</f>
        <v>0</v>
      </c>
      <c r="I49" s="324">
        <f>PI!AH321</f>
        <v>0</v>
      </c>
      <c r="J49" s="324">
        <f>PI!AI321</f>
        <v>0</v>
      </c>
      <c r="K49" s="324">
        <f>PI!AJ321</f>
        <v>0</v>
      </c>
      <c r="L49" s="324">
        <f>PI!AK321</f>
        <v>0</v>
      </c>
      <c r="M49" s="324">
        <f>PI!AL321</f>
        <v>0</v>
      </c>
      <c r="N49" s="324">
        <f>PI!AM321</f>
        <v>0</v>
      </c>
      <c r="O49" s="324">
        <f>PI!AN321</f>
        <v>0</v>
      </c>
      <c r="P49" s="324">
        <f>PI!AO321</f>
        <v>0</v>
      </c>
      <c r="Q49" s="324">
        <f>PI!AP321</f>
        <v>0</v>
      </c>
      <c r="R49" s="324">
        <f>PI!AQ321</f>
        <v>0</v>
      </c>
      <c r="S49" s="324">
        <f>PI!AR321</f>
        <v>0</v>
      </c>
      <c r="T49" s="324">
        <f>PI!AS321</f>
        <v>0</v>
      </c>
    </row>
    <row r="50" spans="1:20" ht="15" customHeight="1">
      <c r="A50" s="51">
        <f>T.KOTARAYA!A50</f>
        <v>13</v>
      </c>
      <c r="B50" s="311" t="str">
        <f>T.KOTARAYA!B50</f>
        <v>Kepatuhan :</v>
      </c>
      <c r="C50" s="441"/>
      <c r="D50" s="53"/>
      <c r="E50" s="61"/>
      <c r="F50" s="53"/>
      <c r="G50" s="89"/>
      <c r="H50" s="89"/>
      <c r="I50" s="248"/>
      <c r="J50" s="248"/>
      <c r="K50" s="248"/>
      <c r="L50" s="248"/>
      <c r="M50" s="248"/>
      <c r="N50" s="248"/>
      <c r="O50" s="248"/>
      <c r="P50" s="248"/>
      <c r="Q50" s="248"/>
      <c r="R50" s="248"/>
      <c r="S50" s="248"/>
      <c r="T50" s="248"/>
    </row>
    <row r="51" spans="1:20" ht="26.45" customHeight="1">
      <c r="A51" s="51"/>
      <c r="B51" s="52" t="str">
        <f>T.KOTARAYA!B51</f>
        <v>a. Pengelolaan K3, Keamanan dan Lingkungan Hidup</v>
      </c>
      <c r="C51" s="441"/>
      <c r="D51" s="53"/>
      <c r="E51" s="61" t="e">
        <f>#REF!</f>
        <v>#REF!</v>
      </c>
      <c r="F51" s="53" t="str">
        <f>T.KOTARAYA!F51</f>
        <v>Max-8</v>
      </c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</row>
    <row r="52" spans="1:20" ht="35.450000000000003" customHeight="1">
      <c r="A52" s="51"/>
      <c r="B52" s="52" t="str">
        <f>T.KOTARAYA!B52</f>
        <v>b. Maturity Level Implementasi Sistem Manajemen Anti Penyuapan (SMAP)</v>
      </c>
      <c r="C52" s="441"/>
      <c r="D52" s="53"/>
      <c r="E52" s="61" t="e">
        <f>#REF!</f>
        <v>#REF!</v>
      </c>
      <c r="F52" s="53" t="str">
        <f>T.KOTARAYA!F52</f>
        <v>Max-4</v>
      </c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</row>
    <row r="53" spans="1:20" ht="33">
      <c r="A53" s="51"/>
      <c r="B53" s="52" t="str">
        <f>T.KOTARAYA!B53</f>
        <v>c. Ketepatan penyampaian pelaporan dan
Akurasi Data Kinerja</v>
      </c>
      <c r="C53" s="441"/>
      <c r="D53" s="53"/>
      <c r="E53" s="61" t="e">
        <f>#REF!</f>
        <v>#REF!</v>
      </c>
      <c r="F53" s="53" t="str">
        <f>T.KOTARAYA!F53</f>
        <v>Max-10</v>
      </c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111"/>
    </row>
    <row r="54" spans="1:20" ht="16.5">
      <c r="A54" s="51"/>
      <c r="B54" s="52" t="str">
        <f>T.KOTARAYA!B54</f>
        <v>d. Tindak Lanjut Temuan Auditor</v>
      </c>
      <c r="C54" s="441"/>
      <c r="D54" s="53"/>
      <c r="E54" s="61"/>
      <c r="F54" s="53" t="str">
        <f>T.KOTARAYA!F54</f>
        <v>Max-5</v>
      </c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</row>
    <row r="55" spans="1:20" ht="15" customHeight="1">
      <c r="A55" s="51"/>
      <c r="B55" s="52" t="str">
        <f>T.KOTARAYA!B55</f>
        <v>e. Pencapaian Beyond RKAP</v>
      </c>
      <c r="C55" s="441"/>
      <c r="D55" s="53"/>
      <c r="E55" s="61" t="e">
        <f>#REF!</f>
        <v>#REF!</v>
      </c>
      <c r="F55" s="53" t="str">
        <f>T.KOTARAYA!F55</f>
        <v>Max-2
Max+2</v>
      </c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</row>
    <row r="56" spans="1:20" s="163" customFormat="1" ht="15" customHeight="1">
      <c r="A56" s="54"/>
      <c r="B56" s="55" t="str">
        <f>T.TOLIS!B56</f>
        <v>TOTAL BOBOT</v>
      </c>
      <c r="C56" s="442"/>
      <c r="D56" s="129"/>
      <c r="E56" s="55"/>
      <c r="F56" s="139">
        <f>F7+F18</f>
        <v>100</v>
      </c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39"/>
    </row>
    <row r="58" spans="1:20">
      <c r="A58" s="2"/>
      <c r="B58" s="3" t="s">
        <v>369</v>
      </c>
      <c r="C58" s="444"/>
      <c r="D58" s="4">
        <f>COUNTA(D8:D55)</f>
        <v>32</v>
      </c>
      <c r="E58" s="2"/>
      <c r="F58" s="4"/>
      <c r="G58" s="4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60" spans="1:20">
      <c r="A60" s="63" t="s">
        <v>370</v>
      </c>
      <c r="B60" s="26"/>
      <c r="C60" s="445"/>
      <c r="D60" s="25"/>
      <c r="E60" s="25"/>
      <c r="F60" s="25"/>
      <c r="G60" s="25"/>
      <c r="H60" s="25"/>
      <c r="I60" s="25"/>
      <c r="J60" s="25"/>
      <c r="K60" s="25"/>
      <c r="L60" s="25"/>
      <c r="M60" s="25"/>
      <c r="Q60" s="25"/>
      <c r="S60" s="25"/>
    </row>
    <row r="61" spans="1:20">
      <c r="A61" s="25">
        <v>3</v>
      </c>
      <c r="B61" s="64" t="s">
        <v>371</v>
      </c>
      <c r="C61" s="445"/>
      <c r="D61" s="25"/>
      <c r="E61" s="25"/>
      <c r="F61" s="25"/>
      <c r="G61" s="25"/>
      <c r="H61" s="25"/>
      <c r="I61" s="25"/>
      <c r="J61" s="25"/>
      <c r="K61" s="25"/>
      <c r="L61" s="25"/>
      <c r="M61" s="25"/>
      <c r="Q61" s="25"/>
      <c r="S61" s="25"/>
    </row>
    <row r="62" spans="1:20">
      <c r="A62" s="25">
        <v>1</v>
      </c>
      <c r="B62" s="64" t="s">
        <v>372</v>
      </c>
      <c r="C62" s="445"/>
      <c r="D62" s="25"/>
      <c r="E62" s="25"/>
      <c r="F62" s="25"/>
      <c r="G62" s="25"/>
      <c r="H62" s="25"/>
      <c r="I62" s="25"/>
      <c r="J62" s="25"/>
      <c r="K62" s="25"/>
      <c r="L62" s="25"/>
      <c r="M62" s="25"/>
      <c r="Q62" s="25"/>
      <c r="S62" s="25"/>
    </row>
    <row r="63" spans="1:20">
      <c r="A63" s="25"/>
      <c r="B63" s="26"/>
      <c r="C63" s="445"/>
      <c r="D63" s="25"/>
      <c r="E63" s="25"/>
      <c r="F63" s="25"/>
      <c r="G63" s="25"/>
      <c r="H63" s="25"/>
      <c r="I63" s="25"/>
      <c r="J63" s="25"/>
      <c r="K63" s="25"/>
      <c r="L63" s="25"/>
      <c r="M63" s="25"/>
      <c r="Q63" s="25"/>
      <c r="S63" s="25"/>
    </row>
    <row r="64" spans="1:20">
      <c r="A64" s="25"/>
      <c r="B64" s="26"/>
      <c r="C64" s="445"/>
      <c r="D64" s="25"/>
      <c r="E64" s="25"/>
      <c r="F64" s="25"/>
      <c r="G64" s="25"/>
      <c r="H64" s="25"/>
      <c r="I64" s="25"/>
      <c r="J64" s="25"/>
      <c r="K64" s="25"/>
      <c r="L64" s="25"/>
      <c r="M64" s="25"/>
      <c r="Q64" s="25"/>
      <c r="S64" s="25"/>
    </row>
    <row r="65" spans="1:19">
      <c r="A65" s="24"/>
      <c r="B65" s="23"/>
      <c r="C65" s="445"/>
      <c r="D65" s="24"/>
      <c r="E65" s="24"/>
      <c r="F65" s="24"/>
      <c r="G65" s="24"/>
      <c r="H65" s="24"/>
      <c r="I65" s="24"/>
      <c r="J65" s="24"/>
      <c r="K65" s="24"/>
      <c r="L65" s="24"/>
      <c r="M65" s="24"/>
    </row>
    <row r="66" spans="1:19">
      <c r="Q66" s="24"/>
      <c r="S66" s="24"/>
    </row>
  </sheetData>
  <mergeCells count="9">
    <mergeCell ref="H4:H5"/>
    <mergeCell ref="I4:T4"/>
    <mergeCell ref="B6:C6"/>
    <mergeCell ref="A4:A5"/>
    <mergeCell ref="B4:C5"/>
    <mergeCell ref="D4:D5"/>
    <mergeCell ref="E4:E5"/>
    <mergeCell ref="F4:F5"/>
    <mergeCell ref="G4:G5"/>
  </mergeCells>
  <conditionalFormatting sqref="A61">
    <cfRule type="iconSet" priority="3">
      <iconSet iconSet="3ArrowsGray" showValue="0">
        <cfvo type="percent" val="0"/>
        <cfvo type="num" val="2"/>
        <cfvo type="num" val="3"/>
      </iconSet>
    </cfRule>
    <cfRule type="iconSet" priority="5">
      <iconSet iconSet="3ArrowsGray" showValue="0">
        <cfvo type="percent" val="0"/>
        <cfvo type="num" val="2"/>
        <cfvo type="num" val="3"/>
      </iconSet>
    </cfRule>
    <cfRule type="iconSet" priority="7">
      <iconSet iconSet="3ArrowsGray" showValue="0">
        <cfvo type="percent" val="0"/>
        <cfvo type="num" val="2"/>
        <cfvo type="num" val="3"/>
      </iconSet>
    </cfRule>
    <cfRule type="iconSet" priority="9">
      <iconSet iconSet="3ArrowsGray" showValue="0">
        <cfvo type="percent" val="0"/>
        <cfvo type="num" val="2"/>
        <cfvo type="num" val="3"/>
      </iconSet>
    </cfRule>
  </conditionalFormatting>
  <conditionalFormatting sqref="A62">
    <cfRule type="iconSet" priority="2">
      <iconSet iconSet="3ArrowsGray" showValue="0">
        <cfvo type="percent" val="0"/>
        <cfvo type="num" val="2"/>
        <cfvo type="num" val="3"/>
      </iconSet>
    </cfRule>
    <cfRule type="iconSet" priority="4">
      <iconSet iconSet="3ArrowsGray" showValue="0">
        <cfvo type="percent" val="0"/>
        <cfvo type="num" val="2"/>
        <cfvo type="num" val="3"/>
      </iconSet>
    </cfRule>
    <cfRule type="iconSet" priority="6">
      <iconSet iconSet="3ArrowsGray" showValue="0">
        <cfvo type="percent" val="0"/>
        <cfvo type="num" val="2"/>
        <cfvo type="num" val="3"/>
      </iconSet>
    </cfRule>
    <cfRule type="iconSet" priority="8">
      <iconSet iconSet="3ArrowsGray" showValue="0">
        <cfvo type="percent" val="0"/>
        <cfvo type="num" val="2"/>
        <cfvo type="num" val="3"/>
      </iconSet>
    </cfRule>
  </conditionalFormatting>
  <conditionalFormatting sqref="C8:C17">
    <cfRule type="iconSet" priority="47763">
      <iconSet iconSet="3ArrowsGray" showValue="0">
        <cfvo type="percent" val="0"/>
        <cfvo type="num" val="2"/>
        <cfvo type="num" val="3"/>
      </iconSet>
    </cfRule>
    <cfRule type="iconSet" priority="47764">
      <iconSet iconSet="3ArrowsGray" showValue="0">
        <cfvo type="percent" val="0"/>
        <cfvo type="num" val="2"/>
        <cfvo type="num" val="3"/>
      </iconSet>
    </cfRule>
  </conditionalFormatting>
  <conditionalFormatting sqref="C19:C55">
    <cfRule type="iconSet" priority="47765">
      <iconSet iconSet="3ArrowsGray" showValue="0">
        <cfvo type="percent" val="0"/>
        <cfvo type="num" val="2"/>
        <cfvo type="num" val="3"/>
      </iconSet>
    </cfRule>
  </conditionalFormatting>
  <conditionalFormatting sqref="C57">
    <cfRule type="iconSet" priority="12">
      <iconSet iconSet="3ArrowsGray" showValue="0">
        <cfvo type="percent" val="0"/>
        <cfvo type="num" val="2"/>
        <cfvo type="num" val="3"/>
      </iconSet>
    </cfRule>
    <cfRule type="iconSet" priority="14">
      <iconSet iconSet="3ArrowsGray" showValue="0">
        <cfvo type="percent" val="0"/>
        <cfvo type="num" val="2"/>
        <cfvo type="num" val="3"/>
      </iconSet>
    </cfRule>
  </conditionalFormatting>
  <conditionalFormatting sqref="C58">
    <cfRule type="iconSet" priority="18">
      <iconSet iconSet="3ArrowsGray" showValue="0">
        <cfvo type="percent" val="0"/>
        <cfvo type="num" val="2"/>
        <cfvo type="num" val="3"/>
      </iconSet>
    </cfRule>
  </conditionalFormatting>
  <conditionalFormatting sqref="D57 H57">
    <cfRule type="iconSet" priority="13">
      <iconSet iconSet="3ArrowsGray" showValue="0">
        <cfvo type="percent" val="0"/>
        <cfvo type="num" val="2"/>
        <cfvo type="num" val="3"/>
      </iconSet>
    </cfRule>
  </conditionalFormatting>
  <conditionalFormatting sqref="D57">
    <cfRule type="iconSet" priority="16">
      <iconSet iconSet="3ArrowsGray" showValue="0">
        <cfvo type="percent" val="0"/>
        <cfvo type="num" val="2"/>
        <cfvo type="num" val="3"/>
      </iconSet>
    </cfRule>
  </conditionalFormatting>
  <conditionalFormatting sqref="E57">
    <cfRule type="iconSet" priority="15">
      <iconSet iconSet="3ArrowsGray" showValue="0">
        <cfvo type="percent" val="0"/>
        <cfvo type="num" val="2"/>
        <cfvo type="num" val="3"/>
      </iconSet>
    </cfRule>
  </conditionalFormatting>
  <conditionalFormatting sqref="H57">
    <cfRule type="iconSet" priority="11">
      <iconSet iconSet="3ArrowsGray" showValue="0">
        <cfvo type="percent" val="0"/>
        <cfvo type="num" val="2"/>
        <cfvo type="num" val="3"/>
      </iconSet>
    </cfRule>
  </conditionalFormatting>
  <conditionalFormatting sqref="H58:T58">
    <cfRule type="iconSet" priority="17">
      <iconSet iconSet="3ArrowsGray" showValue="0">
        <cfvo type="percent" val="0"/>
        <cfvo type="num" val="2"/>
        <cfvo type="num" val="3"/>
      </iconSet>
    </cfRule>
    <cfRule type="iconSet" priority="19">
      <iconSet iconSet="3ArrowsGray" showValue="0">
        <cfvo type="percent" val="0"/>
        <cfvo type="num" val="2"/>
        <cfvo type="num" val="3"/>
      </iconSet>
    </cfRule>
  </conditionalFormatting>
  <conditionalFormatting sqref="I57:T57">
    <cfRule type="iconSet" priority="10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10000" scale="42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92D050"/>
    <pageSetUpPr fitToPage="1"/>
  </sheetPr>
  <dimension ref="A1:V81"/>
  <sheetViews>
    <sheetView zoomScale="85" zoomScaleNormal="85" workbookViewId="0"/>
  </sheetViews>
  <sheetFormatPr defaultColWidth="8.85546875" defaultRowHeight="15"/>
  <cols>
    <col min="1" max="1" width="5.7109375" style="28" customWidth="1"/>
    <col min="2" max="2" width="55.28515625" style="30" customWidth="1"/>
    <col min="3" max="3" width="2.85546875" style="30" customWidth="1"/>
    <col min="4" max="4" width="14.7109375" style="28" customWidth="1"/>
    <col min="5" max="5" width="127.7109375" style="28" hidden="1" customWidth="1"/>
    <col min="6" max="6" width="7.5703125" style="30" customWidth="1"/>
    <col min="7" max="7" width="11.28515625" style="30" customWidth="1"/>
    <col min="8" max="8" width="12" style="30" bestFit="1" customWidth="1"/>
    <col min="9" max="9" width="9.7109375" style="30" bestFit="1" customWidth="1"/>
    <col min="10" max="11" width="11.140625" style="30" bestFit="1" customWidth="1"/>
    <col min="12" max="12" width="11.28515625" style="30" bestFit="1" customWidth="1"/>
    <col min="13" max="19" width="11" style="30" customWidth="1"/>
    <col min="20" max="20" width="12" style="30" bestFit="1" customWidth="1"/>
    <col min="21" max="21" width="17.7109375" style="31" bestFit="1" customWidth="1"/>
    <col min="22" max="22" width="16" style="31" bestFit="1" customWidth="1"/>
    <col min="23" max="23" width="19.140625" style="30" bestFit="1" customWidth="1"/>
    <col min="24" max="24" width="12.42578125" style="30" bestFit="1" customWidth="1"/>
    <col min="25" max="29" width="8.85546875" style="30"/>
    <col min="30" max="30" width="17.85546875" style="30" bestFit="1" customWidth="1"/>
    <col min="31" max="16384" width="8.85546875" style="30"/>
  </cols>
  <sheetData>
    <row r="1" spans="1:22" ht="15.75">
      <c r="B1" s="29" t="s">
        <v>271</v>
      </c>
      <c r="C1" s="28"/>
      <c r="I1" s="22"/>
    </row>
    <row r="2" spans="1:22" ht="15.75">
      <c r="B2" s="29" t="s">
        <v>123</v>
      </c>
      <c r="C2" s="28"/>
    </row>
    <row r="3" spans="1:22" ht="15.75">
      <c r="B3" s="29" t="s">
        <v>124</v>
      </c>
      <c r="C3" s="28"/>
    </row>
    <row r="4" spans="1:22" s="206" customFormat="1" ht="15" customHeight="1">
      <c r="A4" s="724" t="s">
        <v>8</v>
      </c>
      <c r="B4" s="726" t="s">
        <v>9</v>
      </c>
      <c r="C4" s="727"/>
      <c r="D4" s="724" t="s">
        <v>93</v>
      </c>
      <c r="E4" s="724" t="s">
        <v>272</v>
      </c>
      <c r="F4" s="724" t="s">
        <v>99</v>
      </c>
      <c r="G4" s="720" t="s">
        <v>100</v>
      </c>
      <c r="H4" s="720"/>
      <c r="I4" s="721" t="s">
        <v>382</v>
      </c>
      <c r="J4" s="722"/>
      <c r="K4" s="722"/>
      <c r="L4" s="722"/>
      <c r="M4" s="722"/>
      <c r="N4" s="722"/>
      <c r="O4" s="722"/>
      <c r="P4" s="722"/>
      <c r="Q4" s="722"/>
      <c r="R4" s="722"/>
      <c r="S4" s="722"/>
      <c r="T4" s="723"/>
      <c r="U4" s="205"/>
      <c r="V4" s="205"/>
    </row>
    <row r="5" spans="1:22" s="206" customFormat="1" ht="15" customHeight="1">
      <c r="A5" s="725"/>
      <c r="B5" s="728"/>
      <c r="C5" s="729"/>
      <c r="D5" s="725"/>
      <c r="E5" s="725"/>
      <c r="F5" s="725"/>
      <c r="G5" s="646" t="s">
        <v>274</v>
      </c>
      <c r="H5" s="646" t="s">
        <v>275</v>
      </c>
      <c r="I5" s="207" t="s">
        <v>94</v>
      </c>
      <c r="J5" s="207" t="s">
        <v>95</v>
      </c>
      <c r="K5" s="207" t="s">
        <v>96</v>
      </c>
      <c r="L5" s="207" t="s">
        <v>97</v>
      </c>
      <c r="M5" s="207" t="s">
        <v>98</v>
      </c>
      <c r="N5" s="207" t="s">
        <v>153</v>
      </c>
      <c r="O5" s="207" t="s">
        <v>163</v>
      </c>
      <c r="P5" s="207" t="s">
        <v>165</v>
      </c>
      <c r="Q5" s="207" t="s">
        <v>167</v>
      </c>
      <c r="R5" s="207" t="s">
        <v>169</v>
      </c>
      <c r="S5" s="207" t="s">
        <v>171</v>
      </c>
      <c r="T5" s="207" t="s">
        <v>174</v>
      </c>
      <c r="U5" s="205"/>
      <c r="V5" s="205"/>
    </row>
    <row r="6" spans="1:22" s="206" customFormat="1" ht="15" customHeight="1">
      <c r="A6" s="646">
        <v>1</v>
      </c>
      <c r="B6" s="485">
        <v>2</v>
      </c>
      <c r="C6" s="486"/>
      <c r="D6" s="646">
        <v>3</v>
      </c>
      <c r="E6" s="646">
        <v>4</v>
      </c>
      <c r="F6" s="646">
        <v>5</v>
      </c>
      <c r="G6" s="646">
        <v>6</v>
      </c>
      <c r="H6" s="646">
        <v>7</v>
      </c>
      <c r="I6" s="646">
        <v>8</v>
      </c>
      <c r="J6" s="646">
        <v>9</v>
      </c>
      <c r="K6" s="646">
        <v>10</v>
      </c>
      <c r="L6" s="646">
        <v>11</v>
      </c>
      <c r="M6" s="646">
        <v>12</v>
      </c>
      <c r="N6" s="646">
        <v>13</v>
      </c>
      <c r="O6" s="646">
        <v>14</v>
      </c>
      <c r="P6" s="646">
        <v>15</v>
      </c>
      <c r="Q6" s="646">
        <v>16</v>
      </c>
      <c r="R6" s="646">
        <v>17</v>
      </c>
      <c r="S6" s="646">
        <v>18</v>
      </c>
      <c r="T6" s="646">
        <v>19</v>
      </c>
      <c r="U6" s="205"/>
      <c r="V6" s="205"/>
    </row>
    <row r="7" spans="1:22" s="210" customFormat="1" ht="16.5">
      <c r="A7" s="47" t="s">
        <v>269</v>
      </c>
      <c r="B7" s="48" t="s">
        <v>276</v>
      </c>
      <c r="C7" s="49"/>
      <c r="D7" s="50"/>
      <c r="E7" s="314"/>
      <c r="F7" s="62">
        <f>SUM(F8:F16)</f>
        <v>40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289"/>
      <c r="U7" s="209"/>
      <c r="V7" s="209"/>
    </row>
    <row r="8" spans="1:22" s="212" customFormat="1" ht="16.5">
      <c r="A8" s="51">
        <v>1</v>
      </c>
      <c r="B8" s="315" t="s">
        <v>383</v>
      </c>
      <c r="C8" s="349" t="s">
        <v>277</v>
      </c>
      <c r="D8" s="317" t="s">
        <v>384</v>
      </c>
      <c r="E8" s="61" t="s">
        <v>278</v>
      </c>
      <c r="F8" s="61">
        <v>14</v>
      </c>
      <c r="G8" s="286">
        <f>N8</f>
        <v>113.73</v>
      </c>
      <c r="H8" s="286">
        <f>T8</f>
        <v>231.47</v>
      </c>
      <c r="I8" s="286">
        <f>KPI!D23</f>
        <v>18.739999999999998</v>
      </c>
      <c r="J8" s="286">
        <f>KPI!E23</f>
        <v>36.549999999999997</v>
      </c>
      <c r="K8" s="286">
        <f>KPI!F23</f>
        <v>56.39</v>
      </c>
      <c r="L8" s="286">
        <f>KPI!G23</f>
        <v>75.55</v>
      </c>
      <c r="M8" s="286">
        <f>KPI!H23</f>
        <v>95.22</v>
      </c>
      <c r="N8" s="286">
        <f>KPI!I23</f>
        <v>113.73</v>
      </c>
      <c r="O8" s="286">
        <f>KPI!J23</f>
        <v>132.49</v>
      </c>
      <c r="P8" s="286">
        <f>KPI!K23</f>
        <v>151.71</v>
      </c>
      <c r="Q8" s="286">
        <f>KPI!L23</f>
        <v>171.15</v>
      </c>
      <c r="R8" s="286">
        <f>KPI!M23</f>
        <v>191.42</v>
      </c>
      <c r="S8" s="286">
        <f>KPI!N23</f>
        <v>211.32</v>
      </c>
      <c r="T8" s="90">
        <f>KPI!O23</f>
        <v>231.47</v>
      </c>
      <c r="U8" s="211"/>
      <c r="V8" s="211"/>
    </row>
    <row r="9" spans="1:22" s="212" customFormat="1" ht="16.5">
      <c r="A9" s="51">
        <v>2</v>
      </c>
      <c r="B9" s="315" t="s">
        <v>385</v>
      </c>
      <c r="C9" s="349"/>
      <c r="D9" s="317"/>
      <c r="E9" s="61"/>
      <c r="F9" s="61">
        <v>14</v>
      </c>
      <c r="G9" s="286"/>
      <c r="H9" s="286"/>
      <c r="I9" s="286"/>
      <c r="J9" s="286"/>
      <c r="K9" s="286"/>
      <c r="L9" s="286"/>
      <c r="M9" s="286"/>
      <c r="N9" s="286"/>
      <c r="O9" s="286"/>
      <c r="P9" s="286"/>
      <c r="Q9" s="286"/>
      <c r="R9" s="286"/>
      <c r="S9" s="286"/>
      <c r="T9" s="90"/>
      <c r="U9" s="211"/>
      <c r="V9" s="211"/>
    </row>
    <row r="10" spans="1:22" s="212" customFormat="1" ht="16.5">
      <c r="A10" s="51"/>
      <c r="B10" s="52" t="s">
        <v>386</v>
      </c>
      <c r="C10" s="349" t="s">
        <v>279</v>
      </c>
      <c r="D10" s="317" t="s">
        <v>387</v>
      </c>
      <c r="E10" s="61" t="s">
        <v>280</v>
      </c>
      <c r="F10" s="61"/>
      <c r="G10" s="286">
        <f>N10</f>
        <v>140.34</v>
      </c>
      <c r="H10" s="286">
        <f>T10</f>
        <v>280.67</v>
      </c>
      <c r="I10" s="286">
        <f>KPI!D47</f>
        <v>23.39</v>
      </c>
      <c r="J10" s="286">
        <f>KPI!E47</f>
        <v>46.78</v>
      </c>
      <c r="K10" s="286">
        <f>KPI!F47</f>
        <v>70.17</v>
      </c>
      <c r="L10" s="286">
        <f>KPI!G47</f>
        <v>93.56</v>
      </c>
      <c r="M10" s="286">
        <f>KPI!H47</f>
        <v>116.95</v>
      </c>
      <c r="N10" s="286">
        <f>KPI!I47</f>
        <v>140.34</v>
      </c>
      <c r="O10" s="286">
        <f>KPI!J47</f>
        <v>163.72</v>
      </c>
      <c r="P10" s="286">
        <f>KPI!K47</f>
        <v>187.11</v>
      </c>
      <c r="Q10" s="286">
        <f>KPI!L47</f>
        <v>210.5</v>
      </c>
      <c r="R10" s="286">
        <f>KPI!M47</f>
        <v>233.89</v>
      </c>
      <c r="S10" s="286">
        <f>KPI!N47</f>
        <v>257.27999999999997</v>
      </c>
      <c r="T10" s="90">
        <f>KPI!O47</f>
        <v>280.67</v>
      </c>
      <c r="U10" s="211"/>
      <c r="V10" s="211"/>
    </row>
    <row r="11" spans="1:22" s="212" customFormat="1" ht="16.5">
      <c r="A11" s="61"/>
      <c r="B11" s="52" t="s">
        <v>388</v>
      </c>
      <c r="C11" s="349" t="s">
        <v>279</v>
      </c>
      <c r="D11" s="317" t="s">
        <v>389</v>
      </c>
      <c r="E11" s="61" t="s">
        <v>281</v>
      </c>
      <c r="F11" s="61"/>
      <c r="G11" s="286">
        <f>N11</f>
        <v>1.48</v>
      </c>
      <c r="H11" s="286">
        <f>T11</f>
        <v>2.97</v>
      </c>
      <c r="I11" s="286">
        <f>KPI!D69</f>
        <v>0.25</v>
      </c>
      <c r="J11" s="286">
        <f>KPI!E69</f>
        <v>0.49</v>
      </c>
      <c r="K11" s="286">
        <f>KPI!F69</f>
        <v>0.74</v>
      </c>
      <c r="L11" s="286">
        <f>KPI!G69</f>
        <v>0.99</v>
      </c>
      <c r="M11" s="286">
        <f>KPI!H69</f>
        <v>1.24</v>
      </c>
      <c r="N11" s="286">
        <f>KPI!I69</f>
        <v>1.48</v>
      </c>
      <c r="O11" s="286">
        <f>KPI!J69</f>
        <v>1.73</v>
      </c>
      <c r="P11" s="286">
        <f>KPI!K69</f>
        <v>1.98</v>
      </c>
      <c r="Q11" s="286">
        <f>KPI!L69</f>
        <v>2.2200000000000002</v>
      </c>
      <c r="R11" s="286">
        <f>KPI!M69</f>
        <v>2.4700000000000002</v>
      </c>
      <c r="S11" s="286">
        <f>KPI!N69</f>
        <v>2.72</v>
      </c>
      <c r="T11" s="90">
        <f>KPI!O69</f>
        <v>2.97</v>
      </c>
      <c r="U11" s="211"/>
      <c r="V11" s="211"/>
    </row>
    <row r="12" spans="1:22" s="212" customFormat="1" ht="16.5">
      <c r="A12" s="61"/>
      <c r="B12" s="52" t="s">
        <v>390</v>
      </c>
      <c r="C12" s="349" t="s">
        <v>279</v>
      </c>
      <c r="D12" s="317" t="s">
        <v>140</v>
      </c>
      <c r="E12" s="61" t="s">
        <v>282</v>
      </c>
      <c r="F12" s="61"/>
      <c r="G12" s="286">
        <f>N12</f>
        <v>53.93</v>
      </c>
      <c r="H12" s="286">
        <f>T12</f>
        <v>107.87</v>
      </c>
      <c r="I12" s="286">
        <f>KPI!D79</f>
        <v>8.99</v>
      </c>
      <c r="J12" s="286">
        <f>KPI!E79</f>
        <v>17.98</v>
      </c>
      <c r="K12" s="286">
        <f>KPI!F79</f>
        <v>26.97</v>
      </c>
      <c r="L12" s="286">
        <f>KPI!G79</f>
        <v>35.96</v>
      </c>
      <c r="M12" s="286">
        <f>KPI!H79</f>
        <v>44.94</v>
      </c>
      <c r="N12" s="286">
        <f>KPI!I79</f>
        <v>53.93</v>
      </c>
      <c r="O12" s="286">
        <f>KPI!J79</f>
        <v>62.92</v>
      </c>
      <c r="P12" s="286">
        <f>KPI!K79</f>
        <v>71.91</v>
      </c>
      <c r="Q12" s="286">
        <f>KPI!L79</f>
        <v>80.900000000000006</v>
      </c>
      <c r="R12" s="286">
        <f>KPI!M79</f>
        <v>89.89</v>
      </c>
      <c r="S12" s="286">
        <f>KPI!N79</f>
        <v>98.88</v>
      </c>
      <c r="T12" s="90">
        <f>KPI!O79</f>
        <v>107.87</v>
      </c>
      <c r="U12" s="211"/>
      <c r="V12" s="211"/>
    </row>
    <row r="13" spans="1:22" s="212" customFormat="1" ht="16.5">
      <c r="A13" s="61">
        <v>3</v>
      </c>
      <c r="B13" s="311" t="s">
        <v>391</v>
      </c>
      <c r="C13" s="349"/>
      <c r="D13" s="317"/>
      <c r="E13" s="61"/>
      <c r="F13" s="61">
        <v>12</v>
      </c>
      <c r="G13" s="286"/>
      <c r="H13" s="286"/>
      <c r="I13" s="286"/>
      <c r="J13" s="286"/>
      <c r="K13" s="286"/>
      <c r="L13" s="286"/>
      <c r="M13" s="286"/>
      <c r="N13" s="286"/>
      <c r="O13" s="286"/>
      <c r="P13" s="286"/>
      <c r="Q13" s="286"/>
      <c r="R13" s="286"/>
      <c r="S13" s="286"/>
      <c r="T13" s="90"/>
      <c r="U13" s="211"/>
      <c r="V13" s="211"/>
    </row>
    <row r="14" spans="1:22" s="212" customFormat="1" ht="16.5">
      <c r="A14" s="61"/>
      <c r="B14" s="52" t="s">
        <v>392</v>
      </c>
      <c r="C14" s="349" t="s">
        <v>279</v>
      </c>
      <c r="D14" s="317" t="s">
        <v>149</v>
      </c>
      <c r="E14" s="61"/>
      <c r="F14" s="61"/>
      <c r="G14" s="286">
        <f>N14</f>
        <v>9.41</v>
      </c>
      <c r="H14" s="286">
        <f>T14</f>
        <v>9</v>
      </c>
      <c r="I14" s="286">
        <f>KPI!D109</f>
        <v>9.9499999999999993</v>
      </c>
      <c r="J14" s="286">
        <f>KPI!E109</f>
        <v>9.9499999999999993</v>
      </c>
      <c r="K14" s="286">
        <f>KPI!F109</f>
        <v>9.9499999999999993</v>
      </c>
      <c r="L14" s="286">
        <f>KPI!G109</f>
        <v>9.77</v>
      </c>
      <c r="M14" s="286">
        <f>KPI!H109</f>
        <v>9.59</v>
      </c>
      <c r="N14" s="286">
        <f>KPI!I109</f>
        <v>9.41</v>
      </c>
      <c r="O14" s="286">
        <f>KPI!J109</f>
        <v>9.34</v>
      </c>
      <c r="P14" s="286">
        <f>KPI!K109</f>
        <v>9.27</v>
      </c>
      <c r="Q14" s="286">
        <f>KPI!L109</f>
        <v>9.1999999999999993</v>
      </c>
      <c r="R14" s="286">
        <f>KPI!M109</f>
        <v>9.14</v>
      </c>
      <c r="S14" s="286">
        <f>KPI!N109</f>
        <v>9.07</v>
      </c>
      <c r="T14" s="90">
        <f>KPI!O109</f>
        <v>9</v>
      </c>
      <c r="U14" s="211"/>
      <c r="V14" s="211"/>
    </row>
    <row r="15" spans="1:22" s="212" customFormat="1" ht="16.5">
      <c r="A15" s="61"/>
      <c r="B15" s="52" t="s">
        <v>393</v>
      </c>
      <c r="C15" s="349" t="s">
        <v>277</v>
      </c>
      <c r="D15" s="317" t="s">
        <v>149</v>
      </c>
      <c r="E15" s="61"/>
      <c r="F15" s="61"/>
      <c r="G15" s="286">
        <f>N15</f>
        <v>40</v>
      </c>
      <c r="H15" s="286">
        <f>T15</f>
        <v>100</v>
      </c>
      <c r="I15" s="286">
        <f>KPI!D125</f>
        <v>6.67</v>
      </c>
      <c r="J15" s="286">
        <f>KPI!E125</f>
        <v>13.33</v>
      </c>
      <c r="K15" s="286">
        <f>KPI!F125</f>
        <v>20</v>
      </c>
      <c r="L15" s="286">
        <f>KPI!G125</f>
        <v>26.67</v>
      </c>
      <c r="M15" s="286">
        <f>KPI!H125</f>
        <v>33.33</v>
      </c>
      <c r="N15" s="286">
        <f>KPI!I125</f>
        <v>40</v>
      </c>
      <c r="O15" s="286">
        <f>KPI!J125</f>
        <v>50</v>
      </c>
      <c r="P15" s="286">
        <f>KPI!K125</f>
        <v>60</v>
      </c>
      <c r="Q15" s="286">
        <f>KPI!L125</f>
        <v>70</v>
      </c>
      <c r="R15" s="286">
        <f>KPI!M125</f>
        <v>80</v>
      </c>
      <c r="S15" s="286">
        <f>KPI!N125</f>
        <v>90</v>
      </c>
      <c r="T15" s="286">
        <f>KPI!O125</f>
        <v>100</v>
      </c>
      <c r="U15" s="211"/>
      <c r="V15" s="211"/>
    </row>
    <row r="16" spans="1:22" s="212" customFormat="1" ht="16.5">
      <c r="A16" s="61"/>
      <c r="B16" s="52" t="s">
        <v>394</v>
      </c>
      <c r="C16" s="349" t="s">
        <v>277</v>
      </c>
      <c r="D16" s="317" t="s">
        <v>72</v>
      </c>
      <c r="E16" s="61" t="s">
        <v>283</v>
      </c>
      <c r="F16" s="61"/>
      <c r="G16" s="286">
        <f>N16</f>
        <v>2158</v>
      </c>
      <c r="H16" s="286">
        <f>T16</f>
        <v>4727</v>
      </c>
      <c r="I16" s="286">
        <f>KPI!D135</f>
        <v>437</v>
      </c>
      <c r="J16" s="286">
        <f>KPI!E135</f>
        <v>869</v>
      </c>
      <c r="K16" s="286">
        <f>KPI!F135</f>
        <v>1300</v>
      </c>
      <c r="L16" s="286">
        <f>KPI!G135</f>
        <v>1732</v>
      </c>
      <c r="M16" s="286">
        <f>KPI!H135</f>
        <v>1947</v>
      </c>
      <c r="N16" s="286">
        <f>KPI!I135</f>
        <v>2158</v>
      </c>
      <c r="O16" s="286">
        <f>KPI!J135</f>
        <v>2801</v>
      </c>
      <c r="P16" s="286">
        <f>KPI!K135</f>
        <v>3444</v>
      </c>
      <c r="Q16" s="286">
        <f>KPI!L135</f>
        <v>4087</v>
      </c>
      <c r="R16" s="286">
        <f>KPI!M135</f>
        <v>4727</v>
      </c>
      <c r="S16" s="286">
        <f>KPI!N135</f>
        <v>4727</v>
      </c>
      <c r="T16" s="90">
        <f>KPI!O135</f>
        <v>4727</v>
      </c>
      <c r="U16" s="211"/>
      <c r="V16" s="211"/>
    </row>
    <row r="17" spans="1:22" s="210" customFormat="1" ht="16.5">
      <c r="A17" s="139" t="s">
        <v>284</v>
      </c>
      <c r="B17" s="55" t="s">
        <v>285</v>
      </c>
      <c r="C17" s="162"/>
      <c r="D17" s="162"/>
      <c r="E17" s="139"/>
      <c r="F17" s="139">
        <f>SUM(F18:F69)</f>
        <v>60</v>
      </c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39"/>
      <c r="S17" s="139"/>
      <c r="T17" s="180"/>
      <c r="U17" s="209"/>
      <c r="V17" s="209"/>
    </row>
    <row r="18" spans="1:22" s="210" customFormat="1" ht="15.75" customHeight="1">
      <c r="A18" s="51">
        <v>4</v>
      </c>
      <c r="B18" s="315" t="s">
        <v>286</v>
      </c>
      <c r="C18" s="316"/>
      <c r="D18" s="317"/>
      <c r="E18" s="61"/>
      <c r="F18" s="61">
        <v>6</v>
      </c>
      <c r="G18" s="333"/>
      <c r="H18" s="333"/>
      <c r="I18" s="333"/>
      <c r="J18" s="333"/>
      <c r="K18" s="333"/>
      <c r="L18" s="333"/>
      <c r="M18" s="333"/>
      <c r="N18" s="333"/>
      <c r="O18" s="333"/>
      <c r="P18" s="333"/>
      <c r="Q18" s="333"/>
      <c r="R18" s="333"/>
      <c r="S18" s="333"/>
      <c r="T18" s="186"/>
      <c r="U18" s="211"/>
      <c r="V18" s="211"/>
    </row>
    <row r="19" spans="1:22" s="212" customFormat="1" ht="16.5">
      <c r="A19" s="51"/>
      <c r="B19" s="319" t="s">
        <v>288</v>
      </c>
      <c r="C19" s="349" t="s">
        <v>279</v>
      </c>
      <c r="D19" s="317" t="s">
        <v>136</v>
      </c>
      <c r="E19" s="61" t="s">
        <v>287</v>
      </c>
      <c r="F19" s="61"/>
      <c r="G19" s="286">
        <f>N19</f>
        <v>88</v>
      </c>
      <c r="H19" s="286">
        <f>T19</f>
        <v>166</v>
      </c>
      <c r="I19" s="286">
        <f>PI!D23</f>
        <v>15</v>
      </c>
      <c r="J19" s="286">
        <f>PI!E23</f>
        <v>29</v>
      </c>
      <c r="K19" s="286">
        <f>PI!F23</f>
        <v>45</v>
      </c>
      <c r="L19" s="286">
        <f>PI!G23</f>
        <v>59</v>
      </c>
      <c r="M19" s="286">
        <f>PI!H23</f>
        <v>74</v>
      </c>
      <c r="N19" s="286">
        <f>PI!I23</f>
        <v>88</v>
      </c>
      <c r="O19" s="286">
        <f>PI!J23</f>
        <v>103</v>
      </c>
      <c r="P19" s="286">
        <f>PI!K23</f>
        <v>119</v>
      </c>
      <c r="Q19" s="286">
        <f>PI!L23</f>
        <v>134</v>
      </c>
      <c r="R19" s="286">
        <f>PI!M23</f>
        <v>148</v>
      </c>
      <c r="S19" s="286">
        <f>PI!N23</f>
        <v>163</v>
      </c>
      <c r="T19" s="90">
        <f>PI!O23</f>
        <v>166</v>
      </c>
      <c r="U19" s="211"/>
      <c r="V19" s="211"/>
    </row>
    <row r="20" spans="1:22" s="212" customFormat="1" ht="16.5">
      <c r="A20" s="334"/>
      <c r="B20" s="335" t="s">
        <v>290</v>
      </c>
      <c r="C20" s="402" t="s">
        <v>279</v>
      </c>
      <c r="D20" s="336" t="s">
        <v>136</v>
      </c>
      <c r="E20" s="337" t="s">
        <v>289</v>
      </c>
      <c r="F20" s="338"/>
      <c r="G20" s="339">
        <f>N20</f>
        <v>96</v>
      </c>
      <c r="H20" s="339">
        <f>T20</f>
        <v>191</v>
      </c>
      <c r="I20" s="286">
        <f>PI!D24</f>
        <v>17</v>
      </c>
      <c r="J20" s="286">
        <f>PI!E24</f>
        <v>31</v>
      </c>
      <c r="K20" s="286">
        <f>PI!F24</f>
        <v>48</v>
      </c>
      <c r="L20" s="286">
        <f>PI!G24</f>
        <v>65</v>
      </c>
      <c r="M20" s="286">
        <f>PI!H24</f>
        <v>79</v>
      </c>
      <c r="N20" s="286">
        <f>PI!I24</f>
        <v>96</v>
      </c>
      <c r="O20" s="286">
        <f>PI!J24</f>
        <v>113</v>
      </c>
      <c r="P20" s="286">
        <f>PI!K24</f>
        <v>128</v>
      </c>
      <c r="Q20" s="286">
        <f>PI!L24</f>
        <v>144</v>
      </c>
      <c r="R20" s="286">
        <f>PI!M24</f>
        <v>161</v>
      </c>
      <c r="S20" s="286">
        <f>PI!N24</f>
        <v>177</v>
      </c>
      <c r="T20" s="90">
        <f>PI!O24</f>
        <v>191</v>
      </c>
      <c r="U20" s="211"/>
      <c r="V20" s="211"/>
    </row>
    <row r="21" spans="1:22" s="212" customFormat="1" ht="16.5">
      <c r="A21" s="334"/>
      <c r="B21" s="335" t="s">
        <v>292</v>
      </c>
      <c r="C21" s="349" t="s">
        <v>279</v>
      </c>
      <c r="D21" s="336" t="s">
        <v>72</v>
      </c>
      <c r="E21" s="337" t="s">
        <v>291</v>
      </c>
      <c r="F21" s="338"/>
      <c r="G21" s="339">
        <f>N21</f>
        <v>5</v>
      </c>
      <c r="H21" s="339">
        <f>T21</f>
        <v>5</v>
      </c>
      <c r="I21" s="339">
        <v>0</v>
      </c>
      <c r="J21" s="339">
        <v>0</v>
      </c>
      <c r="K21" s="339">
        <v>5</v>
      </c>
      <c r="L21" s="339">
        <v>5</v>
      </c>
      <c r="M21" s="339">
        <v>5</v>
      </c>
      <c r="N21" s="339">
        <v>5</v>
      </c>
      <c r="O21" s="339">
        <v>5</v>
      </c>
      <c r="P21" s="339">
        <v>5</v>
      </c>
      <c r="Q21" s="339">
        <v>5</v>
      </c>
      <c r="R21" s="339">
        <v>5</v>
      </c>
      <c r="S21" s="339">
        <v>5</v>
      </c>
      <c r="T21" s="170">
        <v>5</v>
      </c>
      <c r="U21" s="211"/>
      <c r="V21" s="211"/>
    </row>
    <row r="22" spans="1:22" s="212" customFormat="1" ht="16.5">
      <c r="A22" s="51">
        <v>5</v>
      </c>
      <c r="B22" s="315" t="s">
        <v>294</v>
      </c>
      <c r="C22" s="349"/>
      <c r="D22" s="336"/>
      <c r="E22" s="340" t="s">
        <v>293</v>
      </c>
      <c r="F22" s="61">
        <v>6</v>
      </c>
      <c r="G22" s="318"/>
      <c r="H22" s="318"/>
      <c r="I22" s="318"/>
      <c r="J22" s="318"/>
      <c r="K22" s="318"/>
      <c r="L22" s="318"/>
      <c r="M22" s="318"/>
      <c r="N22" s="318"/>
      <c r="O22" s="318"/>
      <c r="P22" s="318"/>
      <c r="Q22" s="318"/>
      <c r="R22" s="318"/>
      <c r="S22" s="318"/>
      <c r="T22" s="91"/>
      <c r="U22" s="211"/>
      <c r="V22" s="211"/>
    </row>
    <row r="23" spans="1:22" s="212" customFormat="1" ht="16.5">
      <c r="A23" s="51"/>
      <c r="B23" s="319" t="s">
        <v>295</v>
      </c>
      <c r="C23" s="403" t="s">
        <v>279</v>
      </c>
      <c r="D23" s="355" t="s">
        <v>149</v>
      </c>
      <c r="E23" s="342"/>
      <c r="F23" s="343"/>
      <c r="G23" s="318">
        <f>N23</f>
        <v>0.09</v>
      </c>
      <c r="H23" s="318">
        <f>T23</f>
        <v>0.09</v>
      </c>
      <c r="I23" s="465">
        <f>PI!D70</f>
        <v>0.09</v>
      </c>
      <c r="J23" s="465">
        <f>PI!E70</f>
        <v>0.09</v>
      </c>
      <c r="K23" s="465">
        <f>PI!F70</f>
        <v>0.09</v>
      </c>
      <c r="L23" s="465">
        <f>PI!G70</f>
        <v>0.09</v>
      </c>
      <c r="M23" s="465">
        <f>PI!H70</f>
        <v>0.09</v>
      </c>
      <c r="N23" s="465">
        <f>PI!I70</f>
        <v>0.09</v>
      </c>
      <c r="O23" s="465">
        <f>PI!J70</f>
        <v>0.09</v>
      </c>
      <c r="P23" s="465">
        <f>PI!K70</f>
        <v>0.09</v>
      </c>
      <c r="Q23" s="465">
        <f>PI!L70</f>
        <v>0.09</v>
      </c>
      <c r="R23" s="465">
        <f>PI!M70</f>
        <v>0.09</v>
      </c>
      <c r="S23" s="465">
        <f>PI!N70</f>
        <v>0.09</v>
      </c>
      <c r="T23" s="354">
        <f>PI!O70</f>
        <v>0.09</v>
      </c>
      <c r="U23" s="211"/>
      <c r="V23" s="211"/>
    </row>
    <row r="24" spans="1:22" s="212" customFormat="1" ht="16.5">
      <c r="A24" s="51"/>
      <c r="B24" s="319" t="s">
        <v>296</v>
      </c>
      <c r="C24" s="403" t="s">
        <v>279</v>
      </c>
      <c r="D24" s="341" t="s">
        <v>149</v>
      </c>
      <c r="E24" s="342"/>
      <c r="F24" s="343"/>
      <c r="G24" s="318">
        <f>N24</f>
        <v>0.04</v>
      </c>
      <c r="H24" s="318">
        <f>T24</f>
        <v>0.04</v>
      </c>
      <c r="I24" s="286">
        <f>PI!D92</f>
        <v>0.04</v>
      </c>
      <c r="J24" s="286">
        <f>PI!E92</f>
        <v>0.04</v>
      </c>
      <c r="K24" s="286">
        <f>PI!F92</f>
        <v>0.04</v>
      </c>
      <c r="L24" s="286">
        <f>PI!G92</f>
        <v>0.04</v>
      </c>
      <c r="M24" s="286">
        <f>PI!H92</f>
        <v>0.04</v>
      </c>
      <c r="N24" s="286">
        <f>PI!I92</f>
        <v>0.04</v>
      </c>
      <c r="O24" s="286">
        <f>PI!J92</f>
        <v>0.04</v>
      </c>
      <c r="P24" s="286">
        <f>PI!K92</f>
        <v>0.04</v>
      </c>
      <c r="Q24" s="286">
        <f>PI!L92</f>
        <v>0.04</v>
      </c>
      <c r="R24" s="286">
        <f>PI!M92</f>
        <v>0.04</v>
      </c>
      <c r="S24" s="286">
        <f>PI!N92</f>
        <v>0.04</v>
      </c>
      <c r="T24" s="90">
        <f>PI!O92</f>
        <v>0.04</v>
      </c>
      <c r="U24" s="211"/>
      <c r="V24" s="211"/>
    </row>
    <row r="25" spans="1:22" s="212" customFormat="1" ht="16.5">
      <c r="A25" s="51"/>
      <c r="B25" s="52" t="s">
        <v>298</v>
      </c>
      <c r="C25" s="403" t="s">
        <v>277</v>
      </c>
      <c r="D25" s="341" t="s">
        <v>193</v>
      </c>
      <c r="E25" s="342" t="s">
        <v>297</v>
      </c>
      <c r="F25" s="343"/>
      <c r="G25" s="286">
        <f>N25</f>
        <v>4.9000000000000004</v>
      </c>
      <c r="H25" s="286">
        <f>T25</f>
        <v>4.9000000000000004</v>
      </c>
      <c r="I25" s="286">
        <f>PI!D97</f>
        <v>4.9000000000000004</v>
      </c>
      <c r="J25" s="286">
        <f>PI!E97</f>
        <v>4.9000000000000004</v>
      </c>
      <c r="K25" s="286">
        <f>PI!F97</f>
        <v>4.9000000000000004</v>
      </c>
      <c r="L25" s="286">
        <f>PI!G97</f>
        <v>4.9000000000000004</v>
      </c>
      <c r="M25" s="286">
        <f>PI!H97</f>
        <v>4.9000000000000004</v>
      </c>
      <c r="N25" s="286">
        <f>PI!I97</f>
        <v>4.9000000000000004</v>
      </c>
      <c r="O25" s="286">
        <f>PI!J97</f>
        <v>4.9000000000000004</v>
      </c>
      <c r="P25" s="286">
        <f>PI!K97</f>
        <v>4.9000000000000004</v>
      </c>
      <c r="Q25" s="286">
        <f>PI!L97</f>
        <v>4.9000000000000004</v>
      </c>
      <c r="R25" s="286">
        <f>PI!M97</f>
        <v>4.9000000000000004</v>
      </c>
      <c r="S25" s="286">
        <f>PI!N97</f>
        <v>4.9000000000000004</v>
      </c>
      <c r="T25" s="90">
        <f>PI!O97</f>
        <v>4.9000000000000004</v>
      </c>
      <c r="U25" s="211"/>
      <c r="V25" s="211"/>
    </row>
    <row r="26" spans="1:22" s="212" customFormat="1" ht="16.5">
      <c r="A26" s="51"/>
      <c r="B26" s="319" t="s">
        <v>300</v>
      </c>
      <c r="C26" s="403" t="s">
        <v>277</v>
      </c>
      <c r="D26" s="341" t="s">
        <v>301</v>
      </c>
      <c r="E26" s="342" t="s">
        <v>302</v>
      </c>
      <c r="F26" s="343"/>
      <c r="G26" s="286">
        <f>N26</f>
        <v>31455</v>
      </c>
      <c r="H26" s="286">
        <f>T26</f>
        <v>62908</v>
      </c>
      <c r="I26" s="286">
        <f>PI!D107</f>
        <v>5386</v>
      </c>
      <c r="J26" s="286">
        <f>PI!E107</f>
        <v>10253</v>
      </c>
      <c r="K26" s="286">
        <f>PI!F107</f>
        <v>15641</v>
      </c>
      <c r="L26" s="286">
        <f>PI!G107</f>
        <v>20855</v>
      </c>
      <c r="M26" s="286">
        <f>PI!H107</f>
        <v>26242</v>
      </c>
      <c r="N26" s="286">
        <f>PI!I107</f>
        <v>31455</v>
      </c>
      <c r="O26" s="286">
        <f>PI!J107</f>
        <v>36754</v>
      </c>
      <c r="P26" s="286">
        <f>PI!K107</f>
        <v>42054</v>
      </c>
      <c r="Q26" s="286">
        <f>PI!L107</f>
        <v>47183</v>
      </c>
      <c r="R26" s="286">
        <f>PI!M107</f>
        <v>52481</v>
      </c>
      <c r="S26" s="286">
        <f>PI!N107</f>
        <v>57609</v>
      </c>
      <c r="T26" s="90">
        <f>PI!O107</f>
        <v>62908</v>
      </c>
      <c r="U26" s="211"/>
      <c r="V26" s="211"/>
    </row>
    <row r="27" spans="1:22" s="212" customFormat="1" ht="16.5">
      <c r="A27" s="51">
        <v>6</v>
      </c>
      <c r="B27" s="315" t="s">
        <v>303</v>
      </c>
      <c r="C27" s="403"/>
      <c r="D27" s="341"/>
      <c r="E27" s="342"/>
      <c r="F27" s="343">
        <v>3</v>
      </c>
      <c r="G27" s="286"/>
      <c r="H27" s="286"/>
      <c r="I27" s="286"/>
      <c r="J27" s="286"/>
      <c r="K27" s="286"/>
      <c r="L27" s="286"/>
      <c r="M27" s="286"/>
      <c r="N27" s="286"/>
      <c r="O27" s="286"/>
      <c r="P27" s="286"/>
      <c r="Q27" s="286"/>
      <c r="R27" s="286"/>
      <c r="S27" s="286"/>
      <c r="T27" s="90"/>
      <c r="U27" s="211"/>
      <c r="V27" s="211"/>
    </row>
    <row r="28" spans="1:22" s="212" customFormat="1" ht="16.5">
      <c r="A28" s="51"/>
      <c r="B28" s="319" t="s">
        <v>304</v>
      </c>
      <c r="C28" s="403" t="s">
        <v>279</v>
      </c>
      <c r="D28" s="341" t="s">
        <v>132</v>
      </c>
      <c r="E28" s="342"/>
      <c r="F28" s="343"/>
      <c r="G28" s="286">
        <f>N28</f>
        <v>30</v>
      </c>
      <c r="H28" s="286">
        <f>T28</f>
        <v>30</v>
      </c>
      <c r="I28" s="286">
        <f>PI!D123</f>
        <v>30</v>
      </c>
      <c r="J28" s="286">
        <f>PI!E123</f>
        <v>30</v>
      </c>
      <c r="K28" s="286">
        <f>PI!F123</f>
        <v>30</v>
      </c>
      <c r="L28" s="286">
        <f>PI!G123</f>
        <v>30</v>
      </c>
      <c r="M28" s="286">
        <f>PI!H123</f>
        <v>30</v>
      </c>
      <c r="N28" s="286">
        <f>PI!I123</f>
        <v>30</v>
      </c>
      <c r="O28" s="286">
        <f>PI!J123</f>
        <v>30</v>
      </c>
      <c r="P28" s="286">
        <f>PI!K123</f>
        <v>30</v>
      </c>
      <c r="Q28" s="286">
        <f>PI!L123</f>
        <v>30</v>
      </c>
      <c r="R28" s="286">
        <f>PI!M123</f>
        <v>30</v>
      </c>
      <c r="S28" s="286">
        <f>PI!N123</f>
        <v>30</v>
      </c>
      <c r="T28" s="90">
        <f>PI!O123</f>
        <v>30</v>
      </c>
      <c r="U28" s="211"/>
      <c r="V28" s="211"/>
    </row>
    <row r="29" spans="1:22" s="212" customFormat="1" ht="16.5">
      <c r="A29" s="51"/>
      <c r="B29" s="319" t="s">
        <v>305</v>
      </c>
      <c r="C29" s="403" t="s">
        <v>277</v>
      </c>
      <c r="D29" s="341" t="s">
        <v>149</v>
      </c>
      <c r="E29" s="342"/>
      <c r="F29" s="343"/>
      <c r="G29" s="286">
        <f>N29</f>
        <v>0</v>
      </c>
      <c r="H29" s="286">
        <f>T29</f>
        <v>0</v>
      </c>
      <c r="I29" s="286">
        <f>PI!D139</f>
        <v>0</v>
      </c>
      <c r="J29" s="286">
        <f>PI!E139</f>
        <v>0</v>
      </c>
      <c r="K29" s="286">
        <f>PI!F139</f>
        <v>0</v>
      </c>
      <c r="L29" s="286">
        <f>PI!G139</f>
        <v>0</v>
      </c>
      <c r="M29" s="286">
        <f>PI!H139</f>
        <v>0</v>
      </c>
      <c r="N29" s="286">
        <f>PI!I139</f>
        <v>0</v>
      </c>
      <c r="O29" s="286">
        <f>PI!J139</f>
        <v>0</v>
      </c>
      <c r="P29" s="286">
        <f>PI!K139</f>
        <v>0</v>
      </c>
      <c r="Q29" s="286">
        <f>PI!L139</f>
        <v>0</v>
      </c>
      <c r="R29" s="286">
        <f>PI!M139</f>
        <v>0</v>
      </c>
      <c r="S29" s="286">
        <f>PI!N139</f>
        <v>0</v>
      </c>
      <c r="T29" s="90">
        <f>PI!O139</f>
        <v>0</v>
      </c>
      <c r="U29" s="211"/>
      <c r="V29" s="211"/>
    </row>
    <row r="30" spans="1:22" s="212" customFormat="1" ht="16.5">
      <c r="A30" s="51">
        <v>7</v>
      </c>
      <c r="B30" s="315" t="s">
        <v>306</v>
      </c>
      <c r="C30" s="403"/>
      <c r="D30" s="341"/>
      <c r="E30" s="342"/>
      <c r="F30" s="343">
        <v>4</v>
      </c>
      <c r="G30" s="286"/>
      <c r="H30" s="286"/>
      <c r="I30" s="286"/>
      <c r="J30" s="286"/>
      <c r="K30" s="286"/>
      <c r="L30" s="286"/>
      <c r="M30" s="286"/>
      <c r="N30" s="286"/>
      <c r="O30" s="286"/>
      <c r="P30" s="286"/>
      <c r="Q30" s="286"/>
      <c r="R30" s="286"/>
      <c r="S30" s="286"/>
      <c r="T30" s="90"/>
      <c r="U30" s="211"/>
      <c r="V30" s="211"/>
    </row>
    <row r="31" spans="1:22" s="212" customFormat="1" ht="16.5">
      <c r="A31" s="51"/>
      <c r="B31" s="319" t="s">
        <v>308</v>
      </c>
      <c r="C31" s="403" t="s">
        <v>277</v>
      </c>
      <c r="D31" s="341" t="s">
        <v>149</v>
      </c>
      <c r="E31" s="342"/>
      <c r="F31" s="343"/>
      <c r="G31" s="286">
        <f>N31</f>
        <v>100</v>
      </c>
      <c r="H31" s="286">
        <f>T31</f>
        <v>100</v>
      </c>
      <c r="I31" s="286">
        <f>PI!D160</f>
        <v>100</v>
      </c>
      <c r="J31" s="286">
        <f>PI!E160</f>
        <v>100</v>
      </c>
      <c r="K31" s="286">
        <f>PI!F160</f>
        <v>100</v>
      </c>
      <c r="L31" s="286">
        <f>PI!G160</f>
        <v>100</v>
      </c>
      <c r="M31" s="286">
        <f>PI!H160</f>
        <v>100</v>
      </c>
      <c r="N31" s="286">
        <f>PI!I160</f>
        <v>100</v>
      </c>
      <c r="O31" s="286">
        <f>PI!J160</f>
        <v>100</v>
      </c>
      <c r="P31" s="286">
        <f>PI!K160</f>
        <v>100</v>
      </c>
      <c r="Q31" s="286">
        <f>PI!L160</f>
        <v>100</v>
      </c>
      <c r="R31" s="286">
        <f>PI!M160</f>
        <v>100</v>
      </c>
      <c r="S31" s="286">
        <f>PI!N160</f>
        <v>100</v>
      </c>
      <c r="T31" s="90">
        <f>PI!O160</f>
        <v>100</v>
      </c>
      <c r="U31" s="211"/>
      <c r="V31" s="211"/>
    </row>
    <row r="32" spans="1:22" s="212" customFormat="1" ht="16.5">
      <c r="A32" s="51"/>
      <c r="B32" s="319" t="s">
        <v>309</v>
      </c>
      <c r="C32" s="403" t="s">
        <v>277</v>
      </c>
      <c r="D32" s="341" t="s">
        <v>149</v>
      </c>
      <c r="E32" s="342"/>
      <c r="F32" s="343"/>
      <c r="G32" s="286">
        <f>N32</f>
        <v>100</v>
      </c>
      <c r="H32" s="286">
        <f>T32</f>
        <v>100</v>
      </c>
      <c r="I32" s="286">
        <f>PI!D182</f>
        <v>100</v>
      </c>
      <c r="J32" s="286">
        <f>PI!E182</f>
        <v>100</v>
      </c>
      <c r="K32" s="286">
        <f>PI!F182</f>
        <v>100</v>
      </c>
      <c r="L32" s="286">
        <f>PI!G182</f>
        <v>100</v>
      </c>
      <c r="M32" s="286">
        <f>PI!H182</f>
        <v>100</v>
      </c>
      <c r="N32" s="286">
        <f>PI!I182</f>
        <v>100</v>
      </c>
      <c r="O32" s="286">
        <f>PI!J182</f>
        <v>100</v>
      </c>
      <c r="P32" s="286">
        <f>PI!K182</f>
        <v>100</v>
      </c>
      <c r="Q32" s="286">
        <f>PI!L182</f>
        <v>100</v>
      </c>
      <c r="R32" s="286">
        <f>PI!M182</f>
        <v>100</v>
      </c>
      <c r="S32" s="286">
        <f>PI!N182</f>
        <v>100</v>
      </c>
      <c r="T32" s="90">
        <f>PI!O182</f>
        <v>100</v>
      </c>
      <c r="U32" s="211"/>
      <c r="V32" s="211"/>
    </row>
    <row r="33" spans="1:22" s="212" customFormat="1" ht="16.5">
      <c r="A33" s="51">
        <v>8</v>
      </c>
      <c r="B33" s="315" t="s">
        <v>310</v>
      </c>
      <c r="C33" s="348"/>
      <c r="D33" s="341"/>
      <c r="E33" s="342"/>
      <c r="F33" s="343">
        <v>6</v>
      </c>
      <c r="G33" s="286"/>
      <c r="H33" s="286"/>
      <c r="I33" s="286"/>
      <c r="J33" s="286"/>
      <c r="K33" s="286"/>
      <c r="L33" s="286"/>
      <c r="M33" s="286"/>
      <c r="N33" s="286"/>
      <c r="O33" s="286"/>
      <c r="P33" s="286"/>
      <c r="Q33" s="286"/>
      <c r="R33" s="286"/>
      <c r="S33" s="286"/>
      <c r="T33" s="90"/>
      <c r="U33" s="211"/>
      <c r="V33" s="211"/>
    </row>
    <row r="34" spans="1:22" s="212" customFormat="1" ht="16.5">
      <c r="A34" s="51"/>
      <c r="B34" s="319" t="s">
        <v>311</v>
      </c>
      <c r="C34" s="405" t="s">
        <v>277</v>
      </c>
      <c r="D34" s="341" t="s">
        <v>149</v>
      </c>
      <c r="E34" s="342"/>
      <c r="F34" s="343"/>
      <c r="G34" s="286">
        <f>N34</f>
        <v>100</v>
      </c>
      <c r="H34" s="286">
        <f>T34</f>
        <v>100</v>
      </c>
      <c r="I34" s="286">
        <f>PI!D189</f>
        <v>100</v>
      </c>
      <c r="J34" s="286">
        <f>PI!E189</f>
        <v>100</v>
      </c>
      <c r="K34" s="286">
        <f>PI!F189</f>
        <v>100</v>
      </c>
      <c r="L34" s="286">
        <f>PI!G189</f>
        <v>100</v>
      </c>
      <c r="M34" s="286">
        <f>PI!H189</f>
        <v>100</v>
      </c>
      <c r="N34" s="286">
        <f>PI!I189</f>
        <v>100</v>
      </c>
      <c r="O34" s="286">
        <f>PI!J189</f>
        <v>100</v>
      </c>
      <c r="P34" s="286">
        <f>PI!K189</f>
        <v>100</v>
      </c>
      <c r="Q34" s="286">
        <f>PI!L189</f>
        <v>100</v>
      </c>
      <c r="R34" s="286">
        <f>PI!M189</f>
        <v>100</v>
      </c>
      <c r="S34" s="286">
        <f>PI!N189</f>
        <v>100</v>
      </c>
      <c r="T34" s="90">
        <f>PI!O189</f>
        <v>100</v>
      </c>
      <c r="U34" s="211"/>
      <c r="V34" s="211"/>
    </row>
    <row r="35" spans="1:22" s="212" customFormat="1" ht="16.5">
      <c r="A35" s="61"/>
      <c r="B35" s="52" t="s">
        <v>395</v>
      </c>
      <c r="C35" s="349" t="s">
        <v>277</v>
      </c>
      <c r="D35" s="317" t="s">
        <v>149</v>
      </c>
      <c r="E35" s="61" t="s">
        <v>396</v>
      </c>
      <c r="F35" s="61"/>
      <c r="G35" s="318"/>
      <c r="H35" s="318"/>
      <c r="I35" s="318"/>
      <c r="J35" s="318"/>
      <c r="K35" s="318"/>
      <c r="L35" s="318"/>
      <c r="M35" s="318"/>
      <c r="N35" s="318"/>
      <c r="O35" s="318"/>
      <c r="P35" s="318"/>
      <c r="Q35" s="318"/>
      <c r="R35" s="318"/>
      <c r="S35" s="318"/>
      <c r="T35" s="91"/>
      <c r="U35" s="211"/>
      <c r="V35" s="211"/>
    </row>
    <row r="36" spans="1:22" s="212" customFormat="1" ht="16.5">
      <c r="A36" s="51">
        <v>9</v>
      </c>
      <c r="B36" s="315" t="s">
        <v>31</v>
      </c>
      <c r="C36" s="349"/>
      <c r="D36" s="356"/>
      <c r="E36" s="342"/>
      <c r="F36" s="343"/>
      <c r="G36" s="318"/>
      <c r="H36" s="318"/>
      <c r="I36" s="286"/>
      <c r="J36" s="286"/>
      <c r="K36" s="286"/>
      <c r="L36" s="286"/>
      <c r="M36" s="286"/>
      <c r="N36" s="286"/>
      <c r="O36" s="286"/>
      <c r="P36" s="286"/>
      <c r="Q36" s="286"/>
      <c r="R36" s="286"/>
      <c r="S36" s="286"/>
      <c r="T36" s="90"/>
      <c r="U36" s="211"/>
      <c r="V36" s="211"/>
    </row>
    <row r="37" spans="1:22" s="212" customFormat="1" ht="16.5">
      <c r="A37" s="51"/>
      <c r="B37" s="319" t="s">
        <v>312</v>
      </c>
      <c r="C37" s="403" t="s">
        <v>277</v>
      </c>
      <c r="D37" s="341" t="s">
        <v>313</v>
      </c>
      <c r="E37" s="342"/>
      <c r="F37" s="343">
        <v>2</v>
      </c>
      <c r="G37" s="286">
        <f t="shared" ref="G37:G42" si="0">N37</f>
        <v>5.3</v>
      </c>
      <c r="H37" s="286">
        <f t="shared" ref="H37:H42" si="1">T37</f>
        <v>13.36</v>
      </c>
      <c r="I37" s="286">
        <f>PI!D199</f>
        <v>0.72</v>
      </c>
      <c r="J37" s="286">
        <f>PI!E199</f>
        <v>1.47</v>
      </c>
      <c r="K37" s="286">
        <f>PI!F199</f>
        <v>2.2599999999999998</v>
      </c>
      <c r="L37" s="286">
        <f>PI!G199</f>
        <v>3.01</v>
      </c>
      <c r="M37" s="286">
        <f>PI!H199</f>
        <v>4.18</v>
      </c>
      <c r="N37" s="286">
        <f>PI!I199</f>
        <v>5.3</v>
      </c>
      <c r="O37" s="286">
        <f>PI!J199</f>
        <v>6.46</v>
      </c>
      <c r="P37" s="286">
        <f>PI!K199</f>
        <v>7.62</v>
      </c>
      <c r="Q37" s="286">
        <f>PI!L199</f>
        <v>8.75</v>
      </c>
      <c r="R37" s="286">
        <f>PI!M199</f>
        <v>9.91</v>
      </c>
      <c r="S37" s="286">
        <f>PI!N199</f>
        <v>11.03</v>
      </c>
      <c r="T37" s="90">
        <f>PI!O199</f>
        <v>13.36</v>
      </c>
      <c r="U37" s="211"/>
      <c r="V37" s="211"/>
    </row>
    <row r="38" spans="1:22" s="212" customFormat="1" ht="16.5">
      <c r="A38" s="51"/>
      <c r="B38" s="319" t="s">
        <v>314</v>
      </c>
      <c r="C38" s="403" t="s">
        <v>277</v>
      </c>
      <c r="D38" s="341" t="s">
        <v>133</v>
      </c>
      <c r="E38" s="342" t="s">
        <v>320</v>
      </c>
      <c r="F38" s="343">
        <v>2</v>
      </c>
      <c r="G38" s="286">
        <f t="shared" si="0"/>
        <v>4619</v>
      </c>
      <c r="H38" s="286">
        <f t="shared" si="1"/>
        <v>10632</v>
      </c>
      <c r="I38" s="286">
        <f>PI!D205</f>
        <v>631</v>
      </c>
      <c r="J38" s="286">
        <f>PI!E205</f>
        <v>1283</v>
      </c>
      <c r="K38" s="286">
        <f>PI!F205</f>
        <v>1968</v>
      </c>
      <c r="L38" s="286">
        <f>PI!G205</f>
        <v>2626</v>
      </c>
      <c r="M38" s="286">
        <f>PI!H205</f>
        <v>3639</v>
      </c>
      <c r="N38" s="286">
        <f>PI!I205</f>
        <v>4619</v>
      </c>
      <c r="O38" s="286">
        <f>PI!J205</f>
        <v>5632</v>
      </c>
      <c r="P38" s="286">
        <f>PI!K205</f>
        <v>6645</v>
      </c>
      <c r="Q38" s="286">
        <f>PI!L205</f>
        <v>7625</v>
      </c>
      <c r="R38" s="286">
        <f>PI!M205</f>
        <v>8638</v>
      </c>
      <c r="S38" s="286">
        <f>PI!N205</f>
        <v>9618</v>
      </c>
      <c r="T38" s="90">
        <f>PI!O205</f>
        <v>10632</v>
      </c>
      <c r="U38" s="211"/>
      <c r="V38" s="211"/>
    </row>
    <row r="39" spans="1:22" s="212" customFormat="1" ht="16.5">
      <c r="A39" s="51"/>
      <c r="B39" s="319" t="s">
        <v>315</v>
      </c>
      <c r="C39" s="403" t="s">
        <v>277</v>
      </c>
      <c r="D39" s="341" t="s">
        <v>133</v>
      </c>
      <c r="E39" s="342"/>
      <c r="F39" s="343">
        <v>1.5</v>
      </c>
      <c r="G39" s="286">
        <f t="shared" si="0"/>
        <v>600</v>
      </c>
      <c r="H39" s="286">
        <f t="shared" si="1"/>
        <v>996</v>
      </c>
      <c r="I39" s="286">
        <f>PI!D211</f>
        <v>100</v>
      </c>
      <c r="J39" s="286">
        <f>PI!E211</f>
        <v>200</v>
      </c>
      <c r="K39" s="286">
        <f>PI!F211</f>
        <v>300</v>
      </c>
      <c r="L39" s="286">
        <f>PI!G211</f>
        <v>400</v>
      </c>
      <c r="M39" s="286">
        <f>PI!H211</f>
        <v>500</v>
      </c>
      <c r="N39" s="286">
        <f>PI!I211</f>
        <v>600</v>
      </c>
      <c r="O39" s="286">
        <f>PI!J211</f>
        <v>666</v>
      </c>
      <c r="P39" s="286">
        <f>PI!K211</f>
        <v>732</v>
      </c>
      <c r="Q39" s="286">
        <f>PI!L211</f>
        <v>798</v>
      </c>
      <c r="R39" s="286">
        <f>PI!M211</f>
        <v>864</v>
      </c>
      <c r="S39" s="286">
        <f>PI!N211</f>
        <v>930</v>
      </c>
      <c r="T39" s="90">
        <f>PI!O211</f>
        <v>996</v>
      </c>
      <c r="U39" s="211"/>
      <c r="V39" s="211"/>
    </row>
    <row r="40" spans="1:22" s="212" customFormat="1" ht="16.5">
      <c r="A40" s="51"/>
      <c r="B40" s="319" t="s">
        <v>316</v>
      </c>
      <c r="C40" s="403" t="s">
        <v>277</v>
      </c>
      <c r="D40" s="341" t="s">
        <v>133</v>
      </c>
      <c r="E40" s="342"/>
      <c r="F40" s="343">
        <v>1.5</v>
      </c>
      <c r="G40" s="286">
        <f t="shared" si="0"/>
        <v>7</v>
      </c>
      <c r="H40" s="286">
        <f t="shared" si="1"/>
        <v>8</v>
      </c>
      <c r="I40" s="286">
        <f>PI!D217</f>
        <v>0</v>
      </c>
      <c r="J40" s="286">
        <f>PI!E217</f>
        <v>0</v>
      </c>
      <c r="K40" s="286">
        <f>PI!F217</f>
        <v>0</v>
      </c>
      <c r="L40" s="286">
        <f>PI!G217</f>
        <v>7</v>
      </c>
      <c r="M40" s="286">
        <f>PI!H217</f>
        <v>7</v>
      </c>
      <c r="N40" s="286">
        <f>PI!I217</f>
        <v>7</v>
      </c>
      <c r="O40" s="286">
        <f>PI!J217</f>
        <v>8</v>
      </c>
      <c r="P40" s="286">
        <f>PI!K217</f>
        <v>8</v>
      </c>
      <c r="Q40" s="286">
        <f>PI!L217</f>
        <v>8</v>
      </c>
      <c r="R40" s="286">
        <f>PI!M217</f>
        <v>8</v>
      </c>
      <c r="S40" s="286">
        <f>PI!N217</f>
        <v>8</v>
      </c>
      <c r="T40" s="90">
        <f>PI!O217</f>
        <v>8</v>
      </c>
      <c r="U40" s="211"/>
      <c r="V40" s="211"/>
    </row>
    <row r="41" spans="1:22" s="212" customFormat="1" ht="16.5">
      <c r="A41" s="51"/>
      <c r="B41" s="52" t="s">
        <v>317</v>
      </c>
      <c r="C41" s="403" t="s">
        <v>277</v>
      </c>
      <c r="D41" s="341" t="s">
        <v>133</v>
      </c>
      <c r="E41" s="342"/>
      <c r="F41" s="343">
        <v>1.5</v>
      </c>
      <c r="G41" s="286">
        <f t="shared" si="0"/>
        <v>14</v>
      </c>
      <c r="H41" s="286">
        <f t="shared" si="1"/>
        <v>441</v>
      </c>
      <c r="I41" s="286">
        <f>PI!D223</f>
        <v>3</v>
      </c>
      <c r="J41" s="286">
        <f>PI!E223</f>
        <v>4</v>
      </c>
      <c r="K41" s="286">
        <f>PI!F223</f>
        <v>4</v>
      </c>
      <c r="L41" s="286">
        <f>PI!G223</f>
        <v>4</v>
      </c>
      <c r="M41" s="286">
        <f>PI!H223</f>
        <v>8</v>
      </c>
      <c r="N41" s="286">
        <f>PI!I223</f>
        <v>14</v>
      </c>
      <c r="O41" s="286">
        <f>PI!J223</f>
        <v>38</v>
      </c>
      <c r="P41" s="286">
        <f>PI!K223</f>
        <v>61</v>
      </c>
      <c r="Q41" s="286">
        <f>PI!L223</f>
        <v>99</v>
      </c>
      <c r="R41" s="286">
        <f>PI!M223</f>
        <v>161</v>
      </c>
      <c r="S41" s="286">
        <f>PI!N223</f>
        <v>266</v>
      </c>
      <c r="T41" s="90">
        <f>PI!O223</f>
        <v>441</v>
      </c>
      <c r="U41" s="211"/>
      <c r="V41" s="211"/>
    </row>
    <row r="42" spans="1:22" s="212" customFormat="1" ht="33">
      <c r="A42" s="51"/>
      <c r="B42" s="52" t="s">
        <v>318</v>
      </c>
      <c r="C42" s="403" t="s">
        <v>277</v>
      </c>
      <c r="D42" s="341" t="s">
        <v>319</v>
      </c>
      <c r="E42" s="342" t="s">
        <v>323</v>
      </c>
      <c r="F42" s="343">
        <v>1.5</v>
      </c>
      <c r="G42" s="286">
        <f t="shared" si="0"/>
        <v>567</v>
      </c>
      <c r="H42" s="286">
        <f t="shared" si="1"/>
        <v>58950.990000000005</v>
      </c>
      <c r="I42" s="286">
        <f>PI!D229</f>
        <v>121.5</v>
      </c>
      <c r="J42" s="286">
        <f>PI!E229</f>
        <v>162</v>
      </c>
      <c r="K42" s="286">
        <f>PI!F229</f>
        <v>162</v>
      </c>
      <c r="L42" s="286">
        <f>PI!G229</f>
        <v>162</v>
      </c>
      <c r="M42" s="286">
        <f>PI!H229</f>
        <v>324</v>
      </c>
      <c r="N42" s="286">
        <f>PI!I229</f>
        <v>567</v>
      </c>
      <c r="O42" s="286">
        <f>PI!J229</f>
        <v>5079.6769999999997</v>
      </c>
      <c r="P42" s="286">
        <f>PI!K229</f>
        <v>8154.2190000000001</v>
      </c>
      <c r="Q42" s="286">
        <f>PI!L229</f>
        <v>13233.896000000001</v>
      </c>
      <c r="R42" s="286">
        <f>PI!M229</f>
        <v>21521.791000000001</v>
      </c>
      <c r="S42" s="286">
        <f>PI!N229</f>
        <v>35557.740000000005</v>
      </c>
      <c r="T42" s="90">
        <f>PI!O229</f>
        <v>58950.990000000005</v>
      </c>
      <c r="U42" s="211"/>
      <c r="V42" s="211"/>
    </row>
    <row r="43" spans="1:22" s="212" customFormat="1" ht="16.5">
      <c r="A43" s="51">
        <v>10</v>
      </c>
      <c r="B43" s="315" t="s">
        <v>321</v>
      </c>
      <c r="C43" s="403"/>
      <c r="D43" s="341"/>
      <c r="E43" s="342" t="s">
        <v>328</v>
      </c>
      <c r="F43" s="343">
        <v>4</v>
      </c>
      <c r="G43" s="318"/>
      <c r="H43" s="318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91"/>
      <c r="U43" s="211"/>
      <c r="V43" s="211"/>
    </row>
    <row r="44" spans="1:22" s="212" customFormat="1" ht="16.5">
      <c r="A44" s="51"/>
      <c r="B44" s="52" t="s">
        <v>322</v>
      </c>
      <c r="C44" s="403" t="s">
        <v>277</v>
      </c>
      <c r="D44" s="341" t="s">
        <v>133</v>
      </c>
      <c r="E44" s="342" t="s">
        <v>397</v>
      </c>
      <c r="F44" s="343"/>
      <c r="G44" s="286">
        <f>N44</f>
        <v>4728</v>
      </c>
      <c r="H44" s="286">
        <f>T44</f>
        <v>4728</v>
      </c>
      <c r="I44" s="286">
        <f>PI!D239</f>
        <v>4728</v>
      </c>
      <c r="J44" s="286">
        <f>PI!E239</f>
        <v>4728</v>
      </c>
      <c r="K44" s="286">
        <f>PI!F239</f>
        <v>4728</v>
      </c>
      <c r="L44" s="286">
        <f>PI!G239</f>
        <v>4728</v>
      </c>
      <c r="M44" s="286">
        <f>PI!H239</f>
        <v>4728</v>
      </c>
      <c r="N44" s="286">
        <f>PI!I239</f>
        <v>4728</v>
      </c>
      <c r="O44" s="286">
        <f>PI!J239</f>
        <v>4728</v>
      </c>
      <c r="P44" s="286">
        <f>PI!K239</f>
        <v>4728</v>
      </c>
      <c r="Q44" s="286">
        <f>PI!L239</f>
        <v>4728</v>
      </c>
      <c r="R44" s="286">
        <f>PI!M239</f>
        <v>4728</v>
      </c>
      <c r="S44" s="286">
        <f>PI!N239</f>
        <v>4728</v>
      </c>
      <c r="T44" s="90">
        <f>PI!O239</f>
        <v>4728</v>
      </c>
      <c r="U44" s="211"/>
      <c r="V44" s="211"/>
    </row>
    <row r="45" spans="1:22" s="212" customFormat="1" ht="16.5">
      <c r="A45" s="51"/>
      <c r="B45" s="52" t="s">
        <v>324</v>
      </c>
      <c r="C45" s="403" t="s">
        <v>279</v>
      </c>
      <c r="D45" s="341" t="s">
        <v>133</v>
      </c>
      <c r="E45" s="342"/>
      <c r="F45" s="343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90"/>
      <c r="U45" s="211"/>
      <c r="V45" s="211"/>
    </row>
    <row r="46" spans="1:22" s="212" customFormat="1" ht="16.5">
      <c r="A46" s="51">
        <v>11</v>
      </c>
      <c r="B46" s="311" t="s">
        <v>325</v>
      </c>
      <c r="C46" s="403"/>
      <c r="D46" s="341" t="s">
        <v>149</v>
      </c>
      <c r="E46" s="342"/>
      <c r="F46" s="343">
        <v>6</v>
      </c>
      <c r="G46" s="286"/>
      <c r="H46" s="286"/>
      <c r="I46" s="286"/>
      <c r="J46" s="286"/>
      <c r="K46" s="286"/>
      <c r="L46" s="286"/>
      <c r="M46" s="286"/>
      <c r="N46" s="286"/>
      <c r="O46" s="286"/>
      <c r="P46" s="286"/>
      <c r="Q46" s="286"/>
      <c r="R46" s="286"/>
      <c r="S46" s="286"/>
      <c r="T46" s="90"/>
      <c r="U46" s="211"/>
      <c r="V46" s="211"/>
    </row>
    <row r="47" spans="1:22" s="212" customFormat="1" ht="15" customHeight="1">
      <c r="A47" s="51"/>
      <c r="B47" s="319" t="s">
        <v>326</v>
      </c>
      <c r="C47" s="403" t="s">
        <v>279</v>
      </c>
      <c r="D47" s="341" t="s">
        <v>327</v>
      </c>
      <c r="E47" s="344" t="s">
        <v>332</v>
      </c>
      <c r="F47" s="343"/>
      <c r="G47" s="286">
        <f t="shared" ref="G47" si="2">N47</f>
        <v>1175</v>
      </c>
      <c r="H47" s="286">
        <f t="shared" ref="H47" si="3">T47</f>
        <v>1175</v>
      </c>
      <c r="I47" s="286">
        <f>PI!S280</f>
        <v>1175</v>
      </c>
      <c r="J47" s="286">
        <f>PI!T280</f>
        <v>1175</v>
      </c>
      <c r="K47" s="286">
        <f>PI!U280</f>
        <v>1175</v>
      </c>
      <c r="L47" s="286">
        <f>PI!V280</f>
        <v>1175</v>
      </c>
      <c r="M47" s="286">
        <f>PI!W280</f>
        <v>1175</v>
      </c>
      <c r="N47" s="286">
        <f>PI!X280</f>
        <v>1175</v>
      </c>
      <c r="O47" s="286">
        <f>PI!Y280</f>
        <v>1175</v>
      </c>
      <c r="P47" s="286">
        <f>PI!Z280</f>
        <v>1175</v>
      </c>
      <c r="Q47" s="286">
        <f>PI!AA280</f>
        <v>1175</v>
      </c>
      <c r="R47" s="286">
        <f>PI!AB280</f>
        <v>1175</v>
      </c>
      <c r="S47" s="286">
        <f>PI!AC280</f>
        <v>1175</v>
      </c>
      <c r="T47" s="286">
        <f>PI!AD280</f>
        <v>1175</v>
      </c>
      <c r="U47" s="211"/>
      <c r="V47" s="211"/>
    </row>
    <row r="48" spans="1:22" s="212" customFormat="1" ht="15" customHeight="1">
      <c r="A48" s="51"/>
      <c r="B48" s="319" t="s">
        <v>329</v>
      </c>
      <c r="C48" s="403" t="s">
        <v>279</v>
      </c>
      <c r="D48" s="341" t="s">
        <v>327</v>
      </c>
      <c r="E48" s="344"/>
      <c r="F48" s="343"/>
      <c r="G48" s="286">
        <f t="shared" ref="G48:G56" si="4">N48</f>
        <v>286.27</v>
      </c>
      <c r="H48" s="286">
        <f t="shared" ref="H48:H56" si="5">T48</f>
        <v>286.27</v>
      </c>
      <c r="I48" s="286">
        <f>PI!S302</f>
        <v>286.27</v>
      </c>
      <c r="J48" s="286">
        <f>PI!T302</f>
        <v>286.27</v>
      </c>
      <c r="K48" s="286">
        <f>PI!U302</f>
        <v>286.27</v>
      </c>
      <c r="L48" s="286">
        <f>PI!V302</f>
        <v>286.27</v>
      </c>
      <c r="M48" s="286">
        <f>PI!W302</f>
        <v>286.27</v>
      </c>
      <c r="N48" s="286">
        <f>PI!X302</f>
        <v>286.27</v>
      </c>
      <c r="O48" s="286">
        <f>PI!Y302</f>
        <v>286.27</v>
      </c>
      <c r="P48" s="286">
        <f>PI!Z302</f>
        <v>286.27</v>
      </c>
      <c r="Q48" s="286">
        <f>PI!AA302</f>
        <v>286.27</v>
      </c>
      <c r="R48" s="286">
        <f>PI!AB302</f>
        <v>286.27</v>
      </c>
      <c r="S48" s="286">
        <f>PI!AC302</f>
        <v>286.27</v>
      </c>
      <c r="T48" s="286">
        <f>PI!AD302</f>
        <v>286.27</v>
      </c>
      <c r="U48" s="211"/>
      <c r="V48" s="211"/>
    </row>
    <row r="49" spans="1:22" s="212" customFormat="1" ht="15" customHeight="1">
      <c r="A49" s="51"/>
      <c r="B49" s="319" t="s">
        <v>331</v>
      </c>
      <c r="C49" s="403" t="s">
        <v>277</v>
      </c>
      <c r="D49" s="341" t="s">
        <v>327</v>
      </c>
      <c r="E49" s="344"/>
      <c r="F49" s="343"/>
      <c r="G49" s="286">
        <f t="shared" si="4"/>
        <v>3.73</v>
      </c>
      <c r="H49" s="286">
        <f t="shared" si="5"/>
        <v>9.31</v>
      </c>
      <c r="I49" s="286">
        <f>PI!S323</f>
        <v>0.62</v>
      </c>
      <c r="J49" s="286">
        <f>PI!T323</f>
        <v>1.24</v>
      </c>
      <c r="K49" s="286">
        <f>PI!U323</f>
        <v>1.86</v>
      </c>
      <c r="L49" s="286">
        <f>PI!V323</f>
        <v>2.48</v>
      </c>
      <c r="M49" s="286">
        <f>PI!W323</f>
        <v>3.1</v>
      </c>
      <c r="N49" s="286">
        <f>PI!X323</f>
        <v>3.73</v>
      </c>
      <c r="O49" s="286">
        <f>PI!Y323</f>
        <v>4.66</v>
      </c>
      <c r="P49" s="286">
        <f>PI!Z323</f>
        <v>5.59</v>
      </c>
      <c r="Q49" s="286">
        <f>PI!AA323</f>
        <v>6.52</v>
      </c>
      <c r="R49" s="286">
        <f>PI!AB323</f>
        <v>7.45</v>
      </c>
      <c r="S49" s="286">
        <f>PI!AC323</f>
        <v>8.3800000000000008</v>
      </c>
      <c r="T49" s="286">
        <f>PI!AD323</f>
        <v>9.31</v>
      </c>
      <c r="U49" s="211"/>
      <c r="V49" s="211"/>
    </row>
    <row r="50" spans="1:22" s="212" customFormat="1" ht="15" customHeight="1">
      <c r="A50" s="51">
        <v>12</v>
      </c>
      <c r="B50" s="315" t="s">
        <v>333</v>
      </c>
      <c r="C50" s="403"/>
      <c r="D50" s="341"/>
      <c r="E50" s="344"/>
      <c r="F50" s="343">
        <v>6</v>
      </c>
      <c r="G50" s="286"/>
      <c r="H50" s="286"/>
      <c r="I50" s="286"/>
      <c r="J50" s="286"/>
      <c r="K50" s="286"/>
      <c r="L50" s="286"/>
      <c r="M50" s="286"/>
      <c r="N50" s="286"/>
      <c r="O50" s="286"/>
      <c r="P50" s="286"/>
      <c r="Q50" s="286"/>
      <c r="R50" s="286"/>
      <c r="S50" s="286"/>
      <c r="T50" s="90"/>
      <c r="U50" s="211"/>
      <c r="V50" s="211"/>
    </row>
    <row r="51" spans="1:22" s="212" customFormat="1" ht="16.5">
      <c r="A51" s="51"/>
      <c r="B51" s="408" t="s">
        <v>334</v>
      </c>
      <c r="C51" s="403" t="s">
        <v>398</v>
      </c>
      <c r="D51" s="341" t="s">
        <v>149</v>
      </c>
      <c r="E51" s="345"/>
      <c r="F51" s="345"/>
      <c r="G51" s="286" t="str">
        <f t="shared" si="4"/>
        <v>95-100</v>
      </c>
      <c r="H51" s="286" t="str">
        <f t="shared" si="5"/>
        <v>95-100</v>
      </c>
      <c r="I51" s="286" t="str">
        <f>PI!D331</f>
        <v>95-100</v>
      </c>
      <c r="J51" s="286" t="str">
        <f>PI!E331</f>
        <v>95-100</v>
      </c>
      <c r="K51" s="286" t="str">
        <f>PI!F331</f>
        <v>95-100</v>
      </c>
      <c r="L51" s="286" t="str">
        <f>PI!G331</f>
        <v>95-100</v>
      </c>
      <c r="M51" s="286" t="str">
        <f>PI!H331</f>
        <v>95-100</v>
      </c>
      <c r="N51" s="286" t="str">
        <f>PI!I331</f>
        <v>95-100</v>
      </c>
      <c r="O51" s="286" t="str">
        <f>PI!J331</f>
        <v>95-100</v>
      </c>
      <c r="P51" s="286" t="str">
        <f>PI!K331</f>
        <v>95-100</v>
      </c>
      <c r="Q51" s="286" t="str">
        <f>PI!L331</f>
        <v>95-100</v>
      </c>
      <c r="R51" s="286" t="str">
        <f>PI!M331</f>
        <v>95-100</v>
      </c>
      <c r="S51" s="286" t="str">
        <f>PI!N331</f>
        <v>95-100</v>
      </c>
      <c r="T51" s="90" t="str">
        <f>PI!O331</f>
        <v>95-100</v>
      </c>
      <c r="U51" s="211">
        <f>F51</f>
        <v>0</v>
      </c>
      <c r="V51" s="211"/>
    </row>
    <row r="52" spans="1:22" s="212" customFormat="1" ht="16.5">
      <c r="A52" s="51"/>
      <c r="B52" s="409" t="s">
        <v>335</v>
      </c>
      <c r="C52" s="406" t="s">
        <v>277</v>
      </c>
      <c r="D52" s="317" t="s">
        <v>336</v>
      </c>
      <c r="E52" s="340" t="s">
        <v>347</v>
      </c>
      <c r="F52" s="61"/>
      <c r="G52" s="318">
        <f t="shared" si="4"/>
        <v>0</v>
      </c>
      <c r="H52" s="318">
        <f t="shared" si="5"/>
        <v>3.16</v>
      </c>
      <c r="I52" s="318">
        <f>PI!D332</f>
        <v>0</v>
      </c>
      <c r="J52" s="318">
        <f>PI!E332</f>
        <v>0</v>
      </c>
      <c r="K52" s="318">
        <f>PI!F332</f>
        <v>0</v>
      </c>
      <c r="L52" s="318">
        <f>PI!G332</f>
        <v>0</v>
      </c>
      <c r="M52" s="318">
        <f>PI!H332</f>
        <v>0</v>
      </c>
      <c r="N52" s="318">
        <f>PI!I332</f>
        <v>0</v>
      </c>
      <c r="O52" s="318">
        <f>PI!J332</f>
        <v>0</v>
      </c>
      <c r="P52" s="318">
        <f>PI!K332</f>
        <v>0</v>
      </c>
      <c r="Q52" s="318">
        <f>PI!L332</f>
        <v>0</v>
      </c>
      <c r="R52" s="318">
        <f>PI!M332</f>
        <v>0</v>
      </c>
      <c r="S52" s="318">
        <f>PI!N332</f>
        <v>0</v>
      </c>
      <c r="T52" s="91">
        <f>PI!O332</f>
        <v>3.16</v>
      </c>
      <c r="U52" s="211">
        <f>F52</f>
        <v>0</v>
      </c>
      <c r="V52" s="211">
        <v>0.24589357725976196</v>
      </c>
    </row>
    <row r="53" spans="1:22" s="212" customFormat="1" ht="16.5">
      <c r="A53" s="51"/>
      <c r="B53" s="410" t="s">
        <v>337</v>
      </c>
      <c r="C53" s="349" t="s">
        <v>277</v>
      </c>
      <c r="D53" s="341" t="s">
        <v>336</v>
      </c>
      <c r="E53" s="342" t="s">
        <v>352</v>
      </c>
      <c r="F53" s="343"/>
      <c r="G53" s="286">
        <f t="shared" si="4"/>
        <v>0</v>
      </c>
      <c r="H53" s="286">
        <f t="shared" si="5"/>
        <v>34.29</v>
      </c>
      <c r="I53" s="286">
        <f>PI!D333</f>
        <v>0</v>
      </c>
      <c r="J53" s="286">
        <f>PI!E333</f>
        <v>0</v>
      </c>
      <c r="K53" s="286">
        <f>PI!F333</f>
        <v>0</v>
      </c>
      <c r="L53" s="286">
        <f>PI!G333</f>
        <v>0</v>
      </c>
      <c r="M53" s="286">
        <f>PI!H333</f>
        <v>0</v>
      </c>
      <c r="N53" s="286">
        <f>PI!I333</f>
        <v>0</v>
      </c>
      <c r="O53" s="286">
        <f>PI!J333</f>
        <v>0</v>
      </c>
      <c r="P53" s="286">
        <f>PI!K333</f>
        <v>0</v>
      </c>
      <c r="Q53" s="286">
        <f>PI!L333</f>
        <v>0</v>
      </c>
      <c r="R53" s="286">
        <f>PI!M333</f>
        <v>0</v>
      </c>
      <c r="S53" s="286">
        <f>PI!N333</f>
        <v>0</v>
      </c>
      <c r="T53" s="90">
        <f>PI!O333</f>
        <v>34.29</v>
      </c>
      <c r="U53" s="211"/>
      <c r="V53" s="211"/>
    </row>
    <row r="54" spans="1:22" s="212" customFormat="1" ht="16.5">
      <c r="A54" s="51">
        <v>13</v>
      </c>
      <c r="B54" s="346" t="s">
        <v>338</v>
      </c>
      <c r="C54" s="349"/>
      <c r="D54" s="341"/>
      <c r="E54" s="342"/>
      <c r="F54" s="343">
        <v>5</v>
      </c>
      <c r="G54" s="286"/>
      <c r="H54" s="286"/>
      <c r="I54" s="286"/>
      <c r="J54" s="286"/>
      <c r="K54" s="286"/>
      <c r="L54" s="286"/>
      <c r="M54" s="286"/>
      <c r="N54" s="286"/>
      <c r="O54" s="286"/>
      <c r="P54" s="286"/>
      <c r="Q54" s="286"/>
      <c r="R54" s="286"/>
      <c r="S54" s="286"/>
      <c r="T54" s="90"/>
      <c r="U54" s="211"/>
      <c r="V54" s="211"/>
    </row>
    <row r="55" spans="1:22" s="212" customFormat="1" ht="16.5">
      <c r="A55" s="51"/>
      <c r="B55" s="319" t="s">
        <v>339</v>
      </c>
      <c r="C55" s="349" t="s">
        <v>277</v>
      </c>
      <c r="D55" s="341" t="s">
        <v>149</v>
      </c>
      <c r="E55" s="342" t="s">
        <v>354</v>
      </c>
      <c r="F55" s="343"/>
      <c r="G55" s="286">
        <f t="shared" si="4"/>
        <v>100</v>
      </c>
      <c r="H55" s="286">
        <f t="shared" si="5"/>
        <v>100</v>
      </c>
      <c r="I55" s="286">
        <f>PI!D341</f>
        <v>0</v>
      </c>
      <c r="J55" s="286">
        <f>PI!E341</f>
        <v>0</v>
      </c>
      <c r="K55" s="286">
        <f>PI!F341</f>
        <v>0</v>
      </c>
      <c r="L55" s="286">
        <f>PI!G341</f>
        <v>0</v>
      </c>
      <c r="M55" s="286">
        <f>PI!H341</f>
        <v>0</v>
      </c>
      <c r="N55" s="286">
        <f>PI!I341</f>
        <v>100</v>
      </c>
      <c r="O55" s="286">
        <f>PI!J341</f>
        <v>100</v>
      </c>
      <c r="P55" s="286">
        <f>PI!K341</f>
        <v>100</v>
      </c>
      <c r="Q55" s="286">
        <f>PI!L341</f>
        <v>100</v>
      </c>
      <c r="R55" s="286">
        <f>PI!M341</f>
        <v>100</v>
      </c>
      <c r="S55" s="286">
        <f>PI!N341</f>
        <v>100</v>
      </c>
      <c r="T55" s="90">
        <f>PI!O341</f>
        <v>100</v>
      </c>
      <c r="U55" s="211"/>
      <c r="V55" s="211"/>
    </row>
    <row r="56" spans="1:22" s="212" customFormat="1" ht="28.9" customHeight="1">
      <c r="A56" s="51"/>
      <c r="B56" s="52" t="s">
        <v>341</v>
      </c>
      <c r="C56" s="349" t="s">
        <v>277</v>
      </c>
      <c r="D56" s="341" t="s">
        <v>149</v>
      </c>
      <c r="E56" s="342"/>
      <c r="F56" s="343"/>
      <c r="G56" s="286">
        <f t="shared" si="4"/>
        <v>100</v>
      </c>
      <c r="H56" s="286">
        <f t="shared" si="5"/>
        <v>100</v>
      </c>
      <c r="I56" s="286">
        <f>PI!D346</f>
        <v>0</v>
      </c>
      <c r="J56" s="286">
        <f>PI!E346</f>
        <v>0</v>
      </c>
      <c r="K56" s="286">
        <f>PI!F346</f>
        <v>0</v>
      </c>
      <c r="L56" s="286">
        <f>PI!G346</f>
        <v>0</v>
      </c>
      <c r="M56" s="286">
        <f>PI!H346</f>
        <v>0</v>
      </c>
      <c r="N56" s="286">
        <f>PI!I346</f>
        <v>100</v>
      </c>
      <c r="O56" s="286">
        <f>PI!J346</f>
        <v>100</v>
      </c>
      <c r="P56" s="286">
        <f>PI!K346</f>
        <v>100</v>
      </c>
      <c r="Q56" s="286">
        <f>PI!L346</f>
        <v>100</v>
      </c>
      <c r="R56" s="286">
        <f>PI!M346</f>
        <v>100</v>
      </c>
      <c r="S56" s="286">
        <f>PI!N346</f>
        <v>100</v>
      </c>
      <c r="T56" s="90">
        <f>PI!O346</f>
        <v>100</v>
      </c>
      <c r="U56" s="211"/>
      <c r="V56" s="211"/>
    </row>
    <row r="57" spans="1:22" s="212" customFormat="1" ht="28.9" customHeight="1">
      <c r="A57" s="51"/>
      <c r="B57" s="52" t="s">
        <v>343</v>
      </c>
      <c r="C57" s="349" t="s">
        <v>277</v>
      </c>
      <c r="D57" s="341" t="s">
        <v>149</v>
      </c>
      <c r="E57" s="342"/>
      <c r="F57" s="343"/>
      <c r="G57" s="286">
        <f t="shared" ref="G57" si="6">N57</f>
        <v>100</v>
      </c>
      <c r="H57" s="286">
        <f t="shared" ref="H57" si="7">T57</f>
        <v>100</v>
      </c>
      <c r="I57" s="286">
        <f>PI!D353</f>
        <v>100</v>
      </c>
      <c r="J57" s="286">
        <f>PI!E353</f>
        <v>100</v>
      </c>
      <c r="K57" s="286">
        <f>PI!F353</f>
        <v>100</v>
      </c>
      <c r="L57" s="286">
        <f>PI!G353</f>
        <v>100</v>
      </c>
      <c r="M57" s="286">
        <f>PI!H353</f>
        <v>100</v>
      </c>
      <c r="N57" s="286">
        <f>PI!I353</f>
        <v>100</v>
      </c>
      <c r="O57" s="286">
        <f>PI!J353</f>
        <v>100</v>
      </c>
      <c r="P57" s="286">
        <f>PI!K353</f>
        <v>100</v>
      </c>
      <c r="Q57" s="286">
        <f>PI!L353</f>
        <v>100</v>
      </c>
      <c r="R57" s="286">
        <f>PI!M353</f>
        <v>100</v>
      </c>
      <c r="S57" s="286">
        <f>PI!N353</f>
        <v>100</v>
      </c>
      <c r="T57" s="90">
        <f>PI!O353</f>
        <v>100</v>
      </c>
      <c r="U57" s="211"/>
      <c r="V57" s="211"/>
    </row>
    <row r="58" spans="1:22" s="212" customFormat="1" ht="16.5">
      <c r="A58" s="51"/>
      <c r="B58" s="319" t="s">
        <v>345</v>
      </c>
      <c r="C58" s="404" t="s">
        <v>277</v>
      </c>
      <c r="D58" s="341" t="s">
        <v>149</v>
      </c>
      <c r="E58" s="342" t="s">
        <v>362</v>
      </c>
      <c r="F58" s="343"/>
      <c r="G58" s="286">
        <f>N58</f>
        <v>100</v>
      </c>
      <c r="H58" s="286">
        <f>T58</f>
        <v>100</v>
      </c>
      <c r="I58" s="286">
        <f>PI!D353</f>
        <v>100</v>
      </c>
      <c r="J58" s="286">
        <f>PI!E353</f>
        <v>100</v>
      </c>
      <c r="K58" s="286">
        <f>PI!F353</f>
        <v>100</v>
      </c>
      <c r="L58" s="286">
        <f>PI!G353</f>
        <v>100</v>
      </c>
      <c r="M58" s="286">
        <f>PI!H353</f>
        <v>100</v>
      </c>
      <c r="N58" s="286">
        <f>PI!I353</f>
        <v>100</v>
      </c>
      <c r="O58" s="286">
        <f>PI!J353</f>
        <v>100</v>
      </c>
      <c r="P58" s="286">
        <f>PI!K353</f>
        <v>100</v>
      </c>
      <c r="Q58" s="286">
        <f>PI!L353</f>
        <v>100</v>
      </c>
      <c r="R58" s="286">
        <f>PI!M353</f>
        <v>100</v>
      </c>
      <c r="S58" s="286">
        <f>PI!N353</f>
        <v>100</v>
      </c>
      <c r="T58" s="286">
        <f>PI!O353</f>
        <v>100</v>
      </c>
      <c r="U58" s="211"/>
      <c r="V58" s="211"/>
    </row>
    <row r="59" spans="1:22" s="212" customFormat="1" ht="16.5">
      <c r="A59" s="51">
        <v>14</v>
      </c>
      <c r="B59" s="315" t="s">
        <v>346</v>
      </c>
      <c r="C59" s="349"/>
      <c r="D59" s="341"/>
      <c r="E59" s="342" t="s">
        <v>365</v>
      </c>
      <c r="F59" s="343">
        <v>4</v>
      </c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90"/>
      <c r="U59" s="211"/>
      <c r="V59" s="211"/>
    </row>
    <row r="60" spans="1:22" s="212" customFormat="1" ht="16.5">
      <c r="A60" s="51"/>
      <c r="B60" s="319" t="s">
        <v>348</v>
      </c>
      <c r="C60" s="349" t="s">
        <v>277</v>
      </c>
      <c r="D60" s="341" t="s">
        <v>149</v>
      </c>
      <c r="E60" s="342"/>
      <c r="F60" s="343"/>
      <c r="G60" s="286">
        <f>N60</f>
        <v>100</v>
      </c>
      <c r="H60" s="286">
        <f>T60</f>
        <v>100</v>
      </c>
      <c r="I60" s="286">
        <f>PI!D364</f>
        <v>100</v>
      </c>
      <c r="J60" s="286">
        <f>PI!E364</f>
        <v>100</v>
      </c>
      <c r="K60" s="286">
        <f>PI!F364</f>
        <v>100</v>
      </c>
      <c r="L60" s="286">
        <f>PI!G364</f>
        <v>100</v>
      </c>
      <c r="M60" s="286">
        <f>PI!H364</f>
        <v>100</v>
      </c>
      <c r="N60" s="286">
        <f>PI!I364</f>
        <v>100</v>
      </c>
      <c r="O60" s="286">
        <f>PI!J364</f>
        <v>100</v>
      </c>
      <c r="P60" s="286">
        <f>PI!K364</f>
        <v>100</v>
      </c>
      <c r="Q60" s="286">
        <f>PI!L364</f>
        <v>100</v>
      </c>
      <c r="R60" s="286">
        <f>PI!M364</f>
        <v>100</v>
      </c>
      <c r="S60" s="286">
        <f>PI!N364</f>
        <v>100</v>
      </c>
      <c r="T60" s="90">
        <f>PI!O364</f>
        <v>100</v>
      </c>
      <c r="U60" s="211"/>
      <c r="V60" s="211"/>
    </row>
    <row r="61" spans="1:22" s="212" customFormat="1" ht="16.5">
      <c r="A61" s="51"/>
      <c r="B61" s="319" t="s">
        <v>350</v>
      </c>
      <c r="C61" s="349" t="s">
        <v>277</v>
      </c>
      <c r="D61" s="341" t="s">
        <v>351</v>
      </c>
      <c r="E61" s="342"/>
      <c r="F61" s="343"/>
      <c r="G61" s="286">
        <f>N61</f>
        <v>3</v>
      </c>
      <c r="H61" s="286">
        <f>T61</f>
        <v>4</v>
      </c>
      <c r="I61" s="286">
        <f>PI!D365</f>
        <v>0</v>
      </c>
      <c r="J61" s="286">
        <f>PI!E365</f>
        <v>2</v>
      </c>
      <c r="K61" s="286">
        <f>PI!F365</f>
        <v>2.5</v>
      </c>
      <c r="L61" s="286">
        <f>PI!G365</f>
        <v>2.65</v>
      </c>
      <c r="M61" s="286">
        <f>PI!H365</f>
        <v>2.8</v>
      </c>
      <c r="N61" s="286">
        <f>PI!I365</f>
        <v>3</v>
      </c>
      <c r="O61" s="286">
        <f>PI!J365</f>
        <v>3.15</v>
      </c>
      <c r="P61" s="286">
        <f>PI!K365</f>
        <v>3.3</v>
      </c>
      <c r="Q61" s="286">
        <f>PI!L365</f>
        <v>3.5</v>
      </c>
      <c r="R61" s="286">
        <f>PI!M365</f>
        <v>3.65</v>
      </c>
      <c r="S61" s="286">
        <f>PI!N365</f>
        <v>3.8</v>
      </c>
      <c r="T61" s="90">
        <f>PI!O365</f>
        <v>4</v>
      </c>
      <c r="U61" s="211"/>
      <c r="V61" s="211"/>
    </row>
    <row r="62" spans="1:22" s="212" customFormat="1" ht="16.5">
      <c r="A62" s="51"/>
      <c r="B62" s="319" t="s">
        <v>353</v>
      </c>
      <c r="C62" s="349" t="s">
        <v>277</v>
      </c>
      <c r="D62" s="341" t="s">
        <v>149</v>
      </c>
      <c r="E62" s="342" t="s">
        <v>399</v>
      </c>
      <c r="F62" s="343"/>
      <c r="G62" s="286">
        <f>N62</f>
        <v>100</v>
      </c>
      <c r="H62" s="286">
        <f>T62</f>
        <v>100</v>
      </c>
      <c r="I62" s="286">
        <f>PI!D366</f>
        <v>100</v>
      </c>
      <c r="J62" s="286">
        <f>PI!E366</f>
        <v>100</v>
      </c>
      <c r="K62" s="286">
        <f>PI!F366</f>
        <v>100</v>
      </c>
      <c r="L62" s="286">
        <f>PI!G366</f>
        <v>100</v>
      </c>
      <c r="M62" s="286">
        <f>PI!H366</f>
        <v>100</v>
      </c>
      <c r="N62" s="286">
        <f>PI!I366</f>
        <v>100</v>
      </c>
      <c r="O62" s="286">
        <f>PI!J366</f>
        <v>100</v>
      </c>
      <c r="P62" s="286">
        <f>PI!K366</f>
        <v>100</v>
      </c>
      <c r="Q62" s="286">
        <f>PI!L366</f>
        <v>100</v>
      </c>
      <c r="R62" s="286">
        <f>PI!M366</f>
        <v>100</v>
      </c>
      <c r="S62" s="286">
        <f>PI!N366</f>
        <v>100</v>
      </c>
      <c r="T62" s="90">
        <f>PI!O366</f>
        <v>100</v>
      </c>
      <c r="U62" s="211"/>
      <c r="V62" s="211"/>
    </row>
    <row r="63" spans="1:22" s="212" customFormat="1" ht="33">
      <c r="A63" s="51"/>
      <c r="B63" s="52" t="s">
        <v>355</v>
      </c>
      <c r="C63" s="349" t="s">
        <v>277</v>
      </c>
      <c r="D63" s="341" t="s">
        <v>149</v>
      </c>
      <c r="E63" s="342" t="s">
        <v>400</v>
      </c>
      <c r="F63" s="343"/>
      <c r="G63" s="286">
        <f>N63</f>
        <v>100</v>
      </c>
      <c r="H63" s="286">
        <f>T63</f>
        <v>100</v>
      </c>
      <c r="I63" s="286">
        <f>PI!D367</f>
        <v>100</v>
      </c>
      <c r="J63" s="286">
        <f>PI!E367</f>
        <v>100</v>
      </c>
      <c r="K63" s="286">
        <f>PI!F367</f>
        <v>100</v>
      </c>
      <c r="L63" s="286">
        <f>PI!G367</f>
        <v>100</v>
      </c>
      <c r="M63" s="286">
        <f>PI!H367</f>
        <v>100</v>
      </c>
      <c r="N63" s="286">
        <f>PI!I367</f>
        <v>100</v>
      </c>
      <c r="O63" s="286">
        <f>PI!J367</f>
        <v>100</v>
      </c>
      <c r="P63" s="286">
        <f>PI!K367</f>
        <v>100</v>
      </c>
      <c r="Q63" s="286">
        <f>PI!L367</f>
        <v>100</v>
      </c>
      <c r="R63" s="286">
        <f>PI!M367</f>
        <v>100</v>
      </c>
      <c r="S63" s="286">
        <f>PI!N367</f>
        <v>100</v>
      </c>
      <c r="T63" s="90">
        <f>PI!O367</f>
        <v>100</v>
      </c>
      <c r="U63" s="211"/>
      <c r="V63" s="211"/>
    </row>
    <row r="64" spans="1:22" s="212" customFormat="1" ht="16.5">
      <c r="A64" s="51">
        <v>15</v>
      </c>
      <c r="B64" s="311" t="s">
        <v>356</v>
      </c>
      <c r="C64" s="349"/>
      <c r="D64" s="341"/>
      <c r="E64" s="342"/>
      <c r="F64" s="343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286"/>
      <c r="S64" s="286"/>
      <c r="T64" s="90"/>
      <c r="U64" s="211"/>
      <c r="V64" s="211"/>
    </row>
    <row r="65" spans="1:22" s="212" customFormat="1" ht="16.5">
      <c r="A65" s="51"/>
      <c r="B65" s="52" t="s">
        <v>357</v>
      </c>
      <c r="C65" s="349"/>
      <c r="D65" s="341"/>
      <c r="E65" s="342"/>
      <c r="F65" s="343" t="s">
        <v>358</v>
      </c>
      <c r="G65" s="286"/>
      <c r="H65" s="286"/>
      <c r="I65" s="286"/>
      <c r="J65" s="286"/>
      <c r="K65" s="286"/>
      <c r="L65" s="286"/>
      <c r="M65" s="286"/>
      <c r="N65" s="286"/>
      <c r="O65" s="286"/>
      <c r="P65" s="286"/>
      <c r="Q65" s="286"/>
      <c r="R65" s="286"/>
      <c r="S65" s="286"/>
      <c r="T65" s="90"/>
      <c r="U65" s="211"/>
      <c r="V65" s="211"/>
    </row>
    <row r="66" spans="1:22" s="212" customFormat="1" ht="33">
      <c r="A66" s="51"/>
      <c r="B66" s="52" t="s">
        <v>359</v>
      </c>
      <c r="C66" s="349"/>
      <c r="D66" s="341"/>
      <c r="E66" s="342"/>
      <c r="F66" s="343" t="s">
        <v>360</v>
      </c>
      <c r="G66" s="286"/>
      <c r="H66" s="286"/>
      <c r="I66" s="286"/>
      <c r="J66" s="286"/>
      <c r="K66" s="286"/>
      <c r="L66" s="286"/>
      <c r="M66" s="286"/>
      <c r="N66" s="286"/>
      <c r="O66" s="286"/>
      <c r="P66" s="286"/>
      <c r="Q66" s="286"/>
      <c r="R66" s="286"/>
      <c r="S66" s="286"/>
      <c r="T66" s="90"/>
      <c r="U66" s="211"/>
      <c r="V66" s="211"/>
    </row>
    <row r="67" spans="1:22" s="212" customFormat="1" ht="16.5">
      <c r="A67" s="51"/>
      <c r="B67" s="319" t="s">
        <v>361</v>
      </c>
      <c r="C67" s="349"/>
      <c r="D67" s="341"/>
      <c r="E67" s="342" t="s">
        <v>401</v>
      </c>
      <c r="F67" s="343" t="s">
        <v>363</v>
      </c>
      <c r="G67" s="286"/>
      <c r="H67" s="286"/>
      <c r="I67" s="286"/>
      <c r="J67" s="286"/>
      <c r="K67" s="286"/>
      <c r="L67" s="286"/>
      <c r="M67" s="286"/>
      <c r="N67" s="286"/>
      <c r="O67" s="286"/>
      <c r="P67" s="286"/>
      <c r="Q67" s="286"/>
      <c r="R67" s="286"/>
      <c r="S67" s="286"/>
      <c r="T67" s="90"/>
      <c r="U67" s="211"/>
      <c r="V67" s="211"/>
    </row>
    <row r="68" spans="1:22" s="212" customFormat="1" ht="16.5">
      <c r="A68" s="51"/>
      <c r="B68" s="319" t="s">
        <v>364</v>
      </c>
      <c r="C68" s="349"/>
      <c r="D68" s="341"/>
      <c r="E68" s="342"/>
      <c r="F68" s="343" t="s">
        <v>366</v>
      </c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90"/>
      <c r="U68" s="211"/>
      <c r="V68" s="211"/>
    </row>
    <row r="69" spans="1:22" s="212" customFormat="1" ht="16.5">
      <c r="A69" s="51"/>
      <c r="B69" s="319" t="s">
        <v>367</v>
      </c>
      <c r="C69" s="349"/>
      <c r="D69" s="341"/>
      <c r="E69" s="342" t="s">
        <v>402</v>
      </c>
      <c r="F69" s="343" t="s">
        <v>368</v>
      </c>
      <c r="G69" s="286"/>
      <c r="H69" s="286"/>
      <c r="I69" s="286"/>
      <c r="J69" s="286"/>
      <c r="K69" s="286"/>
      <c r="L69" s="286"/>
      <c r="M69" s="286"/>
      <c r="N69" s="286"/>
      <c r="O69" s="286"/>
      <c r="P69" s="286"/>
      <c r="Q69" s="286"/>
      <c r="R69" s="286"/>
      <c r="S69" s="286"/>
      <c r="T69" s="90"/>
      <c r="U69" s="211"/>
      <c r="V69" s="211"/>
    </row>
    <row r="70" spans="1:22" s="212" customFormat="1" ht="16.5">
      <c r="A70" s="58"/>
      <c r="B70" s="320" t="s">
        <v>104</v>
      </c>
      <c r="C70" s="321"/>
      <c r="D70" s="322"/>
      <c r="E70" s="323"/>
      <c r="F70" s="323">
        <f>F7+F17</f>
        <v>100</v>
      </c>
      <c r="G70" s="323"/>
      <c r="H70" s="323"/>
      <c r="I70" s="323"/>
      <c r="J70" s="323"/>
      <c r="K70" s="323"/>
      <c r="L70" s="323"/>
      <c r="M70" s="323"/>
      <c r="N70" s="323"/>
      <c r="O70" s="323"/>
      <c r="P70" s="323"/>
      <c r="Q70" s="323"/>
      <c r="R70" s="323"/>
      <c r="S70" s="323"/>
      <c r="T70" s="58"/>
      <c r="U70" s="214"/>
      <c r="V70" s="214"/>
    </row>
    <row r="71" spans="1:22" s="215" customFormat="1">
      <c r="E71" s="216"/>
    </row>
    <row r="72" spans="1:22" s="215" customFormat="1">
      <c r="A72" s="217"/>
      <c r="B72" s="218" t="s">
        <v>369</v>
      </c>
      <c r="C72" s="218"/>
      <c r="D72" s="276">
        <f>COUNTA(D8:D69)</f>
        <v>43</v>
      </c>
      <c r="E72" s="217"/>
      <c r="F72" s="4"/>
      <c r="G72" s="219"/>
      <c r="H72" s="219"/>
      <c r="I72" s="219"/>
      <c r="J72" s="219"/>
      <c r="K72" s="219"/>
      <c r="L72" s="219"/>
      <c r="M72" s="219"/>
      <c r="N72" s="219"/>
      <c r="O72" s="219"/>
      <c r="P72" s="219"/>
      <c r="Q72" s="219"/>
      <c r="R72" s="219"/>
      <c r="S72" s="219"/>
      <c r="T72" s="219"/>
    </row>
    <row r="73" spans="1:22" s="215" customFormat="1">
      <c r="E73" s="216"/>
    </row>
    <row r="74" spans="1:22" s="215" customFormat="1">
      <c r="A74" s="117" t="s">
        <v>370</v>
      </c>
      <c r="B74" s="118"/>
      <c r="C74" s="118"/>
      <c r="D74" s="119"/>
      <c r="E74" s="119"/>
      <c r="F74" s="119"/>
      <c r="G74" s="347"/>
      <c r="H74" s="119"/>
      <c r="I74" s="119"/>
      <c r="J74" s="119"/>
      <c r="K74" s="119"/>
      <c r="L74" s="119"/>
      <c r="M74" s="119"/>
      <c r="Q74" s="119"/>
      <c r="S74" s="119"/>
    </row>
    <row r="75" spans="1:22" s="215" customFormat="1">
      <c r="A75" s="119">
        <v>3</v>
      </c>
      <c r="B75" s="220" t="s">
        <v>371</v>
      </c>
      <c r="C75" s="118"/>
      <c r="D75" s="119"/>
      <c r="E75" s="119"/>
      <c r="F75" s="119"/>
      <c r="G75" s="119"/>
      <c r="H75" s="119"/>
      <c r="I75" s="119"/>
      <c r="J75" s="119"/>
      <c r="K75" s="119"/>
      <c r="L75" s="119"/>
      <c r="M75" s="119"/>
      <c r="Q75" s="119"/>
      <c r="S75" s="119"/>
    </row>
    <row r="76" spans="1:22" s="215" customFormat="1">
      <c r="A76" s="119">
        <v>1</v>
      </c>
      <c r="B76" s="220" t="s">
        <v>372</v>
      </c>
      <c r="C76" s="118"/>
      <c r="D76" s="119"/>
      <c r="E76" s="119"/>
      <c r="F76" s="119"/>
      <c r="G76" s="119"/>
      <c r="H76" s="119"/>
      <c r="I76" s="119"/>
      <c r="J76" s="119"/>
      <c r="K76" s="119"/>
      <c r="L76" s="119"/>
      <c r="M76" s="119"/>
      <c r="Q76" s="119"/>
      <c r="S76" s="119"/>
    </row>
    <row r="77" spans="1:22" customFormat="1">
      <c r="A77" s="119"/>
      <c r="B77" s="118"/>
      <c r="C77" s="118"/>
      <c r="D77" s="119"/>
      <c r="E77" s="119"/>
      <c r="F77" s="119"/>
      <c r="G77" s="119"/>
      <c r="H77" s="119"/>
      <c r="I77" s="119"/>
      <c r="J77" s="119"/>
      <c r="K77" s="119"/>
      <c r="L77" s="119"/>
      <c r="M77" s="119"/>
      <c r="Q77" s="119"/>
      <c r="S77" s="119"/>
    </row>
    <row r="78" spans="1:22" customFormat="1">
      <c r="A78" s="119"/>
      <c r="B78" s="118"/>
      <c r="C78" s="118"/>
      <c r="D78" s="119"/>
      <c r="E78" s="119"/>
      <c r="F78" s="119"/>
      <c r="G78" s="119"/>
      <c r="H78" s="119"/>
      <c r="I78" s="119"/>
      <c r="J78" s="119"/>
      <c r="K78" s="119"/>
      <c r="L78" s="119"/>
      <c r="M78" s="119"/>
      <c r="Q78" s="119"/>
      <c r="S78" s="119"/>
    </row>
    <row r="79" spans="1:22" customFormat="1">
      <c r="A79" s="121"/>
      <c r="B79" s="122"/>
      <c r="C79" s="122"/>
      <c r="D79" s="121"/>
      <c r="E79" s="121"/>
      <c r="F79" s="121"/>
      <c r="G79" s="121"/>
      <c r="H79" s="121"/>
      <c r="I79" s="121"/>
      <c r="J79" s="121"/>
      <c r="K79" s="121"/>
      <c r="L79" s="121"/>
      <c r="M79" s="121"/>
    </row>
    <row r="80" spans="1:22" customFormat="1">
      <c r="E80" s="105"/>
      <c r="Q80" s="121"/>
      <c r="S80" s="121"/>
    </row>
    <row r="81" spans="5:5">
      <c r="E81" s="37"/>
    </row>
  </sheetData>
  <mergeCells count="7">
    <mergeCell ref="I4:T4"/>
    <mergeCell ref="A4:A5"/>
    <mergeCell ref="B4:C5"/>
    <mergeCell ref="D4:D5"/>
    <mergeCell ref="E4:E5"/>
    <mergeCell ref="F4:F5"/>
    <mergeCell ref="G4:H4"/>
  </mergeCells>
  <conditionalFormatting sqref="A75">
    <cfRule type="iconSet" priority="30">
      <iconSet iconSet="3ArrowsGray" showValue="0">
        <cfvo type="percent" val="0"/>
        <cfvo type="num" val="2"/>
        <cfvo type="num" val="3"/>
      </iconSet>
    </cfRule>
  </conditionalFormatting>
  <conditionalFormatting sqref="A76">
    <cfRule type="iconSet" priority="29">
      <iconSet iconSet="3ArrowsGray" showValue="0">
        <cfvo type="percent" val="0"/>
        <cfvo type="num" val="2"/>
        <cfvo type="num" val="3"/>
      </iconSet>
    </cfRule>
  </conditionalFormatting>
  <conditionalFormatting sqref="C8">
    <cfRule type="iconSet" priority="58">
      <iconSet iconSet="3ArrowsGray" showValue="0">
        <cfvo type="percent" val="0"/>
        <cfvo type="num" val="2"/>
        <cfvo type="num" val="3"/>
      </iconSet>
    </cfRule>
  </conditionalFormatting>
  <conditionalFormatting sqref="C9">
    <cfRule type="iconSet" priority="7">
      <iconSet iconSet="3ArrowsGray" showValue="0">
        <cfvo type="percent" val="0"/>
        <cfvo type="num" val="2"/>
        <cfvo type="num" val="3"/>
      </iconSet>
    </cfRule>
    <cfRule type="iconSet" priority="8">
      <iconSet iconSet="3ArrowsGray" showValue="0">
        <cfvo type="percent" val="0"/>
        <cfvo type="num" val="2"/>
        <cfvo type="num" val="3"/>
      </iconSet>
    </cfRule>
  </conditionalFormatting>
  <conditionalFormatting sqref="C10:C16">
    <cfRule type="iconSet" priority="48202">
      <iconSet iconSet="3ArrowsGray" showValue="0">
        <cfvo type="percent" val="0"/>
        <cfvo type="num" val="2"/>
        <cfvo type="num" val="3"/>
      </iconSet>
    </cfRule>
  </conditionalFormatting>
  <conditionalFormatting sqref="C19:C20 C8 C24:C32 C37:C51">
    <cfRule type="iconSet" priority="47702">
      <iconSet iconSet="3ArrowsGray" showValue="0">
        <cfvo type="percent" val="0"/>
        <cfvo type="num" val="2"/>
        <cfvo type="num" val="3"/>
      </iconSet>
    </cfRule>
  </conditionalFormatting>
  <conditionalFormatting sqref="C19:C20 C24:C32 C37:C51">
    <cfRule type="iconSet" priority="47707">
      <iconSet iconSet="3ArrowsGray" showValue="0">
        <cfvo type="percent" val="0"/>
        <cfvo type="num" val="2"/>
        <cfvo type="num" val="3"/>
      </iconSet>
    </cfRule>
  </conditionalFormatting>
  <conditionalFormatting sqref="C21:C23">
    <cfRule type="iconSet" priority="13">
      <iconSet iconSet="3ArrowsGray" showValue="0">
        <cfvo type="percent" val="0"/>
        <cfvo type="num" val="2"/>
        <cfvo type="num" val="3"/>
      </iconSet>
    </cfRule>
    <cfRule type="iconSet" priority="14">
      <iconSet iconSet="3ArrowsGray" showValue="0">
        <cfvo type="percent" val="0"/>
        <cfvo type="num" val="2"/>
        <cfvo type="num" val="3"/>
      </iconSet>
    </cfRule>
  </conditionalFormatting>
  <conditionalFormatting sqref="C33:C34">
    <cfRule type="iconSet" priority="47618">
      <iconSet iconSet="3ArrowsGray" showValue="0">
        <cfvo type="percent" val="0"/>
        <cfvo type="num" val="2"/>
        <cfvo type="num" val="3"/>
      </iconSet>
    </cfRule>
    <cfRule type="iconSet" priority="47619">
      <iconSet iconSet="3ArrowsGray" showValue="0">
        <cfvo type="percent" val="0"/>
        <cfvo type="num" val="2"/>
        <cfvo type="num" val="3"/>
      </iconSet>
    </cfRule>
  </conditionalFormatting>
  <conditionalFormatting sqref="C35:C36">
    <cfRule type="iconSet" priority="1">
      <iconSet iconSet="3ArrowsGray" showValue="0">
        <cfvo type="percent" val="0"/>
        <cfvo type="num" val="2"/>
        <cfvo type="num" val="3"/>
      </iconSet>
    </cfRule>
    <cfRule type="iconSet" priority="2">
      <iconSet iconSet="3ArrowsGray" showValue="0">
        <cfvo type="percent" val="0"/>
        <cfvo type="num" val="2"/>
        <cfvo type="num" val="3"/>
      </iconSet>
    </cfRule>
  </conditionalFormatting>
  <conditionalFormatting sqref="C52">
    <cfRule type="iconSet" priority="51">
      <iconSet iconSet="3ArrowsGray" showValue="0">
        <cfvo type="percent" val="0"/>
        <cfvo type="num" val="2"/>
        <cfvo type="num" val="3"/>
      </iconSet>
    </cfRule>
  </conditionalFormatting>
  <conditionalFormatting sqref="C52:C69 C18 C10:C16">
    <cfRule type="iconSet" priority="47492">
      <iconSet iconSet="3ArrowsGray" showValue="0">
        <cfvo type="percent" val="0"/>
        <cfvo type="num" val="2"/>
        <cfvo type="num" val="3"/>
      </iconSet>
    </cfRule>
  </conditionalFormatting>
  <conditionalFormatting sqref="C71">
    <cfRule type="iconSet" priority="32">
      <iconSet iconSet="3ArrowsGray" showValue="0">
        <cfvo type="percent" val="0"/>
        <cfvo type="num" val="2"/>
        <cfvo type="num" val="3"/>
      </iconSet>
    </cfRule>
  </conditionalFormatting>
  <conditionalFormatting sqref="C72">
    <cfRule type="iconSet" priority="35">
      <iconSet iconSet="3ArrowsGray" showValue="0">
        <cfvo type="percent" val="0"/>
        <cfvo type="num" val="2"/>
        <cfvo type="num" val="3"/>
      </iconSet>
    </cfRule>
  </conditionalFormatting>
  <conditionalFormatting sqref="D71">
    <cfRule type="iconSet" priority="22">
      <iconSet iconSet="3ArrowsGray" showValue="0">
        <cfvo type="percent" val="0"/>
        <cfvo type="num" val="2"/>
        <cfvo type="num" val="3"/>
      </iconSet>
    </cfRule>
    <cfRule type="iconSet" priority="34">
      <iconSet iconSet="3ArrowsGray" showValue="0">
        <cfvo type="percent" val="0"/>
        <cfvo type="num" val="2"/>
        <cfvo type="num" val="3"/>
      </iconSet>
    </cfRule>
  </conditionalFormatting>
  <conditionalFormatting sqref="E71">
    <cfRule type="iconSet" priority="33">
      <iconSet iconSet="3ArrowsGray" showValue="0">
        <cfvo type="percent" val="0"/>
        <cfvo type="num" val="2"/>
        <cfvo type="num" val="3"/>
      </iconSet>
    </cfRule>
  </conditionalFormatting>
  <conditionalFormatting sqref="G71:H71">
    <cfRule type="iconSet" priority="29890">
      <iconSet iconSet="3ArrowsGray" showValue="0">
        <cfvo type="percent" val="0"/>
        <cfvo type="num" val="2"/>
        <cfvo type="num" val="3"/>
      </iconSet>
    </cfRule>
  </conditionalFormatting>
  <conditionalFormatting sqref="G72:H72">
    <cfRule type="iconSet" priority="29889">
      <iconSet iconSet="3ArrowsGray" showValue="0">
        <cfvo type="percent" val="0"/>
        <cfvo type="num" val="2"/>
        <cfvo type="num" val="3"/>
      </iconSet>
    </cfRule>
  </conditionalFormatting>
  <conditionalFormatting sqref="I71:T71">
    <cfRule type="iconSet" priority="31">
      <iconSet iconSet="3ArrowsGray" showValue="0">
        <cfvo type="percent" val="0"/>
        <cfvo type="num" val="2"/>
        <cfvo type="num" val="3"/>
      </iconSet>
    </cfRule>
  </conditionalFormatting>
  <conditionalFormatting sqref="I72:T72">
    <cfRule type="iconSet" priority="23">
      <iconSet iconSet="3ArrowsGray" showValue="0">
        <cfvo type="percent" val="0"/>
        <cfvo type="num" val="2"/>
        <cfvo type="num" val="3"/>
      </iconSet>
    </cfRule>
    <cfRule type="iconSet" priority="24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47" fitToHeight="0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pageSetUpPr fitToPage="1"/>
  </sheetPr>
  <dimension ref="A1:AD67"/>
  <sheetViews>
    <sheetView workbookViewId="0"/>
  </sheetViews>
  <sheetFormatPr defaultColWidth="8.85546875" defaultRowHeight="15"/>
  <cols>
    <col min="1" max="1" width="5.7109375" style="28" customWidth="1"/>
    <col min="2" max="2" width="60" style="30" customWidth="1"/>
    <col min="3" max="3" width="2.85546875" style="454" customWidth="1"/>
    <col min="4" max="4" width="20.140625" style="28" customWidth="1"/>
    <col min="5" max="5" width="106.7109375" style="412" hidden="1" customWidth="1"/>
    <col min="6" max="6" width="10.140625" style="30" customWidth="1"/>
    <col min="7" max="20" width="11.28515625" style="30" customWidth="1"/>
    <col min="21" max="21" width="17.7109375" style="31" bestFit="1" customWidth="1"/>
    <col min="22" max="22" width="16" style="31" bestFit="1" customWidth="1"/>
    <col min="23" max="23" width="19.140625" style="30" bestFit="1" customWidth="1"/>
    <col min="24" max="24" width="12.42578125" style="30" bestFit="1" customWidth="1"/>
    <col min="25" max="29" width="8.85546875" style="30"/>
    <col min="30" max="30" width="17.85546875" style="30" bestFit="1" customWidth="1"/>
    <col min="31" max="16384" width="8.85546875" style="30"/>
  </cols>
  <sheetData>
    <row r="1" spans="1:22" ht="15.75">
      <c r="B1" s="29" t="s">
        <v>251</v>
      </c>
      <c r="C1" s="439"/>
      <c r="I1" s="22"/>
    </row>
    <row r="2" spans="1:22" ht="15.75">
      <c r="B2" s="29" t="s">
        <v>123</v>
      </c>
      <c r="C2" s="439"/>
    </row>
    <row r="3" spans="1:22" ht="15.75">
      <c r="B3" s="29" t="s">
        <v>373</v>
      </c>
      <c r="C3" s="439"/>
    </row>
    <row r="4" spans="1:22" s="33" customFormat="1" ht="15" customHeight="1">
      <c r="A4" s="741" t="s">
        <v>8</v>
      </c>
      <c r="B4" s="743" t="s">
        <v>9</v>
      </c>
      <c r="C4" s="744"/>
      <c r="D4" s="741" t="s">
        <v>93</v>
      </c>
      <c r="E4" s="741" t="s">
        <v>272</v>
      </c>
      <c r="F4" s="741" t="s">
        <v>99</v>
      </c>
      <c r="G4" s="747" t="s">
        <v>100</v>
      </c>
      <c r="H4" s="748"/>
      <c r="I4" s="730" t="s">
        <v>273</v>
      </c>
      <c r="J4" s="731"/>
      <c r="K4" s="731"/>
      <c r="L4" s="731"/>
      <c r="M4" s="731"/>
      <c r="N4" s="731"/>
      <c r="O4" s="731"/>
      <c r="P4" s="731"/>
      <c r="Q4" s="731"/>
      <c r="R4" s="731"/>
      <c r="S4" s="731"/>
      <c r="T4" s="732"/>
      <c r="U4" s="32"/>
      <c r="V4" s="32"/>
    </row>
    <row r="5" spans="1:22" s="33" customFormat="1" ht="15" customHeight="1">
      <c r="A5" s="742"/>
      <c r="B5" s="745"/>
      <c r="C5" s="746"/>
      <c r="D5" s="742"/>
      <c r="E5" s="742"/>
      <c r="F5" s="742"/>
      <c r="G5" s="606" t="s">
        <v>274</v>
      </c>
      <c r="H5" s="606" t="s">
        <v>275</v>
      </c>
      <c r="I5" s="113" t="s">
        <v>94</v>
      </c>
      <c r="J5" s="113" t="s">
        <v>95</v>
      </c>
      <c r="K5" s="113" t="s">
        <v>96</v>
      </c>
      <c r="L5" s="113" t="s">
        <v>97</v>
      </c>
      <c r="M5" s="113" t="s">
        <v>98</v>
      </c>
      <c r="N5" s="113" t="s">
        <v>153</v>
      </c>
      <c r="O5" s="113" t="s">
        <v>163</v>
      </c>
      <c r="P5" s="113" t="s">
        <v>165</v>
      </c>
      <c r="Q5" s="113" t="s">
        <v>167</v>
      </c>
      <c r="R5" s="113" t="s">
        <v>169</v>
      </c>
      <c r="S5" s="113" t="s">
        <v>171</v>
      </c>
      <c r="T5" s="607" t="s">
        <v>174</v>
      </c>
      <c r="U5" s="32"/>
      <c r="V5" s="32"/>
    </row>
    <row r="6" spans="1:22" s="33" customFormat="1" ht="15" customHeight="1">
      <c r="A6" s="606">
        <v>1</v>
      </c>
      <c r="B6" s="648">
        <v>2</v>
      </c>
      <c r="C6" s="487"/>
      <c r="D6" s="606">
        <v>3</v>
      </c>
      <c r="E6" s="606">
        <v>4</v>
      </c>
      <c r="F6" s="606">
        <v>5</v>
      </c>
      <c r="G6" s="606">
        <v>6</v>
      </c>
      <c r="H6" s="606">
        <v>7</v>
      </c>
      <c r="I6" s="606">
        <v>8</v>
      </c>
      <c r="J6" s="606">
        <v>9</v>
      </c>
      <c r="K6" s="606">
        <v>10</v>
      </c>
      <c r="L6" s="606">
        <v>11</v>
      </c>
      <c r="M6" s="606">
        <v>12</v>
      </c>
      <c r="N6" s="606">
        <v>13</v>
      </c>
      <c r="O6" s="606">
        <v>14</v>
      </c>
      <c r="P6" s="606">
        <v>15</v>
      </c>
      <c r="Q6" s="606">
        <v>16</v>
      </c>
      <c r="R6" s="606">
        <v>17</v>
      </c>
      <c r="S6" s="606">
        <v>18</v>
      </c>
      <c r="T6" s="606">
        <v>19</v>
      </c>
      <c r="U6" s="32"/>
      <c r="V6" s="32"/>
    </row>
    <row r="7" spans="1:22" s="35" customFormat="1" ht="16.5">
      <c r="A7" s="65" t="s">
        <v>269</v>
      </c>
      <c r="B7" s="66" t="s">
        <v>15</v>
      </c>
      <c r="C7" s="446"/>
      <c r="D7" s="50"/>
      <c r="E7" s="413"/>
      <c r="F7" s="68">
        <f>SUM(F8:F17)</f>
        <v>40</v>
      </c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107"/>
      <c r="U7" s="34"/>
      <c r="V7" s="34"/>
    </row>
    <row r="8" spans="1:22" ht="15.75">
      <c r="A8" s="277">
        <v>1</v>
      </c>
      <c r="B8" s="309" t="s">
        <v>383</v>
      </c>
      <c r="C8" s="447" t="s">
        <v>277</v>
      </c>
      <c r="D8" s="76" t="s">
        <v>384</v>
      </c>
      <c r="E8" s="414" t="s">
        <v>403</v>
      </c>
      <c r="F8" s="77">
        <v>14</v>
      </c>
      <c r="G8" s="92">
        <f>N8</f>
        <v>39.700000000000003</v>
      </c>
      <c r="H8" s="92">
        <f>T8</f>
        <v>80.8</v>
      </c>
      <c r="I8" s="92">
        <f>KPI!D8</f>
        <v>6.54</v>
      </c>
      <c r="J8" s="92">
        <f>KPI!E8</f>
        <v>12.76</v>
      </c>
      <c r="K8" s="92">
        <f>KPI!F8</f>
        <v>19.68</v>
      </c>
      <c r="L8" s="92">
        <f>KPI!G8</f>
        <v>26.37</v>
      </c>
      <c r="M8" s="92">
        <f>KPI!H8</f>
        <v>33.24</v>
      </c>
      <c r="N8" s="92">
        <f>KPI!I8</f>
        <v>39.700000000000003</v>
      </c>
      <c r="O8" s="92">
        <f>KPI!J8</f>
        <v>46.24</v>
      </c>
      <c r="P8" s="92">
        <f>KPI!K8</f>
        <v>52.96</v>
      </c>
      <c r="Q8" s="92">
        <f>KPI!L8</f>
        <v>59.74</v>
      </c>
      <c r="R8" s="92">
        <f>KPI!M8</f>
        <v>66.819999999999993</v>
      </c>
      <c r="S8" s="92">
        <f>KPI!N8</f>
        <v>73.760000000000005</v>
      </c>
      <c r="T8" s="108">
        <f>KPI!O8</f>
        <v>80.8</v>
      </c>
      <c r="U8" s="36"/>
      <c r="V8" s="36"/>
    </row>
    <row r="9" spans="1:22" ht="15.75">
      <c r="A9" s="279">
        <v>2</v>
      </c>
      <c r="B9" s="310" t="s">
        <v>385</v>
      </c>
      <c r="C9" s="448"/>
      <c r="D9" s="76"/>
      <c r="E9" s="414"/>
      <c r="F9" s="77">
        <v>14</v>
      </c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108"/>
      <c r="U9" s="36"/>
      <c r="V9" s="36"/>
    </row>
    <row r="10" spans="1:22" ht="15.75">
      <c r="A10" s="280"/>
      <c r="B10" s="74" t="s">
        <v>404</v>
      </c>
      <c r="C10" s="447" t="s">
        <v>279</v>
      </c>
      <c r="D10" s="76" t="s">
        <v>405</v>
      </c>
      <c r="E10" s="414" t="s">
        <v>280</v>
      </c>
      <c r="F10" s="77"/>
      <c r="G10" s="92">
        <f>N10</f>
        <v>194.62</v>
      </c>
      <c r="H10" s="92">
        <f>T10</f>
        <v>389.24</v>
      </c>
      <c r="I10" s="92">
        <f>KPI!D32</f>
        <v>32.44</v>
      </c>
      <c r="J10" s="92">
        <f>KPI!E32</f>
        <v>64.87</v>
      </c>
      <c r="K10" s="92">
        <f>KPI!F32</f>
        <v>97.31</v>
      </c>
      <c r="L10" s="92">
        <f>KPI!G32</f>
        <v>129.75</v>
      </c>
      <c r="M10" s="92">
        <f>KPI!H32</f>
        <v>162.18</v>
      </c>
      <c r="N10" s="92">
        <f>KPI!I32</f>
        <v>194.62</v>
      </c>
      <c r="O10" s="92">
        <f>KPI!J32</f>
        <v>227.06</v>
      </c>
      <c r="P10" s="92">
        <f>KPI!K32</f>
        <v>259.49</v>
      </c>
      <c r="Q10" s="92">
        <f>KPI!L32</f>
        <v>291.93</v>
      </c>
      <c r="R10" s="92">
        <f>KPI!M32</f>
        <v>324.37</v>
      </c>
      <c r="S10" s="92">
        <f>KPI!N32</f>
        <v>356.8</v>
      </c>
      <c r="T10" s="108">
        <f>KPI!O32</f>
        <v>389.24</v>
      </c>
      <c r="U10" s="36"/>
      <c r="V10" s="36"/>
    </row>
    <row r="11" spans="1:22" ht="15.75">
      <c r="A11" s="280"/>
      <c r="B11" s="74" t="s">
        <v>406</v>
      </c>
      <c r="C11" s="447" t="s">
        <v>279</v>
      </c>
      <c r="D11" s="76" t="s">
        <v>407</v>
      </c>
      <c r="E11" s="414" t="s">
        <v>281</v>
      </c>
      <c r="F11" s="77"/>
      <c r="G11" s="92">
        <f>N11</f>
        <v>1.76</v>
      </c>
      <c r="H11" s="92">
        <f>T11</f>
        <v>3.53</v>
      </c>
      <c r="I11" s="92">
        <f>KPI!D54</f>
        <v>0.28999999999999998</v>
      </c>
      <c r="J11" s="92">
        <f>KPI!E54</f>
        <v>0.59</v>
      </c>
      <c r="K11" s="92">
        <f>KPI!F54</f>
        <v>0.88</v>
      </c>
      <c r="L11" s="92">
        <f>KPI!G54</f>
        <v>1.18</v>
      </c>
      <c r="M11" s="92">
        <f>KPI!H54</f>
        <v>1.47</v>
      </c>
      <c r="N11" s="92">
        <f>KPI!I54</f>
        <v>1.76</v>
      </c>
      <c r="O11" s="92">
        <f>KPI!J54</f>
        <v>2.06</v>
      </c>
      <c r="P11" s="92">
        <f>KPI!K54</f>
        <v>2.35</v>
      </c>
      <c r="Q11" s="92">
        <f>KPI!L54</f>
        <v>2.65</v>
      </c>
      <c r="R11" s="92">
        <f>KPI!M54</f>
        <v>2.94</v>
      </c>
      <c r="S11" s="92">
        <f>KPI!N54</f>
        <v>3.23</v>
      </c>
      <c r="T11" s="108">
        <f>KPI!O54</f>
        <v>3.53</v>
      </c>
      <c r="U11" s="36"/>
      <c r="V11" s="36"/>
    </row>
    <row r="12" spans="1:22" ht="15.75">
      <c r="A12" s="281"/>
      <c r="B12" s="74" t="s">
        <v>408</v>
      </c>
      <c r="C12" s="447" t="s">
        <v>279</v>
      </c>
      <c r="D12" s="76" t="s">
        <v>140</v>
      </c>
      <c r="E12" s="414" t="s">
        <v>409</v>
      </c>
      <c r="F12" s="77"/>
      <c r="G12" s="92">
        <f>N12</f>
        <v>24.23</v>
      </c>
      <c r="H12" s="92">
        <f>T12</f>
        <v>48.47</v>
      </c>
      <c r="I12" s="92">
        <f>KPI!D74</f>
        <v>4.04</v>
      </c>
      <c r="J12" s="92">
        <f>KPI!E74</f>
        <v>8.08</v>
      </c>
      <c r="K12" s="92">
        <f>KPI!F74</f>
        <v>12.12</v>
      </c>
      <c r="L12" s="92">
        <f>KPI!G74</f>
        <v>16.16</v>
      </c>
      <c r="M12" s="92">
        <f>KPI!H74</f>
        <v>20.190000000000001</v>
      </c>
      <c r="N12" s="92">
        <f>KPI!I74</f>
        <v>24.23</v>
      </c>
      <c r="O12" s="92">
        <f>KPI!J74</f>
        <v>28.27</v>
      </c>
      <c r="P12" s="92">
        <f>KPI!K74</f>
        <v>32.31</v>
      </c>
      <c r="Q12" s="92">
        <f>KPI!L74</f>
        <v>36.35</v>
      </c>
      <c r="R12" s="92">
        <f>KPI!M74</f>
        <v>40.39</v>
      </c>
      <c r="S12" s="92">
        <f>KPI!N74</f>
        <v>44.43</v>
      </c>
      <c r="T12" s="108">
        <f>KPI!O74</f>
        <v>48.47</v>
      </c>
      <c r="U12" s="36"/>
      <c r="V12" s="36"/>
    </row>
    <row r="13" spans="1:22" ht="15.75">
      <c r="A13" s="280">
        <v>3</v>
      </c>
      <c r="B13" s="309" t="s">
        <v>391</v>
      </c>
      <c r="C13" s="447"/>
      <c r="D13" s="76"/>
      <c r="E13" s="414"/>
      <c r="F13" s="77">
        <v>12</v>
      </c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108"/>
      <c r="U13" s="36"/>
      <c r="V13" s="36"/>
    </row>
    <row r="14" spans="1:22" ht="31.5">
      <c r="A14" s="280"/>
      <c r="B14" s="74" t="s">
        <v>392</v>
      </c>
      <c r="C14" s="447" t="s">
        <v>279</v>
      </c>
      <c r="D14" s="76" t="s">
        <v>149</v>
      </c>
      <c r="E14" s="414" t="s">
        <v>410</v>
      </c>
      <c r="F14" s="77"/>
      <c r="G14" s="92">
        <f>N14</f>
        <v>9.7899999999999991</v>
      </c>
      <c r="H14" s="92">
        <f>T14</f>
        <v>9.3699999999999992</v>
      </c>
      <c r="I14" s="92">
        <f>KPI!D89</f>
        <v>10.36</v>
      </c>
      <c r="J14" s="92">
        <f>KPI!E89</f>
        <v>10.36</v>
      </c>
      <c r="K14" s="92">
        <f>KPI!F89</f>
        <v>10.36</v>
      </c>
      <c r="L14" s="92">
        <f>KPI!G89</f>
        <v>10.17</v>
      </c>
      <c r="M14" s="92">
        <f>KPI!H89</f>
        <v>9.98</v>
      </c>
      <c r="N14" s="92">
        <f>KPI!I89</f>
        <v>9.7899999999999991</v>
      </c>
      <c r="O14" s="92">
        <f>KPI!J89</f>
        <v>9.7200000000000006</v>
      </c>
      <c r="P14" s="92">
        <f>KPI!K89</f>
        <v>9.65</v>
      </c>
      <c r="Q14" s="92">
        <f>KPI!L89</f>
        <v>9.58</v>
      </c>
      <c r="R14" s="92">
        <f>KPI!M89</f>
        <v>9.51</v>
      </c>
      <c r="S14" s="92">
        <f>KPI!N89</f>
        <v>9.44</v>
      </c>
      <c r="T14" s="108">
        <f>KPI!O89</f>
        <v>9.3699999999999992</v>
      </c>
      <c r="U14" s="36"/>
      <c r="V14" s="36"/>
    </row>
    <row r="15" spans="1:22" ht="15.75">
      <c r="A15" s="280"/>
      <c r="B15" s="74" t="s">
        <v>411</v>
      </c>
      <c r="C15" s="447" t="s">
        <v>277</v>
      </c>
      <c r="D15" s="76" t="s">
        <v>149</v>
      </c>
      <c r="E15" s="414" t="s">
        <v>412</v>
      </c>
      <c r="F15" s="77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108"/>
      <c r="U15" s="36"/>
      <c r="V15" s="36"/>
    </row>
    <row r="16" spans="1:22" ht="15.75">
      <c r="A16" s="280"/>
      <c r="B16" s="74" t="s">
        <v>393</v>
      </c>
      <c r="C16" s="447" t="s">
        <v>277</v>
      </c>
      <c r="D16" s="76" t="s">
        <v>149</v>
      </c>
      <c r="E16" s="414" t="s">
        <v>413</v>
      </c>
      <c r="F16" s="77"/>
      <c r="G16" s="92">
        <f>N16</f>
        <v>47.560137457044668</v>
      </c>
      <c r="H16" s="92">
        <f>T16</f>
        <v>100</v>
      </c>
      <c r="I16" s="92">
        <f>KPI!D115</f>
        <v>7.9266895761741116</v>
      </c>
      <c r="J16" s="92">
        <f>KPI!E115</f>
        <v>15.853379152348223</v>
      </c>
      <c r="K16" s="92">
        <f>KPI!F115</f>
        <v>23.780068728522334</v>
      </c>
      <c r="L16" s="92">
        <f>KPI!G115</f>
        <v>31.706758304696447</v>
      </c>
      <c r="M16" s="92">
        <f>KPI!H115</f>
        <v>39.633447880870563</v>
      </c>
      <c r="N16" s="92">
        <f>KPI!I115</f>
        <v>47.560137457044668</v>
      </c>
      <c r="O16" s="92">
        <f>KPI!J115</f>
        <v>56.300114547537227</v>
      </c>
      <c r="P16" s="92">
        <f>KPI!K115</f>
        <v>65.040091638029779</v>
      </c>
      <c r="Q16" s="92">
        <f>KPI!L115</f>
        <v>73.780068728522338</v>
      </c>
      <c r="R16" s="92">
        <f>KPI!M115</f>
        <v>82.520045819014882</v>
      </c>
      <c r="S16" s="92">
        <f>KPI!N115</f>
        <v>91.260022909507441</v>
      </c>
      <c r="T16" s="92">
        <f>KPI!O115</f>
        <v>100</v>
      </c>
      <c r="U16" s="36"/>
      <c r="V16" s="36"/>
    </row>
    <row r="17" spans="1:22" ht="34.15" customHeight="1">
      <c r="A17" s="280"/>
      <c r="B17" s="160" t="s">
        <v>394</v>
      </c>
      <c r="C17" s="447" t="s">
        <v>277</v>
      </c>
      <c r="D17" s="76" t="s">
        <v>72</v>
      </c>
      <c r="E17" s="414" t="s">
        <v>414</v>
      </c>
      <c r="F17" s="77"/>
      <c r="G17" s="92">
        <f>N17</f>
        <v>729</v>
      </c>
      <c r="H17" s="92">
        <f>T17</f>
        <v>1457</v>
      </c>
      <c r="I17" s="92">
        <f>KPI!D130</f>
        <v>153</v>
      </c>
      <c r="J17" s="92">
        <f>KPI!E130</f>
        <v>305</v>
      </c>
      <c r="K17" s="92">
        <f>KPI!F130</f>
        <v>457</v>
      </c>
      <c r="L17" s="92">
        <f>KPI!G130</f>
        <v>609</v>
      </c>
      <c r="M17" s="92">
        <f>KPI!H130</f>
        <v>670</v>
      </c>
      <c r="N17" s="92">
        <f>KPI!I130</f>
        <v>729</v>
      </c>
      <c r="O17" s="92">
        <f>KPI!J130</f>
        <v>911</v>
      </c>
      <c r="P17" s="92">
        <f>KPI!K130</f>
        <v>1093</v>
      </c>
      <c r="Q17" s="92">
        <f>KPI!L130</f>
        <v>1275</v>
      </c>
      <c r="R17" s="92">
        <f>KPI!M130</f>
        <v>1457</v>
      </c>
      <c r="S17" s="92">
        <f>KPI!N130</f>
        <v>1457</v>
      </c>
      <c r="T17" s="108">
        <f>KPI!O130</f>
        <v>1457</v>
      </c>
      <c r="U17" s="36"/>
      <c r="V17" s="36"/>
    </row>
    <row r="18" spans="1:22" s="35" customFormat="1" ht="16.5">
      <c r="A18" s="278" t="s">
        <v>284</v>
      </c>
      <c r="B18" s="71" t="s">
        <v>285</v>
      </c>
      <c r="C18" s="449"/>
      <c r="D18" s="129"/>
      <c r="E18" s="415"/>
      <c r="F18" s="167">
        <f>SUM(F19:F55)</f>
        <v>60</v>
      </c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8"/>
      <c r="U18" s="34"/>
      <c r="V18" s="34"/>
    </row>
    <row r="19" spans="1:22" ht="15.75">
      <c r="A19" s="279">
        <v>4</v>
      </c>
      <c r="B19" s="309" t="s">
        <v>286</v>
      </c>
      <c r="C19" s="447"/>
      <c r="D19" s="76"/>
      <c r="E19" s="416"/>
      <c r="F19" s="77">
        <v>9</v>
      </c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108"/>
      <c r="U19" s="36"/>
      <c r="V19" s="36"/>
    </row>
    <row r="20" spans="1:22" ht="31.5">
      <c r="A20" s="280"/>
      <c r="B20" s="74" t="s">
        <v>288</v>
      </c>
      <c r="C20" s="447" t="s">
        <v>279</v>
      </c>
      <c r="D20" s="76" t="s">
        <v>136</v>
      </c>
      <c r="E20" s="416" t="s">
        <v>415</v>
      </c>
      <c r="F20" s="77"/>
      <c r="G20" s="92">
        <f>N20</f>
        <v>33</v>
      </c>
      <c r="H20" s="92">
        <f>T20</f>
        <v>62</v>
      </c>
      <c r="I20" s="92">
        <f>PI!D8</f>
        <v>6</v>
      </c>
      <c r="J20" s="92">
        <f>PI!E8</f>
        <v>11</v>
      </c>
      <c r="K20" s="92">
        <f>PI!F8</f>
        <v>17</v>
      </c>
      <c r="L20" s="92">
        <f>PI!G8</f>
        <v>22</v>
      </c>
      <c r="M20" s="92">
        <f>PI!H8</f>
        <v>28</v>
      </c>
      <c r="N20" s="92">
        <f>PI!I8</f>
        <v>33</v>
      </c>
      <c r="O20" s="92">
        <f>PI!J8</f>
        <v>39</v>
      </c>
      <c r="P20" s="92">
        <f>PI!K8</f>
        <v>44</v>
      </c>
      <c r="Q20" s="92">
        <f>PI!L8</f>
        <v>50</v>
      </c>
      <c r="R20" s="92">
        <f>PI!M8</f>
        <v>55</v>
      </c>
      <c r="S20" s="92">
        <f>PI!N8</f>
        <v>61</v>
      </c>
      <c r="T20" s="108">
        <f>PI!O8</f>
        <v>62</v>
      </c>
      <c r="U20" s="36"/>
      <c r="V20" s="36"/>
    </row>
    <row r="21" spans="1:22" ht="31.5">
      <c r="A21" s="280"/>
      <c r="B21" s="74" t="s">
        <v>290</v>
      </c>
      <c r="C21" s="447" t="s">
        <v>279</v>
      </c>
      <c r="D21" s="76" t="s">
        <v>136</v>
      </c>
      <c r="E21" s="416" t="s">
        <v>416</v>
      </c>
      <c r="F21" s="77"/>
      <c r="G21" s="92">
        <f>N21</f>
        <v>43</v>
      </c>
      <c r="H21" s="92">
        <f>T21</f>
        <v>86</v>
      </c>
      <c r="I21" s="92">
        <f>PI!D9</f>
        <v>7</v>
      </c>
      <c r="J21" s="92">
        <f>PI!E9</f>
        <v>14</v>
      </c>
      <c r="K21" s="92">
        <f>PI!F9</f>
        <v>22</v>
      </c>
      <c r="L21" s="92">
        <f>PI!G9</f>
        <v>29</v>
      </c>
      <c r="M21" s="92">
        <f>PI!H9</f>
        <v>36</v>
      </c>
      <c r="N21" s="92">
        <f>PI!I9</f>
        <v>43</v>
      </c>
      <c r="O21" s="92">
        <f>PI!J9</f>
        <v>50</v>
      </c>
      <c r="P21" s="92">
        <f>PI!K9</f>
        <v>57</v>
      </c>
      <c r="Q21" s="92">
        <f>PI!L9</f>
        <v>65</v>
      </c>
      <c r="R21" s="92">
        <f>PI!M9</f>
        <v>72</v>
      </c>
      <c r="S21" s="92">
        <f>PI!N9</f>
        <v>79</v>
      </c>
      <c r="T21" s="108">
        <f>PI!O9</f>
        <v>86</v>
      </c>
      <c r="U21" s="36"/>
      <c r="V21" s="36"/>
    </row>
    <row r="22" spans="1:22" ht="15.75">
      <c r="A22" s="280"/>
      <c r="B22" s="74" t="s">
        <v>292</v>
      </c>
      <c r="C22" s="450" t="s">
        <v>279</v>
      </c>
      <c r="D22" s="76" t="s">
        <v>72</v>
      </c>
      <c r="E22" s="416" t="s">
        <v>417</v>
      </c>
      <c r="F22" s="77"/>
      <c r="G22" s="92">
        <f>N22</f>
        <v>1</v>
      </c>
      <c r="H22" s="92">
        <f>T22</f>
        <v>2</v>
      </c>
      <c r="I22" s="92">
        <f>PI!D33</f>
        <v>0</v>
      </c>
      <c r="J22" s="92">
        <f>PI!E33</f>
        <v>0</v>
      </c>
      <c r="K22" s="92">
        <f>PI!F33</f>
        <v>1</v>
      </c>
      <c r="L22" s="92">
        <f>PI!G33</f>
        <v>1</v>
      </c>
      <c r="M22" s="92">
        <f>PI!H33</f>
        <v>1</v>
      </c>
      <c r="N22" s="92">
        <f>PI!I33</f>
        <v>1</v>
      </c>
      <c r="O22" s="92">
        <v>2</v>
      </c>
      <c r="P22" s="92">
        <v>2</v>
      </c>
      <c r="Q22" s="92">
        <v>2</v>
      </c>
      <c r="R22" s="92">
        <v>2</v>
      </c>
      <c r="S22" s="92">
        <v>2</v>
      </c>
      <c r="T22" s="108">
        <v>2</v>
      </c>
      <c r="U22" s="36"/>
      <c r="V22" s="36"/>
    </row>
    <row r="23" spans="1:22" ht="15.75">
      <c r="A23" s="281">
        <v>5</v>
      </c>
      <c r="B23" s="309" t="s">
        <v>294</v>
      </c>
      <c r="C23" s="450"/>
      <c r="D23" s="76"/>
      <c r="E23" s="417"/>
      <c r="F23" s="78">
        <v>8</v>
      </c>
      <c r="G23" s="92"/>
      <c r="H23" s="92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123"/>
      <c r="U23" s="36"/>
      <c r="V23" s="36"/>
    </row>
    <row r="24" spans="1:22" ht="31.5">
      <c r="A24" s="280"/>
      <c r="B24" s="74" t="s">
        <v>295</v>
      </c>
      <c r="C24" s="450" t="s">
        <v>279</v>
      </c>
      <c r="D24" s="76" t="s">
        <v>149</v>
      </c>
      <c r="E24" s="417" t="s">
        <v>418</v>
      </c>
      <c r="F24" s="78"/>
      <c r="G24" s="92">
        <f>N24</f>
        <v>0.09</v>
      </c>
      <c r="H24" s="92">
        <f>T24</f>
        <v>0.09</v>
      </c>
      <c r="I24" s="357">
        <f>PI!D55</f>
        <v>0.09</v>
      </c>
      <c r="J24" s="357">
        <f>PI!E55</f>
        <v>0.09</v>
      </c>
      <c r="K24" s="357">
        <f>PI!F55</f>
        <v>0.09</v>
      </c>
      <c r="L24" s="357">
        <f>PI!G55</f>
        <v>0.09</v>
      </c>
      <c r="M24" s="357">
        <f>PI!H55</f>
        <v>0.09</v>
      </c>
      <c r="N24" s="357">
        <f>PI!I55</f>
        <v>0.09</v>
      </c>
      <c r="O24" s="357">
        <f>PI!J55</f>
        <v>0.09</v>
      </c>
      <c r="P24" s="357">
        <f>PI!K55</f>
        <v>0.09</v>
      </c>
      <c r="Q24" s="357">
        <f>PI!L55</f>
        <v>0.09</v>
      </c>
      <c r="R24" s="357">
        <f>PI!M55</f>
        <v>0.09</v>
      </c>
      <c r="S24" s="357">
        <f>PI!N55</f>
        <v>0.09</v>
      </c>
      <c r="T24" s="470">
        <f>PI!O55</f>
        <v>0.09</v>
      </c>
      <c r="U24" s="36"/>
      <c r="V24" s="36"/>
    </row>
    <row r="25" spans="1:22" ht="31.5">
      <c r="A25" s="279"/>
      <c r="B25" s="74" t="s">
        <v>296</v>
      </c>
      <c r="C25" s="450" t="s">
        <v>279</v>
      </c>
      <c r="D25" s="76" t="s">
        <v>149</v>
      </c>
      <c r="E25" s="417" t="s">
        <v>419</v>
      </c>
      <c r="F25" s="78"/>
      <c r="G25" s="92">
        <f>N25</f>
        <v>0.04</v>
      </c>
      <c r="H25" s="92">
        <f>T25</f>
        <v>0.04</v>
      </c>
      <c r="I25" s="106">
        <f>PI!D77</f>
        <v>0.04</v>
      </c>
      <c r="J25" s="106">
        <f>PI!E77</f>
        <v>0.04</v>
      </c>
      <c r="K25" s="106">
        <f>PI!F77</f>
        <v>0.04</v>
      </c>
      <c r="L25" s="106">
        <f>PI!G77</f>
        <v>0.04</v>
      </c>
      <c r="M25" s="106">
        <f>PI!H77</f>
        <v>0.04</v>
      </c>
      <c r="N25" s="106">
        <f>PI!I77</f>
        <v>0.04</v>
      </c>
      <c r="O25" s="106">
        <f>PI!J77</f>
        <v>0.04</v>
      </c>
      <c r="P25" s="106">
        <f>PI!K77</f>
        <v>0.04</v>
      </c>
      <c r="Q25" s="106">
        <f>PI!L77</f>
        <v>0.04</v>
      </c>
      <c r="R25" s="106">
        <f>PI!M77</f>
        <v>0.04</v>
      </c>
      <c r="S25" s="106">
        <f>PI!N77</f>
        <v>0.04</v>
      </c>
      <c r="T25" s="109">
        <f>PI!O77</f>
        <v>0.04</v>
      </c>
      <c r="U25" s="36"/>
      <c r="V25" s="36"/>
    </row>
    <row r="26" spans="1:22" ht="15.75">
      <c r="A26" s="280"/>
      <c r="B26" s="74" t="s">
        <v>298</v>
      </c>
      <c r="C26" s="450" t="s">
        <v>277</v>
      </c>
      <c r="D26" s="76" t="s">
        <v>193</v>
      </c>
      <c r="E26" s="417" t="s">
        <v>420</v>
      </c>
      <c r="F26" s="78"/>
      <c r="G26" s="92">
        <f>N26</f>
        <v>4.9000000000000004</v>
      </c>
      <c r="H26" s="92">
        <f>T26</f>
        <v>4.9000000000000004</v>
      </c>
      <c r="I26" s="92">
        <f>PI!D97</f>
        <v>4.9000000000000004</v>
      </c>
      <c r="J26" s="92">
        <f>PI!E97</f>
        <v>4.9000000000000004</v>
      </c>
      <c r="K26" s="92">
        <f>PI!F97</f>
        <v>4.9000000000000004</v>
      </c>
      <c r="L26" s="92">
        <f>PI!G97</f>
        <v>4.9000000000000004</v>
      </c>
      <c r="M26" s="92">
        <f>PI!H97</f>
        <v>4.9000000000000004</v>
      </c>
      <c r="N26" s="92">
        <f>PI!I97</f>
        <v>4.9000000000000004</v>
      </c>
      <c r="O26" s="92">
        <f>PI!J97</f>
        <v>4.9000000000000004</v>
      </c>
      <c r="P26" s="92">
        <f>PI!K97</f>
        <v>4.9000000000000004</v>
      </c>
      <c r="Q26" s="92">
        <f>PI!L97</f>
        <v>4.9000000000000004</v>
      </c>
      <c r="R26" s="92">
        <f>PI!M97</f>
        <v>4.9000000000000004</v>
      </c>
      <c r="S26" s="92">
        <f>PI!N97</f>
        <v>4.9000000000000004</v>
      </c>
      <c r="T26" s="108">
        <f>PI!O97</f>
        <v>4.9000000000000004</v>
      </c>
      <c r="U26" s="36"/>
      <c r="V26" s="36"/>
    </row>
    <row r="27" spans="1:22" ht="15.75">
      <c r="A27" s="280"/>
      <c r="B27" s="74" t="s">
        <v>300</v>
      </c>
      <c r="C27" s="450" t="s">
        <v>277</v>
      </c>
      <c r="D27" s="76" t="s">
        <v>301</v>
      </c>
      <c r="E27" s="417" t="s">
        <v>421</v>
      </c>
      <c r="F27" s="78"/>
      <c r="G27" s="92">
        <f>N27</f>
        <v>9333</v>
      </c>
      <c r="H27" s="92">
        <f>T27</f>
        <v>15555</v>
      </c>
      <c r="I27" s="92">
        <f>PI!D102</f>
        <v>1598</v>
      </c>
      <c r="J27" s="92">
        <f>PI!E102</f>
        <v>3042</v>
      </c>
      <c r="K27" s="92">
        <f>PI!F102</f>
        <v>4641</v>
      </c>
      <c r="L27" s="92">
        <f>PI!G102</f>
        <v>6188</v>
      </c>
      <c r="M27" s="92">
        <f>PI!H102</f>
        <v>7786</v>
      </c>
      <c r="N27" s="92">
        <f>PI!I102</f>
        <v>9333</v>
      </c>
      <c r="O27" s="92">
        <f>PI!J102</f>
        <v>10381</v>
      </c>
      <c r="P27" s="92">
        <f>PI!K102</f>
        <v>11430</v>
      </c>
      <c r="Q27" s="92">
        <f>PI!L102</f>
        <v>12444</v>
      </c>
      <c r="R27" s="92">
        <f>PI!M102</f>
        <v>13492</v>
      </c>
      <c r="S27" s="92">
        <f>PI!N102</f>
        <v>14507</v>
      </c>
      <c r="T27" s="108">
        <f>PI!O102</f>
        <v>15555</v>
      </c>
      <c r="U27" s="36"/>
      <c r="V27" s="36"/>
    </row>
    <row r="28" spans="1:22" ht="15.75">
      <c r="A28" s="280">
        <v>6</v>
      </c>
      <c r="B28" s="309" t="s">
        <v>303</v>
      </c>
      <c r="C28" s="450"/>
      <c r="D28" s="76"/>
      <c r="E28" s="417"/>
      <c r="F28" s="78">
        <v>3</v>
      </c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108"/>
      <c r="U28" s="36"/>
      <c r="V28" s="36"/>
    </row>
    <row r="29" spans="1:22" ht="31.5">
      <c r="A29" s="280"/>
      <c r="B29" s="74" t="s">
        <v>304</v>
      </c>
      <c r="C29" s="450" t="s">
        <v>279</v>
      </c>
      <c r="D29" s="76" t="s">
        <v>132</v>
      </c>
      <c r="E29" s="417" t="s">
        <v>422</v>
      </c>
      <c r="F29" s="78"/>
      <c r="G29" s="92">
        <f>N29</f>
        <v>30</v>
      </c>
      <c r="H29" s="92">
        <f>T29</f>
        <v>30</v>
      </c>
      <c r="I29" s="92">
        <f>PI!D113</f>
        <v>30</v>
      </c>
      <c r="J29" s="92">
        <f>PI!E113</f>
        <v>30</v>
      </c>
      <c r="K29" s="92">
        <f>PI!F113</f>
        <v>30</v>
      </c>
      <c r="L29" s="92">
        <f>PI!G113</f>
        <v>30</v>
      </c>
      <c r="M29" s="92">
        <f>PI!H113</f>
        <v>30</v>
      </c>
      <c r="N29" s="92">
        <f>PI!I113</f>
        <v>30</v>
      </c>
      <c r="O29" s="92">
        <f>PI!J113</f>
        <v>30</v>
      </c>
      <c r="P29" s="92">
        <f>PI!K113</f>
        <v>30</v>
      </c>
      <c r="Q29" s="92">
        <f>PI!L113</f>
        <v>30</v>
      </c>
      <c r="R29" s="92">
        <f>PI!M113</f>
        <v>30</v>
      </c>
      <c r="S29" s="92">
        <f>PI!N113</f>
        <v>30</v>
      </c>
      <c r="T29" s="108">
        <f>PI!O113</f>
        <v>30</v>
      </c>
      <c r="U29" s="36"/>
      <c r="V29" s="36"/>
    </row>
    <row r="30" spans="1:22" ht="15.75">
      <c r="A30" s="280"/>
      <c r="B30" s="74" t="s">
        <v>305</v>
      </c>
      <c r="C30" s="450" t="s">
        <v>277</v>
      </c>
      <c r="D30" s="76" t="s">
        <v>149</v>
      </c>
      <c r="E30" s="417" t="s">
        <v>423</v>
      </c>
      <c r="F30" s="78"/>
      <c r="G30" s="92">
        <f>N30</f>
        <v>0</v>
      </c>
      <c r="H30" s="92">
        <f>T30</f>
        <v>0</v>
      </c>
      <c r="I30" s="92">
        <f>PI!D129</f>
        <v>0</v>
      </c>
      <c r="J30" s="92">
        <f>PI!E129</f>
        <v>0</v>
      </c>
      <c r="K30" s="92">
        <f>PI!F129</f>
        <v>0</v>
      </c>
      <c r="L30" s="92">
        <f>PI!G129</f>
        <v>0</v>
      </c>
      <c r="M30" s="92">
        <f>PI!H129</f>
        <v>0</v>
      </c>
      <c r="N30" s="92">
        <f>PI!I129</f>
        <v>0</v>
      </c>
      <c r="O30" s="92">
        <f>PI!J129</f>
        <v>0</v>
      </c>
      <c r="P30" s="92">
        <f>PI!K129</f>
        <v>0</v>
      </c>
      <c r="Q30" s="92">
        <f>PI!L129</f>
        <v>0</v>
      </c>
      <c r="R30" s="92">
        <f>PI!M129</f>
        <v>0</v>
      </c>
      <c r="S30" s="92">
        <f>PI!N129</f>
        <v>0</v>
      </c>
      <c r="T30" s="108">
        <f>PI!O129</f>
        <v>0</v>
      </c>
      <c r="U30" s="36"/>
      <c r="V30" s="36"/>
    </row>
    <row r="31" spans="1:22" ht="15.75">
      <c r="A31" s="280">
        <v>7</v>
      </c>
      <c r="B31" s="309" t="s">
        <v>306</v>
      </c>
      <c r="C31" s="450"/>
      <c r="D31" s="76"/>
      <c r="E31" s="417"/>
      <c r="F31" s="78">
        <v>6</v>
      </c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108"/>
      <c r="U31" s="36"/>
      <c r="V31" s="36"/>
    </row>
    <row r="32" spans="1:22" ht="15.75">
      <c r="A32" s="280"/>
      <c r="B32" s="74" t="s">
        <v>308</v>
      </c>
      <c r="C32" s="450" t="s">
        <v>277</v>
      </c>
      <c r="D32" s="76" t="s">
        <v>149</v>
      </c>
      <c r="E32" s="417" t="s">
        <v>424</v>
      </c>
      <c r="F32" s="78"/>
      <c r="G32" s="92">
        <f t="shared" ref="G32:G33" si="0">N32</f>
        <v>100</v>
      </c>
      <c r="H32" s="92">
        <f t="shared" ref="H32:H33" si="1">T32</f>
        <v>100</v>
      </c>
      <c r="I32" s="92">
        <f>PI!D145</f>
        <v>100</v>
      </c>
      <c r="J32" s="92">
        <f>PI!E145</f>
        <v>100</v>
      </c>
      <c r="K32" s="92">
        <f>PI!F145</f>
        <v>100</v>
      </c>
      <c r="L32" s="92">
        <f>PI!G145</f>
        <v>100</v>
      </c>
      <c r="M32" s="92">
        <f>PI!H145</f>
        <v>100</v>
      </c>
      <c r="N32" s="92">
        <f>PI!I145</f>
        <v>100</v>
      </c>
      <c r="O32" s="92">
        <f>PI!J145</f>
        <v>100</v>
      </c>
      <c r="P32" s="92">
        <f>PI!K145</f>
        <v>100</v>
      </c>
      <c r="Q32" s="92">
        <f>PI!L145</f>
        <v>100</v>
      </c>
      <c r="R32" s="92">
        <f>PI!M145</f>
        <v>100</v>
      </c>
      <c r="S32" s="92">
        <f>PI!N145</f>
        <v>100</v>
      </c>
      <c r="T32" s="108">
        <f>PI!O145</f>
        <v>100</v>
      </c>
      <c r="U32" s="36"/>
      <c r="V32" s="36"/>
    </row>
    <row r="33" spans="1:22" ht="15.75">
      <c r="A33" s="280"/>
      <c r="B33" s="74" t="s">
        <v>309</v>
      </c>
      <c r="C33" s="450" t="s">
        <v>277</v>
      </c>
      <c r="D33" s="76" t="s">
        <v>149</v>
      </c>
      <c r="E33" s="417" t="s">
        <v>425</v>
      </c>
      <c r="F33" s="78"/>
      <c r="G33" s="92">
        <f t="shared" si="0"/>
        <v>100</v>
      </c>
      <c r="H33" s="92">
        <f t="shared" si="1"/>
        <v>100</v>
      </c>
      <c r="I33" s="92">
        <f>PI!D167</f>
        <v>100</v>
      </c>
      <c r="J33" s="92">
        <f>PI!E167</f>
        <v>100</v>
      </c>
      <c r="K33" s="92">
        <f>PI!F167</f>
        <v>100</v>
      </c>
      <c r="L33" s="92">
        <f>PI!G167</f>
        <v>100</v>
      </c>
      <c r="M33" s="92">
        <f>PI!H167</f>
        <v>100</v>
      </c>
      <c r="N33" s="92">
        <f>PI!I167</f>
        <v>100</v>
      </c>
      <c r="O33" s="92">
        <f>PI!J167</f>
        <v>100</v>
      </c>
      <c r="P33" s="92">
        <f>PI!K167</f>
        <v>100</v>
      </c>
      <c r="Q33" s="92">
        <f>PI!L167</f>
        <v>100</v>
      </c>
      <c r="R33" s="92">
        <f>PI!M167</f>
        <v>100</v>
      </c>
      <c r="S33" s="92">
        <f>PI!N167</f>
        <v>100</v>
      </c>
      <c r="T33" s="108">
        <f>PI!O167</f>
        <v>100</v>
      </c>
      <c r="U33" s="36"/>
      <c r="V33" s="36"/>
    </row>
    <row r="34" spans="1:22" ht="15.75">
      <c r="A34" s="280">
        <v>8</v>
      </c>
      <c r="B34" s="309" t="s">
        <v>31</v>
      </c>
      <c r="C34" s="450"/>
      <c r="D34" s="76"/>
      <c r="E34" s="417"/>
      <c r="F34" s="78">
        <v>10</v>
      </c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108"/>
      <c r="U34" s="36"/>
      <c r="V34" s="36"/>
    </row>
    <row r="35" spans="1:22" ht="15.75">
      <c r="A35" s="280"/>
      <c r="B35" s="74" t="s">
        <v>312</v>
      </c>
      <c r="C35" s="450" t="s">
        <v>277</v>
      </c>
      <c r="D35" s="76" t="s">
        <v>313</v>
      </c>
      <c r="E35" s="417" t="s">
        <v>426</v>
      </c>
      <c r="F35" s="78"/>
      <c r="G35" s="92">
        <f>N35</f>
        <v>1.82</v>
      </c>
      <c r="H35" s="92">
        <f>T35</f>
        <v>4.59</v>
      </c>
      <c r="I35" s="92">
        <f>PI!D194</f>
        <v>0.25</v>
      </c>
      <c r="J35" s="92">
        <f>PI!E194</f>
        <v>0.51</v>
      </c>
      <c r="K35" s="92">
        <f>PI!F194</f>
        <v>0.78</v>
      </c>
      <c r="L35" s="92">
        <f>PI!G194</f>
        <v>1.04</v>
      </c>
      <c r="M35" s="92">
        <f>PI!H194</f>
        <v>1.43</v>
      </c>
      <c r="N35" s="92">
        <f>PI!I194</f>
        <v>1.82</v>
      </c>
      <c r="O35" s="92">
        <f>PI!J194</f>
        <v>2.2200000000000002</v>
      </c>
      <c r="P35" s="92">
        <f>PI!K194</f>
        <v>2.62</v>
      </c>
      <c r="Q35" s="92">
        <f>PI!L194</f>
        <v>3.01</v>
      </c>
      <c r="R35" s="92">
        <f>PI!M194</f>
        <v>3.4</v>
      </c>
      <c r="S35" s="92">
        <f>PI!N194</f>
        <v>3.79</v>
      </c>
      <c r="T35" s="108">
        <f>PI!O194</f>
        <v>4.59</v>
      </c>
      <c r="U35" s="36"/>
      <c r="V35" s="36"/>
    </row>
    <row r="36" spans="1:22" ht="15.75">
      <c r="A36" s="281"/>
      <c r="B36" s="74" t="s">
        <v>314</v>
      </c>
      <c r="C36" s="447" t="s">
        <v>277</v>
      </c>
      <c r="D36" s="76" t="s">
        <v>133</v>
      </c>
      <c r="E36" s="414" t="s">
        <v>427</v>
      </c>
      <c r="F36" s="77"/>
      <c r="G36" s="93">
        <f>N36</f>
        <v>1095</v>
      </c>
      <c r="H36" s="93">
        <f>T36</f>
        <v>2521</v>
      </c>
      <c r="I36" s="93">
        <f xml:space="preserve"> PI!D200</f>
        <v>150</v>
      </c>
      <c r="J36" s="93">
        <f xml:space="preserve"> PI!E200</f>
        <v>304</v>
      </c>
      <c r="K36" s="93">
        <f xml:space="preserve"> PI!F200</f>
        <v>467</v>
      </c>
      <c r="L36" s="93">
        <f xml:space="preserve"> PI!G200</f>
        <v>623</v>
      </c>
      <c r="M36" s="93">
        <f xml:space="preserve"> PI!H200</f>
        <v>863</v>
      </c>
      <c r="N36" s="93">
        <f xml:space="preserve"> PI!I200</f>
        <v>1095</v>
      </c>
      <c r="O36" s="93">
        <f xml:space="preserve"> PI!J200</f>
        <v>1335</v>
      </c>
      <c r="P36" s="93">
        <f xml:space="preserve"> PI!K200</f>
        <v>1575</v>
      </c>
      <c r="Q36" s="93">
        <f xml:space="preserve"> PI!L200</f>
        <v>1808</v>
      </c>
      <c r="R36" s="93">
        <f xml:space="preserve"> PI!M200</f>
        <v>2048</v>
      </c>
      <c r="S36" s="93">
        <f xml:space="preserve"> PI!N200</f>
        <v>2280</v>
      </c>
      <c r="T36" s="123">
        <f xml:space="preserve"> PI!O200</f>
        <v>2521</v>
      </c>
      <c r="U36" s="36"/>
      <c r="V36" s="36"/>
    </row>
    <row r="37" spans="1:22" ht="31.5">
      <c r="A37" s="280"/>
      <c r="B37" s="74" t="s">
        <v>315</v>
      </c>
      <c r="C37" s="450" t="s">
        <v>277</v>
      </c>
      <c r="D37" s="76" t="s">
        <v>133</v>
      </c>
      <c r="E37" s="417" t="s">
        <v>428</v>
      </c>
      <c r="F37" s="78"/>
      <c r="G37" s="93">
        <f>N37</f>
        <v>168</v>
      </c>
      <c r="H37" s="93">
        <f>T37</f>
        <v>276</v>
      </c>
      <c r="I37" s="92">
        <f>PI!D206</f>
        <v>28</v>
      </c>
      <c r="J37" s="92">
        <f>PI!E206</f>
        <v>56</v>
      </c>
      <c r="K37" s="92">
        <f>PI!F206</f>
        <v>84</v>
      </c>
      <c r="L37" s="92">
        <f>PI!G206</f>
        <v>112</v>
      </c>
      <c r="M37" s="92">
        <f>PI!H206</f>
        <v>140</v>
      </c>
      <c r="N37" s="92">
        <f>PI!I206</f>
        <v>168</v>
      </c>
      <c r="O37" s="92">
        <f>PI!J206</f>
        <v>186</v>
      </c>
      <c r="P37" s="92">
        <f>PI!K206</f>
        <v>204</v>
      </c>
      <c r="Q37" s="92">
        <f>PI!L206</f>
        <v>222</v>
      </c>
      <c r="R37" s="92">
        <f>PI!M206</f>
        <v>240</v>
      </c>
      <c r="S37" s="92">
        <f>PI!N206</f>
        <v>258</v>
      </c>
      <c r="T37" s="108">
        <f>PI!O206</f>
        <v>276</v>
      </c>
      <c r="U37" s="36"/>
      <c r="V37" s="36"/>
    </row>
    <row r="38" spans="1:22" ht="37.9" customHeight="1">
      <c r="A38" s="331"/>
      <c r="B38" s="160" t="s">
        <v>316</v>
      </c>
      <c r="C38" s="450" t="s">
        <v>277</v>
      </c>
      <c r="D38" s="76" t="s">
        <v>133</v>
      </c>
      <c r="E38" s="417" t="s">
        <v>429</v>
      </c>
      <c r="F38" s="78"/>
      <c r="G38" s="93">
        <f>N38</f>
        <v>4</v>
      </c>
      <c r="H38" s="93">
        <f>T38</f>
        <v>5</v>
      </c>
      <c r="I38" s="92">
        <f>PI!D212</f>
        <v>0</v>
      </c>
      <c r="J38" s="92">
        <f>PI!E212</f>
        <v>0</v>
      </c>
      <c r="K38" s="92">
        <f>PI!F212</f>
        <v>0</v>
      </c>
      <c r="L38" s="92">
        <f>PI!G212</f>
        <v>4</v>
      </c>
      <c r="M38" s="92">
        <f>PI!H212</f>
        <v>4</v>
      </c>
      <c r="N38" s="92">
        <f>PI!I212</f>
        <v>4</v>
      </c>
      <c r="O38" s="92">
        <f>PI!J212</f>
        <v>5</v>
      </c>
      <c r="P38" s="92">
        <f>PI!K212</f>
        <v>5</v>
      </c>
      <c r="Q38" s="92">
        <f>PI!L212</f>
        <v>5</v>
      </c>
      <c r="R38" s="92">
        <f>PI!M212</f>
        <v>5</v>
      </c>
      <c r="S38" s="92">
        <f>PI!N212</f>
        <v>5</v>
      </c>
      <c r="T38" s="108">
        <f>PI!O212</f>
        <v>5</v>
      </c>
      <c r="U38" s="36"/>
      <c r="V38" s="36"/>
    </row>
    <row r="39" spans="1:22" ht="15.75">
      <c r="A39" s="280">
        <v>9</v>
      </c>
      <c r="B39" s="309" t="s">
        <v>430</v>
      </c>
      <c r="C39" s="450"/>
      <c r="D39" s="76"/>
      <c r="E39" s="417"/>
      <c r="F39" s="78">
        <v>4</v>
      </c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108"/>
      <c r="U39" s="36"/>
      <c r="V39" s="36"/>
    </row>
    <row r="40" spans="1:22" ht="15.75">
      <c r="A40" s="280"/>
      <c r="B40" s="74" t="s">
        <v>431</v>
      </c>
      <c r="C40" s="450" t="s">
        <v>277</v>
      </c>
      <c r="D40" s="76" t="s">
        <v>133</v>
      </c>
      <c r="E40" s="417" t="s">
        <v>432</v>
      </c>
      <c r="F40" s="78"/>
      <c r="G40" s="92">
        <f>N40</f>
        <v>4</v>
      </c>
      <c r="H40" s="92">
        <f>T40</f>
        <v>157</v>
      </c>
      <c r="I40" s="92">
        <f>PI!D218</f>
        <v>1</v>
      </c>
      <c r="J40" s="92">
        <f>PI!E218</f>
        <v>1</v>
      </c>
      <c r="K40" s="92">
        <f>PI!F218</f>
        <v>1</v>
      </c>
      <c r="L40" s="92">
        <f>PI!G218</f>
        <v>1</v>
      </c>
      <c r="M40" s="92">
        <f>PI!H218</f>
        <v>2</v>
      </c>
      <c r="N40" s="92">
        <f>PI!I218</f>
        <v>4</v>
      </c>
      <c r="O40" s="92">
        <f>PI!J218</f>
        <v>13</v>
      </c>
      <c r="P40" s="92">
        <f>PI!K218</f>
        <v>21</v>
      </c>
      <c r="Q40" s="92">
        <f>PI!L218</f>
        <v>35</v>
      </c>
      <c r="R40" s="92">
        <f>PI!M218</f>
        <v>57</v>
      </c>
      <c r="S40" s="92">
        <f>PI!N218</f>
        <v>95</v>
      </c>
      <c r="T40" s="108">
        <f>PI!O218</f>
        <v>157</v>
      </c>
      <c r="U40" s="36"/>
      <c r="V40" s="36"/>
    </row>
    <row r="41" spans="1:22" ht="15.75">
      <c r="A41" s="280"/>
      <c r="B41" s="74" t="s">
        <v>433</v>
      </c>
      <c r="C41" s="450" t="s">
        <v>277</v>
      </c>
      <c r="D41" s="76" t="s">
        <v>434</v>
      </c>
      <c r="E41" s="417" t="s">
        <v>435</v>
      </c>
      <c r="F41" s="78"/>
      <c r="G41" s="92">
        <f>N41</f>
        <v>162</v>
      </c>
      <c r="H41" s="92">
        <f>T41</f>
        <v>20987.087</v>
      </c>
      <c r="I41" s="92">
        <f>PI!D224</f>
        <v>40.5</v>
      </c>
      <c r="J41" s="92">
        <f>PI!E224</f>
        <v>40.5</v>
      </c>
      <c r="K41" s="92">
        <f>PI!F224</f>
        <v>40.5</v>
      </c>
      <c r="L41" s="92">
        <f>PI!G224</f>
        <v>40.5</v>
      </c>
      <c r="M41" s="92">
        <f>PI!H224</f>
        <v>81</v>
      </c>
      <c r="N41" s="92">
        <f>PI!I224</f>
        <v>162</v>
      </c>
      <c r="O41" s="92">
        <f>PI!J224</f>
        <v>1737.7840000000001</v>
      </c>
      <c r="P41" s="92">
        <f>PI!K224</f>
        <v>2807.19</v>
      </c>
      <c r="Q41" s="92">
        <f>PI!L224</f>
        <v>4678.6499999999996</v>
      </c>
      <c r="R41" s="92">
        <f>PI!M224</f>
        <v>7619.5159999999996</v>
      </c>
      <c r="S41" s="92">
        <f>PI!N224</f>
        <v>12699.192999999999</v>
      </c>
      <c r="T41" s="108">
        <f>PI!O224</f>
        <v>20987.087</v>
      </c>
      <c r="U41" s="36"/>
      <c r="V41" s="36"/>
    </row>
    <row r="42" spans="1:22" ht="15.75">
      <c r="A42" s="280">
        <v>10</v>
      </c>
      <c r="B42" s="309" t="s">
        <v>321</v>
      </c>
      <c r="C42" s="450"/>
      <c r="D42" s="76"/>
      <c r="E42" s="417"/>
      <c r="F42" s="78">
        <v>8</v>
      </c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108"/>
      <c r="U42" s="36"/>
      <c r="V42" s="36"/>
    </row>
    <row r="43" spans="1:22" ht="15.75">
      <c r="A43" s="279"/>
      <c r="B43" s="74" t="s">
        <v>322</v>
      </c>
      <c r="C43" s="450" t="s">
        <v>277</v>
      </c>
      <c r="D43" s="76" t="s">
        <v>133</v>
      </c>
      <c r="E43" s="417" t="s">
        <v>436</v>
      </c>
      <c r="F43" s="78"/>
      <c r="G43" s="92">
        <f>N43</f>
        <v>2110</v>
      </c>
      <c r="H43" s="92">
        <f>T43</f>
        <v>2110</v>
      </c>
      <c r="I43" s="92">
        <f>PI!D234</f>
        <v>2110</v>
      </c>
      <c r="J43" s="92">
        <f>PI!E234</f>
        <v>2110</v>
      </c>
      <c r="K43" s="92">
        <f>PI!F234</f>
        <v>2110</v>
      </c>
      <c r="L43" s="92">
        <f>PI!G234</f>
        <v>2110</v>
      </c>
      <c r="M43" s="92">
        <f>PI!H234</f>
        <v>2110</v>
      </c>
      <c r="N43" s="92">
        <f>PI!I234</f>
        <v>2110</v>
      </c>
      <c r="O43" s="92">
        <f>PI!J234</f>
        <v>2110</v>
      </c>
      <c r="P43" s="92">
        <f>PI!K234</f>
        <v>2110</v>
      </c>
      <c r="Q43" s="92">
        <f>PI!L234</f>
        <v>2110</v>
      </c>
      <c r="R43" s="92">
        <f>PI!M234</f>
        <v>2110</v>
      </c>
      <c r="S43" s="92">
        <f>PI!N234</f>
        <v>2110</v>
      </c>
      <c r="T43" s="108">
        <f>PI!O234</f>
        <v>2110</v>
      </c>
      <c r="U43" s="36"/>
      <c r="V43" s="36"/>
    </row>
    <row r="44" spans="1:22" ht="15.75">
      <c r="A44" s="280"/>
      <c r="B44" s="74" t="s">
        <v>324</v>
      </c>
      <c r="C44" s="450" t="s">
        <v>279</v>
      </c>
      <c r="D44" s="76" t="s">
        <v>133</v>
      </c>
      <c r="E44" s="417" t="s">
        <v>437</v>
      </c>
      <c r="F44" s="78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108"/>
      <c r="U44" s="36"/>
      <c r="V44" s="36"/>
    </row>
    <row r="45" spans="1:22" ht="15.75">
      <c r="A45" s="280">
        <v>11</v>
      </c>
      <c r="B45" s="309" t="s">
        <v>438</v>
      </c>
      <c r="C45" s="450" t="s">
        <v>277</v>
      </c>
      <c r="D45" s="76" t="s">
        <v>149</v>
      </c>
      <c r="E45" s="417" t="s">
        <v>439</v>
      </c>
      <c r="F45" s="78">
        <v>3</v>
      </c>
      <c r="G45" s="92">
        <f>N45</f>
        <v>100</v>
      </c>
      <c r="H45" s="92">
        <f>T45</f>
        <v>100</v>
      </c>
      <c r="I45" s="92">
        <f>PI!D246</f>
        <v>100</v>
      </c>
      <c r="J45" s="92">
        <f>PI!E246</f>
        <v>100</v>
      </c>
      <c r="K45" s="92">
        <f>PI!F246</f>
        <v>100</v>
      </c>
      <c r="L45" s="92">
        <f>PI!G246</f>
        <v>100</v>
      </c>
      <c r="M45" s="92">
        <f>PI!H246</f>
        <v>100</v>
      </c>
      <c r="N45" s="92">
        <f>PI!I246</f>
        <v>100</v>
      </c>
      <c r="O45" s="92">
        <f>PI!J246</f>
        <v>100</v>
      </c>
      <c r="P45" s="92">
        <f>PI!K246</f>
        <v>100</v>
      </c>
      <c r="Q45" s="92">
        <f>PI!L246</f>
        <v>100</v>
      </c>
      <c r="R45" s="92">
        <f>PI!M246</f>
        <v>100</v>
      </c>
      <c r="S45" s="92">
        <f>PI!N246</f>
        <v>100</v>
      </c>
      <c r="T45" s="92">
        <f>PI!O246</f>
        <v>100</v>
      </c>
      <c r="U45" s="36"/>
      <c r="V45" s="36"/>
    </row>
    <row r="46" spans="1:22" ht="15.75">
      <c r="A46" s="280">
        <v>12</v>
      </c>
      <c r="B46" s="310" t="s">
        <v>325</v>
      </c>
      <c r="C46" s="450"/>
      <c r="D46" s="76" t="s">
        <v>149</v>
      </c>
      <c r="E46" s="417"/>
      <c r="F46" s="78">
        <v>9</v>
      </c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108"/>
      <c r="U46" s="36"/>
      <c r="V46" s="36"/>
    </row>
    <row r="47" spans="1:22" ht="15.75">
      <c r="A47" s="281"/>
      <c r="B47" s="74" t="s">
        <v>440</v>
      </c>
      <c r="C47" s="447" t="s">
        <v>279</v>
      </c>
      <c r="D47" s="76" t="s">
        <v>327</v>
      </c>
      <c r="E47" s="417" t="s">
        <v>441</v>
      </c>
      <c r="F47" s="78"/>
      <c r="G47" s="92">
        <f>N47</f>
        <v>303</v>
      </c>
      <c r="H47" s="92">
        <f>T47</f>
        <v>303</v>
      </c>
      <c r="I47" s="93">
        <f>PI!D265</f>
        <v>303</v>
      </c>
      <c r="J47" s="93">
        <f>PI!E265</f>
        <v>303</v>
      </c>
      <c r="K47" s="93">
        <f>PI!F265</f>
        <v>303</v>
      </c>
      <c r="L47" s="93">
        <f>PI!G265</f>
        <v>303</v>
      </c>
      <c r="M47" s="93">
        <f>PI!H265</f>
        <v>303</v>
      </c>
      <c r="N47" s="93">
        <f>PI!I265</f>
        <v>303</v>
      </c>
      <c r="O47" s="93">
        <f>PI!J265</f>
        <v>303</v>
      </c>
      <c r="P47" s="93">
        <f>PI!K265</f>
        <v>303</v>
      </c>
      <c r="Q47" s="93">
        <f>PI!L265</f>
        <v>303</v>
      </c>
      <c r="R47" s="93">
        <f>PI!M265</f>
        <v>303</v>
      </c>
      <c r="S47" s="93">
        <f>PI!N265</f>
        <v>303</v>
      </c>
      <c r="T47" s="123">
        <f>PI!O265</f>
        <v>303</v>
      </c>
      <c r="U47" s="36"/>
      <c r="V47" s="36"/>
    </row>
    <row r="48" spans="1:22" ht="15.75">
      <c r="A48" s="279"/>
      <c r="B48" s="74" t="s">
        <v>442</v>
      </c>
      <c r="C48" s="447" t="s">
        <v>279</v>
      </c>
      <c r="D48" s="76" t="s">
        <v>327</v>
      </c>
      <c r="E48" s="416" t="s">
        <v>443</v>
      </c>
      <c r="F48" s="77"/>
      <c r="G48" s="92">
        <f>N48</f>
        <v>22.07</v>
      </c>
      <c r="H48" s="92">
        <f>T48</f>
        <v>22.07</v>
      </c>
      <c r="I48" s="93">
        <f>PI!D287</f>
        <v>22.07</v>
      </c>
      <c r="J48" s="93">
        <f>PI!E287</f>
        <v>22.07</v>
      </c>
      <c r="K48" s="93">
        <f>PI!F287</f>
        <v>22.07</v>
      </c>
      <c r="L48" s="93">
        <f>PI!G287</f>
        <v>22.07</v>
      </c>
      <c r="M48" s="93">
        <f>PI!H287</f>
        <v>22.07</v>
      </c>
      <c r="N48" s="93">
        <f>PI!I287</f>
        <v>22.07</v>
      </c>
      <c r="O48" s="93">
        <f>PI!J287</f>
        <v>22.07</v>
      </c>
      <c r="P48" s="93">
        <f>PI!K287</f>
        <v>22.07</v>
      </c>
      <c r="Q48" s="93">
        <f>PI!L287</f>
        <v>22.07</v>
      </c>
      <c r="R48" s="93">
        <f>PI!M287</f>
        <v>22.07</v>
      </c>
      <c r="S48" s="93">
        <f>PI!N287</f>
        <v>22.07</v>
      </c>
      <c r="T48" s="123">
        <f>PI!O287</f>
        <v>22.07</v>
      </c>
      <c r="U48" s="36"/>
      <c r="V48" s="36"/>
    </row>
    <row r="49" spans="1:22" ht="15.75">
      <c r="A49" s="280"/>
      <c r="B49" s="74" t="s">
        <v>331</v>
      </c>
      <c r="C49" s="447" t="s">
        <v>277</v>
      </c>
      <c r="D49" s="76" t="s">
        <v>327</v>
      </c>
      <c r="E49" s="416" t="s">
        <v>444</v>
      </c>
      <c r="F49" s="77"/>
      <c r="G49" s="92">
        <f>N49</f>
        <v>1.69</v>
      </c>
      <c r="H49" s="92">
        <f>T49</f>
        <v>4.21</v>
      </c>
      <c r="I49" s="93">
        <f>PI!D308</f>
        <v>0.28000000000000003</v>
      </c>
      <c r="J49" s="93">
        <f>PI!E308</f>
        <v>0.56000000000000005</v>
      </c>
      <c r="K49" s="93">
        <f>PI!F308</f>
        <v>0.84</v>
      </c>
      <c r="L49" s="93">
        <f>PI!G308</f>
        <v>1.1200000000000001</v>
      </c>
      <c r="M49" s="93">
        <f>PI!H308</f>
        <v>1.4</v>
      </c>
      <c r="N49" s="93">
        <f>PI!I308</f>
        <v>1.69</v>
      </c>
      <c r="O49" s="93">
        <f>PI!J308</f>
        <v>2.11</v>
      </c>
      <c r="P49" s="93">
        <f>PI!K308</f>
        <v>2.5299999999999998</v>
      </c>
      <c r="Q49" s="93">
        <f>PI!L308</f>
        <v>2.95</v>
      </c>
      <c r="R49" s="93">
        <f>PI!M308</f>
        <v>3.37</v>
      </c>
      <c r="S49" s="93">
        <f>PI!N308</f>
        <v>3.79</v>
      </c>
      <c r="T49" s="123">
        <f>PI!O308</f>
        <v>4.21</v>
      </c>
      <c r="U49" s="36"/>
      <c r="V49" s="36"/>
    </row>
    <row r="50" spans="1:22" ht="15.75">
      <c r="A50" s="280">
        <v>13</v>
      </c>
      <c r="B50" s="309" t="s">
        <v>356</v>
      </c>
      <c r="C50" s="447"/>
      <c r="D50" s="76"/>
      <c r="E50" s="417"/>
      <c r="F50" s="411"/>
      <c r="G50" s="92"/>
      <c r="H50" s="92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9"/>
      <c r="U50" s="36"/>
      <c r="V50" s="36"/>
    </row>
    <row r="51" spans="1:22" ht="15.75">
      <c r="A51" s="280"/>
      <c r="B51" s="74" t="s">
        <v>357</v>
      </c>
      <c r="C51" s="447"/>
      <c r="D51" s="76"/>
      <c r="E51" s="417" t="s">
        <v>399</v>
      </c>
      <c r="F51" s="411" t="s">
        <v>358</v>
      </c>
      <c r="G51" s="92"/>
      <c r="H51" s="92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9"/>
      <c r="U51" s="36"/>
      <c r="V51" s="36"/>
    </row>
    <row r="52" spans="1:22" ht="15.75">
      <c r="A52" s="280"/>
      <c r="B52" s="74" t="s">
        <v>359</v>
      </c>
      <c r="C52" s="447"/>
      <c r="D52" s="76"/>
      <c r="E52" s="417" t="s">
        <v>445</v>
      </c>
      <c r="F52" s="411" t="s">
        <v>360</v>
      </c>
      <c r="G52" s="92"/>
      <c r="H52" s="92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9"/>
      <c r="U52" s="36"/>
      <c r="V52" s="36"/>
    </row>
    <row r="53" spans="1:22" ht="31.5">
      <c r="A53" s="280"/>
      <c r="B53" s="160" t="s">
        <v>361</v>
      </c>
      <c r="C53" s="447"/>
      <c r="D53" s="76"/>
      <c r="E53" s="417" t="s">
        <v>401</v>
      </c>
      <c r="F53" s="200" t="s">
        <v>363</v>
      </c>
      <c r="G53" s="92"/>
      <c r="H53" s="92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9"/>
      <c r="U53" s="36"/>
      <c r="V53" s="36"/>
    </row>
    <row r="54" spans="1:22" ht="15.75">
      <c r="A54" s="280"/>
      <c r="B54" s="160" t="s">
        <v>364</v>
      </c>
      <c r="C54" s="447"/>
      <c r="D54" s="76"/>
      <c r="E54" s="417" t="s">
        <v>402</v>
      </c>
      <c r="F54" s="201" t="s">
        <v>366</v>
      </c>
      <c r="G54" s="92"/>
      <c r="H54" s="92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9"/>
      <c r="U54" s="36"/>
      <c r="V54" s="36"/>
    </row>
    <row r="55" spans="1:22" ht="15.75">
      <c r="A55" s="281"/>
      <c r="B55" s="160" t="s">
        <v>367</v>
      </c>
      <c r="C55" s="447"/>
      <c r="D55" s="76"/>
      <c r="E55" s="417" t="s">
        <v>446</v>
      </c>
      <c r="F55" s="78" t="s">
        <v>368</v>
      </c>
      <c r="G55" s="92"/>
      <c r="H55" s="92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9"/>
      <c r="U55" s="36"/>
      <c r="V55" s="36"/>
    </row>
    <row r="56" spans="1:22" ht="15.75">
      <c r="A56" s="73"/>
      <c r="B56" s="83" t="s">
        <v>104</v>
      </c>
      <c r="C56" s="451"/>
      <c r="D56" s="85"/>
      <c r="E56" s="418"/>
      <c r="F56" s="86">
        <f>F7+F18</f>
        <v>100</v>
      </c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73"/>
    </row>
    <row r="57" spans="1:22" customFormat="1">
      <c r="C57" s="443"/>
      <c r="E57" s="419"/>
    </row>
    <row r="58" spans="1:22" customFormat="1">
      <c r="A58" s="114"/>
      <c r="B58" s="115" t="s">
        <v>369</v>
      </c>
      <c r="C58" s="452"/>
      <c r="D58" s="4">
        <f>COUNTA(D8:D55)</f>
        <v>32</v>
      </c>
      <c r="E58" s="420"/>
      <c r="F58" s="4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</row>
    <row r="59" spans="1:22" customFormat="1">
      <c r="C59" s="443"/>
      <c r="E59" s="419"/>
    </row>
    <row r="60" spans="1:22" customFormat="1">
      <c r="A60" s="117" t="s">
        <v>370</v>
      </c>
      <c r="B60" s="118"/>
      <c r="C60" s="453"/>
      <c r="D60" s="119"/>
      <c r="E60" s="421"/>
      <c r="F60" s="119"/>
      <c r="G60" s="119"/>
      <c r="H60" s="119"/>
      <c r="I60" s="119"/>
      <c r="J60" s="119"/>
      <c r="K60" s="119"/>
      <c r="L60" s="119"/>
      <c r="M60" s="119"/>
      <c r="Q60" s="119"/>
      <c r="S60" s="119"/>
    </row>
    <row r="61" spans="1:22" customFormat="1">
      <c r="A61" s="119">
        <v>3</v>
      </c>
      <c r="B61" s="120" t="s">
        <v>371</v>
      </c>
      <c r="C61" s="453"/>
      <c r="D61" s="119"/>
      <c r="E61" s="421"/>
      <c r="F61" s="119"/>
      <c r="G61" s="119"/>
      <c r="H61" s="119"/>
      <c r="I61" s="119"/>
      <c r="J61" s="119"/>
      <c r="K61" s="119"/>
      <c r="L61" s="119"/>
      <c r="M61" s="119"/>
      <c r="Q61" s="119"/>
      <c r="S61" s="119"/>
    </row>
    <row r="62" spans="1:22" customFormat="1">
      <c r="A62" s="119">
        <v>1</v>
      </c>
      <c r="B62" s="120" t="s">
        <v>372</v>
      </c>
      <c r="C62" s="453"/>
      <c r="D62" s="119"/>
      <c r="E62" s="421"/>
      <c r="F62" s="119"/>
      <c r="G62" s="119"/>
      <c r="H62" s="119"/>
      <c r="I62" s="119"/>
      <c r="J62" s="119"/>
      <c r="K62" s="119"/>
      <c r="L62" s="119"/>
      <c r="M62" s="119"/>
      <c r="Q62" s="119"/>
      <c r="S62" s="119"/>
    </row>
    <row r="63" spans="1:22" customFormat="1">
      <c r="A63" s="119"/>
      <c r="B63" s="118"/>
      <c r="C63" s="453"/>
      <c r="D63" s="119"/>
      <c r="E63" s="421"/>
      <c r="F63" s="119"/>
      <c r="G63" s="119"/>
      <c r="H63" s="119"/>
      <c r="I63" s="119"/>
      <c r="J63" s="119"/>
      <c r="K63" s="119"/>
      <c r="L63" s="119"/>
      <c r="M63" s="119"/>
      <c r="Q63" s="119"/>
      <c r="S63" s="119"/>
    </row>
    <row r="64" spans="1:22" customFormat="1">
      <c r="A64" s="119"/>
      <c r="B64" s="118"/>
      <c r="C64" s="453"/>
      <c r="D64" s="119"/>
      <c r="E64" s="421"/>
      <c r="F64" s="119"/>
      <c r="G64" s="119"/>
      <c r="H64" s="119"/>
      <c r="I64" s="119"/>
      <c r="J64" s="119"/>
      <c r="K64" s="119"/>
      <c r="L64" s="119"/>
      <c r="M64" s="119"/>
      <c r="Q64" s="119"/>
      <c r="S64" s="119"/>
    </row>
    <row r="65" spans="1:30" customFormat="1">
      <c r="A65" s="121"/>
      <c r="B65" s="122"/>
      <c r="C65" s="453"/>
      <c r="D65" s="121"/>
      <c r="E65" s="422"/>
      <c r="F65" s="121"/>
      <c r="G65" s="121"/>
      <c r="H65" s="121"/>
      <c r="I65" s="121"/>
      <c r="J65" s="121"/>
      <c r="K65" s="121"/>
      <c r="L65" s="121"/>
      <c r="M65" s="121"/>
    </row>
    <row r="66" spans="1:30" customFormat="1">
      <c r="C66" s="443"/>
      <c r="E66" s="419"/>
      <c r="Q66" s="121"/>
      <c r="S66" s="121"/>
    </row>
    <row r="67" spans="1:30" s="31" customFormat="1">
      <c r="A67" s="28"/>
      <c r="B67" s="30"/>
      <c r="C67" s="454"/>
      <c r="D67" s="28"/>
      <c r="E67" s="423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W67" s="30"/>
      <c r="X67" s="30"/>
      <c r="Y67" s="30"/>
      <c r="Z67" s="30"/>
      <c r="AA67" s="30"/>
      <c r="AB67" s="30"/>
      <c r="AC67" s="30"/>
      <c r="AD67" s="30"/>
    </row>
  </sheetData>
  <mergeCells count="7">
    <mergeCell ref="I4:T4"/>
    <mergeCell ref="A4:A5"/>
    <mergeCell ref="B4:C5"/>
    <mergeCell ref="D4:D5"/>
    <mergeCell ref="E4:E5"/>
    <mergeCell ref="F4:F5"/>
    <mergeCell ref="G4:H4"/>
  </mergeCells>
  <conditionalFormatting sqref="A61">
    <cfRule type="iconSet" priority="25">
      <iconSet iconSet="3ArrowsGray" showValue="0">
        <cfvo type="percent" val="0"/>
        <cfvo type="num" val="2"/>
        <cfvo type="num" val="3"/>
      </iconSet>
    </cfRule>
  </conditionalFormatting>
  <conditionalFormatting sqref="A62">
    <cfRule type="iconSet" priority="24">
      <iconSet iconSet="3ArrowsGray" showValue="0">
        <cfvo type="percent" val="0"/>
        <cfvo type="num" val="2"/>
        <cfvo type="num" val="3"/>
      </iconSet>
    </cfRule>
  </conditionalFormatting>
  <conditionalFormatting sqref="C8">
    <cfRule type="iconSet" priority="37">
      <iconSet iconSet="3ArrowsGray" showValue="0">
        <cfvo type="percent" val="0"/>
        <cfvo type="num" val="2"/>
        <cfvo type="num" val="3"/>
      </iconSet>
    </cfRule>
  </conditionalFormatting>
  <conditionalFormatting sqref="C9">
    <cfRule type="iconSet" priority="36">
      <iconSet iconSet="3ArrowsGray" showValue="0">
        <cfvo type="percent" val="0"/>
        <cfvo type="num" val="2"/>
        <cfvo type="num" val="3"/>
      </iconSet>
    </cfRule>
  </conditionalFormatting>
  <conditionalFormatting sqref="C10:C17">
    <cfRule type="iconSet" priority="47657">
      <iconSet iconSet="3ArrowsGray" showValue="0">
        <cfvo type="percent" val="0"/>
        <cfvo type="num" val="2"/>
        <cfvo type="num" val="3"/>
      </iconSet>
    </cfRule>
  </conditionalFormatting>
  <conditionalFormatting sqref="C19">
    <cfRule type="iconSet" priority="9">
      <iconSet iconSet="3ArrowsGray" showValue="0">
        <cfvo type="percent" val="0"/>
        <cfvo type="num" val="2"/>
        <cfvo type="num" val="3"/>
      </iconSet>
    </cfRule>
    <cfRule type="iconSet" priority="10">
      <iconSet iconSet="3ArrowsGray" showValue="0">
        <cfvo type="percent" val="0"/>
        <cfvo type="num" val="2"/>
        <cfvo type="num" val="3"/>
      </iconSet>
    </cfRule>
  </conditionalFormatting>
  <conditionalFormatting sqref="C20:C35 C8 C37:C46">
    <cfRule type="iconSet" priority="47636">
      <iconSet iconSet="3ArrowsGray" showValue="0">
        <cfvo type="percent" val="0"/>
        <cfvo type="num" val="2"/>
        <cfvo type="num" val="3"/>
      </iconSet>
    </cfRule>
  </conditionalFormatting>
  <conditionalFormatting sqref="C20:C35 C37:C46">
    <cfRule type="iconSet" priority="47639">
      <iconSet iconSet="3ArrowsGray" showValue="0">
        <cfvo type="percent" val="0"/>
        <cfvo type="num" val="2"/>
        <cfvo type="num" val="3"/>
      </iconSet>
    </cfRule>
  </conditionalFormatting>
  <conditionalFormatting sqref="C36">
    <cfRule type="iconSet" priority="1">
      <iconSet iconSet="3ArrowsGray" showValue="0">
        <cfvo type="percent" val="0"/>
        <cfvo type="num" val="2"/>
        <cfvo type="num" val="3"/>
      </iconSet>
    </cfRule>
    <cfRule type="iconSet" priority="2">
      <iconSet iconSet="3ArrowsGray" showValue="0">
        <cfvo type="percent" val="0"/>
        <cfvo type="num" val="2"/>
        <cfvo type="num" val="3"/>
      </iconSet>
    </cfRule>
  </conditionalFormatting>
  <conditionalFormatting sqref="C47">
    <cfRule type="iconSet" priority="11">
      <iconSet iconSet="3ArrowsGray" showValue="0">
        <cfvo type="percent" val="0"/>
        <cfvo type="num" val="2"/>
        <cfvo type="num" val="3"/>
      </iconSet>
    </cfRule>
    <cfRule type="iconSet" priority="12">
      <iconSet iconSet="3ArrowsGray" showValue="0">
        <cfvo type="percent" val="0"/>
        <cfvo type="num" val="2"/>
        <cfvo type="num" val="3"/>
      </iconSet>
    </cfRule>
  </conditionalFormatting>
  <conditionalFormatting sqref="C48">
    <cfRule type="iconSet" priority="47634">
      <iconSet iconSet="3ArrowsGray" showValue="0">
        <cfvo type="percent" val="0"/>
        <cfvo type="num" val="2"/>
        <cfvo type="num" val="3"/>
      </iconSet>
    </cfRule>
  </conditionalFormatting>
  <conditionalFormatting sqref="C48:C55 C10:C17">
    <cfRule type="iconSet" priority="47635">
      <iconSet iconSet="3ArrowsGray" showValue="0">
        <cfvo type="percent" val="0"/>
        <cfvo type="num" val="2"/>
        <cfvo type="num" val="3"/>
      </iconSet>
    </cfRule>
  </conditionalFormatting>
  <conditionalFormatting sqref="C57">
    <cfRule type="iconSet" priority="27">
      <iconSet iconSet="3ArrowsGray" showValue="0">
        <cfvo type="percent" val="0"/>
        <cfvo type="num" val="2"/>
        <cfvo type="num" val="3"/>
      </iconSet>
    </cfRule>
  </conditionalFormatting>
  <conditionalFormatting sqref="C58">
    <cfRule type="iconSet" priority="30">
      <iconSet iconSet="3ArrowsGray" showValue="0">
        <cfvo type="percent" val="0"/>
        <cfvo type="num" val="2"/>
        <cfvo type="num" val="3"/>
      </iconSet>
    </cfRule>
  </conditionalFormatting>
  <conditionalFormatting sqref="D57">
    <cfRule type="iconSet" priority="19">
      <iconSet iconSet="3ArrowsGray" showValue="0">
        <cfvo type="percent" val="0"/>
        <cfvo type="num" val="2"/>
        <cfvo type="num" val="3"/>
      </iconSet>
    </cfRule>
    <cfRule type="iconSet" priority="29">
      <iconSet iconSet="3ArrowsGray" showValue="0">
        <cfvo type="percent" val="0"/>
        <cfvo type="num" val="2"/>
        <cfvo type="num" val="3"/>
      </iconSet>
    </cfRule>
  </conditionalFormatting>
  <conditionalFormatting sqref="E57">
    <cfRule type="iconSet" priority="28">
      <iconSet iconSet="3ArrowsGray" showValue="0">
        <cfvo type="percent" val="0"/>
        <cfvo type="num" val="2"/>
        <cfvo type="num" val="3"/>
      </iconSet>
    </cfRule>
  </conditionalFormatting>
  <conditionalFormatting sqref="G57:H57">
    <cfRule type="iconSet" priority="42">
      <iconSet iconSet="3ArrowsGray" showValue="0">
        <cfvo type="percent" val="0"/>
        <cfvo type="num" val="2"/>
        <cfvo type="num" val="3"/>
      </iconSet>
    </cfRule>
  </conditionalFormatting>
  <conditionalFormatting sqref="G58:H58">
    <cfRule type="iconSet" priority="41">
      <iconSet iconSet="3ArrowsGray" showValue="0">
        <cfvo type="percent" val="0"/>
        <cfvo type="num" val="2"/>
        <cfvo type="num" val="3"/>
      </iconSet>
    </cfRule>
  </conditionalFormatting>
  <conditionalFormatting sqref="I57:T57">
    <cfRule type="iconSet" priority="26">
      <iconSet iconSet="3ArrowsGray" showValue="0">
        <cfvo type="percent" val="0"/>
        <cfvo type="num" val="2"/>
        <cfvo type="num" val="3"/>
      </iconSet>
    </cfRule>
  </conditionalFormatting>
  <conditionalFormatting sqref="I58:T58">
    <cfRule type="iconSet" priority="20">
      <iconSet iconSet="3ArrowsGray" showValue="0">
        <cfvo type="percent" val="0"/>
        <cfvo type="num" val="2"/>
        <cfvo type="num" val="3"/>
      </iconSet>
    </cfRule>
    <cfRule type="iconSet" priority="21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51" fitToHeight="0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A6F5B-13CA-430B-A804-EC32CFA280B7}">
  <sheetPr>
    <tabColor rgb="FFFF0000"/>
    <pageSetUpPr fitToPage="1"/>
  </sheetPr>
  <dimension ref="A1:AD67"/>
  <sheetViews>
    <sheetView workbookViewId="0"/>
  </sheetViews>
  <sheetFormatPr defaultColWidth="8.85546875" defaultRowHeight="15"/>
  <cols>
    <col min="1" max="1" width="5.7109375" style="28" customWidth="1"/>
    <col min="2" max="2" width="60" style="30" customWidth="1"/>
    <col min="3" max="3" width="2.85546875" style="454" customWidth="1"/>
    <col min="4" max="4" width="14.42578125" style="28" customWidth="1"/>
    <col min="5" max="5" width="106.7109375" style="412" hidden="1" customWidth="1"/>
    <col min="6" max="6" width="10.140625" style="30" customWidth="1"/>
    <col min="7" max="20" width="11.28515625" style="30" customWidth="1"/>
    <col min="21" max="21" width="17.7109375" style="31" bestFit="1" customWidth="1"/>
    <col min="22" max="22" width="16" style="31" bestFit="1" customWidth="1"/>
    <col min="23" max="23" width="19.140625" style="30" bestFit="1" customWidth="1"/>
    <col min="24" max="24" width="12.42578125" style="30" bestFit="1" customWidth="1"/>
    <col min="25" max="29" width="8.85546875" style="30"/>
    <col min="30" max="30" width="17.85546875" style="30" bestFit="1" customWidth="1"/>
    <col min="31" max="16384" width="8.85546875" style="30"/>
  </cols>
  <sheetData>
    <row r="1" spans="1:22" ht="15.75">
      <c r="B1" s="29" t="s">
        <v>251</v>
      </c>
      <c r="C1" s="439"/>
      <c r="I1" s="22"/>
    </row>
    <row r="2" spans="1:22" ht="15.75">
      <c r="B2" s="29" t="s">
        <v>123</v>
      </c>
      <c r="C2" s="439"/>
    </row>
    <row r="3" spans="1:22" ht="15.75">
      <c r="B3" s="29" t="s">
        <v>377</v>
      </c>
      <c r="C3" s="439"/>
    </row>
    <row r="4" spans="1:22" s="33" customFormat="1" ht="15" customHeight="1">
      <c r="A4" s="741" t="s">
        <v>8</v>
      </c>
      <c r="B4" s="743" t="s">
        <v>9</v>
      </c>
      <c r="C4" s="744"/>
      <c r="D4" s="741" t="s">
        <v>93</v>
      </c>
      <c r="E4" s="741" t="s">
        <v>272</v>
      </c>
      <c r="F4" s="741" t="s">
        <v>99</v>
      </c>
      <c r="G4" s="747" t="s">
        <v>100</v>
      </c>
      <c r="H4" s="748"/>
      <c r="I4" s="730" t="s">
        <v>273</v>
      </c>
      <c r="J4" s="731"/>
      <c r="K4" s="731"/>
      <c r="L4" s="731"/>
      <c r="M4" s="731"/>
      <c r="N4" s="731"/>
      <c r="O4" s="731"/>
      <c r="P4" s="731"/>
      <c r="Q4" s="731"/>
      <c r="R4" s="731"/>
      <c r="S4" s="731"/>
      <c r="T4" s="732"/>
      <c r="U4" s="32"/>
      <c r="V4" s="32"/>
    </row>
    <row r="5" spans="1:22" s="33" customFormat="1" ht="15" customHeight="1">
      <c r="A5" s="742"/>
      <c r="B5" s="745"/>
      <c r="C5" s="746"/>
      <c r="D5" s="742"/>
      <c r="E5" s="742"/>
      <c r="F5" s="742"/>
      <c r="G5" s="606" t="s">
        <v>274</v>
      </c>
      <c r="H5" s="606" t="s">
        <v>275</v>
      </c>
      <c r="I5" s="113" t="s">
        <v>94</v>
      </c>
      <c r="J5" s="113" t="s">
        <v>95</v>
      </c>
      <c r="K5" s="113" t="s">
        <v>96</v>
      </c>
      <c r="L5" s="113" t="s">
        <v>97</v>
      </c>
      <c r="M5" s="113" t="s">
        <v>98</v>
      </c>
      <c r="N5" s="113" t="s">
        <v>153</v>
      </c>
      <c r="O5" s="113" t="s">
        <v>163</v>
      </c>
      <c r="P5" s="113" t="s">
        <v>165</v>
      </c>
      <c r="Q5" s="113" t="s">
        <v>167</v>
      </c>
      <c r="R5" s="113" t="s">
        <v>169</v>
      </c>
      <c r="S5" s="113" t="s">
        <v>171</v>
      </c>
      <c r="T5" s="607" t="s">
        <v>174</v>
      </c>
      <c r="U5" s="32"/>
      <c r="V5" s="32"/>
    </row>
    <row r="6" spans="1:22" s="33" customFormat="1" ht="15" customHeight="1">
      <c r="A6" s="606">
        <v>1</v>
      </c>
      <c r="B6" s="648">
        <v>2</v>
      </c>
      <c r="C6" s="487"/>
      <c r="D6" s="606">
        <v>3</v>
      </c>
      <c r="E6" s="606">
        <v>4</v>
      </c>
      <c r="F6" s="606">
        <v>5</v>
      </c>
      <c r="G6" s="606">
        <v>6</v>
      </c>
      <c r="H6" s="606">
        <v>7</v>
      </c>
      <c r="I6" s="606">
        <v>8</v>
      </c>
      <c r="J6" s="606">
        <v>9</v>
      </c>
      <c r="K6" s="606">
        <v>10</v>
      </c>
      <c r="L6" s="606">
        <v>11</v>
      </c>
      <c r="M6" s="606">
        <v>12</v>
      </c>
      <c r="N6" s="606">
        <v>13</v>
      </c>
      <c r="O6" s="606">
        <v>14</v>
      </c>
      <c r="P6" s="606">
        <v>15</v>
      </c>
      <c r="Q6" s="606">
        <v>16</v>
      </c>
      <c r="R6" s="606">
        <v>17</v>
      </c>
      <c r="S6" s="606">
        <v>18</v>
      </c>
      <c r="T6" s="606">
        <v>19</v>
      </c>
      <c r="U6" s="32"/>
      <c r="V6" s="32"/>
    </row>
    <row r="7" spans="1:22" s="35" customFormat="1" ht="16.5">
      <c r="A7" s="65" t="s">
        <v>269</v>
      </c>
      <c r="B7" s="66" t="s">
        <v>15</v>
      </c>
      <c r="C7" s="446"/>
      <c r="D7" s="50"/>
      <c r="E7" s="413"/>
      <c r="F7" s="68">
        <f>SUM(F8:F17)</f>
        <v>40</v>
      </c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107"/>
      <c r="U7" s="34"/>
      <c r="V7" s="34"/>
    </row>
    <row r="8" spans="1:22" ht="15.75">
      <c r="A8" s="277">
        <v>1</v>
      </c>
      <c r="B8" s="309" t="s">
        <v>383</v>
      </c>
      <c r="C8" s="447" t="s">
        <v>277</v>
      </c>
      <c r="D8" s="76" t="s">
        <v>384</v>
      </c>
      <c r="E8" s="414" t="s">
        <v>403</v>
      </c>
      <c r="F8" s="77">
        <v>14</v>
      </c>
      <c r="G8" s="92">
        <f>N8</f>
        <v>25.92</v>
      </c>
      <c r="H8" s="92">
        <f>T8</f>
        <v>52.76</v>
      </c>
      <c r="I8" s="92">
        <f>KPI!D11</f>
        <v>4.2699999999999996</v>
      </c>
      <c r="J8" s="92">
        <f>KPI!E11</f>
        <v>8.33</v>
      </c>
      <c r="K8" s="92">
        <f>KPI!F11</f>
        <v>12.85</v>
      </c>
      <c r="L8" s="92">
        <f>KPI!G11</f>
        <v>17.22</v>
      </c>
      <c r="M8" s="92">
        <f>KPI!H11</f>
        <v>21.7</v>
      </c>
      <c r="N8" s="92">
        <f>KPI!I11</f>
        <v>25.92</v>
      </c>
      <c r="O8" s="92">
        <f>KPI!J11</f>
        <v>30.2</v>
      </c>
      <c r="P8" s="92">
        <f>KPI!K11</f>
        <v>34.58</v>
      </c>
      <c r="Q8" s="92">
        <f>KPI!L11</f>
        <v>39.01</v>
      </c>
      <c r="R8" s="92">
        <f>KPI!M11</f>
        <v>43.63</v>
      </c>
      <c r="S8" s="92">
        <f>KPI!N11</f>
        <v>48.16</v>
      </c>
      <c r="T8" s="108">
        <f>KPI!O11</f>
        <v>52.76</v>
      </c>
      <c r="U8" s="36"/>
      <c r="V8" s="36"/>
    </row>
    <row r="9" spans="1:22" ht="15.75">
      <c r="A9" s="279">
        <v>2</v>
      </c>
      <c r="B9" s="310" t="s">
        <v>385</v>
      </c>
      <c r="C9" s="448"/>
      <c r="D9" s="76"/>
      <c r="E9" s="414"/>
      <c r="F9" s="77">
        <v>14</v>
      </c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108"/>
      <c r="U9" s="36"/>
      <c r="V9" s="36"/>
    </row>
    <row r="10" spans="1:22" ht="15.75">
      <c r="A10" s="280"/>
      <c r="B10" s="74" t="s">
        <v>404</v>
      </c>
      <c r="C10" s="447" t="s">
        <v>279</v>
      </c>
      <c r="D10" s="76" t="s">
        <v>447</v>
      </c>
      <c r="E10" s="414" t="s">
        <v>280</v>
      </c>
      <c r="F10" s="77"/>
      <c r="G10" s="92">
        <f>N10</f>
        <v>151.34</v>
      </c>
      <c r="H10" s="92">
        <f>T10</f>
        <v>302.68</v>
      </c>
      <c r="I10" s="92">
        <f>KPI!D35</f>
        <v>25.22</v>
      </c>
      <c r="J10" s="92">
        <f>KPI!E35</f>
        <v>50.45</v>
      </c>
      <c r="K10" s="92">
        <f>KPI!F35</f>
        <v>75.67</v>
      </c>
      <c r="L10" s="92">
        <f>KPI!G35</f>
        <v>100.89</v>
      </c>
      <c r="M10" s="92">
        <f>KPI!H35</f>
        <v>126.12</v>
      </c>
      <c r="N10" s="92">
        <f>KPI!I35</f>
        <v>151.34</v>
      </c>
      <c r="O10" s="92">
        <f>KPI!J35</f>
        <v>176.56</v>
      </c>
      <c r="P10" s="92">
        <f>KPI!K35</f>
        <v>201.78</v>
      </c>
      <c r="Q10" s="92">
        <f>KPI!L35</f>
        <v>227.01</v>
      </c>
      <c r="R10" s="92">
        <f>KPI!M35</f>
        <v>252.23</v>
      </c>
      <c r="S10" s="92">
        <f>KPI!N35</f>
        <v>277.45</v>
      </c>
      <c r="T10" s="108">
        <f>KPI!O35</f>
        <v>302.68</v>
      </c>
      <c r="U10" s="36"/>
      <c r="V10" s="36"/>
    </row>
    <row r="11" spans="1:22" ht="15.75">
      <c r="A11" s="280"/>
      <c r="B11" s="74" t="s">
        <v>406</v>
      </c>
      <c r="C11" s="447" t="s">
        <v>279</v>
      </c>
      <c r="D11" s="76" t="s">
        <v>448</v>
      </c>
      <c r="E11" s="414" t="s">
        <v>281</v>
      </c>
      <c r="F11" s="77"/>
      <c r="G11" s="92">
        <f>N11</f>
        <v>1.6</v>
      </c>
      <c r="H11" s="92">
        <f>T11</f>
        <v>3.2</v>
      </c>
      <c r="I11" s="92">
        <f>KPI!D57</f>
        <v>0.27</v>
      </c>
      <c r="J11" s="92">
        <f>KPI!E57</f>
        <v>0.53</v>
      </c>
      <c r="K11" s="92">
        <f>KPI!F57</f>
        <v>0.8</v>
      </c>
      <c r="L11" s="92">
        <f>KPI!G57</f>
        <v>1.07</v>
      </c>
      <c r="M11" s="92">
        <f>KPI!H57</f>
        <v>1.33</v>
      </c>
      <c r="N11" s="92">
        <f>KPI!I57</f>
        <v>1.6</v>
      </c>
      <c r="O11" s="92">
        <f>KPI!J57</f>
        <v>1.86</v>
      </c>
      <c r="P11" s="92">
        <f>KPI!K57</f>
        <v>2.13</v>
      </c>
      <c r="Q11" s="92">
        <f>KPI!L57</f>
        <v>2.4</v>
      </c>
      <c r="R11" s="92">
        <f>KPI!M57</f>
        <v>2.66</v>
      </c>
      <c r="S11" s="92">
        <f>KPI!N57</f>
        <v>2.93</v>
      </c>
      <c r="T11" s="108">
        <f>KPI!O57</f>
        <v>3.2</v>
      </c>
      <c r="U11" s="36"/>
      <c r="V11" s="36"/>
    </row>
    <row r="12" spans="1:22" ht="15.75">
      <c r="A12" s="281"/>
      <c r="B12" s="74" t="s">
        <v>408</v>
      </c>
      <c r="C12" s="447" t="s">
        <v>279</v>
      </c>
      <c r="D12" s="76" t="s">
        <v>140</v>
      </c>
      <c r="E12" s="414" t="s">
        <v>409</v>
      </c>
      <c r="F12" s="77"/>
      <c r="G12" s="92">
        <f>N12</f>
        <v>14.69</v>
      </c>
      <c r="H12" s="92">
        <f>T12</f>
        <v>29.39</v>
      </c>
      <c r="I12" s="92">
        <f>KPI!D75</f>
        <v>2.4500000000000002</v>
      </c>
      <c r="J12" s="92">
        <f>KPI!E75</f>
        <v>4.9000000000000004</v>
      </c>
      <c r="K12" s="92">
        <f>KPI!F75</f>
        <v>7.35</v>
      </c>
      <c r="L12" s="92">
        <f>KPI!G75</f>
        <v>9.8000000000000007</v>
      </c>
      <c r="M12" s="92">
        <f>KPI!H75</f>
        <v>12.25</v>
      </c>
      <c r="N12" s="92">
        <f>KPI!I75</f>
        <v>14.69</v>
      </c>
      <c r="O12" s="92">
        <f>KPI!J75</f>
        <v>17.14</v>
      </c>
      <c r="P12" s="92">
        <f>KPI!K75</f>
        <v>19.59</v>
      </c>
      <c r="Q12" s="92">
        <f>KPI!L75</f>
        <v>22.04</v>
      </c>
      <c r="R12" s="92">
        <f>KPI!M75</f>
        <v>24.49</v>
      </c>
      <c r="S12" s="92">
        <f>KPI!N75</f>
        <v>26.94</v>
      </c>
      <c r="T12" s="108">
        <f>KPI!O75</f>
        <v>29.39</v>
      </c>
      <c r="U12" s="36"/>
      <c r="V12" s="36"/>
    </row>
    <row r="13" spans="1:22" ht="15.75">
      <c r="A13" s="280">
        <v>3</v>
      </c>
      <c r="B13" s="309" t="s">
        <v>391</v>
      </c>
      <c r="C13" s="447"/>
      <c r="D13" s="76"/>
      <c r="E13" s="414"/>
      <c r="F13" s="77">
        <v>12</v>
      </c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108"/>
      <c r="U13" s="36"/>
      <c r="V13" s="36"/>
    </row>
    <row r="14" spans="1:22" ht="31.5">
      <c r="A14" s="280"/>
      <c r="B14" s="74" t="s">
        <v>392</v>
      </c>
      <c r="C14" s="447" t="s">
        <v>279</v>
      </c>
      <c r="D14" s="76" t="s">
        <v>149</v>
      </c>
      <c r="E14" s="414" t="s">
        <v>410</v>
      </c>
      <c r="F14" s="77"/>
      <c r="G14" s="92">
        <f>N14</f>
        <v>10.82</v>
      </c>
      <c r="H14" s="92">
        <f>T14</f>
        <v>10.35</v>
      </c>
      <c r="I14" s="92">
        <f>KPI!D93</f>
        <v>11.44</v>
      </c>
      <c r="J14" s="92">
        <f>KPI!E93</f>
        <v>11.44</v>
      </c>
      <c r="K14" s="92">
        <f>KPI!F93</f>
        <v>11.44</v>
      </c>
      <c r="L14" s="92">
        <f>KPI!G93</f>
        <v>11.23</v>
      </c>
      <c r="M14" s="92">
        <f>KPI!H93</f>
        <v>11.03</v>
      </c>
      <c r="N14" s="92">
        <f>KPI!I93</f>
        <v>10.82</v>
      </c>
      <c r="O14" s="92">
        <f>KPI!J93</f>
        <v>10.74</v>
      </c>
      <c r="P14" s="92">
        <f>KPI!K93</f>
        <v>10.66</v>
      </c>
      <c r="Q14" s="92">
        <f>KPI!L93</f>
        <v>10.58</v>
      </c>
      <c r="R14" s="92">
        <f>KPI!M93</f>
        <v>10.51</v>
      </c>
      <c r="S14" s="92">
        <f>KPI!N93</f>
        <v>10.43</v>
      </c>
      <c r="T14" s="108">
        <f>KPI!O93</f>
        <v>10.35</v>
      </c>
      <c r="U14" s="36"/>
      <c r="V14" s="36"/>
    </row>
    <row r="15" spans="1:22" ht="15.75">
      <c r="A15" s="280"/>
      <c r="B15" s="74" t="s">
        <v>411</v>
      </c>
      <c r="C15" s="447" t="s">
        <v>277</v>
      </c>
      <c r="D15" s="76" t="s">
        <v>149</v>
      </c>
      <c r="E15" s="414" t="s">
        <v>412</v>
      </c>
      <c r="F15" s="77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108"/>
      <c r="U15" s="36"/>
      <c r="V15" s="36"/>
    </row>
    <row r="16" spans="1:22" ht="15.75">
      <c r="A16" s="280"/>
      <c r="B16" s="74" t="s">
        <v>393</v>
      </c>
      <c r="C16" s="447" t="s">
        <v>277</v>
      </c>
      <c r="D16" s="76" t="s">
        <v>149</v>
      </c>
      <c r="E16" s="414" t="s">
        <v>413</v>
      </c>
      <c r="F16" s="77"/>
      <c r="G16" s="92">
        <f>N16</f>
        <v>40</v>
      </c>
      <c r="H16" s="92">
        <f>T16</f>
        <v>100</v>
      </c>
      <c r="I16" s="92">
        <f>KPI!D117</f>
        <v>6.67</v>
      </c>
      <c r="J16" s="92">
        <f>KPI!E117</f>
        <v>13.33</v>
      </c>
      <c r="K16" s="92">
        <f>KPI!F117</f>
        <v>20</v>
      </c>
      <c r="L16" s="92">
        <f>KPI!G117</f>
        <v>26.67</v>
      </c>
      <c r="M16" s="92">
        <f>KPI!H117</f>
        <v>33.33</v>
      </c>
      <c r="N16" s="92">
        <f>KPI!I117</f>
        <v>40</v>
      </c>
      <c r="O16" s="92">
        <f>KPI!J117</f>
        <v>50</v>
      </c>
      <c r="P16" s="92">
        <f>KPI!K117</f>
        <v>60</v>
      </c>
      <c r="Q16" s="92">
        <f>KPI!L117</f>
        <v>70</v>
      </c>
      <c r="R16" s="92">
        <f>KPI!M117</f>
        <v>80</v>
      </c>
      <c r="S16" s="92">
        <f>KPI!N117</f>
        <v>90</v>
      </c>
      <c r="T16" s="92">
        <f>KPI!O117</f>
        <v>100</v>
      </c>
      <c r="U16" s="36"/>
      <c r="V16" s="36"/>
    </row>
    <row r="17" spans="1:22" ht="15.75">
      <c r="A17" s="280"/>
      <c r="B17" s="74" t="s">
        <v>394</v>
      </c>
      <c r="C17" s="447" t="s">
        <v>277</v>
      </c>
      <c r="D17" s="76" t="s">
        <v>72</v>
      </c>
      <c r="E17" s="414" t="s">
        <v>414</v>
      </c>
      <c r="F17" s="77"/>
      <c r="G17" s="92">
        <f>N17</f>
        <v>657</v>
      </c>
      <c r="H17" s="92">
        <f>T17</f>
        <v>1091</v>
      </c>
      <c r="I17" s="92">
        <f>KPI!D131</f>
        <v>147</v>
      </c>
      <c r="J17" s="92">
        <f>KPI!E131</f>
        <v>292</v>
      </c>
      <c r="K17" s="92">
        <f>KPI!F131</f>
        <v>437</v>
      </c>
      <c r="L17" s="92">
        <f>KPI!G131</f>
        <v>583</v>
      </c>
      <c r="M17" s="92">
        <f>KPI!H131</f>
        <v>619</v>
      </c>
      <c r="N17" s="92">
        <f>KPI!I131</f>
        <v>657</v>
      </c>
      <c r="O17" s="92">
        <f>KPI!J131</f>
        <v>766</v>
      </c>
      <c r="P17" s="92">
        <f>KPI!K131</f>
        <v>875</v>
      </c>
      <c r="Q17" s="92">
        <f>KPI!L131</f>
        <v>984</v>
      </c>
      <c r="R17" s="92">
        <f>KPI!M131</f>
        <v>1091</v>
      </c>
      <c r="S17" s="92">
        <f>KPI!N131</f>
        <v>1091</v>
      </c>
      <c r="T17" s="108">
        <f>KPI!O131</f>
        <v>1091</v>
      </c>
      <c r="U17" s="36"/>
      <c r="V17" s="36"/>
    </row>
    <row r="18" spans="1:22" s="35" customFormat="1" ht="16.5">
      <c r="A18" s="278" t="s">
        <v>284</v>
      </c>
      <c r="B18" s="71" t="s">
        <v>285</v>
      </c>
      <c r="C18" s="449"/>
      <c r="D18" s="129"/>
      <c r="E18" s="415"/>
      <c r="F18" s="167">
        <f>SUM(F19:F55)</f>
        <v>60</v>
      </c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8"/>
      <c r="U18" s="34"/>
      <c r="V18" s="34"/>
    </row>
    <row r="19" spans="1:22" ht="15.75">
      <c r="A19" s="279">
        <v>4</v>
      </c>
      <c r="B19" s="309" t="s">
        <v>286</v>
      </c>
      <c r="C19" s="447"/>
      <c r="D19" s="76"/>
      <c r="E19" s="416"/>
      <c r="F19" s="77">
        <v>9</v>
      </c>
      <c r="G19" s="92"/>
      <c r="H19" s="92"/>
      <c r="I19" s="92"/>
      <c r="J19" s="92" t="s">
        <v>449</v>
      </c>
      <c r="K19" s="92"/>
      <c r="L19" s="92"/>
      <c r="M19" s="92"/>
      <c r="N19" s="92"/>
      <c r="O19" s="92"/>
      <c r="P19" s="92"/>
      <c r="Q19" s="92"/>
      <c r="R19" s="92"/>
      <c r="S19" s="92"/>
      <c r="T19" s="108"/>
      <c r="U19" s="36"/>
      <c r="V19" s="36"/>
    </row>
    <row r="20" spans="1:22" ht="31.5">
      <c r="A20" s="280"/>
      <c r="B20" s="74" t="s">
        <v>288</v>
      </c>
      <c r="C20" s="447" t="s">
        <v>279</v>
      </c>
      <c r="D20" s="76" t="s">
        <v>136</v>
      </c>
      <c r="E20" s="416" t="s">
        <v>415</v>
      </c>
      <c r="F20" s="77"/>
      <c r="G20" s="92">
        <f>N20</f>
        <v>15.999999999999998</v>
      </c>
      <c r="H20" s="92">
        <f>T20</f>
        <v>30</v>
      </c>
      <c r="I20" s="92">
        <f>PI!D11</f>
        <v>3</v>
      </c>
      <c r="J20" s="92">
        <f>PI!E11</f>
        <v>5</v>
      </c>
      <c r="K20" s="92">
        <f>PI!F11</f>
        <v>8</v>
      </c>
      <c r="L20" s="92">
        <f>PI!G11</f>
        <v>11</v>
      </c>
      <c r="M20" s="92">
        <f>PI!H11</f>
        <v>13</v>
      </c>
      <c r="N20" s="92">
        <f>PI!I11</f>
        <v>15.999999999999998</v>
      </c>
      <c r="O20" s="92">
        <f>PI!J11</f>
        <v>19</v>
      </c>
      <c r="P20" s="92">
        <f>PI!K11</f>
        <v>21</v>
      </c>
      <c r="Q20" s="92">
        <f>PI!L11</f>
        <v>24</v>
      </c>
      <c r="R20" s="92">
        <f>PI!M11</f>
        <v>27</v>
      </c>
      <c r="S20" s="92">
        <f>PI!N11</f>
        <v>29</v>
      </c>
      <c r="T20" s="108">
        <f>PI!O11</f>
        <v>30</v>
      </c>
      <c r="U20" s="36"/>
      <c r="V20" s="36"/>
    </row>
    <row r="21" spans="1:22" ht="31.5">
      <c r="A21" s="280"/>
      <c r="B21" s="74" t="s">
        <v>290</v>
      </c>
      <c r="C21" s="447" t="s">
        <v>279</v>
      </c>
      <c r="D21" s="76" t="s">
        <v>136</v>
      </c>
      <c r="E21" s="416" t="s">
        <v>416</v>
      </c>
      <c r="F21" s="77"/>
      <c r="G21" s="92">
        <f>N21</f>
        <v>22</v>
      </c>
      <c r="H21" s="92">
        <f>T21</f>
        <v>44</v>
      </c>
      <c r="I21" s="92">
        <f>PI!D12</f>
        <v>4</v>
      </c>
      <c r="J21" s="92">
        <f>PI!E12</f>
        <v>7</v>
      </c>
      <c r="K21" s="92">
        <f>PI!F12</f>
        <v>11</v>
      </c>
      <c r="L21" s="92">
        <f>PI!G12</f>
        <v>15</v>
      </c>
      <c r="M21" s="92">
        <f>PI!H12</f>
        <v>18</v>
      </c>
      <c r="N21" s="92">
        <f>PI!I12</f>
        <v>22</v>
      </c>
      <c r="O21" s="92">
        <f>PI!J12</f>
        <v>26</v>
      </c>
      <c r="P21" s="92">
        <f>PI!K12</f>
        <v>29</v>
      </c>
      <c r="Q21" s="92">
        <f>PI!L12</f>
        <v>33</v>
      </c>
      <c r="R21" s="92">
        <f>PI!M12</f>
        <v>37</v>
      </c>
      <c r="S21" s="92">
        <f>PI!N12</f>
        <v>40</v>
      </c>
      <c r="T21" s="108">
        <f>PI!O12</f>
        <v>44</v>
      </c>
      <c r="U21" s="36"/>
      <c r="V21" s="36"/>
    </row>
    <row r="22" spans="1:22" ht="15.75">
      <c r="A22" s="280"/>
      <c r="B22" s="74" t="s">
        <v>292</v>
      </c>
      <c r="C22" s="450" t="s">
        <v>279</v>
      </c>
      <c r="D22" s="76" t="s">
        <v>72</v>
      </c>
      <c r="E22" s="416" t="s">
        <v>417</v>
      </c>
      <c r="F22" s="77"/>
      <c r="G22" s="92">
        <f>N22</f>
        <v>1</v>
      </c>
      <c r="H22" s="92">
        <f>T22</f>
        <v>1</v>
      </c>
      <c r="I22" s="92">
        <f>PI!D36</f>
        <v>0</v>
      </c>
      <c r="J22" s="92">
        <f>PI!E36</f>
        <v>0</v>
      </c>
      <c r="K22" s="92">
        <f>PI!F36</f>
        <v>1</v>
      </c>
      <c r="L22" s="92">
        <f>PI!G36</f>
        <v>1</v>
      </c>
      <c r="M22" s="92">
        <f>PI!H36</f>
        <v>1</v>
      </c>
      <c r="N22" s="92">
        <f>PI!I36</f>
        <v>1</v>
      </c>
      <c r="O22" s="92">
        <f>PI!J36</f>
        <v>1</v>
      </c>
      <c r="P22" s="92">
        <f>PI!K36</f>
        <v>1</v>
      </c>
      <c r="Q22" s="92">
        <f>PI!L36</f>
        <v>1</v>
      </c>
      <c r="R22" s="92">
        <f>PI!M36</f>
        <v>1</v>
      </c>
      <c r="S22" s="92">
        <f>PI!N36</f>
        <v>1</v>
      </c>
      <c r="T22" s="108">
        <f>PI!O36</f>
        <v>1</v>
      </c>
      <c r="U22" s="36"/>
      <c r="V22" s="36"/>
    </row>
    <row r="23" spans="1:22" ht="30.6" customHeight="1">
      <c r="A23" s="281">
        <v>5</v>
      </c>
      <c r="B23" s="309" t="s">
        <v>294</v>
      </c>
      <c r="C23" s="450"/>
      <c r="D23" s="360"/>
      <c r="E23" s="417"/>
      <c r="F23" s="78">
        <v>8</v>
      </c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123"/>
      <c r="U23" s="36"/>
      <c r="V23" s="36"/>
    </row>
    <row r="24" spans="1:22" ht="31.5">
      <c r="A24" s="280"/>
      <c r="B24" s="74" t="s">
        <v>295</v>
      </c>
      <c r="C24" s="450" t="s">
        <v>279</v>
      </c>
      <c r="D24" s="76" t="s">
        <v>149</v>
      </c>
      <c r="E24" s="417" t="s">
        <v>418</v>
      </c>
      <c r="F24" s="78"/>
      <c r="G24" s="93">
        <f>N24</f>
        <v>0.09</v>
      </c>
      <c r="H24" s="93">
        <f>T24</f>
        <v>0.09</v>
      </c>
      <c r="I24" s="357">
        <f>PI!D58</f>
        <v>0.09</v>
      </c>
      <c r="J24" s="357">
        <f>PI!E58</f>
        <v>0.09</v>
      </c>
      <c r="K24" s="357">
        <f>PI!F58</f>
        <v>0.09</v>
      </c>
      <c r="L24" s="357">
        <f>PI!G58</f>
        <v>0.09</v>
      </c>
      <c r="M24" s="357">
        <f>PI!H58</f>
        <v>0.09</v>
      </c>
      <c r="N24" s="357">
        <f>PI!I58</f>
        <v>0.09</v>
      </c>
      <c r="O24" s="357">
        <f>PI!J58</f>
        <v>0.09</v>
      </c>
      <c r="P24" s="357">
        <f>PI!K58</f>
        <v>0.09</v>
      </c>
      <c r="Q24" s="357">
        <f>PI!L58</f>
        <v>0.09</v>
      </c>
      <c r="R24" s="357">
        <f>PI!M58</f>
        <v>0.09</v>
      </c>
      <c r="S24" s="357">
        <f>PI!N58</f>
        <v>0.09</v>
      </c>
      <c r="T24" s="470">
        <f>PI!O58</f>
        <v>0.09</v>
      </c>
      <c r="U24" s="36"/>
      <c r="V24" s="36"/>
    </row>
    <row r="25" spans="1:22" ht="31.5">
      <c r="A25" s="279"/>
      <c r="B25" s="74" t="s">
        <v>296</v>
      </c>
      <c r="C25" s="450" t="s">
        <v>279</v>
      </c>
      <c r="D25" s="76" t="s">
        <v>149</v>
      </c>
      <c r="E25" s="417" t="s">
        <v>419</v>
      </c>
      <c r="F25" s="78"/>
      <c r="G25" s="93">
        <f>N25</f>
        <v>0.04</v>
      </c>
      <c r="H25" s="93">
        <f>T25</f>
        <v>0.04</v>
      </c>
      <c r="I25" s="106">
        <f>PI!D80</f>
        <v>0.04</v>
      </c>
      <c r="J25" s="106">
        <f>PI!E80</f>
        <v>0.04</v>
      </c>
      <c r="K25" s="106">
        <f>PI!F80</f>
        <v>0.04</v>
      </c>
      <c r="L25" s="106">
        <f>PI!G80</f>
        <v>0.04</v>
      </c>
      <c r="M25" s="106">
        <f>PI!H80</f>
        <v>0.04</v>
      </c>
      <c r="N25" s="106">
        <f>PI!I80</f>
        <v>0.04</v>
      </c>
      <c r="O25" s="106">
        <f>PI!J80</f>
        <v>0.04</v>
      </c>
      <c r="P25" s="106">
        <f>PI!K80</f>
        <v>0.04</v>
      </c>
      <c r="Q25" s="106">
        <f>PI!L80</f>
        <v>0.04</v>
      </c>
      <c r="R25" s="106">
        <f>PI!M80</f>
        <v>0.04</v>
      </c>
      <c r="S25" s="106">
        <f>PI!N80</f>
        <v>0.04</v>
      </c>
      <c r="T25" s="109">
        <f>PI!O80</f>
        <v>0.04</v>
      </c>
      <c r="U25" s="36"/>
      <c r="V25" s="36"/>
    </row>
    <row r="26" spans="1:22" ht="15.75">
      <c r="A26" s="280"/>
      <c r="B26" s="74" t="s">
        <v>298</v>
      </c>
      <c r="C26" s="450" t="s">
        <v>277</v>
      </c>
      <c r="D26" s="76" t="s">
        <v>193</v>
      </c>
      <c r="E26" s="417" t="s">
        <v>420</v>
      </c>
      <c r="F26" s="78"/>
      <c r="G26" s="92">
        <f>N26</f>
        <v>4.9000000000000004</v>
      </c>
      <c r="H26" s="92">
        <f>T26</f>
        <v>4.9000000000000004</v>
      </c>
      <c r="I26" s="92">
        <f>PI!D97</f>
        <v>4.9000000000000004</v>
      </c>
      <c r="J26" s="92">
        <f>PI!E97</f>
        <v>4.9000000000000004</v>
      </c>
      <c r="K26" s="92">
        <f>PI!F97</f>
        <v>4.9000000000000004</v>
      </c>
      <c r="L26" s="92">
        <f>PI!G97</f>
        <v>4.9000000000000004</v>
      </c>
      <c r="M26" s="92">
        <f>PI!H97</f>
        <v>4.9000000000000004</v>
      </c>
      <c r="N26" s="92">
        <f>PI!I97</f>
        <v>4.9000000000000004</v>
      </c>
      <c r="O26" s="92">
        <f>PI!J97</f>
        <v>4.9000000000000004</v>
      </c>
      <c r="P26" s="92">
        <f>PI!K97</f>
        <v>4.9000000000000004</v>
      </c>
      <c r="Q26" s="92">
        <f>PI!L97</f>
        <v>4.9000000000000004</v>
      </c>
      <c r="R26" s="92">
        <f>PI!M97</f>
        <v>4.9000000000000004</v>
      </c>
      <c r="S26" s="92">
        <f>PI!N97</f>
        <v>4.9000000000000004</v>
      </c>
      <c r="T26" s="108">
        <f>PI!O97</f>
        <v>4.9000000000000004</v>
      </c>
      <c r="U26" s="36"/>
      <c r="V26" s="36"/>
    </row>
    <row r="27" spans="1:22" ht="15.75">
      <c r="A27" s="280"/>
      <c r="B27" s="74" t="s">
        <v>300</v>
      </c>
      <c r="C27" s="450" t="s">
        <v>277</v>
      </c>
      <c r="D27" s="76" t="s">
        <v>301</v>
      </c>
      <c r="E27" s="417" t="s">
        <v>421</v>
      </c>
      <c r="F27" s="78"/>
      <c r="G27" s="92">
        <f>N27</f>
        <v>10664</v>
      </c>
      <c r="H27" s="92">
        <f>T27</f>
        <v>17774</v>
      </c>
      <c r="I27" s="92">
        <f>PI!D103</f>
        <v>1826</v>
      </c>
      <c r="J27" s="92">
        <f>PI!E103</f>
        <v>3476</v>
      </c>
      <c r="K27" s="92">
        <f>PI!F103</f>
        <v>5303</v>
      </c>
      <c r="L27" s="92">
        <f>PI!G103</f>
        <v>7070</v>
      </c>
      <c r="M27" s="92">
        <f>PI!H103</f>
        <v>8896</v>
      </c>
      <c r="N27" s="92">
        <f>PI!I103</f>
        <v>10664</v>
      </c>
      <c r="O27" s="92">
        <f>PI!J103</f>
        <v>11862</v>
      </c>
      <c r="P27" s="92">
        <f>PI!K103</f>
        <v>13060</v>
      </c>
      <c r="Q27" s="92">
        <f>PI!L103</f>
        <v>14219</v>
      </c>
      <c r="R27" s="92">
        <f>PI!M103</f>
        <v>15417</v>
      </c>
      <c r="S27" s="92">
        <f>PI!N103</f>
        <v>16576</v>
      </c>
      <c r="T27" s="108">
        <f>PI!O103</f>
        <v>17774</v>
      </c>
      <c r="U27" s="36"/>
      <c r="V27" s="36"/>
    </row>
    <row r="28" spans="1:22" ht="15.75">
      <c r="A28" s="280">
        <v>6</v>
      </c>
      <c r="B28" s="309" t="s">
        <v>303</v>
      </c>
      <c r="C28" s="450"/>
      <c r="D28" s="76"/>
      <c r="E28" s="417"/>
      <c r="F28" s="78">
        <v>3</v>
      </c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108"/>
      <c r="U28" s="36"/>
      <c r="V28" s="36"/>
    </row>
    <row r="29" spans="1:22" ht="31.5">
      <c r="A29" s="280"/>
      <c r="B29" s="74" t="s">
        <v>304</v>
      </c>
      <c r="C29" s="450" t="s">
        <v>279</v>
      </c>
      <c r="D29" s="76" t="s">
        <v>132</v>
      </c>
      <c r="E29" s="417" t="s">
        <v>422</v>
      </c>
      <c r="F29" s="78"/>
      <c r="G29" s="92">
        <f>N29</f>
        <v>30</v>
      </c>
      <c r="H29" s="92">
        <f>T29</f>
        <v>30</v>
      </c>
      <c r="I29" s="92">
        <f>PI!D115</f>
        <v>30</v>
      </c>
      <c r="J29" s="92">
        <f>PI!E115</f>
        <v>30</v>
      </c>
      <c r="K29" s="92">
        <f>PI!F115</f>
        <v>30</v>
      </c>
      <c r="L29" s="92">
        <f>PI!G115</f>
        <v>30</v>
      </c>
      <c r="M29" s="92">
        <f>PI!H115</f>
        <v>30</v>
      </c>
      <c r="N29" s="92">
        <f>PI!I115</f>
        <v>30</v>
      </c>
      <c r="O29" s="92">
        <f>PI!J115</f>
        <v>30</v>
      </c>
      <c r="P29" s="92">
        <f>PI!K115</f>
        <v>30</v>
      </c>
      <c r="Q29" s="92">
        <f>PI!L115</f>
        <v>30</v>
      </c>
      <c r="R29" s="92">
        <f>PI!M115</f>
        <v>30</v>
      </c>
      <c r="S29" s="92">
        <f>PI!N115</f>
        <v>30</v>
      </c>
      <c r="T29" s="108">
        <f>PI!O115</f>
        <v>30</v>
      </c>
      <c r="U29" s="36"/>
      <c r="V29" s="36"/>
    </row>
    <row r="30" spans="1:22" ht="15.75">
      <c r="A30" s="280"/>
      <c r="B30" s="74" t="s">
        <v>305</v>
      </c>
      <c r="C30" s="450" t="s">
        <v>277</v>
      </c>
      <c r="D30" s="76" t="s">
        <v>149</v>
      </c>
      <c r="E30" s="417" t="s">
        <v>423</v>
      </c>
      <c r="F30" s="78"/>
      <c r="G30" s="92">
        <f>N30</f>
        <v>0</v>
      </c>
      <c r="H30" s="92">
        <f>T30</f>
        <v>0</v>
      </c>
      <c r="I30" s="92">
        <f>PI!D131</f>
        <v>0</v>
      </c>
      <c r="J30" s="92">
        <f>PI!E131</f>
        <v>0</v>
      </c>
      <c r="K30" s="92">
        <f>PI!F131</f>
        <v>0</v>
      </c>
      <c r="L30" s="92">
        <f>PI!G131</f>
        <v>0</v>
      </c>
      <c r="M30" s="92">
        <f>PI!H131</f>
        <v>0</v>
      </c>
      <c r="N30" s="92">
        <f>PI!I131</f>
        <v>0</v>
      </c>
      <c r="O30" s="92">
        <f>PI!J131</f>
        <v>0</v>
      </c>
      <c r="P30" s="92">
        <f>PI!K131</f>
        <v>0</v>
      </c>
      <c r="Q30" s="92">
        <f>PI!L131</f>
        <v>0</v>
      </c>
      <c r="R30" s="92">
        <f>PI!M131</f>
        <v>0</v>
      </c>
      <c r="S30" s="92">
        <f>PI!N131</f>
        <v>0</v>
      </c>
      <c r="T30" s="108">
        <f>PI!O131</f>
        <v>0</v>
      </c>
      <c r="U30" s="36"/>
      <c r="V30" s="36"/>
    </row>
    <row r="31" spans="1:22" ht="15.75">
      <c r="A31" s="280">
        <v>7</v>
      </c>
      <c r="B31" s="309" t="s">
        <v>306</v>
      </c>
      <c r="C31" s="450"/>
      <c r="D31" s="76"/>
      <c r="E31" s="417"/>
      <c r="F31" s="78">
        <v>6</v>
      </c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108"/>
      <c r="U31" s="36"/>
      <c r="V31" s="36"/>
    </row>
    <row r="32" spans="1:22" ht="15.75">
      <c r="A32" s="280"/>
      <c r="B32" s="74" t="s">
        <v>308</v>
      </c>
      <c r="C32" s="450" t="s">
        <v>277</v>
      </c>
      <c r="D32" s="76" t="s">
        <v>149</v>
      </c>
      <c r="E32" s="417" t="s">
        <v>424</v>
      </c>
      <c r="F32" s="78"/>
      <c r="G32" s="92">
        <f t="shared" ref="G32:G33" si="0">N32</f>
        <v>100</v>
      </c>
      <c r="H32" s="92">
        <f t="shared" ref="H32:H33" si="1">T32</f>
        <v>100</v>
      </c>
      <c r="I32" s="92">
        <f>PI!D148</f>
        <v>100</v>
      </c>
      <c r="J32" s="92">
        <f>PI!E148</f>
        <v>100</v>
      </c>
      <c r="K32" s="92">
        <f>PI!F148</f>
        <v>100</v>
      </c>
      <c r="L32" s="92">
        <f>PI!G148</f>
        <v>100</v>
      </c>
      <c r="M32" s="92">
        <f>PI!H148</f>
        <v>100</v>
      </c>
      <c r="N32" s="92">
        <f>PI!I148</f>
        <v>100</v>
      </c>
      <c r="O32" s="92">
        <f>PI!J148</f>
        <v>100</v>
      </c>
      <c r="P32" s="92">
        <f>PI!K148</f>
        <v>100</v>
      </c>
      <c r="Q32" s="92">
        <f>PI!L148</f>
        <v>100</v>
      </c>
      <c r="R32" s="92">
        <f>PI!M148</f>
        <v>100</v>
      </c>
      <c r="S32" s="92">
        <f>PI!N148</f>
        <v>100</v>
      </c>
      <c r="T32" s="108">
        <f>PI!O148</f>
        <v>100</v>
      </c>
      <c r="U32" s="36"/>
      <c r="V32" s="36"/>
    </row>
    <row r="33" spans="1:22" ht="15.75">
      <c r="A33" s="280"/>
      <c r="B33" s="74" t="s">
        <v>309</v>
      </c>
      <c r="C33" s="450" t="s">
        <v>277</v>
      </c>
      <c r="D33" s="76" t="s">
        <v>149</v>
      </c>
      <c r="E33" s="417" t="s">
        <v>425</v>
      </c>
      <c r="F33" s="78"/>
      <c r="G33" s="92">
        <f t="shared" si="0"/>
        <v>100</v>
      </c>
      <c r="H33" s="92">
        <f t="shared" si="1"/>
        <v>100</v>
      </c>
      <c r="I33" s="92">
        <f>PI!D170</f>
        <v>100</v>
      </c>
      <c r="J33" s="92">
        <f>PI!E170</f>
        <v>100</v>
      </c>
      <c r="K33" s="92">
        <f>PI!F170</f>
        <v>100</v>
      </c>
      <c r="L33" s="92">
        <f>PI!G170</f>
        <v>100</v>
      </c>
      <c r="M33" s="92">
        <f>PI!H170</f>
        <v>100</v>
      </c>
      <c r="N33" s="92">
        <f>PI!I170</f>
        <v>100</v>
      </c>
      <c r="O33" s="92">
        <f>PI!J170</f>
        <v>100</v>
      </c>
      <c r="P33" s="92">
        <f>PI!K170</f>
        <v>100</v>
      </c>
      <c r="Q33" s="92">
        <f>PI!L170</f>
        <v>100</v>
      </c>
      <c r="R33" s="92">
        <f>PI!M170</f>
        <v>100</v>
      </c>
      <c r="S33" s="92">
        <f>PI!N170</f>
        <v>100</v>
      </c>
      <c r="T33" s="108">
        <f>PI!O170</f>
        <v>100</v>
      </c>
      <c r="U33" s="36"/>
      <c r="V33" s="36"/>
    </row>
    <row r="34" spans="1:22" ht="15.75">
      <c r="A34" s="280">
        <v>8</v>
      </c>
      <c r="B34" s="309" t="s">
        <v>31</v>
      </c>
      <c r="C34" s="450"/>
      <c r="D34" s="76"/>
      <c r="E34" s="417"/>
      <c r="F34" s="78">
        <v>10</v>
      </c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123"/>
      <c r="U34" s="36"/>
      <c r="V34" s="36"/>
    </row>
    <row r="35" spans="1:22" ht="15.75">
      <c r="A35" s="280"/>
      <c r="B35" s="74" t="s">
        <v>312</v>
      </c>
      <c r="C35" s="450" t="s">
        <v>277</v>
      </c>
      <c r="D35" s="76" t="s">
        <v>313</v>
      </c>
      <c r="E35" s="417" t="s">
        <v>426</v>
      </c>
      <c r="F35" s="78"/>
      <c r="G35" s="93">
        <f>N35</f>
        <v>1.38</v>
      </c>
      <c r="H35" s="93">
        <f>T35</f>
        <v>3.49</v>
      </c>
      <c r="I35" s="93">
        <f>PI!D195</f>
        <v>0.19</v>
      </c>
      <c r="J35" s="93">
        <f>PI!E195</f>
        <v>0.38</v>
      </c>
      <c r="K35" s="93">
        <f>PI!F195</f>
        <v>0.59</v>
      </c>
      <c r="L35" s="93">
        <f>PI!G195</f>
        <v>0.79</v>
      </c>
      <c r="M35" s="93">
        <f>PI!H195</f>
        <v>1.0900000000000001</v>
      </c>
      <c r="N35" s="93">
        <f>PI!I195</f>
        <v>1.38</v>
      </c>
      <c r="O35" s="93">
        <f>PI!J195</f>
        <v>1.69</v>
      </c>
      <c r="P35" s="93">
        <f>PI!K195</f>
        <v>1.99</v>
      </c>
      <c r="Q35" s="93">
        <f>PI!L195</f>
        <v>2.2799999999999998</v>
      </c>
      <c r="R35" s="93">
        <f>PI!M195</f>
        <v>2.59</v>
      </c>
      <c r="S35" s="93">
        <f>PI!N195</f>
        <v>2.88</v>
      </c>
      <c r="T35" s="123">
        <f>PI!O195</f>
        <v>3.49</v>
      </c>
      <c r="U35" s="36"/>
      <c r="V35" s="36"/>
    </row>
    <row r="36" spans="1:22" ht="15.75">
      <c r="A36" s="280"/>
      <c r="B36" s="74" t="s">
        <v>314</v>
      </c>
      <c r="C36" s="450" t="s">
        <v>277</v>
      </c>
      <c r="D36" s="76" t="s">
        <v>133</v>
      </c>
      <c r="E36" s="417" t="s">
        <v>427</v>
      </c>
      <c r="F36" s="78"/>
      <c r="G36" s="93">
        <f>N36</f>
        <v>1127</v>
      </c>
      <c r="H36" s="93">
        <f>T36</f>
        <v>2594</v>
      </c>
      <c r="I36" s="93">
        <f>PI!D201</f>
        <v>154</v>
      </c>
      <c r="J36" s="93">
        <f>PI!E201</f>
        <v>313</v>
      </c>
      <c r="K36" s="93">
        <f>PI!F201</f>
        <v>480</v>
      </c>
      <c r="L36" s="93">
        <f>PI!G201</f>
        <v>641</v>
      </c>
      <c r="M36" s="93">
        <f>PI!H201</f>
        <v>888</v>
      </c>
      <c r="N36" s="93">
        <f>PI!I201</f>
        <v>1127</v>
      </c>
      <c r="O36" s="93">
        <f>PI!J201</f>
        <v>1374</v>
      </c>
      <c r="P36" s="93">
        <f>PI!K201</f>
        <v>1621</v>
      </c>
      <c r="Q36" s="93">
        <f>PI!L201</f>
        <v>1860</v>
      </c>
      <c r="R36" s="93">
        <f>PI!M201</f>
        <v>2107</v>
      </c>
      <c r="S36" s="93">
        <f>PI!N201</f>
        <v>2346</v>
      </c>
      <c r="T36" s="123">
        <f>PI!O201</f>
        <v>2594</v>
      </c>
      <c r="U36" s="36"/>
      <c r="V36" s="36"/>
    </row>
    <row r="37" spans="1:22" ht="31.5">
      <c r="A37" s="280"/>
      <c r="B37" s="74" t="s">
        <v>315</v>
      </c>
      <c r="C37" s="450" t="s">
        <v>277</v>
      </c>
      <c r="D37" s="76" t="s">
        <v>133</v>
      </c>
      <c r="E37" s="417" t="s">
        <v>428</v>
      </c>
      <c r="F37" s="78"/>
      <c r="G37" s="92">
        <f>N37</f>
        <v>132</v>
      </c>
      <c r="H37" s="92">
        <f>T37</f>
        <v>222</v>
      </c>
      <c r="I37" s="92">
        <f>PI!D207</f>
        <v>22</v>
      </c>
      <c r="J37" s="92">
        <f>PI!E207</f>
        <v>44</v>
      </c>
      <c r="K37" s="92">
        <f>PI!F207</f>
        <v>66</v>
      </c>
      <c r="L37" s="92">
        <f>PI!G207</f>
        <v>88</v>
      </c>
      <c r="M37" s="92">
        <f>PI!H207</f>
        <v>110</v>
      </c>
      <c r="N37" s="92">
        <f>PI!I207</f>
        <v>132</v>
      </c>
      <c r="O37" s="92">
        <f>PI!J207</f>
        <v>147</v>
      </c>
      <c r="P37" s="92">
        <f>PI!K207</f>
        <v>162</v>
      </c>
      <c r="Q37" s="92">
        <f>PI!L207</f>
        <v>177</v>
      </c>
      <c r="R37" s="92">
        <f>PI!M207</f>
        <v>192</v>
      </c>
      <c r="S37" s="92">
        <f>PI!N207</f>
        <v>207</v>
      </c>
      <c r="T37" s="108">
        <f>PI!O207</f>
        <v>222</v>
      </c>
      <c r="U37" s="36"/>
      <c r="V37" s="36"/>
    </row>
    <row r="38" spans="1:22" ht="15.75">
      <c r="A38" s="331"/>
      <c r="B38" s="160" t="s">
        <v>316</v>
      </c>
      <c r="C38" s="450" t="s">
        <v>277</v>
      </c>
      <c r="D38" s="76" t="s">
        <v>133</v>
      </c>
      <c r="E38" s="417" t="s">
        <v>429</v>
      </c>
      <c r="F38" s="78"/>
      <c r="G38" s="92">
        <f>N38</f>
        <v>0</v>
      </c>
      <c r="H38" s="92">
        <f>T38</f>
        <v>0</v>
      </c>
      <c r="I38" s="92">
        <f>PI!D213</f>
        <v>0</v>
      </c>
      <c r="J38" s="92">
        <f>PI!E213</f>
        <v>0</v>
      </c>
      <c r="K38" s="92">
        <f>PI!F213</f>
        <v>0</v>
      </c>
      <c r="L38" s="92">
        <f>PI!G213</f>
        <v>0</v>
      </c>
      <c r="M38" s="92">
        <f>PI!H213</f>
        <v>0</v>
      </c>
      <c r="N38" s="92">
        <f>PI!I213</f>
        <v>0</v>
      </c>
      <c r="O38" s="92">
        <f>PI!J213</f>
        <v>0</v>
      </c>
      <c r="P38" s="92">
        <f>PI!K213</f>
        <v>0</v>
      </c>
      <c r="Q38" s="92">
        <f>PI!L213</f>
        <v>0</v>
      </c>
      <c r="R38" s="92">
        <f>PI!M213</f>
        <v>0</v>
      </c>
      <c r="S38" s="92">
        <f>PI!N213</f>
        <v>0</v>
      </c>
      <c r="T38" s="108">
        <f>PI!O213</f>
        <v>0</v>
      </c>
      <c r="U38" s="36"/>
      <c r="V38" s="36"/>
    </row>
    <row r="39" spans="1:22" ht="15.75">
      <c r="A39" s="280">
        <v>9</v>
      </c>
      <c r="B39" s="309" t="s">
        <v>430</v>
      </c>
      <c r="C39" s="450"/>
      <c r="D39" s="76"/>
      <c r="E39" s="417"/>
      <c r="F39" s="78">
        <v>4</v>
      </c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108"/>
      <c r="U39" s="36"/>
      <c r="V39" s="36"/>
    </row>
    <row r="40" spans="1:22" ht="30.6" customHeight="1">
      <c r="A40" s="280"/>
      <c r="B40" s="74" t="s">
        <v>431</v>
      </c>
      <c r="C40" s="450" t="s">
        <v>277</v>
      </c>
      <c r="D40" s="76" t="s">
        <v>133</v>
      </c>
      <c r="E40" s="417" t="s">
        <v>432</v>
      </c>
      <c r="F40" s="78"/>
      <c r="G40" s="92">
        <f>N40</f>
        <v>26</v>
      </c>
      <c r="H40" s="92">
        <f>T40</f>
        <v>37</v>
      </c>
      <c r="I40" s="92">
        <v>6</v>
      </c>
      <c r="J40" s="92">
        <v>10</v>
      </c>
      <c r="K40" s="92">
        <v>20</v>
      </c>
      <c r="L40" s="92">
        <v>22</v>
      </c>
      <c r="M40" s="92">
        <v>24</v>
      </c>
      <c r="N40" s="92">
        <v>26</v>
      </c>
      <c r="O40" s="92">
        <v>28</v>
      </c>
      <c r="P40" s="92">
        <v>30</v>
      </c>
      <c r="Q40" s="92">
        <v>32</v>
      </c>
      <c r="R40" s="92">
        <v>34</v>
      </c>
      <c r="S40" s="92">
        <v>36</v>
      </c>
      <c r="T40" s="108">
        <v>37</v>
      </c>
      <c r="U40" s="36"/>
      <c r="V40" s="36"/>
    </row>
    <row r="41" spans="1:22" ht="15.75">
      <c r="A41" s="280"/>
      <c r="B41" s="74" t="s">
        <v>433</v>
      </c>
      <c r="C41" s="450" t="s">
        <v>277</v>
      </c>
      <c r="D41" s="76" t="s">
        <v>434</v>
      </c>
      <c r="E41" s="417" t="s">
        <v>435</v>
      </c>
      <c r="F41" s="78"/>
      <c r="G41" s="92">
        <f>N41</f>
        <v>3369.6</v>
      </c>
      <c r="H41" s="92">
        <f>T41</f>
        <v>4795.2</v>
      </c>
      <c r="I41" s="92">
        <v>777.6</v>
      </c>
      <c r="J41" s="92">
        <v>1296</v>
      </c>
      <c r="K41" s="92">
        <v>2592</v>
      </c>
      <c r="L41" s="92">
        <v>2851.2</v>
      </c>
      <c r="M41" s="92">
        <v>3110.4</v>
      </c>
      <c r="N41" s="92">
        <v>3369.6</v>
      </c>
      <c r="O41" s="92">
        <v>3628.8</v>
      </c>
      <c r="P41" s="92">
        <v>3888</v>
      </c>
      <c r="Q41" s="92">
        <v>4147.2</v>
      </c>
      <c r="R41" s="92">
        <v>4406.3999999999996</v>
      </c>
      <c r="S41" s="92">
        <v>4665.6000000000004</v>
      </c>
      <c r="T41" s="108">
        <v>4795.2</v>
      </c>
      <c r="U41" s="36"/>
      <c r="V41" s="36"/>
    </row>
    <row r="42" spans="1:22" ht="15.75">
      <c r="A42" s="280">
        <v>10</v>
      </c>
      <c r="B42" s="309" t="s">
        <v>321</v>
      </c>
      <c r="C42" s="450"/>
      <c r="D42" s="76"/>
      <c r="E42" s="417"/>
      <c r="F42" s="78">
        <v>8</v>
      </c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108"/>
      <c r="U42" s="36"/>
      <c r="V42" s="36"/>
    </row>
    <row r="43" spans="1:22" ht="15.75">
      <c r="A43" s="279"/>
      <c r="B43" s="74" t="s">
        <v>322</v>
      </c>
      <c r="C43" s="450" t="s">
        <v>277</v>
      </c>
      <c r="D43" s="76" t="s">
        <v>133</v>
      </c>
      <c r="E43" s="417" t="s">
        <v>436</v>
      </c>
      <c r="F43" s="78"/>
      <c r="G43" s="92">
        <f>N43</f>
        <v>1449</v>
      </c>
      <c r="H43" s="92">
        <f>T43</f>
        <v>1449</v>
      </c>
      <c r="I43" s="92">
        <f>PI!D235</f>
        <v>1449</v>
      </c>
      <c r="J43" s="92">
        <f>PI!E235</f>
        <v>1449</v>
      </c>
      <c r="K43" s="92">
        <f>PI!F235</f>
        <v>1449</v>
      </c>
      <c r="L43" s="92">
        <f>PI!G235</f>
        <v>1449</v>
      </c>
      <c r="M43" s="92">
        <f>PI!H235</f>
        <v>1449</v>
      </c>
      <c r="N43" s="92">
        <f>PI!I235</f>
        <v>1449</v>
      </c>
      <c r="O43" s="92">
        <f>PI!J235</f>
        <v>1449</v>
      </c>
      <c r="P43" s="92">
        <f>PI!K235</f>
        <v>1449</v>
      </c>
      <c r="Q43" s="92">
        <f>PI!L235</f>
        <v>1449</v>
      </c>
      <c r="R43" s="92">
        <f>PI!M235</f>
        <v>1449</v>
      </c>
      <c r="S43" s="92">
        <f>PI!N235</f>
        <v>1449</v>
      </c>
      <c r="T43" s="108">
        <f>PI!O235</f>
        <v>1449</v>
      </c>
      <c r="U43" s="36"/>
      <c r="V43" s="36"/>
    </row>
    <row r="44" spans="1:22" ht="15.75">
      <c r="A44" s="280"/>
      <c r="B44" s="74" t="s">
        <v>324</v>
      </c>
      <c r="C44" s="450" t="s">
        <v>279</v>
      </c>
      <c r="D44" s="76" t="s">
        <v>133</v>
      </c>
      <c r="E44" s="417" t="s">
        <v>437</v>
      </c>
      <c r="F44" s="78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108"/>
      <c r="U44" s="36"/>
      <c r="V44" s="36"/>
    </row>
    <row r="45" spans="1:22" ht="15.75">
      <c r="A45" s="280">
        <v>11</v>
      </c>
      <c r="B45" s="309" t="s">
        <v>438</v>
      </c>
      <c r="C45" s="450" t="s">
        <v>277</v>
      </c>
      <c r="D45" s="76" t="s">
        <v>149</v>
      </c>
      <c r="E45" s="417" t="s">
        <v>439</v>
      </c>
      <c r="F45" s="78">
        <v>3</v>
      </c>
      <c r="G45" s="92">
        <f>N45</f>
        <v>100</v>
      </c>
      <c r="H45" s="92">
        <f>T45</f>
        <v>100</v>
      </c>
      <c r="I45" s="92">
        <f>PI!D249</f>
        <v>100</v>
      </c>
      <c r="J45" s="92">
        <f>PI!E249</f>
        <v>100</v>
      </c>
      <c r="K45" s="92">
        <f>PI!F249</f>
        <v>100</v>
      </c>
      <c r="L45" s="92">
        <f>PI!G249</f>
        <v>100</v>
      </c>
      <c r="M45" s="92">
        <f>PI!H249</f>
        <v>100</v>
      </c>
      <c r="N45" s="92">
        <f>PI!I249</f>
        <v>100</v>
      </c>
      <c r="O45" s="92">
        <f>PI!J249</f>
        <v>100</v>
      </c>
      <c r="P45" s="92">
        <f>PI!K249</f>
        <v>100</v>
      </c>
      <c r="Q45" s="92">
        <f>PI!L249</f>
        <v>100</v>
      </c>
      <c r="R45" s="92">
        <f>PI!M249</f>
        <v>100</v>
      </c>
      <c r="S45" s="92">
        <f>PI!N249</f>
        <v>100</v>
      </c>
      <c r="T45" s="108">
        <f>PI!O249</f>
        <v>100</v>
      </c>
      <c r="U45" s="36"/>
      <c r="V45" s="36"/>
    </row>
    <row r="46" spans="1:22" ht="15.75">
      <c r="A46" s="280">
        <v>12</v>
      </c>
      <c r="B46" s="310" t="s">
        <v>325</v>
      </c>
      <c r="C46" s="450"/>
      <c r="D46" s="76" t="s">
        <v>149</v>
      </c>
      <c r="E46" s="417"/>
      <c r="F46" s="78">
        <v>9</v>
      </c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108"/>
      <c r="U46" s="36"/>
      <c r="V46" s="36"/>
    </row>
    <row r="47" spans="1:22" ht="15.75">
      <c r="A47" s="281"/>
      <c r="B47" s="74" t="s">
        <v>440</v>
      </c>
      <c r="C47" s="447" t="s">
        <v>279</v>
      </c>
      <c r="D47" s="76" t="s">
        <v>327</v>
      </c>
      <c r="E47" s="417" t="s">
        <v>441</v>
      </c>
      <c r="F47" s="78"/>
      <c r="G47" s="92">
        <f>N47</f>
        <v>354</v>
      </c>
      <c r="H47" s="92">
        <f>T47</f>
        <v>354</v>
      </c>
      <c r="I47" s="92">
        <f>PI!D268</f>
        <v>354</v>
      </c>
      <c r="J47" s="92">
        <f>PI!E268</f>
        <v>354</v>
      </c>
      <c r="K47" s="92">
        <f>PI!F268</f>
        <v>354</v>
      </c>
      <c r="L47" s="92">
        <f>PI!G268</f>
        <v>354</v>
      </c>
      <c r="M47" s="92">
        <f>PI!H268</f>
        <v>354</v>
      </c>
      <c r="N47" s="92">
        <f>PI!I268</f>
        <v>354</v>
      </c>
      <c r="O47" s="92">
        <f>PI!J268</f>
        <v>354</v>
      </c>
      <c r="P47" s="92">
        <f>PI!K268</f>
        <v>354</v>
      </c>
      <c r="Q47" s="92">
        <f>PI!L268</f>
        <v>354</v>
      </c>
      <c r="R47" s="92">
        <f>PI!M268</f>
        <v>354</v>
      </c>
      <c r="S47" s="92">
        <f>PI!N268</f>
        <v>354</v>
      </c>
      <c r="T47" s="108">
        <f>PI!O268</f>
        <v>354</v>
      </c>
      <c r="U47" s="36"/>
      <c r="V47" s="36"/>
    </row>
    <row r="48" spans="1:22" ht="15.75">
      <c r="A48" s="280"/>
      <c r="B48" s="74" t="s">
        <v>442</v>
      </c>
      <c r="C48" s="447" t="s">
        <v>279</v>
      </c>
      <c r="D48" s="76" t="s">
        <v>327</v>
      </c>
      <c r="E48" s="417" t="s">
        <v>443</v>
      </c>
      <c r="F48" s="78"/>
      <c r="G48" s="92">
        <f>N48</f>
        <v>4.17</v>
      </c>
      <c r="H48" s="92">
        <f>T48</f>
        <v>4.17</v>
      </c>
      <c r="I48" s="92">
        <f>PI!D290</f>
        <v>4.17</v>
      </c>
      <c r="J48" s="92">
        <f>PI!E290</f>
        <v>4.17</v>
      </c>
      <c r="K48" s="92">
        <f>PI!F290</f>
        <v>4.17</v>
      </c>
      <c r="L48" s="92">
        <f>PI!G290</f>
        <v>4.17</v>
      </c>
      <c r="M48" s="92">
        <f>PI!H290</f>
        <v>4.17</v>
      </c>
      <c r="N48" s="92">
        <f>PI!I290</f>
        <v>4.17</v>
      </c>
      <c r="O48" s="92">
        <f>PI!J290</f>
        <v>4.17</v>
      </c>
      <c r="P48" s="92">
        <f>PI!K290</f>
        <v>4.17</v>
      </c>
      <c r="Q48" s="92">
        <f>PI!L290</f>
        <v>4.17</v>
      </c>
      <c r="R48" s="92">
        <f>PI!M290</f>
        <v>4.17</v>
      </c>
      <c r="S48" s="92">
        <f>PI!N290</f>
        <v>4.17</v>
      </c>
      <c r="T48" s="108">
        <f>PI!O290</f>
        <v>4.17</v>
      </c>
      <c r="U48" s="36"/>
      <c r="V48" s="36"/>
    </row>
    <row r="49" spans="1:22" ht="15.75">
      <c r="A49" s="280"/>
      <c r="B49" s="74" t="s">
        <v>331</v>
      </c>
      <c r="C49" s="447" t="s">
        <v>277</v>
      </c>
      <c r="D49" s="76" t="s">
        <v>327</v>
      </c>
      <c r="E49" s="417" t="s">
        <v>444</v>
      </c>
      <c r="F49" s="78"/>
      <c r="G49" s="92">
        <f>N49</f>
        <v>0</v>
      </c>
      <c r="H49" s="92">
        <f>T49</f>
        <v>0</v>
      </c>
      <c r="I49" s="92">
        <f>PI!D311</f>
        <v>0</v>
      </c>
      <c r="J49" s="92">
        <f>PI!E311</f>
        <v>0</v>
      </c>
      <c r="K49" s="92">
        <f>PI!F311</f>
        <v>0</v>
      </c>
      <c r="L49" s="92">
        <f>PI!G311</f>
        <v>0</v>
      </c>
      <c r="M49" s="92">
        <f>PI!H311</f>
        <v>0</v>
      </c>
      <c r="N49" s="92">
        <f>PI!I311</f>
        <v>0</v>
      </c>
      <c r="O49" s="92">
        <f>PI!J311</f>
        <v>0</v>
      </c>
      <c r="P49" s="92">
        <f>PI!K311</f>
        <v>0</v>
      </c>
      <c r="Q49" s="92">
        <f>PI!L311</f>
        <v>0</v>
      </c>
      <c r="R49" s="92">
        <f>PI!M311</f>
        <v>0</v>
      </c>
      <c r="S49" s="92">
        <f>PI!N311</f>
        <v>0</v>
      </c>
      <c r="T49" s="108">
        <f>PI!O311</f>
        <v>0</v>
      </c>
      <c r="U49" s="36"/>
      <c r="V49" s="36"/>
    </row>
    <row r="50" spans="1:22" ht="15.75">
      <c r="A50" s="280">
        <v>13</v>
      </c>
      <c r="B50" s="309" t="s">
        <v>356</v>
      </c>
      <c r="C50" s="447"/>
      <c r="D50" s="76"/>
      <c r="E50" s="417"/>
      <c r="F50" s="78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108"/>
      <c r="U50" s="36"/>
      <c r="V50" s="36"/>
    </row>
    <row r="51" spans="1:22" ht="31.9" customHeight="1">
      <c r="A51" s="279"/>
      <c r="B51" s="74" t="s">
        <v>357</v>
      </c>
      <c r="C51" s="447"/>
      <c r="D51" s="76"/>
      <c r="E51" s="416" t="s">
        <v>399</v>
      </c>
      <c r="F51" s="77" t="s">
        <v>358</v>
      </c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108"/>
      <c r="U51" s="36"/>
      <c r="V51" s="36"/>
    </row>
    <row r="52" spans="1:22" ht="31.5">
      <c r="A52" s="280"/>
      <c r="B52" s="160" t="s">
        <v>359</v>
      </c>
      <c r="C52" s="447"/>
      <c r="D52" s="76"/>
      <c r="E52" s="416" t="s">
        <v>445</v>
      </c>
      <c r="F52" s="77" t="s">
        <v>360</v>
      </c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108"/>
      <c r="U52" s="36"/>
      <c r="V52" s="36"/>
    </row>
    <row r="53" spans="1:22" ht="31.5">
      <c r="A53" s="280"/>
      <c r="B53" s="160" t="s">
        <v>361</v>
      </c>
      <c r="C53" s="447"/>
      <c r="D53" s="76"/>
      <c r="E53" s="417" t="s">
        <v>401</v>
      </c>
      <c r="F53" s="200" t="s">
        <v>363</v>
      </c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108"/>
      <c r="U53" s="36"/>
      <c r="V53" s="36"/>
    </row>
    <row r="54" spans="1:22" ht="15.75">
      <c r="A54" s="280"/>
      <c r="B54" s="160" t="s">
        <v>364</v>
      </c>
      <c r="C54" s="447"/>
      <c r="D54" s="76"/>
      <c r="E54" s="417" t="s">
        <v>402</v>
      </c>
      <c r="F54" s="201" t="s">
        <v>366</v>
      </c>
      <c r="G54" s="92"/>
      <c r="H54" s="92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123"/>
      <c r="U54" s="36"/>
      <c r="V54" s="36"/>
    </row>
    <row r="55" spans="1:22" ht="15.75">
      <c r="A55" s="281"/>
      <c r="B55" s="160" t="s">
        <v>367</v>
      </c>
      <c r="C55" s="447"/>
      <c r="D55" s="76"/>
      <c r="E55" s="417" t="s">
        <v>446</v>
      </c>
      <c r="F55" s="78" t="s">
        <v>368</v>
      </c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108"/>
      <c r="U55" s="36"/>
      <c r="V55" s="36"/>
    </row>
    <row r="56" spans="1:22" ht="15.75">
      <c r="A56" s="73"/>
      <c r="B56" s="83" t="s">
        <v>104</v>
      </c>
      <c r="C56" s="451"/>
      <c r="D56" s="85"/>
      <c r="E56" s="418"/>
      <c r="F56" s="86">
        <f>F7+F18</f>
        <v>100</v>
      </c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73"/>
    </row>
    <row r="57" spans="1:22" customFormat="1">
      <c r="C57" s="443"/>
      <c r="E57" s="419"/>
    </row>
    <row r="58" spans="1:22" customFormat="1">
      <c r="A58" s="114"/>
      <c r="B58" s="115" t="s">
        <v>369</v>
      </c>
      <c r="C58" s="452"/>
      <c r="D58" s="4">
        <f>COUNTA(D8:D55)</f>
        <v>32</v>
      </c>
      <c r="E58" s="420"/>
      <c r="F58" s="4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</row>
    <row r="59" spans="1:22" customFormat="1">
      <c r="C59" s="443"/>
      <c r="E59" s="419"/>
    </row>
    <row r="60" spans="1:22" customFormat="1">
      <c r="A60" s="117" t="s">
        <v>370</v>
      </c>
      <c r="B60" s="118"/>
      <c r="C60" s="453"/>
      <c r="D60" s="119"/>
      <c r="E60" s="421"/>
      <c r="F60" s="119"/>
      <c r="G60" s="119"/>
      <c r="H60" s="119"/>
      <c r="I60" s="119"/>
      <c r="J60" s="119"/>
      <c r="K60" s="119"/>
      <c r="L60" s="119"/>
      <c r="M60" s="119"/>
      <c r="Q60" s="119"/>
      <c r="S60" s="119"/>
    </row>
    <row r="61" spans="1:22" customFormat="1">
      <c r="A61" s="119">
        <v>3</v>
      </c>
      <c r="B61" s="120" t="s">
        <v>371</v>
      </c>
      <c r="C61" s="453"/>
      <c r="D61" s="119"/>
      <c r="E61" s="421"/>
      <c r="F61" s="119"/>
      <c r="G61" s="119"/>
      <c r="H61" s="119"/>
      <c r="I61" s="119"/>
      <c r="J61" s="119"/>
      <c r="K61" s="119"/>
      <c r="L61" s="119"/>
      <c r="M61" s="119"/>
      <c r="Q61" s="119"/>
      <c r="S61" s="119"/>
    </row>
    <row r="62" spans="1:22" customFormat="1">
      <c r="A62" s="119">
        <v>1</v>
      </c>
      <c r="B62" s="120" t="s">
        <v>372</v>
      </c>
      <c r="C62" s="453"/>
      <c r="D62" s="119"/>
      <c r="E62" s="421"/>
      <c r="F62" s="119"/>
      <c r="G62" s="119"/>
      <c r="H62" s="119"/>
      <c r="I62" s="119"/>
      <c r="J62" s="119"/>
      <c r="K62" s="119"/>
      <c r="L62" s="119"/>
      <c r="M62" s="119"/>
      <c r="Q62" s="119"/>
      <c r="S62" s="119"/>
    </row>
    <row r="63" spans="1:22" customFormat="1">
      <c r="A63" s="119"/>
      <c r="B63" s="118"/>
      <c r="C63" s="453"/>
      <c r="D63" s="119"/>
      <c r="E63" s="421"/>
      <c r="F63" s="119"/>
      <c r="G63" s="119"/>
      <c r="H63" s="119"/>
      <c r="I63" s="119"/>
      <c r="J63" s="119"/>
      <c r="K63" s="119"/>
      <c r="L63" s="119"/>
      <c r="M63" s="119"/>
      <c r="Q63" s="119"/>
      <c r="S63" s="119"/>
    </row>
    <row r="64" spans="1:22" customFormat="1">
      <c r="A64" s="119"/>
      <c r="B64" s="118"/>
      <c r="C64" s="453"/>
      <c r="D64" s="119"/>
      <c r="E64" s="421"/>
      <c r="F64" s="119"/>
      <c r="G64" s="119"/>
      <c r="H64" s="119"/>
      <c r="I64" s="119"/>
      <c r="J64" s="119"/>
      <c r="K64" s="119"/>
      <c r="L64" s="119"/>
      <c r="M64" s="119"/>
      <c r="Q64" s="119"/>
      <c r="S64" s="119"/>
    </row>
    <row r="65" spans="1:30" customFormat="1">
      <c r="A65" s="121"/>
      <c r="B65" s="122"/>
      <c r="C65" s="453"/>
      <c r="D65" s="121"/>
      <c r="E65" s="422"/>
      <c r="F65" s="121"/>
      <c r="G65" s="121"/>
      <c r="H65" s="121"/>
      <c r="I65" s="121"/>
      <c r="J65" s="121"/>
      <c r="K65" s="121"/>
      <c r="L65" s="121"/>
      <c r="M65" s="121"/>
    </row>
    <row r="66" spans="1:30" customFormat="1">
      <c r="C66" s="443"/>
      <c r="E66" s="419"/>
      <c r="Q66" s="121"/>
      <c r="S66" s="121"/>
    </row>
    <row r="67" spans="1:30" s="31" customFormat="1">
      <c r="A67" s="28"/>
      <c r="B67" s="30"/>
      <c r="C67" s="454"/>
      <c r="D67" s="28"/>
      <c r="E67" s="423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W67" s="30"/>
      <c r="X67" s="30"/>
      <c r="Y67" s="30"/>
      <c r="Z67" s="30"/>
      <c r="AA67" s="30"/>
      <c r="AB67" s="30"/>
      <c r="AC67" s="30"/>
      <c r="AD67" s="30"/>
    </row>
  </sheetData>
  <mergeCells count="7">
    <mergeCell ref="I4:T4"/>
    <mergeCell ref="A4:A5"/>
    <mergeCell ref="B4:C5"/>
    <mergeCell ref="D4:D5"/>
    <mergeCell ref="E4:E5"/>
    <mergeCell ref="F4:F5"/>
    <mergeCell ref="G4:H4"/>
  </mergeCells>
  <conditionalFormatting sqref="A61">
    <cfRule type="iconSet" priority="28">
      <iconSet iconSet="3ArrowsGray" showValue="0">
        <cfvo type="percent" val="0"/>
        <cfvo type="num" val="2"/>
        <cfvo type="num" val="3"/>
      </iconSet>
    </cfRule>
  </conditionalFormatting>
  <conditionalFormatting sqref="A62">
    <cfRule type="iconSet" priority="27">
      <iconSet iconSet="3ArrowsGray" showValue="0">
        <cfvo type="percent" val="0"/>
        <cfvo type="num" val="2"/>
        <cfvo type="num" val="3"/>
      </iconSet>
    </cfRule>
  </conditionalFormatting>
  <conditionalFormatting sqref="C8">
    <cfRule type="iconSet" priority="38">
      <iconSet iconSet="3ArrowsGray" showValue="0">
        <cfvo type="percent" val="0"/>
        <cfvo type="num" val="2"/>
        <cfvo type="num" val="3"/>
      </iconSet>
    </cfRule>
    <cfRule type="iconSet" priority="42">
      <iconSet iconSet="3ArrowsGray" showValue="0">
        <cfvo type="percent" val="0"/>
        <cfvo type="num" val="2"/>
        <cfvo type="num" val="3"/>
      </iconSet>
    </cfRule>
  </conditionalFormatting>
  <conditionalFormatting sqref="C9">
    <cfRule type="iconSet" priority="37">
      <iconSet iconSet="3ArrowsGray" showValue="0">
        <cfvo type="percent" val="0"/>
        <cfvo type="num" val="2"/>
        <cfvo type="num" val="3"/>
      </iconSet>
    </cfRule>
  </conditionalFormatting>
  <conditionalFormatting sqref="C10:C17">
    <cfRule type="iconSet" priority="47660">
      <iconSet iconSet="3ArrowsGray" showValue="0">
        <cfvo type="percent" val="0"/>
        <cfvo type="num" val="2"/>
        <cfvo type="num" val="3"/>
      </iconSet>
    </cfRule>
    <cfRule type="iconSet" priority="47661">
      <iconSet iconSet="3ArrowsGray" showValue="0">
        <cfvo type="percent" val="0"/>
        <cfvo type="num" val="2"/>
        <cfvo type="num" val="3"/>
      </iconSet>
    </cfRule>
  </conditionalFormatting>
  <conditionalFormatting sqref="C19">
    <cfRule type="iconSet" priority="1">
      <iconSet iconSet="3ArrowsGray" showValue="0">
        <cfvo type="percent" val="0"/>
        <cfvo type="num" val="2"/>
        <cfvo type="num" val="3"/>
      </iconSet>
    </cfRule>
    <cfRule type="iconSet" priority="2">
      <iconSet iconSet="3ArrowsGray" showValue="0">
        <cfvo type="percent" val="0"/>
        <cfvo type="num" val="2"/>
        <cfvo type="num" val="3"/>
      </iconSet>
    </cfRule>
  </conditionalFormatting>
  <conditionalFormatting sqref="C20:C46">
    <cfRule type="iconSet" priority="47664">
      <iconSet iconSet="3ArrowsGray" showValue="0">
        <cfvo type="percent" val="0"/>
        <cfvo type="num" val="2"/>
        <cfvo type="num" val="3"/>
      </iconSet>
    </cfRule>
    <cfRule type="iconSet" priority="47665">
      <iconSet iconSet="3ArrowsGray" showValue="0">
        <cfvo type="percent" val="0"/>
        <cfvo type="num" val="2"/>
        <cfvo type="num" val="3"/>
      </iconSet>
    </cfRule>
  </conditionalFormatting>
  <conditionalFormatting sqref="C47:C50">
    <cfRule type="iconSet" priority="3">
      <iconSet iconSet="3ArrowsGray" showValue="0">
        <cfvo type="percent" val="0"/>
        <cfvo type="num" val="2"/>
        <cfvo type="num" val="3"/>
      </iconSet>
    </cfRule>
    <cfRule type="iconSet" priority="4">
      <iconSet iconSet="3ArrowsGray" showValue="0">
        <cfvo type="percent" val="0"/>
        <cfvo type="num" val="2"/>
        <cfvo type="num" val="3"/>
      </iconSet>
    </cfRule>
  </conditionalFormatting>
  <conditionalFormatting sqref="C51">
    <cfRule type="iconSet" priority="47666">
      <iconSet iconSet="3ArrowsGray" showValue="0">
        <cfvo type="percent" val="0"/>
        <cfvo type="num" val="2"/>
        <cfvo type="num" val="3"/>
      </iconSet>
    </cfRule>
  </conditionalFormatting>
  <conditionalFormatting sqref="C51:C55">
    <cfRule type="iconSet" priority="47667">
      <iconSet iconSet="3ArrowsGray" showValue="0">
        <cfvo type="percent" val="0"/>
        <cfvo type="num" val="2"/>
        <cfvo type="num" val="3"/>
      </iconSet>
    </cfRule>
  </conditionalFormatting>
  <conditionalFormatting sqref="C57">
    <cfRule type="iconSet" priority="30">
      <iconSet iconSet="3ArrowsGray" showValue="0">
        <cfvo type="percent" val="0"/>
        <cfvo type="num" val="2"/>
        <cfvo type="num" val="3"/>
      </iconSet>
    </cfRule>
  </conditionalFormatting>
  <conditionalFormatting sqref="C58">
    <cfRule type="iconSet" priority="33">
      <iconSet iconSet="3ArrowsGray" showValue="0">
        <cfvo type="percent" val="0"/>
        <cfvo type="num" val="2"/>
        <cfvo type="num" val="3"/>
      </iconSet>
    </cfRule>
  </conditionalFormatting>
  <conditionalFormatting sqref="D57">
    <cfRule type="iconSet" priority="23">
      <iconSet iconSet="3ArrowsGray" showValue="0">
        <cfvo type="percent" val="0"/>
        <cfvo type="num" val="2"/>
        <cfvo type="num" val="3"/>
      </iconSet>
    </cfRule>
    <cfRule type="iconSet" priority="32">
      <iconSet iconSet="3ArrowsGray" showValue="0">
        <cfvo type="percent" val="0"/>
        <cfvo type="num" val="2"/>
        <cfvo type="num" val="3"/>
      </iconSet>
    </cfRule>
  </conditionalFormatting>
  <conditionalFormatting sqref="E57">
    <cfRule type="iconSet" priority="31">
      <iconSet iconSet="3ArrowsGray" showValue="0">
        <cfvo type="percent" val="0"/>
        <cfvo type="num" val="2"/>
        <cfvo type="num" val="3"/>
      </iconSet>
    </cfRule>
  </conditionalFormatting>
  <conditionalFormatting sqref="G57:H57">
    <cfRule type="iconSet" priority="40">
      <iconSet iconSet="3ArrowsGray" showValue="0">
        <cfvo type="percent" val="0"/>
        <cfvo type="num" val="2"/>
        <cfvo type="num" val="3"/>
      </iconSet>
    </cfRule>
  </conditionalFormatting>
  <conditionalFormatting sqref="G58:H58">
    <cfRule type="iconSet" priority="39">
      <iconSet iconSet="3ArrowsGray" showValue="0">
        <cfvo type="percent" val="0"/>
        <cfvo type="num" val="2"/>
        <cfvo type="num" val="3"/>
      </iconSet>
    </cfRule>
  </conditionalFormatting>
  <conditionalFormatting sqref="I57:T57">
    <cfRule type="iconSet" priority="29">
      <iconSet iconSet="3ArrowsGray" showValue="0">
        <cfvo type="percent" val="0"/>
        <cfvo type="num" val="2"/>
        <cfvo type="num" val="3"/>
      </iconSet>
    </cfRule>
  </conditionalFormatting>
  <conditionalFormatting sqref="I58:T58">
    <cfRule type="iconSet" priority="24">
      <iconSet iconSet="3ArrowsGray" showValue="0">
        <cfvo type="percent" val="0"/>
        <cfvo type="num" val="2"/>
        <cfvo type="num" val="3"/>
      </iconSet>
    </cfRule>
    <cfRule type="iconSet" priority="25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52" fitToHeight="0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8848-0900-4E2E-8729-9667D00AAEC6}">
  <sheetPr>
    <tabColor rgb="FFFF0000"/>
    <pageSetUpPr fitToPage="1"/>
  </sheetPr>
  <dimension ref="A1:AD67"/>
  <sheetViews>
    <sheetView workbookViewId="0"/>
  </sheetViews>
  <sheetFormatPr defaultColWidth="8.85546875" defaultRowHeight="15"/>
  <cols>
    <col min="1" max="1" width="5.7109375" style="28" customWidth="1"/>
    <col min="2" max="2" width="60" style="433" customWidth="1"/>
    <col min="3" max="3" width="2.85546875" style="454" customWidth="1"/>
    <col min="4" max="4" width="14.42578125" style="28" customWidth="1"/>
    <col min="5" max="5" width="106.7109375" style="412" hidden="1" customWidth="1"/>
    <col min="6" max="6" width="10.140625" style="30" customWidth="1"/>
    <col min="7" max="20" width="11.28515625" style="30" customWidth="1"/>
    <col min="21" max="21" width="17.7109375" style="31" bestFit="1" customWidth="1"/>
    <col min="22" max="22" width="16" style="31" bestFit="1" customWidth="1"/>
    <col min="23" max="23" width="19.140625" style="30" bestFit="1" customWidth="1"/>
    <col min="24" max="24" width="12.42578125" style="30" bestFit="1" customWidth="1"/>
    <col min="25" max="29" width="8.85546875" style="30"/>
    <col min="30" max="30" width="17.85546875" style="30" bestFit="1" customWidth="1"/>
    <col min="31" max="16384" width="8.85546875" style="30"/>
  </cols>
  <sheetData>
    <row r="1" spans="1:22" ht="15.75">
      <c r="B1" s="424" t="s">
        <v>251</v>
      </c>
      <c r="C1" s="439"/>
      <c r="I1" s="22"/>
    </row>
    <row r="2" spans="1:22" ht="15.75">
      <c r="B2" s="424" t="s">
        <v>123</v>
      </c>
      <c r="C2" s="439"/>
    </row>
    <row r="3" spans="1:22" ht="15.75">
      <c r="B3" s="424" t="s">
        <v>378</v>
      </c>
      <c r="C3" s="439"/>
    </row>
    <row r="4" spans="1:22" s="33" customFormat="1" ht="15" customHeight="1">
      <c r="A4" s="741" t="s">
        <v>8</v>
      </c>
      <c r="B4" s="743" t="s">
        <v>9</v>
      </c>
      <c r="C4" s="744"/>
      <c r="D4" s="741" t="s">
        <v>93</v>
      </c>
      <c r="E4" s="741" t="s">
        <v>272</v>
      </c>
      <c r="F4" s="741" t="s">
        <v>99</v>
      </c>
      <c r="G4" s="747" t="s">
        <v>100</v>
      </c>
      <c r="H4" s="748"/>
      <c r="I4" s="730" t="s">
        <v>273</v>
      </c>
      <c r="J4" s="731"/>
      <c r="K4" s="731"/>
      <c r="L4" s="731"/>
      <c r="M4" s="731"/>
      <c r="N4" s="731"/>
      <c r="O4" s="731"/>
      <c r="P4" s="731"/>
      <c r="Q4" s="731"/>
      <c r="R4" s="731"/>
      <c r="S4" s="731"/>
      <c r="T4" s="732"/>
      <c r="U4" s="32"/>
      <c r="V4" s="32"/>
    </row>
    <row r="5" spans="1:22" s="33" customFormat="1" ht="15" customHeight="1">
      <c r="A5" s="742"/>
      <c r="B5" s="745"/>
      <c r="C5" s="746"/>
      <c r="D5" s="742"/>
      <c r="E5" s="742"/>
      <c r="F5" s="742"/>
      <c r="G5" s="606" t="s">
        <v>274</v>
      </c>
      <c r="H5" s="606" t="s">
        <v>275</v>
      </c>
      <c r="I5" s="113" t="s">
        <v>94</v>
      </c>
      <c r="J5" s="113" t="s">
        <v>95</v>
      </c>
      <c r="K5" s="113" t="s">
        <v>96</v>
      </c>
      <c r="L5" s="113" t="s">
        <v>97</v>
      </c>
      <c r="M5" s="113" t="s">
        <v>98</v>
      </c>
      <c r="N5" s="113" t="s">
        <v>153</v>
      </c>
      <c r="O5" s="113" t="s">
        <v>163</v>
      </c>
      <c r="P5" s="113" t="s">
        <v>165</v>
      </c>
      <c r="Q5" s="113" t="s">
        <v>167</v>
      </c>
      <c r="R5" s="113" t="s">
        <v>169</v>
      </c>
      <c r="S5" s="113" t="s">
        <v>171</v>
      </c>
      <c r="T5" s="607" t="s">
        <v>174</v>
      </c>
      <c r="U5" s="32"/>
      <c r="V5" s="32"/>
    </row>
    <row r="6" spans="1:22" s="33" customFormat="1" ht="15" customHeight="1">
      <c r="A6" s="606">
        <v>1</v>
      </c>
      <c r="B6" s="648">
        <v>2</v>
      </c>
      <c r="C6" s="487"/>
      <c r="D6" s="606">
        <v>3</v>
      </c>
      <c r="E6" s="606">
        <v>4</v>
      </c>
      <c r="F6" s="606">
        <v>5</v>
      </c>
      <c r="G6" s="606">
        <v>6</v>
      </c>
      <c r="H6" s="606">
        <v>7</v>
      </c>
      <c r="I6" s="606">
        <v>8</v>
      </c>
      <c r="J6" s="606">
        <v>9</v>
      </c>
      <c r="K6" s="606">
        <v>10</v>
      </c>
      <c r="L6" s="606">
        <v>11</v>
      </c>
      <c r="M6" s="606">
        <v>12</v>
      </c>
      <c r="N6" s="606">
        <v>13</v>
      </c>
      <c r="O6" s="606">
        <v>14</v>
      </c>
      <c r="P6" s="606">
        <v>15</v>
      </c>
      <c r="Q6" s="606">
        <v>16</v>
      </c>
      <c r="R6" s="606">
        <v>17</v>
      </c>
      <c r="S6" s="606">
        <v>18</v>
      </c>
      <c r="T6" s="606">
        <v>19</v>
      </c>
      <c r="U6" s="32"/>
      <c r="V6" s="32"/>
    </row>
    <row r="7" spans="1:22" s="35" customFormat="1" ht="16.5">
      <c r="A7" s="65" t="s">
        <v>269</v>
      </c>
      <c r="B7" s="425" t="s">
        <v>15</v>
      </c>
      <c r="C7" s="446"/>
      <c r="D7" s="50"/>
      <c r="E7" s="413"/>
      <c r="F7" s="68">
        <f>SUM(F8:F17)</f>
        <v>40</v>
      </c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471"/>
      <c r="U7" s="34"/>
      <c r="V7" s="34"/>
    </row>
    <row r="8" spans="1:22" ht="15.75">
      <c r="A8" s="277">
        <v>1</v>
      </c>
      <c r="B8" s="310" t="s">
        <v>383</v>
      </c>
      <c r="C8" s="447" t="s">
        <v>277</v>
      </c>
      <c r="D8" s="76" t="s">
        <v>384</v>
      </c>
      <c r="E8" s="414" t="s">
        <v>403</v>
      </c>
      <c r="F8" s="77">
        <v>14</v>
      </c>
      <c r="G8" s="92">
        <f>N8</f>
        <v>13.31</v>
      </c>
      <c r="H8" s="92">
        <f>T8</f>
        <v>27.1</v>
      </c>
      <c r="I8" s="92">
        <f>KPI!D14</f>
        <v>2.19</v>
      </c>
      <c r="J8" s="92">
        <f>KPI!E14</f>
        <v>4.28</v>
      </c>
      <c r="K8" s="92">
        <f>KPI!F14</f>
        <v>6.6</v>
      </c>
      <c r="L8" s="92">
        <f>KPI!G14</f>
        <v>8.84</v>
      </c>
      <c r="M8" s="92">
        <f>KPI!H14</f>
        <v>11.15</v>
      </c>
      <c r="N8" s="92">
        <f>KPI!I14</f>
        <v>13.31</v>
      </c>
      <c r="O8" s="92">
        <f>KPI!J14</f>
        <v>15.51</v>
      </c>
      <c r="P8" s="92">
        <f>KPI!K14</f>
        <v>17.760000000000002</v>
      </c>
      <c r="Q8" s="92">
        <f>KPI!L14</f>
        <v>20.04</v>
      </c>
      <c r="R8" s="92">
        <f>KPI!M14</f>
        <v>22.41</v>
      </c>
      <c r="S8" s="92">
        <f>KPI!N14</f>
        <v>24.74</v>
      </c>
      <c r="T8" s="472">
        <f>KPI!O14</f>
        <v>27.1</v>
      </c>
      <c r="U8" s="36"/>
      <c r="V8" s="36"/>
    </row>
    <row r="9" spans="1:22" ht="15.75">
      <c r="A9" s="279">
        <v>2</v>
      </c>
      <c r="B9" s="310" t="s">
        <v>385</v>
      </c>
      <c r="C9" s="448"/>
      <c r="D9" s="76"/>
      <c r="E9" s="414"/>
      <c r="F9" s="77">
        <v>14</v>
      </c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108"/>
      <c r="U9" s="36"/>
      <c r="V9" s="36"/>
    </row>
    <row r="10" spans="1:22" ht="15.75">
      <c r="A10" s="280"/>
      <c r="B10" s="160" t="s">
        <v>404</v>
      </c>
      <c r="C10" s="447" t="s">
        <v>279</v>
      </c>
      <c r="D10" s="76" t="s">
        <v>447</v>
      </c>
      <c r="E10" s="414" t="s">
        <v>280</v>
      </c>
      <c r="F10" s="77"/>
      <c r="G10" s="92">
        <f>N10</f>
        <v>87.89</v>
      </c>
      <c r="H10" s="92">
        <f>T10</f>
        <v>175.78</v>
      </c>
      <c r="I10" s="92">
        <f>KPI!D38</f>
        <v>14.65</v>
      </c>
      <c r="J10" s="92">
        <f>KPI!E38</f>
        <v>29.3</v>
      </c>
      <c r="K10" s="92">
        <f>KPI!F38</f>
        <v>43.94</v>
      </c>
      <c r="L10" s="92">
        <f>KPI!G38</f>
        <v>58.59</v>
      </c>
      <c r="M10" s="92">
        <f>KPI!H38</f>
        <v>73.239999999999995</v>
      </c>
      <c r="N10" s="92">
        <f>KPI!I38</f>
        <v>87.89</v>
      </c>
      <c r="O10" s="92">
        <f>KPI!J38</f>
        <v>102.54</v>
      </c>
      <c r="P10" s="92">
        <f>KPI!K38</f>
        <v>117.18</v>
      </c>
      <c r="Q10" s="92">
        <f>KPI!L38</f>
        <v>131.83000000000001</v>
      </c>
      <c r="R10" s="92">
        <f>KPI!M38</f>
        <v>146.47999999999999</v>
      </c>
      <c r="S10" s="92">
        <f>KPI!N38</f>
        <v>161.13</v>
      </c>
      <c r="T10" s="108">
        <f>KPI!O38</f>
        <v>175.78</v>
      </c>
      <c r="U10" s="36"/>
      <c r="V10" s="36"/>
    </row>
    <row r="11" spans="1:22" ht="15.75">
      <c r="A11" s="280"/>
      <c r="B11" s="160" t="s">
        <v>406</v>
      </c>
      <c r="C11" s="447" t="s">
        <v>279</v>
      </c>
      <c r="D11" s="76" t="s">
        <v>448</v>
      </c>
      <c r="E11" s="414" t="s">
        <v>281</v>
      </c>
      <c r="F11" s="77"/>
      <c r="G11" s="92">
        <f>N11</f>
        <v>1.4</v>
      </c>
      <c r="H11" s="92">
        <f>T11</f>
        <v>2.81</v>
      </c>
      <c r="I11" s="92">
        <f>KPI!D60</f>
        <v>0.23</v>
      </c>
      <c r="J11" s="92">
        <f>KPI!E60</f>
        <v>0.47</v>
      </c>
      <c r="K11" s="92">
        <f>KPI!F60</f>
        <v>0.7</v>
      </c>
      <c r="L11" s="92">
        <f>KPI!G60</f>
        <v>0.94</v>
      </c>
      <c r="M11" s="92">
        <f>KPI!H60</f>
        <v>1.17</v>
      </c>
      <c r="N11" s="92">
        <f>KPI!I60</f>
        <v>1.4</v>
      </c>
      <c r="O11" s="92">
        <f>KPI!J60</f>
        <v>1.64</v>
      </c>
      <c r="P11" s="92">
        <f>KPI!K60</f>
        <v>1.87</v>
      </c>
      <c r="Q11" s="92">
        <f>KPI!L60</f>
        <v>2.1</v>
      </c>
      <c r="R11" s="92">
        <f>KPI!M60</f>
        <v>2.34</v>
      </c>
      <c r="S11" s="92">
        <f>KPI!N60</f>
        <v>2.57</v>
      </c>
      <c r="T11" s="108">
        <f>KPI!O60</f>
        <v>2.81</v>
      </c>
      <c r="U11" s="36"/>
      <c r="V11" s="36"/>
    </row>
    <row r="12" spans="1:22" ht="15.75">
      <c r="A12" s="281"/>
      <c r="B12" s="160" t="s">
        <v>408</v>
      </c>
      <c r="C12" s="447" t="s">
        <v>279</v>
      </c>
      <c r="D12" s="76" t="s">
        <v>140</v>
      </c>
      <c r="E12" s="414" t="s">
        <v>409</v>
      </c>
      <c r="F12" s="77"/>
      <c r="G12" s="92">
        <f>N12</f>
        <v>3.54</v>
      </c>
      <c r="H12" s="92">
        <f>T12</f>
        <v>7.08</v>
      </c>
      <c r="I12" s="92">
        <f>KPI!D76</f>
        <v>0.59</v>
      </c>
      <c r="J12" s="92">
        <f>KPI!E76</f>
        <v>1.18</v>
      </c>
      <c r="K12" s="92">
        <f>KPI!F76</f>
        <v>1.77</v>
      </c>
      <c r="L12" s="92">
        <f>KPI!G76</f>
        <v>2.36</v>
      </c>
      <c r="M12" s="92">
        <f>KPI!H76</f>
        <v>2.95</v>
      </c>
      <c r="N12" s="92">
        <f>KPI!I76</f>
        <v>3.54</v>
      </c>
      <c r="O12" s="92">
        <f>KPI!J76</f>
        <v>4.13</v>
      </c>
      <c r="P12" s="92">
        <f>KPI!K76</f>
        <v>4.72</v>
      </c>
      <c r="Q12" s="92">
        <f>KPI!L76</f>
        <v>5.31</v>
      </c>
      <c r="R12" s="92">
        <f>KPI!M76</f>
        <v>5.9</v>
      </c>
      <c r="S12" s="92">
        <f>KPI!N76</f>
        <v>6.49</v>
      </c>
      <c r="T12" s="108">
        <f>KPI!O76</f>
        <v>7.08</v>
      </c>
      <c r="U12" s="36"/>
      <c r="V12" s="36"/>
    </row>
    <row r="13" spans="1:22" ht="15.75">
      <c r="A13" s="280">
        <v>3</v>
      </c>
      <c r="B13" s="310" t="s">
        <v>391</v>
      </c>
      <c r="C13" s="447"/>
      <c r="D13" s="76"/>
      <c r="E13" s="414"/>
      <c r="F13" s="77">
        <v>12</v>
      </c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108"/>
      <c r="U13" s="36"/>
      <c r="V13" s="36"/>
    </row>
    <row r="14" spans="1:22" ht="31.5">
      <c r="A14" s="280"/>
      <c r="B14" s="160" t="s">
        <v>392</v>
      </c>
      <c r="C14" s="447" t="s">
        <v>279</v>
      </c>
      <c r="D14" s="76" t="s">
        <v>149</v>
      </c>
      <c r="E14" s="414" t="s">
        <v>410</v>
      </c>
      <c r="F14" s="77"/>
      <c r="G14" s="92">
        <f>N14</f>
        <v>8.15</v>
      </c>
      <c r="H14" s="92">
        <f>T14</f>
        <v>7.8</v>
      </c>
      <c r="I14" s="92">
        <f>KPI!D97</f>
        <v>8.6199999999999992</v>
      </c>
      <c r="J14" s="92">
        <f>KPI!E97</f>
        <v>8.6199999999999992</v>
      </c>
      <c r="K14" s="92">
        <f>KPI!F97</f>
        <v>8.6199999999999992</v>
      </c>
      <c r="L14" s="92">
        <f>KPI!G97</f>
        <v>8.4700000000000006</v>
      </c>
      <c r="M14" s="92">
        <f>KPI!H97</f>
        <v>8.31</v>
      </c>
      <c r="N14" s="92">
        <f>KPI!I97</f>
        <v>8.15</v>
      </c>
      <c r="O14" s="92">
        <f>KPI!J97</f>
        <v>8.1</v>
      </c>
      <c r="P14" s="92">
        <f>KPI!K97</f>
        <v>8.0399999999999991</v>
      </c>
      <c r="Q14" s="92">
        <f>KPI!L97</f>
        <v>7.98</v>
      </c>
      <c r="R14" s="92">
        <f>KPI!M97</f>
        <v>7.92</v>
      </c>
      <c r="S14" s="92">
        <f>KPI!N97</f>
        <v>7.86</v>
      </c>
      <c r="T14" s="108">
        <f>KPI!O97</f>
        <v>7.8</v>
      </c>
      <c r="U14" s="36"/>
      <c r="V14" s="36"/>
    </row>
    <row r="15" spans="1:22" ht="15.75">
      <c r="A15" s="280"/>
      <c r="B15" s="160" t="s">
        <v>411</v>
      </c>
      <c r="C15" s="447" t="s">
        <v>277</v>
      </c>
      <c r="D15" s="76" t="s">
        <v>149</v>
      </c>
      <c r="E15" s="414" t="s">
        <v>412</v>
      </c>
      <c r="F15" s="77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108"/>
      <c r="U15" s="36"/>
      <c r="V15" s="36"/>
    </row>
    <row r="16" spans="1:22" ht="15.75">
      <c r="A16" s="280"/>
      <c r="B16" s="160" t="s">
        <v>450</v>
      </c>
      <c r="C16" s="447" t="s">
        <v>277</v>
      </c>
      <c r="D16" s="76" t="s">
        <v>149</v>
      </c>
      <c r="E16" s="414" t="s">
        <v>413</v>
      </c>
      <c r="F16" s="77"/>
      <c r="G16" s="92">
        <f>N16</f>
        <v>40</v>
      </c>
      <c r="H16" s="92">
        <f>T16</f>
        <v>100</v>
      </c>
      <c r="I16" s="92">
        <f>KPI!D119</f>
        <v>6.666666666666667</v>
      </c>
      <c r="J16" s="92">
        <f>KPI!E119</f>
        <v>13.333333333333334</v>
      </c>
      <c r="K16" s="92">
        <f>KPI!F119</f>
        <v>20</v>
      </c>
      <c r="L16" s="92">
        <f>KPI!G119</f>
        <v>26.666666666666668</v>
      </c>
      <c r="M16" s="92">
        <f>KPI!H119</f>
        <v>33.333333333333336</v>
      </c>
      <c r="N16" s="92">
        <f>KPI!I119</f>
        <v>40</v>
      </c>
      <c r="O16" s="92">
        <f>KPI!J119</f>
        <v>50</v>
      </c>
      <c r="P16" s="92">
        <f>KPI!K119</f>
        <v>60</v>
      </c>
      <c r="Q16" s="92">
        <f>KPI!L119</f>
        <v>70</v>
      </c>
      <c r="R16" s="92">
        <f>KPI!M119</f>
        <v>80</v>
      </c>
      <c r="S16" s="92">
        <f>KPI!N119</f>
        <v>90</v>
      </c>
      <c r="T16" s="92">
        <f>KPI!O119</f>
        <v>100</v>
      </c>
      <c r="U16" s="36"/>
      <c r="V16" s="36"/>
    </row>
    <row r="17" spans="1:22" ht="15.75">
      <c r="A17" s="280"/>
      <c r="B17" s="160" t="s">
        <v>451</v>
      </c>
      <c r="C17" s="447" t="s">
        <v>277</v>
      </c>
      <c r="D17" s="76" t="s">
        <v>72</v>
      </c>
      <c r="E17" s="414" t="s">
        <v>414</v>
      </c>
      <c r="F17" s="77"/>
      <c r="G17" s="92">
        <f>N17</f>
        <v>266</v>
      </c>
      <c r="H17" s="92">
        <f>T17</f>
        <v>793</v>
      </c>
      <c r="I17" s="92">
        <f>KPI!D132</f>
        <v>45</v>
      </c>
      <c r="J17" s="92">
        <f>KPI!E132</f>
        <v>90</v>
      </c>
      <c r="K17" s="92">
        <f>KPI!F132</f>
        <v>134</v>
      </c>
      <c r="L17" s="92">
        <f>KPI!G132</f>
        <v>178</v>
      </c>
      <c r="M17" s="92">
        <f>KPI!H132</f>
        <v>222</v>
      </c>
      <c r="N17" s="92">
        <f>KPI!I132</f>
        <v>266</v>
      </c>
      <c r="O17" s="92">
        <f>KPI!J132</f>
        <v>398</v>
      </c>
      <c r="P17" s="92">
        <f>KPI!K132</f>
        <v>530</v>
      </c>
      <c r="Q17" s="92">
        <f>KPI!L132</f>
        <v>662</v>
      </c>
      <c r="R17" s="92">
        <f>KPI!M132</f>
        <v>793</v>
      </c>
      <c r="S17" s="92">
        <f>KPI!N132</f>
        <v>793</v>
      </c>
      <c r="T17" s="108">
        <f>KPI!O132</f>
        <v>793</v>
      </c>
      <c r="U17" s="36"/>
      <c r="V17" s="36"/>
    </row>
    <row r="18" spans="1:22" s="35" customFormat="1" ht="16.5">
      <c r="A18" s="278" t="s">
        <v>284</v>
      </c>
      <c r="B18" s="426" t="s">
        <v>285</v>
      </c>
      <c r="C18" s="449"/>
      <c r="D18" s="129"/>
      <c r="E18" s="415"/>
      <c r="F18" s="167">
        <f>SUM(F19:F55)</f>
        <v>60</v>
      </c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8"/>
      <c r="U18" s="34"/>
      <c r="V18" s="34"/>
    </row>
    <row r="19" spans="1:22" ht="15.75">
      <c r="A19" s="279">
        <v>4</v>
      </c>
      <c r="B19" s="310" t="s">
        <v>286</v>
      </c>
      <c r="C19" s="447"/>
      <c r="D19" s="76"/>
      <c r="E19" s="416"/>
      <c r="F19" s="77">
        <v>9</v>
      </c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108"/>
      <c r="U19" s="36"/>
      <c r="V19" s="36"/>
    </row>
    <row r="20" spans="1:22" ht="31.5">
      <c r="A20" s="280"/>
      <c r="B20" s="160" t="s">
        <v>288</v>
      </c>
      <c r="C20" s="447" t="s">
        <v>279</v>
      </c>
      <c r="D20" s="76" t="s">
        <v>136</v>
      </c>
      <c r="E20" s="416" t="s">
        <v>415</v>
      </c>
      <c r="F20" s="77"/>
      <c r="G20" s="92">
        <f>N20</f>
        <v>19</v>
      </c>
      <c r="H20" s="92">
        <f>T20</f>
        <v>36</v>
      </c>
      <c r="I20" s="92">
        <f>PI!D14</f>
        <v>3</v>
      </c>
      <c r="J20" s="92">
        <f>PI!E14</f>
        <v>6</v>
      </c>
      <c r="K20" s="92">
        <f>PI!F14</f>
        <v>10</v>
      </c>
      <c r="L20" s="92">
        <f>PI!G14</f>
        <v>13</v>
      </c>
      <c r="M20" s="92">
        <f>PI!H14</f>
        <v>16.000000000000004</v>
      </c>
      <c r="N20" s="92">
        <f>PI!I14</f>
        <v>19</v>
      </c>
      <c r="O20" s="92">
        <f>PI!J14</f>
        <v>22</v>
      </c>
      <c r="P20" s="92">
        <f>PI!K14</f>
        <v>26</v>
      </c>
      <c r="Q20" s="92">
        <f>PI!L14</f>
        <v>29</v>
      </c>
      <c r="R20" s="92">
        <f>PI!M14</f>
        <v>32</v>
      </c>
      <c r="S20" s="92">
        <f>PI!N14</f>
        <v>35</v>
      </c>
      <c r="T20" s="108">
        <f>PI!O14</f>
        <v>36</v>
      </c>
      <c r="U20" s="36"/>
      <c r="V20" s="36"/>
    </row>
    <row r="21" spans="1:22" ht="31.5">
      <c r="A21" s="280"/>
      <c r="B21" s="160" t="s">
        <v>290</v>
      </c>
      <c r="C21" s="447" t="s">
        <v>279</v>
      </c>
      <c r="D21" s="76" t="s">
        <v>136</v>
      </c>
      <c r="E21" s="416" t="s">
        <v>416</v>
      </c>
      <c r="F21" s="77"/>
      <c r="G21" s="92">
        <f>N21</f>
        <v>11</v>
      </c>
      <c r="H21" s="92">
        <f>T21</f>
        <v>21</v>
      </c>
      <c r="I21" s="92">
        <f>PI!D15</f>
        <v>2</v>
      </c>
      <c r="J21" s="92">
        <f>PI!E15</f>
        <v>4</v>
      </c>
      <c r="K21" s="92">
        <f>PI!F15</f>
        <v>5</v>
      </c>
      <c r="L21" s="92">
        <f>PI!G15</f>
        <v>7</v>
      </c>
      <c r="M21" s="92">
        <f>PI!H15</f>
        <v>9</v>
      </c>
      <c r="N21" s="92">
        <f>PI!I15</f>
        <v>11</v>
      </c>
      <c r="O21" s="92">
        <f>PI!J15</f>
        <v>13</v>
      </c>
      <c r="P21" s="92">
        <f>PI!K15</f>
        <v>14</v>
      </c>
      <c r="Q21" s="92">
        <f>PI!L15</f>
        <v>16</v>
      </c>
      <c r="R21" s="92">
        <f>PI!M15</f>
        <v>18</v>
      </c>
      <c r="S21" s="92">
        <f>PI!N15</f>
        <v>20</v>
      </c>
      <c r="T21" s="108">
        <f>PI!O15</f>
        <v>21</v>
      </c>
      <c r="U21" s="36"/>
      <c r="V21" s="36"/>
    </row>
    <row r="22" spans="1:22" ht="31.5">
      <c r="A22" s="280"/>
      <c r="B22" s="160" t="s">
        <v>292</v>
      </c>
      <c r="C22" s="450" t="s">
        <v>279</v>
      </c>
      <c r="D22" s="76" t="s">
        <v>72</v>
      </c>
      <c r="E22" s="416" t="s">
        <v>417</v>
      </c>
      <c r="F22" s="77"/>
      <c r="G22" s="92">
        <f>N22</f>
        <v>1</v>
      </c>
      <c r="H22" s="92">
        <f>T22</f>
        <v>1</v>
      </c>
      <c r="I22" s="92">
        <f>PI!D39</f>
        <v>0</v>
      </c>
      <c r="J22" s="92">
        <f>PI!E39</f>
        <v>0</v>
      </c>
      <c r="K22" s="92">
        <f>PI!F39</f>
        <v>1</v>
      </c>
      <c r="L22" s="92">
        <f>PI!G39</f>
        <v>1</v>
      </c>
      <c r="M22" s="92">
        <f>PI!H39</f>
        <v>1</v>
      </c>
      <c r="N22" s="92">
        <f>PI!I39</f>
        <v>1</v>
      </c>
      <c r="O22" s="92">
        <f>PI!J39</f>
        <v>1</v>
      </c>
      <c r="P22" s="92">
        <f>PI!K39</f>
        <v>1</v>
      </c>
      <c r="Q22" s="92">
        <f>PI!L39</f>
        <v>1</v>
      </c>
      <c r="R22" s="92">
        <f>PI!M39</f>
        <v>1</v>
      </c>
      <c r="S22" s="92">
        <f>PI!N39</f>
        <v>1</v>
      </c>
      <c r="T22" s="108">
        <f>PI!O39</f>
        <v>1</v>
      </c>
      <c r="U22" s="36"/>
      <c r="V22" s="36"/>
    </row>
    <row r="23" spans="1:22" ht="37.9" customHeight="1">
      <c r="A23" s="281">
        <v>5</v>
      </c>
      <c r="B23" s="310" t="s">
        <v>294</v>
      </c>
      <c r="C23" s="450"/>
      <c r="D23" s="360"/>
      <c r="E23" s="417"/>
      <c r="F23" s="78">
        <v>8</v>
      </c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123"/>
      <c r="U23" s="36"/>
      <c r="V23" s="36"/>
    </row>
    <row r="24" spans="1:22" ht="31.5">
      <c r="A24" s="280"/>
      <c r="B24" s="160" t="s">
        <v>295</v>
      </c>
      <c r="C24" s="450" t="s">
        <v>279</v>
      </c>
      <c r="D24" s="76" t="s">
        <v>149</v>
      </c>
      <c r="E24" s="417" t="s">
        <v>418</v>
      </c>
      <c r="F24" s="78"/>
      <c r="G24" s="93">
        <f>N24</f>
        <v>0.09</v>
      </c>
      <c r="H24" s="93">
        <f>T24</f>
        <v>0.09</v>
      </c>
      <c r="I24" s="357">
        <f>PI!D61</f>
        <v>0.09</v>
      </c>
      <c r="J24" s="357">
        <f>PI!E61</f>
        <v>0.09</v>
      </c>
      <c r="K24" s="357">
        <f>PI!F61</f>
        <v>0.09</v>
      </c>
      <c r="L24" s="357">
        <f>PI!G61</f>
        <v>0.09</v>
      </c>
      <c r="M24" s="357">
        <f>PI!H61</f>
        <v>0.09</v>
      </c>
      <c r="N24" s="357">
        <f>PI!I61</f>
        <v>0.09</v>
      </c>
      <c r="O24" s="357">
        <f>PI!J61</f>
        <v>0.09</v>
      </c>
      <c r="P24" s="357">
        <f>PI!K61</f>
        <v>0.09</v>
      </c>
      <c r="Q24" s="357">
        <f>PI!L61</f>
        <v>0.09</v>
      </c>
      <c r="R24" s="357">
        <f>PI!M61</f>
        <v>0.09</v>
      </c>
      <c r="S24" s="357">
        <f>PI!N61</f>
        <v>0.09</v>
      </c>
      <c r="T24" s="470">
        <f>PI!O61</f>
        <v>0.09</v>
      </c>
      <c r="U24" s="36"/>
      <c r="V24" s="36"/>
    </row>
    <row r="25" spans="1:22" ht="31.5">
      <c r="A25" s="279"/>
      <c r="B25" s="160" t="s">
        <v>296</v>
      </c>
      <c r="C25" s="450" t="s">
        <v>279</v>
      </c>
      <c r="D25" s="76" t="s">
        <v>149</v>
      </c>
      <c r="E25" s="417" t="s">
        <v>419</v>
      </c>
      <c r="F25" s="78"/>
      <c r="G25" s="93">
        <f>N25</f>
        <v>0.04</v>
      </c>
      <c r="H25" s="93">
        <f>T25</f>
        <v>0.04</v>
      </c>
      <c r="I25" s="357">
        <f>PI!D83</f>
        <v>0.04</v>
      </c>
      <c r="J25" s="357">
        <f>PI!E83</f>
        <v>0.04</v>
      </c>
      <c r="K25" s="357">
        <f>PI!F83</f>
        <v>0.04</v>
      </c>
      <c r="L25" s="357">
        <f>PI!G83</f>
        <v>0.04</v>
      </c>
      <c r="M25" s="357">
        <f>PI!H83</f>
        <v>0.04</v>
      </c>
      <c r="N25" s="357">
        <f>PI!I83</f>
        <v>0.04</v>
      </c>
      <c r="O25" s="357">
        <f>PI!J83</f>
        <v>0.04</v>
      </c>
      <c r="P25" s="357">
        <f>PI!K83</f>
        <v>0.04</v>
      </c>
      <c r="Q25" s="357">
        <f>PI!L83</f>
        <v>0.04</v>
      </c>
      <c r="R25" s="357">
        <f>PI!M83</f>
        <v>0.04</v>
      </c>
      <c r="S25" s="357">
        <f>PI!N83</f>
        <v>0.04</v>
      </c>
      <c r="T25" s="470">
        <f>PI!O83</f>
        <v>0.04</v>
      </c>
      <c r="U25" s="36"/>
      <c r="V25" s="36"/>
    </row>
    <row r="26" spans="1:22" ht="15.75">
      <c r="A26" s="280"/>
      <c r="B26" s="160" t="s">
        <v>298</v>
      </c>
      <c r="C26" s="450" t="s">
        <v>277</v>
      </c>
      <c r="D26" s="76" t="s">
        <v>193</v>
      </c>
      <c r="E26" s="417" t="s">
        <v>420</v>
      </c>
      <c r="F26" s="78"/>
      <c r="G26" s="92">
        <f>N26</f>
        <v>4.9000000000000004</v>
      </c>
      <c r="H26" s="92">
        <f>T26</f>
        <v>4.9000000000000004</v>
      </c>
      <c r="I26" s="92">
        <f>PI!D97</f>
        <v>4.9000000000000004</v>
      </c>
      <c r="J26" s="92">
        <f>PI!E97</f>
        <v>4.9000000000000004</v>
      </c>
      <c r="K26" s="92">
        <f>PI!F97</f>
        <v>4.9000000000000004</v>
      </c>
      <c r="L26" s="92">
        <f>PI!G97</f>
        <v>4.9000000000000004</v>
      </c>
      <c r="M26" s="92">
        <f>PI!H97</f>
        <v>4.9000000000000004</v>
      </c>
      <c r="N26" s="92">
        <f>PI!I97</f>
        <v>4.9000000000000004</v>
      </c>
      <c r="O26" s="92">
        <f>PI!J97</f>
        <v>4.9000000000000004</v>
      </c>
      <c r="P26" s="92">
        <f>PI!K97</f>
        <v>4.9000000000000004</v>
      </c>
      <c r="Q26" s="92">
        <f>PI!L97</f>
        <v>4.9000000000000004</v>
      </c>
      <c r="R26" s="92">
        <f>PI!M97</f>
        <v>4.9000000000000004</v>
      </c>
      <c r="S26" s="92">
        <f>PI!N97</f>
        <v>4.9000000000000004</v>
      </c>
      <c r="T26" s="108">
        <f>PI!O97</f>
        <v>4.9000000000000004</v>
      </c>
      <c r="U26" s="36"/>
      <c r="V26" s="36"/>
    </row>
    <row r="27" spans="1:22" ht="15.75">
      <c r="A27" s="280"/>
      <c r="B27" s="160" t="s">
        <v>300</v>
      </c>
      <c r="C27" s="450" t="s">
        <v>277</v>
      </c>
      <c r="D27" s="76" t="s">
        <v>301</v>
      </c>
      <c r="E27" s="417" t="s">
        <v>421</v>
      </c>
      <c r="F27" s="78"/>
      <c r="G27" s="92">
        <f>N27</f>
        <v>4912</v>
      </c>
      <c r="H27" s="92">
        <f>T27</f>
        <v>9824</v>
      </c>
      <c r="I27" s="92">
        <f>PI!D104</f>
        <v>841</v>
      </c>
      <c r="J27" s="92">
        <f>PI!E104</f>
        <v>1601</v>
      </c>
      <c r="K27" s="92">
        <f>PI!F104</f>
        <v>2442</v>
      </c>
      <c r="L27" s="92">
        <f>PI!G104</f>
        <v>3257</v>
      </c>
      <c r="M27" s="92">
        <f>PI!H104</f>
        <v>4098</v>
      </c>
      <c r="N27" s="92">
        <f>PI!I104</f>
        <v>4912</v>
      </c>
      <c r="O27" s="92">
        <f>PI!J104</f>
        <v>5740</v>
      </c>
      <c r="P27" s="92">
        <f>PI!K104</f>
        <v>6567</v>
      </c>
      <c r="Q27" s="92">
        <f>PI!L104</f>
        <v>7368</v>
      </c>
      <c r="R27" s="92">
        <f>PI!M104</f>
        <v>8196</v>
      </c>
      <c r="S27" s="92">
        <f>PI!N104</f>
        <v>8996</v>
      </c>
      <c r="T27" s="108">
        <f>PI!O104</f>
        <v>9824</v>
      </c>
      <c r="U27" s="36"/>
      <c r="V27" s="36"/>
    </row>
    <row r="28" spans="1:22" ht="15.75">
      <c r="A28" s="280">
        <v>6</v>
      </c>
      <c r="B28" s="310" t="s">
        <v>303</v>
      </c>
      <c r="C28" s="450"/>
      <c r="D28" s="76"/>
      <c r="E28" s="417"/>
      <c r="F28" s="78">
        <v>3</v>
      </c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108"/>
      <c r="U28" s="36"/>
      <c r="V28" s="36"/>
    </row>
    <row r="29" spans="1:22" ht="31.5">
      <c r="A29" s="280"/>
      <c r="B29" s="160" t="s">
        <v>304</v>
      </c>
      <c r="C29" s="450" t="s">
        <v>279</v>
      </c>
      <c r="D29" s="76" t="s">
        <v>132</v>
      </c>
      <c r="E29" s="417" t="s">
        <v>422</v>
      </c>
      <c r="F29" s="78"/>
      <c r="G29" s="92">
        <f t="shared" ref="G29:G30" si="0">N29</f>
        <v>30</v>
      </c>
      <c r="H29" s="92">
        <f t="shared" ref="H29:H30" si="1">T29</f>
        <v>30</v>
      </c>
      <c r="I29" s="92">
        <f>PI!D117</f>
        <v>30</v>
      </c>
      <c r="J29" s="92">
        <f>PI!E117</f>
        <v>30</v>
      </c>
      <c r="K29" s="92">
        <f>PI!F117</f>
        <v>30</v>
      </c>
      <c r="L29" s="92">
        <f>PI!G117</f>
        <v>30</v>
      </c>
      <c r="M29" s="92">
        <f>PI!H117</f>
        <v>30</v>
      </c>
      <c r="N29" s="92">
        <f>PI!I117</f>
        <v>30</v>
      </c>
      <c r="O29" s="92">
        <f>PI!J117</f>
        <v>30</v>
      </c>
      <c r="P29" s="92">
        <f>PI!K117</f>
        <v>30</v>
      </c>
      <c r="Q29" s="92">
        <f>PI!L117</f>
        <v>30</v>
      </c>
      <c r="R29" s="92">
        <f>PI!M117</f>
        <v>30</v>
      </c>
      <c r="S29" s="92">
        <f>PI!N117</f>
        <v>30</v>
      </c>
      <c r="T29" s="108">
        <f>PI!O117</f>
        <v>30</v>
      </c>
      <c r="U29" s="36"/>
      <c r="V29" s="36"/>
    </row>
    <row r="30" spans="1:22" ht="31.5">
      <c r="A30" s="280"/>
      <c r="B30" s="160" t="s">
        <v>305</v>
      </c>
      <c r="C30" s="450" t="s">
        <v>277</v>
      </c>
      <c r="D30" s="76" t="s">
        <v>149</v>
      </c>
      <c r="E30" s="417" t="s">
        <v>423</v>
      </c>
      <c r="F30" s="78"/>
      <c r="G30" s="92">
        <f t="shared" si="0"/>
        <v>0</v>
      </c>
      <c r="H30" s="92">
        <f t="shared" si="1"/>
        <v>0</v>
      </c>
      <c r="I30" s="92">
        <f>PI!D133</f>
        <v>0</v>
      </c>
      <c r="J30" s="92">
        <f>PI!E133</f>
        <v>0</v>
      </c>
      <c r="K30" s="92">
        <f>PI!F133</f>
        <v>0</v>
      </c>
      <c r="L30" s="92">
        <f>PI!G133</f>
        <v>0</v>
      </c>
      <c r="M30" s="92">
        <f>PI!H133</f>
        <v>0</v>
      </c>
      <c r="N30" s="92">
        <f>PI!I133</f>
        <v>0</v>
      </c>
      <c r="O30" s="92">
        <f>PI!J133</f>
        <v>0</v>
      </c>
      <c r="P30" s="92">
        <f>PI!K133</f>
        <v>0</v>
      </c>
      <c r="Q30" s="92">
        <f>PI!L133</f>
        <v>0</v>
      </c>
      <c r="R30" s="92">
        <f>PI!M133</f>
        <v>0</v>
      </c>
      <c r="S30" s="92">
        <f>PI!N133</f>
        <v>0</v>
      </c>
      <c r="T30" s="108">
        <f>PI!O133</f>
        <v>0</v>
      </c>
      <c r="U30" s="36"/>
      <c r="V30" s="36"/>
    </row>
    <row r="31" spans="1:22" ht="18.75">
      <c r="A31" s="280">
        <v>7</v>
      </c>
      <c r="B31" s="358" t="s">
        <v>306</v>
      </c>
      <c r="C31" s="450"/>
      <c r="D31" s="76"/>
      <c r="E31" s="417"/>
      <c r="F31" s="78">
        <v>6</v>
      </c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108"/>
      <c r="U31" s="36"/>
      <c r="V31" s="36"/>
    </row>
    <row r="32" spans="1:22" ht="15.75">
      <c r="A32" s="280"/>
      <c r="B32" s="160" t="s">
        <v>308</v>
      </c>
      <c r="C32" s="450" t="s">
        <v>277</v>
      </c>
      <c r="D32" s="76" t="s">
        <v>149</v>
      </c>
      <c r="E32" s="417" t="s">
        <v>424</v>
      </c>
      <c r="F32" s="78"/>
      <c r="G32" s="92">
        <f>N32</f>
        <v>100</v>
      </c>
      <c r="H32" s="92">
        <f>T32</f>
        <v>100</v>
      </c>
      <c r="I32" s="92">
        <f>PI!D151</f>
        <v>100</v>
      </c>
      <c r="J32" s="92">
        <f>PI!E151</f>
        <v>100</v>
      </c>
      <c r="K32" s="92">
        <f>PI!F151</f>
        <v>100</v>
      </c>
      <c r="L32" s="92">
        <f>PI!G151</f>
        <v>100</v>
      </c>
      <c r="M32" s="92">
        <f>PI!H151</f>
        <v>100</v>
      </c>
      <c r="N32" s="92">
        <f>PI!I151</f>
        <v>100</v>
      </c>
      <c r="O32" s="92">
        <f>PI!J151</f>
        <v>100</v>
      </c>
      <c r="P32" s="92">
        <f>PI!K151</f>
        <v>100</v>
      </c>
      <c r="Q32" s="92">
        <f>PI!L151</f>
        <v>100</v>
      </c>
      <c r="R32" s="92">
        <f>PI!M151</f>
        <v>100</v>
      </c>
      <c r="S32" s="92">
        <f>PI!N151</f>
        <v>100</v>
      </c>
      <c r="T32" s="108">
        <f>PI!O151</f>
        <v>100</v>
      </c>
      <c r="U32" s="36"/>
      <c r="V32" s="36"/>
    </row>
    <row r="33" spans="1:22" ht="18.75">
      <c r="A33" s="280"/>
      <c r="B33" s="359" t="s">
        <v>309</v>
      </c>
      <c r="C33" s="450" t="s">
        <v>277</v>
      </c>
      <c r="D33" s="76" t="s">
        <v>149</v>
      </c>
      <c r="E33" s="417" t="s">
        <v>425</v>
      </c>
      <c r="F33" s="78"/>
      <c r="G33" s="92">
        <f>N33</f>
        <v>100</v>
      </c>
      <c r="H33" s="92">
        <f>T33</f>
        <v>100</v>
      </c>
      <c r="I33" s="92">
        <f>PI!D173</f>
        <v>100</v>
      </c>
      <c r="J33" s="92">
        <f>PI!E173</f>
        <v>100</v>
      </c>
      <c r="K33" s="92">
        <f>PI!F173</f>
        <v>100</v>
      </c>
      <c r="L33" s="92">
        <f>PI!G173</f>
        <v>100</v>
      </c>
      <c r="M33" s="92">
        <f>PI!H173</f>
        <v>100</v>
      </c>
      <c r="N33" s="92">
        <f>PI!I173</f>
        <v>100</v>
      </c>
      <c r="O33" s="92">
        <f>PI!J173</f>
        <v>100</v>
      </c>
      <c r="P33" s="92">
        <f>PI!K173</f>
        <v>100</v>
      </c>
      <c r="Q33" s="92">
        <f>PI!L173</f>
        <v>100</v>
      </c>
      <c r="R33" s="92">
        <f>PI!M173</f>
        <v>100</v>
      </c>
      <c r="S33" s="92">
        <f>PI!N173</f>
        <v>100</v>
      </c>
      <c r="T33" s="108">
        <f>PI!O173</f>
        <v>100</v>
      </c>
      <c r="U33" s="36"/>
      <c r="V33" s="36"/>
    </row>
    <row r="34" spans="1:22" ht="15.75">
      <c r="A34" s="280">
        <v>8</v>
      </c>
      <c r="B34" s="310" t="s">
        <v>31</v>
      </c>
      <c r="C34" s="450"/>
      <c r="D34" s="76"/>
      <c r="E34" s="417"/>
      <c r="F34" s="78">
        <v>10</v>
      </c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108"/>
      <c r="U34" s="36"/>
      <c r="V34" s="36"/>
    </row>
    <row r="35" spans="1:22" ht="15.75">
      <c r="A35" s="280"/>
      <c r="B35" s="160" t="s">
        <v>312</v>
      </c>
      <c r="C35" s="450" t="s">
        <v>277</v>
      </c>
      <c r="D35" s="76" t="s">
        <v>313</v>
      </c>
      <c r="E35" s="417" t="s">
        <v>426</v>
      </c>
      <c r="F35" s="78"/>
      <c r="G35" s="92">
        <f>N35</f>
        <v>0.62</v>
      </c>
      <c r="H35" s="92">
        <f>T35</f>
        <v>1.57</v>
      </c>
      <c r="I35" s="92">
        <f>PI!D196</f>
        <v>0.08</v>
      </c>
      <c r="J35" s="92">
        <f>PI!E196</f>
        <v>0.17</v>
      </c>
      <c r="K35" s="92">
        <f>PI!F196</f>
        <v>0.26</v>
      </c>
      <c r="L35" s="92">
        <f>PI!G196</f>
        <v>0.35</v>
      </c>
      <c r="M35" s="92">
        <f>PI!H196</f>
        <v>0.49</v>
      </c>
      <c r="N35" s="92">
        <f>PI!I196</f>
        <v>0.62</v>
      </c>
      <c r="O35" s="92">
        <f>PI!J196</f>
        <v>0.76</v>
      </c>
      <c r="P35" s="92">
        <f>PI!K196</f>
        <v>0.89</v>
      </c>
      <c r="Q35" s="92">
        <f>PI!L196</f>
        <v>1.03</v>
      </c>
      <c r="R35" s="92">
        <f>PI!M196</f>
        <v>1.1599999999999999</v>
      </c>
      <c r="S35" s="92">
        <f>PI!N196</f>
        <v>1.29</v>
      </c>
      <c r="T35" s="108">
        <f>PI!O196</f>
        <v>1.57</v>
      </c>
      <c r="U35" s="36"/>
      <c r="V35" s="36"/>
    </row>
    <row r="36" spans="1:22" ht="15.75">
      <c r="A36" s="281"/>
      <c r="B36" s="160" t="s">
        <v>314</v>
      </c>
      <c r="C36" s="447" t="s">
        <v>277</v>
      </c>
      <c r="D36" s="76" t="s">
        <v>133</v>
      </c>
      <c r="E36" s="414" t="s">
        <v>427</v>
      </c>
      <c r="F36" s="77"/>
      <c r="G36" s="93">
        <f>N36</f>
        <v>556</v>
      </c>
      <c r="H36" s="93">
        <f>T36</f>
        <v>1280</v>
      </c>
      <c r="I36" s="93">
        <f>PI!D202</f>
        <v>76</v>
      </c>
      <c r="J36" s="93">
        <f>PI!E202</f>
        <v>154</v>
      </c>
      <c r="K36" s="93">
        <f>PI!F202</f>
        <v>237</v>
      </c>
      <c r="L36" s="93">
        <f>PI!G202</f>
        <v>316</v>
      </c>
      <c r="M36" s="93">
        <f>PI!H202</f>
        <v>438</v>
      </c>
      <c r="N36" s="93">
        <f>PI!I202</f>
        <v>556</v>
      </c>
      <c r="O36" s="93">
        <f>PI!J202</f>
        <v>678</v>
      </c>
      <c r="P36" s="93">
        <f>PI!K202</f>
        <v>800</v>
      </c>
      <c r="Q36" s="93">
        <f>PI!L202</f>
        <v>918</v>
      </c>
      <c r="R36" s="93">
        <f>PI!M202</f>
        <v>1040</v>
      </c>
      <c r="S36" s="93">
        <f>PI!N202</f>
        <v>1158</v>
      </c>
      <c r="T36" s="93">
        <f>PI!O202</f>
        <v>1280</v>
      </c>
      <c r="U36" s="36"/>
      <c r="V36" s="36"/>
    </row>
    <row r="37" spans="1:22" ht="31.5">
      <c r="A37" s="280"/>
      <c r="B37" s="160" t="s">
        <v>315</v>
      </c>
      <c r="C37" s="450" t="s">
        <v>277</v>
      </c>
      <c r="D37" s="76" t="s">
        <v>133</v>
      </c>
      <c r="E37" s="417" t="s">
        <v>428</v>
      </c>
      <c r="F37" s="78"/>
      <c r="G37" s="92">
        <f>N37</f>
        <v>90</v>
      </c>
      <c r="H37" s="92">
        <f>T37</f>
        <v>150</v>
      </c>
      <c r="I37" s="92">
        <f>PI!D208</f>
        <v>15</v>
      </c>
      <c r="J37" s="92">
        <f>PI!E208</f>
        <v>30</v>
      </c>
      <c r="K37" s="92">
        <f>PI!F208</f>
        <v>45</v>
      </c>
      <c r="L37" s="92">
        <f>PI!G208</f>
        <v>60</v>
      </c>
      <c r="M37" s="92">
        <f>PI!H208</f>
        <v>75</v>
      </c>
      <c r="N37" s="92">
        <f>PI!I208</f>
        <v>90</v>
      </c>
      <c r="O37" s="92">
        <f>PI!J208</f>
        <v>100</v>
      </c>
      <c r="P37" s="92">
        <f>PI!K208</f>
        <v>110</v>
      </c>
      <c r="Q37" s="92">
        <f>PI!L208</f>
        <v>120</v>
      </c>
      <c r="R37" s="92">
        <f>PI!M208</f>
        <v>130</v>
      </c>
      <c r="S37" s="92">
        <f>PI!N208</f>
        <v>140</v>
      </c>
      <c r="T37" s="108">
        <f>PI!O208</f>
        <v>150</v>
      </c>
      <c r="U37" s="36"/>
      <c r="V37" s="36"/>
    </row>
    <row r="38" spans="1:22" ht="15.75">
      <c r="A38" s="331"/>
      <c r="B38" s="160" t="s">
        <v>316</v>
      </c>
      <c r="C38" s="450" t="s">
        <v>277</v>
      </c>
      <c r="D38" s="76" t="s">
        <v>133</v>
      </c>
      <c r="E38" s="417" t="s">
        <v>429</v>
      </c>
      <c r="F38" s="78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108"/>
      <c r="U38" s="36"/>
      <c r="V38" s="36"/>
    </row>
    <row r="39" spans="1:22" ht="15.75">
      <c r="A39" s="280">
        <v>9</v>
      </c>
      <c r="B39" s="310" t="s">
        <v>430</v>
      </c>
      <c r="C39" s="450"/>
      <c r="D39" s="76"/>
      <c r="E39" s="417"/>
      <c r="F39" s="78">
        <v>4</v>
      </c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108"/>
      <c r="U39" s="36"/>
      <c r="V39" s="36"/>
    </row>
    <row r="40" spans="1:22" ht="31.9" customHeight="1">
      <c r="A40" s="280"/>
      <c r="B40" s="160" t="s">
        <v>431</v>
      </c>
      <c r="C40" s="450" t="s">
        <v>277</v>
      </c>
      <c r="D40" s="76" t="s">
        <v>133</v>
      </c>
      <c r="E40" s="417" t="s">
        <v>432</v>
      </c>
      <c r="F40" s="78"/>
      <c r="G40" s="92">
        <f>N40</f>
        <v>4</v>
      </c>
      <c r="H40" s="92">
        <f>T40</f>
        <v>128</v>
      </c>
      <c r="I40" s="92">
        <f>PI!D220</f>
        <v>0</v>
      </c>
      <c r="J40" s="92">
        <f>PI!E220</f>
        <v>1</v>
      </c>
      <c r="K40" s="92">
        <f>PI!F220</f>
        <v>1</v>
      </c>
      <c r="L40" s="92">
        <f>PI!G220</f>
        <v>1</v>
      </c>
      <c r="M40" s="92">
        <f>PI!H220</f>
        <v>2</v>
      </c>
      <c r="N40" s="92">
        <f>PI!I220</f>
        <v>4</v>
      </c>
      <c r="O40" s="92">
        <f>PI!J220</f>
        <v>11</v>
      </c>
      <c r="P40" s="92">
        <f>PI!K220</f>
        <v>18</v>
      </c>
      <c r="Q40" s="92">
        <f>PI!L220</f>
        <v>29</v>
      </c>
      <c r="R40" s="92">
        <f>PI!M220</f>
        <v>47</v>
      </c>
      <c r="S40" s="92">
        <f>PI!N220</f>
        <v>77</v>
      </c>
      <c r="T40" s="108">
        <f>PI!O220</f>
        <v>128</v>
      </c>
      <c r="U40" s="36"/>
      <c r="V40" s="36"/>
    </row>
    <row r="41" spans="1:22" ht="31.5">
      <c r="A41" s="280"/>
      <c r="B41" s="160" t="s">
        <v>433</v>
      </c>
      <c r="C41" s="450" t="s">
        <v>277</v>
      </c>
      <c r="D41" s="76" t="s">
        <v>434</v>
      </c>
      <c r="E41" s="417" t="s">
        <v>435</v>
      </c>
      <c r="F41" s="78"/>
      <c r="G41" s="92">
        <f>N41</f>
        <v>162</v>
      </c>
      <c r="H41" s="92">
        <f>T41</f>
        <v>17110.491000000002</v>
      </c>
      <c r="I41" s="92">
        <f>PI!D226</f>
        <v>0</v>
      </c>
      <c r="J41" s="92">
        <f>PI!E226</f>
        <v>40.5</v>
      </c>
      <c r="K41" s="92">
        <f>PI!F226</f>
        <v>40.5</v>
      </c>
      <c r="L41" s="92">
        <f>PI!G226</f>
        <v>40.5</v>
      </c>
      <c r="M41" s="92">
        <f>PI!H226</f>
        <v>81</v>
      </c>
      <c r="N41" s="92">
        <f>PI!I226</f>
        <v>162</v>
      </c>
      <c r="O41" s="92">
        <f>PI!J226</f>
        <v>1470.433</v>
      </c>
      <c r="P41" s="92">
        <f>PI!K226</f>
        <v>2406.163</v>
      </c>
      <c r="Q41" s="92">
        <f>PI!L226</f>
        <v>3876.596</v>
      </c>
      <c r="R41" s="92">
        <f>PI!M226</f>
        <v>6282.759</v>
      </c>
      <c r="S41" s="92">
        <f>PI!N226</f>
        <v>10293.030000000001</v>
      </c>
      <c r="T41" s="108">
        <f>PI!O226</f>
        <v>17110.491000000002</v>
      </c>
      <c r="U41" s="36"/>
      <c r="V41" s="36"/>
    </row>
    <row r="42" spans="1:22" ht="15.75">
      <c r="A42" s="280">
        <v>10</v>
      </c>
      <c r="B42" s="310" t="s">
        <v>321</v>
      </c>
      <c r="C42" s="450"/>
      <c r="D42" s="76"/>
      <c r="E42" s="417"/>
      <c r="F42" s="78">
        <v>8</v>
      </c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108"/>
      <c r="U42" s="36"/>
      <c r="V42" s="36"/>
    </row>
    <row r="43" spans="1:22" ht="15.75">
      <c r="A43" s="279"/>
      <c r="B43" s="160" t="s">
        <v>322</v>
      </c>
      <c r="C43" s="450" t="s">
        <v>277</v>
      </c>
      <c r="D43" s="76" t="s">
        <v>133</v>
      </c>
      <c r="E43" s="417" t="s">
        <v>436</v>
      </c>
      <c r="F43" s="78"/>
      <c r="G43" s="92">
        <f>N43</f>
        <v>12</v>
      </c>
      <c r="H43" s="92">
        <f>T43</f>
        <v>12</v>
      </c>
      <c r="I43" s="92">
        <f>PI!D236</f>
        <v>12</v>
      </c>
      <c r="J43" s="92">
        <f>PI!E236</f>
        <v>12</v>
      </c>
      <c r="K43" s="92">
        <f>PI!F236</f>
        <v>12</v>
      </c>
      <c r="L43" s="92">
        <f>PI!G236</f>
        <v>12</v>
      </c>
      <c r="M43" s="92">
        <f>PI!H236</f>
        <v>12</v>
      </c>
      <c r="N43" s="92">
        <f>PI!I236</f>
        <v>12</v>
      </c>
      <c r="O43" s="92">
        <f>PI!J236</f>
        <v>12</v>
      </c>
      <c r="P43" s="92">
        <f>PI!K236</f>
        <v>12</v>
      </c>
      <c r="Q43" s="92">
        <f>PI!L236</f>
        <v>12</v>
      </c>
      <c r="R43" s="92">
        <f>PI!M236</f>
        <v>12</v>
      </c>
      <c r="S43" s="92">
        <f>PI!N236</f>
        <v>12</v>
      </c>
      <c r="T43" s="108">
        <f>PI!O236</f>
        <v>12</v>
      </c>
      <c r="U43" s="36"/>
      <c r="V43" s="36"/>
    </row>
    <row r="44" spans="1:22" ht="15.75">
      <c r="A44" s="280"/>
      <c r="B44" s="160" t="s">
        <v>324</v>
      </c>
      <c r="C44" s="450" t="s">
        <v>279</v>
      </c>
      <c r="D44" s="76" t="s">
        <v>133</v>
      </c>
      <c r="E44" s="417" t="s">
        <v>437</v>
      </c>
      <c r="F44" s="78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108"/>
      <c r="U44" s="36"/>
      <c r="V44" s="36"/>
    </row>
    <row r="45" spans="1:22" ht="15.75">
      <c r="A45" s="280">
        <v>11</v>
      </c>
      <c r="B45" s="310" t="s">
        <v>438</v>
      </c>
      <c r="C45" s="450" t="s">
        <v>277</v>
      </c>
      <c r="D45" s="76" t="s">
        <v>149</v>
      </c>
      <c r="E45" s="417" t="s">
        <v>439</v>
      </c>
      <c r="F45" s="78">
        <v>3</v>
      </c>
      <c r="G45" s="92">
        <f>N45</f>
        <v>100</v>
      </c>
      <c r="H45" s="92">
        <f>T45</f>
        <v>100</v>
      </c>
      <c r="I45" s="92">
        <f>PI!D252</f>
        <v>100</v>
      </c>
      <c r="J45" s="92">
        <f>PI!E252</f>
        <v>100</v>
      </c>
      <c r="K45" s="92">
        <f>PI!F252</f>
        <v>100</v>
      </c>
      <c r="L45" s="92">
        <f>PI!G252</f>
        <v>100</v>
      </c>
      <c r="M45" s="92">
        <f>PI!H252</f>
        <v>100</v>
      </c>
      <c r="N45" s="92">
        <f>PI!I252</f>
        <v>100</v>
      </c>
      <c r="O45" s="92">
        <f>PI!J252</f>
        <v>100</v>
      </c>
      <c r="P45" s="92">
        <f>PI!K252</f>
        <v>100</v>
      </c>
      <c r="Q45" s="92">
        <f>PI!L252</f>
        <v>100</v>
      </c>
      <c r="R45" s="92">
        <f>PI!M252</f>
        <v>100</v>
      </c>
      <c r="S45" s="92">
        <f>PI!N252</f>
        <v>100</v>
      </c>
      <c r="T45" s="108">
        <f>PI!O252</f>
        <v>100</v>
      </c>
      <c r="U45" s="36"/>
      <c r="V45" s="36"/>
    </row>
    <row r="46" spans="1:22" ht="15.75">
      <c r="A46" s="280">
        <v>12</v>
      </c>
      <c r="B46" s="310" t="s">
        <v>325</v>
      </c>
      <c r="C46" s="450"/>
      <c r="D46" s="76" t="s">
        <v>149</v>
      </c>
      <c r="E46" s="417"/>
      <c r="F46" s="78">
        <v>9</v>
      </c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108"/>
      <c r="U46" s="36"/>
      <c r="V46" s="36"/>
    </row>
    <row r="47" spans="1:22" ht="31.5">
      <c r="A47" s="280"/>
      <c r="B47" s="160" t="s">
        <v>440</v>
      </c>
      <c r="C47" s="450" t="s">
        <v>279</v>
      </c>
      <c r="D47" s="76" t="s">
        <v>327</v>
      </c>
      <c r="E47" s="417" t="s">
        <v>441</v>
      </c>
      <c r="F47" s="78"/>
      <c r="G47" s="92">
        <f>N47</f>
        <v>16</v>
      </c>
      <c r="H47" s="92">
        <f>T47</f>
        <v>16</v>
      </c>
      <c r="I47" s="92">
        <f>PI!D271</f>
        <v>16</v>
      </c>
      <c r="J47" s="92">
        <f>PI!E271</f>
        <v>16</v>
      </c>
      <c r="K47" s="92">
        <f>PI!F271</f>
        <v>16</v>
      </c>
      <c r="L47" s="92">
        <f>PI!G271</f>
        <v>16</v>
      </c>
      <c r="M47" s="92">
        <f>PI!H271</f>
        <v>16</v>
      </c>
      <c r="N47" s="92">
        <f>PI!I271</f>
        <v>16</v>
      </c>
      <c r="O47" s="92">
        <f>PI!J271</f>
        <v>16</v>
      </c>
      <c r="P47" s="92">
        <f>PI!K271</f>
        <v>16</v>
      </c>
      <c r="Q47" s="92">
        <f>PI!L271</f>
        <v>16</v>
      </c>
      <c r="R47" s="92">
        <f>PI!M271</f>
        <v>16</v>
      </c>
      <c r="S47" s="92">
        <f>PI!N271</f>
        <v>16</v>
      </c>
      <c r="T47" s="108">
        <f>PI!O271</f>
        <v>16</v>
      </c>
      <c r="U47" s="36"/>
      <c r="V47" s="36"/>
    </row>
    <row r="48" spans="1:22" ht="31.5">
      <c r="A48" s="280"/>
      <c r="B48" s="160" t="s">
        <v>442</v>
      </c>
      <c r="C48" s="450" t="s">
        <v>279</v>
      </c>
      <c r="D48" s="76" t="s">
        <v>327</v>
      </c>
      <c r="E48" s="417" t="s">
        <v>443</v>
      </c>
      <c r="F48" s="78"/>
      <c r="G48" s="92">
        <f>N48</f>
        <v>2.72</v>
      </c>
      <c r="H48" s="92">
        <f>T48</f>
        <v>2.72</v>
      </c>
      <c r="I48" s="92">
        <f>PI!D293</f>
        <v>2.72</v>
      </c>
      <c r="J48" s="92">
        <f>PI!E293</f>
        <v>2.72</v>
      </c>
      <c r="K48" s="92">
        <f>PI!F293</f>
        <v>2.72</v>
      </c>
      <c r="L48" s="92">
        <f>PI!G293</f>
        <v>2.72</v>
      </c>
      <c r="M48" s="92">
        <f>PI!H293</f>
        <v>2.72</v>
      </c>
      <c r="N48" s="92">
        <f>PI!I293</f>
        <v>2.72</v>
      </c>
      <c r="O48" s="92">
        <f>PI!J293</f>
        <v>2.72</v>
      </c>
      <c r="P48" s="92">
        <f>PI!K293</f>
        <v>2.72</v>
      </c>
      <c r="Q48" s="92">
        <f>PI!L293</f>
        <v>2.72</v>
      </c>
      <c r="R48" s="92">
        <f>PI!M293</f>
        <v>2.72</v>
      </c>
      <c r="S48" s="92">
        <f>PI!N293</f>
        <v>2.72</v>
      </c>
      <c r="T48" s="108">
        <f>PI!O293</f>
        <v>2.72</v>
      </c>
      <c r="U48" s="36"/>
      <c r="V48" s="36"/>
    </row>
    <row r="49" spans="1:22" ht="15.75">
      <c r="A49" s="280"/>
      <c r="B49" s="160" t="s">
        <v>331</v>
      </c>
      <c r="C49" s="450" t="s">
        <v>277</v>
      </c>
      <c r="D49" s="76" t="s">
        <v>327</v>
      </c>
      <c r="E49" s="417" t="s">
        <v>444</v>
      </c>
      <c r="F49" s="78"/>
      <c r="G49" s="92">
        <f>N49</f>
        <v>0</v>
      </c>
      <c r="H49" s="92">
        <f>T49</f>
        <v>0</v>
      </c>
      <c r="I49" s="92">
        <f>PI!D314</f>
        <v>0</v>
      </c>
      <c r="J49" s="92">
        <f>PI!E314</f>
        <v>0</v>
      </c>
      <c r="K49" s="92">
        <f>PI!F314</f>
        <v>0</v>
      </c>
      <c r="L49" s="92">
        <f>PI!G314</f>
        <v>0</v>
      </c>
      <c r="M49" s="92">
        <f>PI!H314</f>
        <v>0</v>
      </c>
      <c r="N49" s="92">
        <f>PI!I314</f>
        <v>0</v>
      </c>
      <c r="O49" s="92">
        <f>PI!J314</f>
        <v>0</v>
      </c>
      <c r="P49" s="92">
        <f>PI!K314</f>
        <v>0</v>
      </c>
      <c r="Q49" s="92">
        <f>PI!L314</f>
        <v>0</v>
      </c>
      <c r="R49" s="92">
        <f>PI!M314</f>
        <v>0</v>
      </c>
      <c r="S49" s="92">
        <f>PI!N314</f>
        <v>0</v>
      </c>
      <c r="T49" s="108">
        <f>PI!O314</f>
        <v>0</v>
      </c>
      <c r="U49" s="36"/>
      <c r="V49" s="36"/>
    </row>
    <row r="50" spans="1:22" ht="15.75">
      <c r="A50" s="281">
        <v>13</v>
      </c>
      <c r="B50" s="310" t="s">
        <v>356</v>
      </c>
      <c r="C50" s="450"/>
      <c r="D50" s="76"/>
      <c r="E50" s="417"/>
      <c r="F50" s="78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108"/>
      <c r="U50" s="36"/>
      <c r="V50" s="36"/>
    </row>
    <row r="51" spans="1:22" ht="31.9" customHeight="1">
      <c r="A51" s="279"/>
      <c r="B51" s="160" t="s">
        <v>357</v>
      </c>
      <c r="C51" s="447"/>
      <c r="D51" s="76"/>
      <c r="E51" s="416" t="s">
        <v>399</v>
      </c>
      <c r="F51" s="77" t="s">
        <v>358</v>
      </c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108"/>
      <c r="U51" s="36"/>
      <c r="V51" s="36"/>
    </row>
    <row r="52" spans="1:22" ht="31.5">
      <c r="A52" s="280"/>
      <c r="B52" s="160" t="s">
        <v>359</v>
      </c>
      <c r="C52" s="447"/>
      <c r="D52" s="76"/>
      <c r="E52" s="416" t="s">
        <v>445</v>
      </c>
      <c r="F52" s="77" t="s">
        <v>360</v>
      </c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108"/>
      <c r="U52" s="36"/>
      <c r="V52" s="36"/>
    </row>
    <row r="53" spans="1:22" ht="31.5">
      <c r="A53" s="280"/>
      <c r="B53" s="160" t="s">
        <v>361</v>
      </c>
      <c r="C53" s="447"/>
      <c r="D53" s="76"/>
      <c r="E53" s="417" t="s">
        <v>401</v>
      </c>
      <c r="F53" s="200" t="s">
        <v>363</v>
      </c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108"/>
      <c r="U53" s="36"/>
      <c r="V53" s="36"/>
    </row>
    <row r="54" spans="1:22" ht="15.75">
      <c r="A54" s="280"/>
      <c r="B54" s="160" t="s">
        <v>364</v>
      </c>
      <c r="C54" s="447"/>
      <c r="D54" s="76"/>
      <c r="E54" s="417" t="s">
        <v>402</v>
      </c>
      <c r="F54" s="201" t="s">
        <v>366</v>
      </c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123"/>
      <c r="U54" s="36"/>
      <c r="V54" s="36"/>
    </row>
    <row r="55" spans="1:22" ht="15.75">
      <c r="A55" s="281"/>
      <c r="B55" s="160" t="s">
        <v>367</v>
      </c>
      <c r="C55" s="447"/>
      <c r="D55" s="76"/>
      <c r="E55" s="417" t="s">
        <v>446</v>
      </c>
      <c r="F55" s="78" t="s">
        <v>368</v>
      </c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108"/>
      <c r="U55" s="36"/>
      <c r="V55" s="36"/>
    </row>
    <row r="56" spans="1:22" ht="15.75">
      <c r="A56" s="73"/>
      <c r="B56" s="427" t="s">
        <v>104</v>
      </c>
      <c r="C56" s="451"/>
      <c r="D56" s="85"/>
      <c r="E56" s="418"/>
      <c r="F56" s="86">
        <f>F7+F18</f>
        <v>100</v>
      </c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73"/>
    </row>
    <row r="57" spans="1:22" customFormat="1">
      <c r="B57" s="428"/>
      <c r="C57" s="443"/>
      <c r="E57" s="419"/>
    </row>
    <row r="58" spans="1:22" customFormat="1">
      <c r="A58" s="114"/>
      <c r="B58" s="429" t="s">
        <v>369</v>
      </c>
      <c r="C58" s="452"/>
      <c r="D58" s="4">
        <f>COUNTA(D8:D55)</f>
        <v>32</v>
      </c>
      <c r="E58" s="420"/>
      <c r="F58" s="4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</row>
    <row r="59" spans="1:22" customFormat="1">
      <c r="B59" s="428"/>
      <c r="C59" s="443"/>
      <c r="E59" s="419"/>
    </row>
    <row r="60" spans="1:22" customFormat="1">
      <c r="A60" s="117" t="s">
        <v>370</v>
      </c>
      <c r="B60" s="430"/>
      <c r="C60" s="453"/>
      <c r="D60" s="119"/>
      <c r="E60" s="421"/>
      <c r="F60" s="119"/>
      <c r="G60" s="119"/>
      <c r="H60" s="119"/>
      <c r="I60" s="119"/>
      <c r="J60" s="119"/>
      <c r="K60" s="119"/>
      <c r="L60" s="119"/>
      <c r="M60" s="119"/>
      <c r="Q60" s="119"/>
      <c r="S60" s="119"/>
    </row>
    <row r="61" spans="1:22" customFormat="1" ht="30">
      <c r="A61" s="119">
        <v>3</v>
      </c>
      <c r="B61" s="431" t="s">
        <v>371</v>
      </c>
      <c r="C61" s="453"/>
      <c r="D61" s="119"/>
      <c r="E61" s="421"/>
      <c r="F61" s="119"/>
      <c r="G61" s="119"/>
      <c r="H61" s="119"/>
      <c r="I61" s="119"/>
      <c r="J61" s="119"/>
      <c r="K61" s="119"/>
      <c r="L61" s="119"/>
      <c r="M61" s="119"/>
      <c r="Q61" s="119"/>
      <c r="S61" s="119"/>
    </row>
    <row r="62" spans="1:22" customFormat="1" ht="30">
      <c r="A62" s="119">
        <v>1</v>
      </c>
      <c r="B62" s="431" t="s">
        <v>372</v>
      </c>
      <c r="C62" s="453"/>
      <c r="D62" s="119"/>
      <c r="E62" s="421"/>
      <c r="F62" s="119"/>
      <c r="G62" s="119"/>
      <c r="H62" s="119"/>
      <c r="I62" s="119"/>
      <c r="J62" s="119"/>
      <c r="K62" s="119"/>
      <c r="L62" s="119"/>
      <c r="M62" s="119"/>
      <c r="Q62" s="119"/>
      <c r="S62" s="119"/>
    </row>
    <row r="63" spans="1:22" customFormat="1">
      <c r="A63" s="119"/>
      <c r="B63" s="430"/>
      <c r="C63" s="453"/>
      <c r="D63" s="119"/>
      <c r="E63" s="421"/>
      <c r="F63" s="119"/>
      <c r="G63" s="119"/>
      <c r="H63" s="119"/>
      <c r="I63" s="119"/>
      <c r="J63" s="119"/>
      <c r="K63" s="119"/>
      <c r="L63" s="119"/>
      <c r="M63" s="119"/>
      <c r="Q63" s="119"/>
      <c r="S63" s="119"/>
    </row>
    <row r="64" spans="1:22" customFormat="1">
      <c r="A64" s="119"/>
      <c r="B64" s="430"/>
      <c r="C64" s="453"/>
      <c r="D64" s="119"/>
      <c r="E64" s="421"/>
      <c r="F64" s="119"/>
      <c r="G64" s="119"/>
      <c r="H64" s="119"/>
      <c r="I64" s="119"/>
      <c r="J64" s="119"/>
      <c r="K64" s="119"/>
      <c r="L64" s="119"/>
      <c r="M64" s="119"/>
      <c r="Q64" s="119"/>
      <c r="S64" s="119"/>
    </row>
    <row r="65" spans="1:30" customFormat="1">
      <c r="A65" s="121"/>
      <c r="B65" s="432"/>
      <c r="C65" s="453"/>
      <c r="D65" s="121"/>
      <c r="E65" s="422"/>
      <c r="F65" s="121"/>
      <c r="G65" s="121"/>
      <c r="H65" s="121"/>
      <c r="I65" s="121"/>
      <c r="J65" s="121"/>
      <c r="K65" s="121"/>
      <c r="L65" s="121"/>
      <c r="M65" s="121"/>
    </row>
    <row r="66" spans="1:30" customFormat="1">
      <c r="B66" s="428"/>
      <c r="C66" s="443"/>
      <c r="E66" s="419"/>
      <c r="Q66" s="121"/>
      <c r="S66" s="121"/>
    </row>
    <row r="67" spans="1:30" s="31" customFormat="1">
      <c r="A67" s="28"/>
      <c r="B67" s="433"/>
      <c r="C67" s="454"/>
      <c r="D67" s="28"/>
      <c r="E67" s="423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W67" s="30"/>
      <c r="X67" s="30"/>
      <c r="Y67" s="30"/>
      <c r="Z67" s="30"/>
      <c r="AA67" s="30"/>
      <c r="AB67" s="30"/>
      <c r="AC67" s="30"/>
      <c r="AD67" s="30"/>
    </row>
  </sheetData>
  <mergeCells count="7">
    <mergeCell ref="I4:T4"/>
    <mergeCell ref="A4:A5"/>
    <mergeCell ref="B4:C5"/>
    <mergeCell ref="D4:D5"/>
    <mergeCell ref="E4:E5"/>
    <mergeCell ref="F4:F5"/>
    <mergeCell ref="G4:H4"/>
  </mergeCells>
  <conditionalFormatting sqref="A61">
    <cfRule type="iconSet" priority="30">
      <iconSet iconSet="3ArrowsGray" showValue="0">
        <cfvo type="percent" val="0"/>
        <cfvo type="num" val="2"/>
        <cfvo type="num" val="3"/>
      </iconSet>
    </cfRule>
  </conditionalFormatting>
  <conditionalFormatting sqref="A62">
    <cfRule type="iconSet" priority="29">
      <iconSet iconSet="3ArrowsGray" showValue="0">
        <cfvo type="percent" val="0"/>
        <cfvo type="num" val="2"/>
        <cfvo type="num" val="3"/>
      </iconSet>
    </cfRule>
  </conditionalFormatting>
  <conditionalFormatting sqref="C8">
    <cfRule type="iconSet" priority="40">
      <iconSet iconSet="3ArrowsGray" showValue="0">
        <cfvo type="percent" val="0"/>
        <cfvo type="num" val="2"/>
        <cfvo type="num" val="3"/>
      </iconSet>
    </cfRule>
    <cfRule type="iconSet" priority="44">
      <iconSet iconSet="3ArrowsGray" showValue="0">
        <cfvo type="percent" val="0"/>
        <cfvo type="num" val="2"/>
        <cfvo type="num" val="3"/>
      </iconSet>
    </cfRule>
  </conditionalFormatting>
  <conditionalFormatting sqref="C9">
    <cfRule type="iconSet" priority="39">
      <iconSet iconSet="3ArrowsGray" showValue="0">
        <cfvo type="percent" val="0"/>
        <cfvo type="num" val="2"/>
        <cfvo type="num" val="3"/>
      </iconSet>
    </cfRule>
  </conditionalFormatting>
  <conditionalFormatting sqref="C10:C17">
    <cfRule type="iconSet" priority="47751">
      <iconSet iconSet="3ArrowsGray" showValue="0">
        <cfvo type="percent" val="0"/>
        <cfvo type="num" val="2"/>
        <cfvo type="num" val="3"/>
      </iconSet>
    </cfRule>
    <cfRule type="iconSet" priority="47752">
      <iconSet iconSet="3ArrowsGray" showValue="0">
        <cfvo type="percent" val="0"/>
        <cfvo type="num" val="2"/>
        <cfvo type="num" val="3"/>
      </iconSet>
    </cfRule>
  </conditionalFormatting>
  <conditionalFormatting sqref="C19">
    <cfRule type="iconSet" priority="3">
      <iconSet iconSet="3ArrowsGray" showValue="0">
        <cfvo type="percent" val="0"/>
        <cfvo type="num" val="2"/>
        <cfvo type="num" val="3"/>
      </iconSet>
    </cfRule>
    <cfRule type="iconSet" priority="4">
      <iconSet iconSet="3ArrowsGray" showValue="0">
        <cfvo type="percent" val="0"/>
        <cfvo type="num" val="2"/>
        <cfvo type="num" val="3"/>
      </iconSet>
    </cfRule>
  </conditionalFormatting>
  <conditionalFormatting sqref="C20:C35 C37:C50">
    <cfRule type="iconSet" priority="47668">
      <iconSet iconSet="3ArrowsGray" showValue="0">
        <cfvo type="percent" val="0"/>
        <cfvo type="num" val="2"/>
        <cfvo type="num" val="3"/>
      </iconSet>
    </cfRule>
    <cfRule type="iconSet" priority="47669">
      <iconSet iconSet="3ArrowsGray" showValue="0">
        <cfvo type="percent" val="0"/>
        <cfvo type="num" val="2"/>
        <cfvo type="num" val="3"/>
      </iconSet>
    </cfRule>
  </conditionalFormatting>
  <conditionalFormatting sqref="C36">
    <cfRule type="iconSet" priority="1">
      <iconSet iconSet="3ArrowsGray" showValue="0">
        <cfvo type="percent" val="0"/>
        <cfvo type="num" val="2"/>
        <cfvo type="num" val="3"/>
      </iconSet>
    </cfRule>
    <cfRule type="iconSet" priority="2">
      <iconSet iconSet="3ArrowsGray" showValue="0">
        <cfvo type="percent" val="0"/>
        <cfvo type="num" val="2"/>
        <cfvo type="num" val="3"/>
      </iconSet>
    </cfRule>
  </conditionalFormatting>
  <conditionalFormatting sqref="C51">
    <cfRule type="iconSet" priority="47670">
      <iconSet iconSet="3ArrowsGray" showValue="0">
        <cfvo type="percent" val="0"/>
        <cfvo type="num" val="2"/>
        <cfvo type="num" val="3"/>
      </iconSet>
    </cfRule>
  </conditionalFormatting>
  <conditionalFormatting sqref="C51:C55">
    <cfRule type="iconSet" priority="47671">
      <iconSet iconSet="3ArrowsGray" showValue="0">
        <cfvo type="percent" val="0"/>
        <cfvo type="num" val="2"/>
        <cfvo type="num" val="3"/>
      </iconSet>
    </cfRule>
  </conditionalFormatting>
  <conditionalFormatting sqref="C57">
    <cfRule type="iconSet" priority="32">
      <iconSet iconSet="3ArrowsGray" showValue="0">
        <cfvo type="percent" val="0"/>
        <cfvo type="num" val="2"/>
        <cfvo type="num" val="3"/>
      </iconSet>
    </cfRule>
  </conditionalFormatting>
  <conditionalFormatting sqref="C58">
    <cfRule type="iconSet" priority="35">
      <iconSet iconSet="3ArrowsGray" showValue="0">
        <cfvo type="percent" val="0"/>
        <cfvo type="num" val="2"/>
        <cfvo type="num" val="3"/>
      </iconSet>
    </cfRule>
  </conditionalFormatting>
  <conditionalFormatting sqref="D57">
    <cfRule type="iconSet" priority="25">
      <iconSet iconSet="3ArrowsGray" showValue="0">
        <cfvo type="percent" val="0"/>
        <cfvo type="num" val="2"/>
        <cfvo type="num" val="3"/>
      </iconSet>
    </cfRule>
    <cfRule type="iconSet" priority="34">
      <iconSet iconSet="3ArrowsGray" showValue="0">
        <cfvo type="percent" val="0"/>
        <cfvo type="num" val="2"/>
        <cfvo type="num" val="3"/>
      </iconSet>
    </cfRule>
  </conditionalFormatting>
  <conditionalFormatting sqref="E57">
    <cfRule type="iconSet" priority="33">
      <iconSet iconSet="3ArrowsGray" showValue="0">
        <cfvo type="percent" val="0"/>
        <cfvo type="num" val="2"/>
        <cfvo type="num" val="3"/>
      </iconSet>
    </cfRule>
  </conditionalFormatting>
  <conditionalFormatting sqref="G57:H57">
    <cfRule type="iconSet" priority="42">
      <iconSet iconSet="3ArrowsGray" showValue="0">
        <cfvo type="percent" val="0"/>
        <cfvo type="num" val="2"/>
        <cfvo type="num" val="3"/>
      </iconSet>
    </cfRule>
  </conditionalFormatting>
  <conditionalFormatting sqref="G58:H58">
    <cfRule type="iconSet" priority="41">
      <iconSet iconSet="3ArrowsGray" showValue="0">
        <cfvo type="percent" val="0"/>
        <cfvo type="num" val="2"/>
        <cfvo type="num" val="3"/>
      </iconSet>
    </cfRule>
  </conditionalFormatting>
  <conditionalFormatting sqref="I57:T57">
    <cfRule type="iconSet" priority="31">
      <iconSet iconSet="3ArrowsGray" showValue="0">
        <cfvo type="percent" val="0"/>
        <cfvo type="num" val="2"/>
        <cfvo type="num" val="3"/>
      </iconSet>
    </cfRule>
  </conditionalFormatting>
  <conditionalFormatting sqref="I58:T58">
    <cfRule type="iconSet" priority="26">
      <iconSet iconSet="3ArrowsGray" showValue="0">
        <cfvo type="percent" val="0"/>
        <cfvo type="num" val="2"/>
        <cfvo type="num" val="3"/>
      </iconSet>
    </cfRule>
    <cfRule type="iconSet" priority="27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52" fitToHeight="0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1212-F43F-4772-A840-DE70405AEDED}">
  <sheetPr>
    <tabColor rgb="FFFF0000"/>
    <pageSetUpPr fitToPage="1"/>
  </sheetPr>
  <dimension ref="A1:AD67"/>
  <sheetViews>
    <sheetView workbookViewId="0"/>
  </sheetViews>
  <sheetFormatPr defaultColWidth="8.85546875" defaultRowHeight="15"/>
  <cols>
    <col min="1" max="1" width="5.7109375" style="28" customWidth="1"/>
    <col min="2" max="2" width="60" style="433" customWidth="1"/>
    <col min="3" max="3" width="2.85546875" style="454" customWidth="1"/>
    <col min="4" max="4" width="14.42578125" style="412" customWidth="1"/>
    <col min="5" max="5" width="106.7109375" style="28" hidden="1" customWidth="1"/>
    <col min="6" max="6" width="10.140625" style="30" customWidth="1"/>
    <col min="7" max="20" width="11.28515625" style="30" customWidth="1"/>
    <col min="21" max="21" width="17.7109375" style="31" bestFit="1" customWidth="1"/>
    <col min="22" max="22" width="16" style="31" bestFit="1" customWidth="1"/>
    <col min="23" max="23" width="19.140625" style="30" bestFit="1" customWidth="1"/>
    <col min="24" max="24" width="12.42578125" style="30" bestFit="1" customWidth="1"/>
    <col min="25" max="29" width="8.85546875" style="30"/>
    <col min="30" max="30" width="17.85546875" style="30" bestFit="1" customWidth="1"/>
    <col min="31" max="16384" width="8.85546875" style="30"/>
  </cols>
  <sheetData>
    <row r="1" spans="1:22" ht="15.75">
      <c r="B1" s="424" t="s">
        <v>251</v>
      </c>
      <c r="C1" s="439"/>
      <c r="I1" s="22"/>
    </row>
    <row r="2" spans="1:22" ht="15.75">
      <c r="B2" s="424" t="s">
        <v>123</v>
      </c>
      <c r="C2" s="439"/>
    </row>
    <row r="3" spans="1:22" ht="15.75">
      <c r="B3" s="424" t="s">
        <v>380</v>
      </c>
      <c r="C3" s="439"/>
    </row>
    <row r="4" spans="1:22" s="33" customFormat="1" ht="15" customHeight="1">
      <c r="A4" s="741" t="s">
        <v>8</v>
      </c>
      <c r="B4" s="743" t="s">
        <v>9</v>
      </c>
      <c r="C4" s="744"/>
      <c r="D4" s="741" t="s">
        <v>93</v>
      </c>
      <c r="E4" s="741" t="s">
        <v>272</v>
      </c>
      <c r="F4" s="741" t="s">
        <v>99</v>
      </c>
      <c r="G4" s="747" t="s">
        <v>100</v>
      </c>
      <c r="H4" s="748"/>
      <c r="I4" s="730" t="s">
        <v>273</v>
      </c>
      <c r="J4" s="731"/>
      <c r="K4" s="731"/>
      <c r="L4" s="731"/>
      <c r="M4" s="731"/>
      <c r="N4" s="731"/>
      <c r="O4" s="731"/>
      <c r="P4" s="731"/>
      <c r="Q4" s="731"/>
      <c r="R4" s="731"/>
      <c r="S4" s="731"/>
      <c r="T4" s="732"/>
      <c r="U4" s="32"/>
      <c r="V4" s="32"/>
    </row>
    <row r="5" spans="1:22" s="33" customFormat="1" ht="15" customHeight="1">
      <c r="A5" s="742"/>
      <c r="B5" s="745"/>
      <c r="C5" s="746"/>
      <c r="D5" s="742"/>
      <c r="E5" s="742"/>
      <c r="F5" s="742"/>
      <c r="G5" s="606" t="s">
        <v>274</v>
      </c>
      <c r="H5" s="606" t="s">
        <v>275</v>
      </c>
      <c r="I5" s="113" t="s">
        <v>94</v>
      </c>
      <c r="J5" s="113" t="s">
        <v>95</v>
      </c>
      <c r="K5" s="113" t="s">
        <v>96</v>
      </c>
      <c r="L5" s="113" t="s">
        <v>97</v>
      </c>
      <c r="M5" s="113" t="s">
        <v>98</v>
      </c>
      <c r="N5" s="113" t="s">
        <v>153</v>
      </c>
      <c r="O5" s="113" t="s">
        <v>163</v>
      </c>
      <c r="P5" s="113" t="s">
        <v>165</v>
      </c>
      <c r="Q5" s="113" t="s">
        <v>167</v>
      </c>
      <c r="R5" s="113" t="s">
        <v>169</v>
      </c>
      <c r="S5" s="113" t="s">
        <v>171</v>
      </c>
      <c r="T5" s="607" t="s">
        <v>174</v>
      </c>
      <c r="U5" s="32"/>
      <c r="V5" s="32"/>
    </row>
    <row r="6" spans="1:22" s="33" customFormat="1" ht="15" customHeight="1">
      <c r="A6" s="606">
        <v>1</v>
      </c>
      <c r="B6" s="648">
        <v>2</v>
      </c>
      <c r="C6" s="487"/>
      <c r="D6" s="606">
        <v>3</v>
      </c>
      <c r="E6" s="606">
        <v>4</v>
      </c>
      <c r="F6" s="606">
        <v>5</v>
      </c>
      <c r="G6" s="606">
        <v>6</v>
      </c>
      <c r="H6" s="606">
        <v>7</v>
      </c>
      <c r="I6" s="606">
        <v>8</v>
      </c>
      <c r="J6" s="606">
        <v>9</v>
      </c>
      <c r="K6" s="606">
        <v>10</v>
      </c>
      <c r="L6" s="606">
        <v>11</v>
      </c>
      <c r="M6" s="606">
        <v>12</v>
      </c>
      <c r="N6" s="606">
        <v>13</v>
      </c>
      <c r="O6" s="606">
        <v>14</v>
      </c>
      <c r="P6" s="606">
        <v>15</v>
      </c>
      <c r="Q6" s="606">
        <v>16</v>
      </c>
      <c r="R6" s="606">
        <v>17</v>
      </c>
      <c r="S6" s="606">
        <v>18</v>
      </c>
      <c r="T6" s="606">
        <v>19</v>
      </c>
      <c r="U6" s="32"/>
      <c r="V6" s="32"/>
    </row>
    <row r="7" spans="1:22" s="35" customFormat="1" ht="16.5">
      <c r="A7" s="65" t="s">
        <v>269</v>
      </c>
      <c r="B7" s="425" t="s">
        <v>15</v>
      </c>
      <c r="C7" s="446"/>
      <c r="D7" s="434"/>
      <c r="E7" s="72"/>
      <c r="F7" s="68">
        <f>SUM(F8:F17)</f>
        <v>40</v>
      </c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107"/>
      <c r="U7" s="34"/>
      <c r="V7" s="34"/>
    </row>
    <row r="8" spans="1:22" ht="15.75">
      <c r="A8" s="277">
        <v>1</v>
      </c>
      <c r="B8" s="310" t="s">
        <v>383</v>
      </c>
      <c r="C8" s="447" t="s">
        <v>277</v>
      </c>
      <c r="D8" s="360" t="s">
        <v>384</v>
      </c>
      <c r="E8" s="77" t="s">
        <v>403</v>
      </c>
      <c r="F8" s="77">
        <v>14</v>
      </c>
      <c r="G8" s="92">
        <f>N8</f>
        <v>17.11</v>
      </c>
      <c r="H8" s="92">
        <f>T8</f>
        <v>34.83</v>
      </c>
      <c r="I8" s="92">
        <f>KPI!D17</f>
        <v>2.82</v>
      </c>
      <c r="J8" s="92">
        <f>KPI!E17</f>
        <v>5.5</v>
      </c>
      <c r="K8" s="92">
        <f>KPI!F17</f>
        <v>8.49</v>
      </c>
      <c r="L8" s="92">
        <f>KPI!G17</f>
        <v>11.37</v>
      </c>
      <c r="M8" s="92">
        <f>KPI!H17</f>
        <v>14.33</v>
      </c>
      <c r="N8" s="92">
        <f>KPI!I17</f>
        <v>17.11</v>
      </c>
      <c r="O8" s="92">
        <f>KPI!J17</f>
        <v>19.940000000000001</v>
      </c>
      <c r="P8" s="92">
        <f>KPI!K17</f>
        <v>22.83</v>
      </c>
      <c r="Q8" s="92">
        <f>KPI!L17</f>
        <v>25.75</v>
      </c>
      <c r="R8" s="92">
        <f>KPI!M17</f>
        <v>28.8</v>
      </c>
      <c r="S8" s="92">
        <f>KPI!N17</f>
        <v>31.8</v>
      </c>
      <c r="T8" s="108">
        <f>KPI!O17</f>
        <v>34.83</v>
      </c>
      <c r="U8" s="36"/>
      <c r="V8" s="36"/>
    </row>
    <row r="9" spans="1:22" ht="15.75">
      <c r="A9" s="279">
        <v>2</v>
      </c>
      <c r="B9" s="310" t="s">
        <v>385</v>
      </c>
      <c r="C9" s="448"/>
      <c r="D9" s="360"/>
      <c r="E9" s="77"/>
      <c r="F9" s="77">
        <v>14</v>
      </c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108"/>
      <c r="U9" s="36"/>
      <c r="V9" s="36"/>
    </row>
    <row r="10" spans="1:22" ht="15.75">
      <c r="A10" s="280"/>
      <c r="B10" s="160" t="s">
        <v>404</v>
      </c>
      <c r="C10" s="447" t="s">
        <v>279</v>
      </c>
      <c r="D10" s="360" t="s">
        <v>447</v>
      </c>
      <c r="E10" s="77" t="s">
        <v>280</v>
      </c>
      <c r="F10" s="77"/>
      <c r="G10" s="92">
        <f>N10</f>
        <v>103.85</v>
      </c>
      <c r="H10" s="92">
        <f>T10</f>
        <v>207.7</v>
      </c>
      <c r="I10" s="92">
        <v>17.309999999999999</v>
      </c>
      <c r="J10" s="92">
        <v>34.619999999999997</v>
      </c>
      <c r="K10" s="92">
        <v>51.92</v>
      </c>
      <c r="L10" s="92">
        <v>69.23</v>
      </c>
      <c r="M10" s="92">
        <v>86.54</v>
      </c>
      <c r="N10" s="92">
        <v>103.85</v>
      </c>
      <c r="O10" s="92">
        <v>121.16</v>
      </c>
      <c r="P10" s="92">
        <v>138.47</v>
      </c>
      <c r="Q10" s="92">
        <v>155.77000000000001</v>
      </c>
      <c r="R10" s="92">
        <v>173.08</v>
      </c>
      <c r="S10" s="92">
        <v>190.39</v>
      </c>
      <c r="T10" s="108">
        <v>207.7</v>
      </c>
      <c r="U10" s="36"/>
      <c r="V10" s="36"/>
    </row>
    <row r="11" spans="1:22" ht="15.75">
      <c r="A11" s="280"/>
      <c r="B11" s="160" t="s">
        <v>406</v>
      </c>
      <c r="C11" s="447" t="s">
        <v>279</v>
      </c>
      <c r="D11" s="360" t="s">
        <v>448</v>
      </c>
      <c r="E11" s="77" t="s">
        <v>281</v>
      </c>
      <c r="F11" s="77"/>
      <c r="G11" s="92">
        <f>N11</f>
        <v>1.02</v>
      </c>
      <c r="H11" s="92">
        <f>T11</f>
        <v>2.0499999999999998</v>
      </c>
      <c r="I11" s="92">
        <v>0.17</v>
      </c>
      <c r="J11" s="92">
        <v>0.34</v>
      </c>
      <c r="K11" s="92">
        <v>0.51</v>
      </c>
      <c r="L11" s="92">
        <v>0.68</v>
      </c>
      <c r="M11" s="92">
        <v>0.85</v>
      </c>
      <c r="N11" s="92">
        <v>1.02</v>
      </c>
      <c r="O11" s="92">
        <v>1.19</v>
      </c>
      <c r="P11" s="92">
        <v>1.37</v>
      </c>
      <c r="Q11" s="92">
        <v>1.54</v>
      </c>
      <c r="R11" s="92">
        <v>1.71</v>
      </c>
      <c r="S11" s="92">
        <v>1.88</v>
      </c>
      <c r="T11" s="108">
        <v>2.0499999999999998</v>
      </c>
      <c r="U11" s="36"/>
      <c r="V11" s="36"/>
    </row>
    <row r="12" spans="1:22" ht="15.75">
      <c r="A12" s="281"/>
      <c r="B12" s="160" t="s">
        <v>408</v>
      </c>
      <c r="C12" s="447" t="s">
        <v>279</v>
      </c>
      <c r="D12" s="360" t="s">
        <v>140</v>
      </c>
      <c r="E12" s="77" t="s">
        <v>409</v>
      </c>
      <c r="F12" s="77"/>
      <c r="G12" s="92">
        <f>N12</f>
        <v>5.17</v>
      </c>
      <c r="H12" s="92">
        <f>T12</f>
        <v>10.34</v>
      </c>
      <c r="I12" s="92">
        <f>KPI!D77</f>
        <v>0.86</v>
      </c>
      <c r="J12" s="92">
        <f>KPI!E77</f>
        <v>1.72</v>
      </c>
      <c r="K12" s="92">
        <f>KPI!F77</f>
        <v>2.58</v>
      </c>
      <c r="L12" s="92">
        <f>KPI!G77</f>
        <v>3.45</v>
      </c>
      <c r="M12" s="92">
        <f>KPI!H77</f>
        <v>4.3099999999999996</v>
      </c>
      <c r="N12" s="92">
        <f>KPI!I77</f>
        <v>5.17</v>
      </c>
      <c r="O12" s="92">
        <f>KPI!J77</f>
        <v>6.03</v>
      </c>
      <c r="P12" s="92">
        <f>KPI!K77</f>
        <v>6.89</v>
      </c>
      <c r="Q12" s="92">
        <f>KPI!L77</f>
        <v>7.75</v>
      </c>
      <c r="R12" s="92">
        <f>KPI!M77</f>
        <v>8.61</v>
      </c>
      <c r="S12" s="92">
        <f>KPI!N77</f>
        <v>9.4700000000000006</v>
      </c>
      <c r="T12" s="108">
        <f>KPI!O77</f>
        <v>10.34</v>
      </c>
      <c r="U12" s="36"/>
      <c r="V12" s="36"/>
    </row>
    <row r="13" spans="1:22" ht="15.75">
      <c r="A13" s="280">
        <v>3</v>
      </c>
      <c r="B13" s="310" t="s">
        <v>391</v>
      </c>
      <c r="C13" s="447"/>
      <c r="D13" s="360"/>
      <c r="E13" s="77"/>
      <c r="F13" s="77">
        <v>12</v>
      </c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108"/>
      <c r="U13" s="36"/>
      <c r="V13" s="36"/>
    </row>
    <row r="14" spans="1:22" ht="15.75">
      <c r="A14" s="280"/>
      <c r="B14" s="160" t="s">
        <v>392</v>
      </c>
      <c r="C14" s="447" t="s">
        <v>279</v>
      </c>
      <c r="D14" s="360" t="s">
        <v>149</v>
      </c>
      <c r="E14" s="77" t="s">
        <v>410</v>
      </c>
      <c r="F14" s="77"/>
      <c r="G14" s="92">
        <f>N14</f>
        <v>10.039999999999999</v>
      </c>
      <c r="H14" s="92">
        <f>T14</f>
        <v>9.6</v>
      </c>
      <c r="I14" s="92">
        <f>KPI!D101</f>
        <v>10.62</v>
      </c>
      <c r="J14" s="92">
        <f>KPI!E101</f>
        <v>10.62</v>
      </c>
      <c r="K14" s="92">
        <f>KPI!F101</f>
        <v>10.62</v>
      </c>
      <c r="L14" s="92">
        <f>KPI!G101</f>
        <v>10.42</v>
      </c>
      <c r="M14" s="92">
        <f>KPI!H101</f>
        <v>10.23</v>
      </c>
      <c r="N14" s="92">
        <f>KPI!I101</f>
        <v>10.039999999999999</v>
      </c>
      <c r="O14" s="92">
        <f>KPI!J101</f>
        <v>9.9600000000000009</v>
      </c>
      <c r="P14" s="92">
        <f>KPI!K101</f>
        <v>9.89</v>
      </c>
      <c r="Q14" s="92">
        <f>KPI!L101</f>
        <v>9.82</v>
      </c>
      <c r="R14" s="92">
        <f>KPI!M101</f>
        <v>9.75</v>
      </c>
      <c r="S14" s="92">
        <f>KPI!N101</f>
        <v>9.67</v>
      </c>
      <c r="T14" s="108">
        <f>KPI!O101</f>
        <v>9.6</v>
      </c>
      <c r="U14" s="36"/>
      <c r="V14" s="36"/>
    </row>
    <row r="15" spans="1:22" ht="15.75">
      <c r="A15" s="280"/>
      <c r="B15" s="160" t="s">
        <v>411</v>
      </c>
      <c r="C15" s="447" t="s">
        <v>277</v>
      </c>
      <c r="D15" s="360" t="s">
        <v>149</v>
      </c>
      <c r="E15" s="77" t="s">
        <v>412</v>
      </c>
      <c r="F15" s="77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108"/>
      <c r="U15" s="36"/>
      <c r="V15" s="36"/>
    </row>
    <row r="16" spans="1:22" ht="15.75">
      <c r="A16" s="280"/>
      <c r="B16" s="160" t="s">
        <v>393</v>
      </c>
      <c r="C16" s="447" t="s">
        <v>277</v>
      </c>
      <c r="D16" s="360" t="s">
        <v>149</v>
      </c>
      <c r="E16" s="77" t="s">
        <v>413</v>
      </c>
      <c r="F16" s="77"/>
      <c r="G16" s="92">
        <f>N16</f>
        <v>25.000000000000007</v>
      </c>
      <c r="H16" s="92">
        <f>T16</f>
        <v>100</v>
      </c>
      <c r="I16" s="92">
        <f>KPI!D121</f>
        <v>4.166666666666667</v>
      </c>
      <c r="J16" s="92">
        <f>KPI!E121</f>
        <v>8.3333333333333339</v>
      </c>
      <c r="K16" s="92">
        <f>KPI!F121</f>
        <v>12.5</v>
      </c>
      <c r="L16" s="92">
        <f>KPI!G121</f>
        <v>16.666666666666668</v>
      </c>
      <c r="M16" s="92">
        <f>KPI!H121</f>
        <v>20.833333333333336</v>
      </c>
      <c r="N16" s="92">
        <f>KPI!I121</f>
        <v>25.000000000000007</v>
      </c>
      <c r="O16" s="92">
        <f>KPI!J121</f>
        <v>37.5</v>
      </c>
      <c r="P16" s="92">
        <f>KPI!K121</f>
        <v>50</v>
      </c>
      <c r="Q16" s="92">
        <f>KPI!L121</f>
        <v>62.5</v>
      </c>
      <c r="R16" s="92">
        <f>KPI!M121</f>
        <v>75</v>
      </c>
      <c r="S16" s="92">
        <f>KPI!N121</f>
        <v>87.5</v>
      </c>
      <c r="T16" s="92">
        <f>KPI!O121</f>
        <v>100</v>
      </c>
      <c r="U16" s="36"/>
      <c r="V16" s="36"/>
    </row>
    <row r="17" spans="1:22" ht="15.75">
      <c r="A17" s="280"/>
      <c r="B17" s="160" t="s">
        <v>394</v>
      </c>
      <c r="C17" s="447" t="s">
        <v>277</v>
      </c>
      <c r="D17" s="360" t="s">
        <v>72</v>
      </c>
      <c r="E17" s="77" t="s">
        <v>414</v>
      </c>
      <c r="F17" s="77"/>
      <c r="G17" s="92">
        <f>N17</f>
        <v>244</v>
      </c>
      <c r="H17" s="92">
        <f>T17</f>
        <v>698</v>
      </c>
      <c r="I17" s="92">
        <f>KPI!D133</f>
        <v>43</v>
      </c>
      <c r="J17" s="92">
        <f>KPI!E133</f>
        <v>85</v>
      </c>
      <c r="K17" s="92">
        <f>KPI!F133</f>
        <v>127</v>
      </c>
      <c r="L17" s="92">
        <f>KPI!G133</f>
        <v>170</v>
      </c>
      <c r="M17" s="92">
        <f>KPI!H133</f>
        <v>208</v>
      </c>
      <c r="N17" s="92">
        <f>KPI!I133</f>
        <v>244</v>
      </c>
      <c r="O17" s="92">
        <f>KPI!J133</f>
        <v>357</v>
      </c>
      <c r="P17" s="92">
        <f>KPI!K133</f>
        <v>470</v>
      </c>
      <c r="Q17" s="92">
        <f>KPI!L133</f>
        <v>583</v>
      </c>
      <c r="R17" s="92">
        <f>KPI!M133</f>
        <v>698</v>
      </c>
      <c r="S17" s="92">
        <f>KPI!N133</f>
        <v>698</v>
      </c>
      <c r="T17" s="108">
        <f>KPI!O133</f>
        <v>698</v>
      </c>
      <c r="U17" s="36"/>
      <c r="V17" s="36"/>
    </row>
    <row r="18" spans="1:22" s="35" customFormat="1" ht="16.5">
      <c r="A18" s="278" t="s">
        <v>284</v>
      </c>
      <c r="B18" s="426" t="s">
        <v>285</v>
      </c>
      <c r="C18" s="449"/>
      <c r="D18" s="435"/>
      <c r="E18" s="167"/>
      <c r="F18" s="167">
        <f>SUM(F19:F55)</f>
        <v>60</v>
      </c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8"/>
      <c r="U18" s="34"/>
      <c r="V18" s="34"/>
    </row>
    <row r="19" spans="1:22" ht="15.75">
      <c r="A19" s="279">
        <v>4</v>
      </c>
      <c r="B19" s="310" t="s">
        <v>286</v>
      </c>
      <c r="C19" s="447"/>
      <c r="D19" s="360"/>
      <c r="E19" s="79"/>
      <c r="F19" s="77">
        <v>9</v>
      </c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108"/>
      <c r="U19" s="36"/>
      <c r="V19" s="36"/>
    </row>
    <row r="20" spans="1:22" ht="15.75">
      <c r="A20" s="280"/>
      <c r="B20" s="160" t="s">
        <v>288</v>
      </c>
      <c r="C20" s="447" t="s">
        <v>279</v>
      </c>
      <c r="D20" s="360" t="s">
        <v>136</v>
      </c>
      <c r="E20" s="79" t="s">
        <v>415</v>
      </c>
      <c r="F20" s="77"/>
      <c r="G20" s="92">
        <f>N20</f>
        <v>6</v>
      </c>
      <c r="H20" s="92">
        <f>T20</f>
        <v>12</v>
      </c>
      <c r="I20" s="92">
        <f>PI!D17</f>
        <v>1</v>
      </c>
      <c r="J20" s="92">
        <f>PI!E17</f>
        <v>2</v>
      </c>
      <c r="K20" s="92">
        <f>PI!F17</f>
        <v>3</v>
      </c>
      <c r="L20" s="92">
        <f>PI!G17</f>
        <v>4</v>
      </c>
      <c r="M20" s="92">
        <f>PI!H17</f>
        <v>5</v>
      </c>
      <c r="N20" s="92">
        <f>PI!I17</f>
        <v>6</v>
      </c>
      <c r="O20" s="92">
        <f>PI!J17</f>
        <v>7</v>
      </c>
      <c r="P20" s="92">
        <f>PI!K17</f>
        <v>9</v>
      </c>
      <c r="Q20" s="92">
        <f>PI!L17</f>
        <v>10</v>
      </c>
      <c r="R20" s="92">
        <f>PI!M17</f>
        <v>11</v>
      </c>
      <c r="S20" s="92">
        <f>PI!N17</f>
        <v>12</v>
      </c>
      <c r="T20" s="108">
        <f>PI!O17</f>
        <v>12</v>
      </c>
      <c r="U20" s="36"/>
      <c r="V20" s="36"/>
    </row>
    <row r="21" spans="1:22" ht="15.75">
      <c r="A21" s="280"/>
      <c r="B21" s="160" t="s">
        <v>290</v>
      </c>
      <c r="C21" s="447" t="s">
        <v>279</v>
      </c>
      <c r="D21" s="360" t="s">
        <v>136</v>
      </c>
      <c r="E21" s="79" t="s">
        <v>416</v>
      </c>
      <c r="F21" s="77"/>
      <c r="G21" s="92">
        <f>N21</f>
        <v>10</v>
      </c>
      <c r="H21" s="92">
        <f>T21</f>
        <v>20</v>
      </c>
      <c r="I21" s="92">
        <f>PI!D18</f>
        <v>2</v>
      </c>
      <c r="J21" s="92">
        <f>PI!E18</f>
        <v>3</v>
      </c>
      <c r="K21" s="92">
        <f>PI!F18</f>
        <v>5</v>
      </c>
      <c r="L21" s="92">
        <f>PI!G18</f>
        <v>7</v>
      </c>
      <c r="M21" s="92">
        <f>PI!H18</f>
        <v>8</v>
      </c>
      <c r="N21" s="92">
        <f>PI!I18</f>
        <v>10</v>
      </c>
      <c r="O21" s="92">
        <f>PI!J18</f>
        <v>12</v>
      </c>
      <c r="P21" s="92">
        <f>PI!K18</f>
        <v>14</v>
      </c>
      <c r="Q21" s="92">
        <f>PI!L18</f>
        <v>15</v>
      </c>
      <c r="R21" s="92">
        <f>PI!M18</f>
        <v>17</v>
      </c>
      <c r="S21" s="92">
        <f>PI!N18</f>
        <v>19</v>
      </c>
      <c r="T21" s="108">
        <f>PI!O18</f>
        <v>20</v>
      </c>
      <c r="U21" s="36"/>
      <c r="V21" s="36"/>
    </row>
    <row r="22" spans="1:22" ht="31.5">
      <c r="A22" s="280"/>
      <c r="B22" s="160" t="s">
        <v>292</v>
      </c>
      <c r="C22" s="450" t="s">
        <v>279</v>
      </c>
      <c r="D22" s="360" t="s">
        <v>72</v>
      </c>
      <c r="E22" s="79" t="s">
        <v>417</v>
      </c>
      <c r="F22" s="77"/>
      <c r="G22" s="92">
        <f>N22</f>
        <v>1</v>
      </c>
      <c r="H22" s="92">
        <f>T22</f>
        <v>1</v>
      </c>
      <c r="I22" s="92">
        <f>PI!D45</f>
        <v>0</v>
      </c>
      <c r="J22" s="92">
        <f>PI!E45</f>
        <v>0</v>
      </c>
      <c r="K22" s="92">
        <f>PI!F45</f>
        <v>1</v>
      </c>
      <c r="L22" s="92">
        <f>PI!G45</f>
        <v>1</v>
      </c>
      <c r="M22" s="92">
        <f>PI!H45</f>
        <v>1</v>
      </c>
      <c r="N22" s="92">
        <f>PI!I45</f>
        <v>1</v>
      </c>
      <c r="O22" s="92">
        <f>PI!J45</f>
        <v>1</v>
      </c>
      <c r="P22" s="92">
        <f>PI!K45</f>
        <v>1</v>
      </c>
      <c r="Q22" s="92">
        <f>PI!L45</f>
        <v>1</v>
      </c>
      <c r="R22" s="92">
        <f>PI!M45</f>
        <v>1</v>
      </c>
      <c r="S22" s="92">
        <f>PI!N45</f>
        <v>1</v>
      </c>
      <c r="T22" s="108">
        <f>PI!O45</f>
        <v>1</v>
      </c>
      <c r="U22" s="36"/>
      <c r="V22" s="36"/>
    </row>
    <row r="23" spans="1:22" ht="15.75">
      <c r="A23" s="281">
        <v>5</v>
      </c>
      <c r="B23" s="310" t="s">
        <v>294</v>
      </c>
      <c r="C23" s="450"/>
      <c r="D23" s="360"/>
      <c r="E23" s="136"/>
      <c r="F23" s="78">
        <v>8</v>
      </c>
      <c r="G23" s="92"/>
      <c r="H23" s="92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123"/>
      <c r="U23" s="36"/>
      <c r="V23" s="36"/>
    </row>
    <row r="24" spans="1:22" ht="15.75">
      <c r="A24" s="280"/>
      <c r="B24" s="160" t="s">
        <v>295</v>
      </c>
      <c r="C24" s="450" t="s">
        <v>279</v>
      </c>
      <c r="D24" s="360" t="s">
        <v>149</v>
      </c>
      <c r="E24" s="136" t="s">
        <v>418</v>
      </c>
      <c r="F24" s="78"/>
      <c r="G24" s="92">
        <v>0.09</v>
      </c>
      <c r="H24" s="92">
        <v>0.09</v>
      </c>
      <c r="I24" s="357">
        <v>0.09</v>
      </c>
      <c r="J24" s="357">
        <v>0.09</v>
      </c>
      <c r="K24" s="357">
        <v>0.09</v>
      </c>
      <c r="L24" s="357">
        <v>0.09</v>
      </c>
      <c r="M24" s="357">
        <v>0.09</v>
      </c>
      <c r="N24" s="357">
        <v>0.09</v>
      </c>
      <c r="O24" s="357">
        <v>0.09</v>
      </c>
      <c r="P24" s="357">
        <v>0.09</v>
      </c>
      <c r="Q24" s="357">
        <v>0.09</v>
      </c>
      <c r="R24" s="357">
        <v>0.09</v>
      </c>
      <c r="S24" s="357">
        <f>PI!N64</f>
        <v>0.09</v>
      </c>
      <c r="T24" s="470">
        <f>PI!O64</f>
        <v>0.09</v>
      </c>
      <c r="U24" s="36"/>
      <c r="V24" s="36"/>
    </row>
    <row r="25" spans="1:22" ht="15.75">
      <c r="A25" s="279"/>
      <c r="B25" s="160" t="s">
        <v>296</v>
      </c>
      <c r="C25" s="450" t="s">
        <v>279</v>
      </c>
      <c r="D25" s="360" t="s">
        <v>149</v>
      </c>
      <c r="E25" s="136" t="s">
        <v>419</v>
      </c>
      <c r="F25" s="78"/>
      <c r="G25" s="92">
        <f>N25</f>
        <v>0.04</v>
      </c>
      <c r="H25" s="92">
        <f>T25</f>
        <v>0.04</v>
      </c>
      <c r="I25" s="106">
        <f>PI!D86</f>
        <v>0.04</v>
      </c>
      <c r="J25" s="106">
        <f>PI!E86</f>
        <v>0.04</v>
      </c>
      <c r="K25" s="106">
        <f>PI!F86</f>
        <v>0.04</v>
      </c>
      <c r="L25" s="106">
        <f>PI!G86</f>
        <v>0.04</v>
      </c>
      <c r="M25" s="106">
        <f>PI!H86</f>
        <v>0.04</v>
      </c>
      <c r="N25" s="106">
        <f>PI!I86</f>
        <v>0.04</v>
      </c>
      <c r="O25" s="106">
        <f>PI!J86</f>
        <v>0.04</v>
      </c>
      <c r="P25" s="106">
        <f>PI!K86</f>
        <v>0.04</v>
      </c>
      <c r="Q25" s="106">
        <f>PI!L86</f>
        <v>0.04</v>
      </c>
      <c r="R25" s="106">
        <f>PI!M86</f>
        <v>0.04</v>
      </c>
      <c r="S25" s="106">
        <f>PI!N86</f>
        <v>0.04</v>
      </c>
      <c r="T25" s="109">
        <f>PI!O86</f>
        <v>0.04</v>
      </c>
      <c r="U25" s="36"/>
      <c r="V25" s="36"/>
    </row>
    <row r="26" spans="1:22" ht="15.75">
      <c r="A26" s="280"/>
      <c r="B26" s="160" t="s">
        <v>298</v>
      </c>
      <c r="C26" s="450" t="s">
        <v>277</v>
      </c>
      <c r="D26" s="360" t="s">
        <v>193</v>
      </c>
      <c r="E26" s="136" t="s">
        <v>420</v>
      </c>
      <c r="F26" s="78"/>
      <c r="G26" s="92">
        <f>N26</f>
        <v>4.9000000000000004</v>
      </c>
      <c r="H26" s="92">
        <f>T26</f>
        <v>4.9000000000000004</v>
      </c>
      <c r="I26" s="92">
        <f>PI!D97</f>
        <v>4.9000000000000004</v>
      </c>
      <c r="J26" s="92">
        <f>PI!E97</f>
        <v>4.9000000000000004</v>
      </c>
      <c r="K26" s="92">
        <f>PI!F97</f>
        <v>4.9000000000000004</v>
      </c>
      <c r="L26" s="92">
        <f>PI!G97</f>
        <v>4.9000000000000004</v>
      </c>
      <c r="M26" s="92">
        <f>PI!H97</f>
        <v>4.9000000000000004</v>
      </c>
      <c r="N26" s="92">
        <f>PI!I97</f>
        <v>4.9000000000000004</v>
      </c>
      <c r="O26" s="92">
        <f>PI!J97</f>
        <v>4.9000000000000004</v>
      </c>
      <c r="P26" s="92">
        <f>PI!K97</f>
        <v>4.9000000000000004</v>
      </c>
      <c r="Q26" s="92">
        <f>PI!L97</f>
        <v>4.9000000000000004</v>
      </c>
      <c r="R26" s="92">
        <f>PI!M97</f>
        <v>4.9000000000000004</v>
      </c>
      <c r="S26" s="92">
        <f>PI!N97</f>
        <v>4.9000000000000004</v>
      </c>
      <c r="T26" s="108">
        <f>PI!O97</f>
        <v>4.9000000000000004</v>
      </c>
      <c r="U26" s="36"/>
      <c r="V26" s="36"/>
    </row>
    <row r="27" spans="1:22" ht="22.15" customHeight="1">
      <c r="A27" s="280"/>
      <c r="B27" s="160" t="s">
        <v>300</v>
      </c>
      <c r="C27" s="450" t="s">
        <v>277</v>
      </c>
      <c r="D27" s="360" t="s">
        <v>301</v>
      </c>
      <c r="E27" s="136" t="s">
        <v>421</v>
      </c>
      <c r="F27" s="78"/>
      <c r="G27" s="92">
        <f>N27</f>
        <v>5762</v>
      </c>
      <c r="H27" s="92">
        <f>T27</f>
        <v>9603</v>
      </c>
      <c r="I27" s="92">
        <f>PI!D105</f>
        <v>987</v>
      </c>
      <c r="J27" s="92">
        <f>PI!E105</f>
        <v>1878</v>
      </c>
      <c r="K27" s="92">
        <f>PI!F105</f>
        <v>2865</v>
      </c>
      <c r="L27" s="92">
        <f>PI!G105</f>
        <v>3820</v>
      </c>
      <c r="M27" s="92">
        <f>PI!H105</f>
        <v>4807</v>
      </c>
      <c r="N27" s="92">
        <f>PI!I105</f>
        <v>5762</v>
      </c>
      <c r="O27" s="92">
        <f>PI!J105</f>
        <v>6409</v>
      </c>
      <c r="P27" s="92">
        <f>PI!K105</f>
        <v>7056</v>
      </c>
      <c r="Q27" s="92">
        <f>PI!L105</f>
        <v>7683</v>
      </c>
      <c r="R27" s="92">
        <f>PI!M105</f>
        <v>8330</v>
      </c>
      <c r="S27" s="92">
        <f>PI!N105</f>
        <v>8956</v>
      </c>
      <c r="T27" s="108">
        <f>PI!O105</f>
        <v>9603</v>
      </c>
      <c r="U27" s="36"/>
      <c r="V27" s="36"/>
    </row>
    <row r="28" spans="1:22" ht="15.75">
      <c r="A28" s="280">
        <v>6</v>
      </c>
      <c r="B28" s="310" t="s">
        <v>303</v>
      </c>
      <c r="C28" s="450"/>
      <c r="D28" s="360"/>
      <c r="E28" s="136"/>
      <c r="F28" s="78">
        <v>3</v>
      </c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108"/>
      <c r="U28" s="36"/>
      <c r="V28" s="36"/>
    </row>
    <row r="29" spans="1:22" ht="15.75">
      <c r="A29" s="280"/>
      <c r="B29" s="160" t="s">
        <v>304</v>
      </c>
      <c r="C29" s="450" t="s">
        <v>279</v>
      </c>
      <c r="D29" s="360" t="s">
        <v>132</v>
      </c>
      <c r="E29" s="136" t="s">
        <v>422</v>
      </c>
      <c r="F29" s="78"/>
      <c r="G29" s="92">
        <f>N29</f>
        <v>30</v>
      </c>
      <c r="H29" s="92">
        <f>T29</f>
        <v>30</v>
      </c>
      <c r="I29" s="92">
        <f>PI!D119</f>
        <v>30</v>
      </c>
      <c r="J29" s="92">
        <f>PI!E119</f>
        <v>30</v>
      </c>
      <c r="K29" s="92">
        <f>PI!F119</f>
        <v>30</v>
      </c>
      <c r="L29" s="92">
        <f>PI!G119</f>
        <v>30</v>
      </c>
      <c r="M29" s="92">
        <f>PI!H119</f>
        <v>30</v>
      </c>
      <c r="N29" s="92">
        <f>PI!I119</f>
        <v>30</v>
      </c>
      <c r="O29" s="92">
        <f>PI!J119</f>
        <v>30</v>
      </c>
      <c r="P29" s="92">
        <f>PI!K119</f>
        <v>30</v>
      </c>
      <c r="Q29" s="92">
        <f>PI!L119</f>
        <v>30</v>
      </c>
      <c r="R29" s="92">
        <f>PI!M119</f>
        <v>30</v>
      </c>
      <c r="S29" s="92">
        <f>PI!N119</f>
        <v>30</v>
      </c>
      <c r="T29" s="108">
        <f>PI!O119</f>
        <v>30</v>
      </c>
      <c r="U29" s="36"/>
      <c r="V29" s="36"/>
    </row>
    <row r="30" spans="1:22" ht="31.5">
      <c r="A30" s="280"/>
      <c r="B30" s="160" t="s">
        <v>305</v>
      </c>
      <c r="C30" s="450" t="s">
        <v>277</v>
      </c>
      <c r="D30" s="360" t="s">
        <v>149</v>
      </c>
      <c r="E30" s="136" t="s">
        <v>423</v>
      </c>
      <c r="F30" s="78"/>
      <c r="G30" s="92">
        <f>N30</f>
        <v>0</v>
      </c>
      <c r="H30" s="92">
        <f>T30</f>
        <v>0</v>
      </c>
      <c r="I30" s="92">
        <f>PI!D135</f>
        <v>0</v>
      </c>
      <c r="J30" s="92">
        <f>PI!E135</f>
        <v>0</v>
      </c>
      <c r="K30" s="92">
        <f>PI!F135</f>
        <v>0</v>
      </c>
      <c r="L30" s="92">
        <f>PI!G135</f>
        <v>0</v>
      </c>
      <c r="M30" s="92">
        <f>PI!H135</f>
        <v>0</v>
      </c>
      <c r="N30" s="92">
        <f>PI!I135</f>
        <v>0</v>
      </c>
      <c r="O30" s="92">
        <f>PI!J135</f>
        <v>0</v>
      </c>
      <c r="P30" s="92">
        <f>PI!K135</f>
        <v>0</v>
      </c>
      <c r="Q30" s="92">
        <f>PI!L135</f>
        <v>0</v>
      </c>
      <c r="R30" s="92">
        <f>PI!M135</f>
        <v>0</v>
      </c>
      <c r="S30" s="92">
        <f>PI!N135</f>
        <v>0</v>
      </c>
      <c r="T30" s="108">
        <f>PI!O135</f>
        <v>0</v>
      </c>
      <c r="U30" s="36"/>
      <c r="V30" s="36"/>
    </row>
    <row r="31" spans="1:22" ht="15.75">
      <c r="A31" s="280">
        <v>7</v>
      </c>
      <c r="B31" s="310" t="s">
        <v>306</v>
      </c>
      <c r="C31" s="450"/>
      <c r="D31" s="360"/>
      <c r="E31" s="136"/>
      <c r="F31" s="78">
        <v>6</v>
      </c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108"/>
      <c r="U31" s="36"/>
      <c r="V31" s="36"/>
    </row>
    <row r="32" spans="1:22" ht="15.75">
      <c r="A32" s="280"/>
      <c r="B32" s="160" t="s">
        <v>308</v>
      </c>
      <c r="C32" s="450" t="s">
        <v>277</v>
      </c>
      <c r="D32" s="360" t="s">
        <v>149</v>
      </c>
      <c r="E32" s="136" t="s">
        <v>424</v>
      </c>
      <c r="F32" s="78"/>
      <c r="G32" s="92">
        <f>N32</f>
        <v>100</v>
      </c>
      <c r="H32" s="92">
        <f>T32</f>
        <v>100</v>
      </c>
      <c r="I32" s="92">
        <f>PI!D154</f>
        <v>100</v>
      </c>
      <c r="J32" s="92">
        <f>PI!E154</f>
        <v>100</v>
      </c>
      <c r="K32" s="92">
        <f>PI!F154</f>
        <v>100</v>
      </c>
      <c r="L32" s="92">
        <f>PI!G154</f>
        <v>100</v>
      </c>
      <c r="M32" s="92">
        <f>PI!H154</f>
        <v>100</v>
      </c>
      <c r="N32" s="92">
        <f>PI!I154</f>
        <v>100</v>
      </c>
      <c r="O32" s="92">
        <f>PI!J154</f>
        <v>100</v>
      </c>
      <c r="P32" s="92">
        <f>PI!K154</f>
        <v>100</v>
      </c>
      <c r="Q32" s="92">
        <f>PI!L154</f>
        <v>100</v>
      </c>
      <c r="R32" s="92">
        <f>PI!M154</f>
        <v>100</v>
      </c>
      <c r="S32" s="92">
        <f>PI!N154</f>
        <v>100</v>
      </c>
      <c r="T32" s="108">
        <f>PI!O154</f>
        <v>100</v>
      </c>
      <c r="U32" s="36"/>
      <c r="V32" s="36"/>
    </row>
    <row r="33" spans="1:22" ht="15.75">
      <c r="A33" s="280"/>
      <c r="B33" s="160" t="s">
        <v>309</v>
      </c>
      <c r="C33" s="450" t="s">
        <v>277</v>
      </c>
      <c r="D33" s="360" t="s">
        <v>149</v>
      </c>
      <c r="E33" s="136" t="s">
        <v>425</v>
      </c>
      <c r="F33" s="78"/>
      <c r="G33" s="92">
        <f>N33</f>
        <v>100</v>
      </c>
      <c r="H33" s="92">
        <f>T33</f>
        <v>100</v>
      </c>
      <c r="I33" s="92">
        <f>PI!D176</f>
        <v>100</v>
      </c>
      <c r="J33" s="92">
        <f>PI!E176</f>
        <v>100</v>
      </c>
      <c r="K33" s="92">
        <f>PI!F176</f>
        <v>100</v>
      </c>
      <c r="L33" s="92">
        <f>PI!G176</f>
        <v>100</v>
      </c>
      <c r="M33" s="92">
        <f>PI!H176</f>
        <v>100</v>
      </c>
      <c r="N33" s="92">
        <f>PI!I176</f>
        <v>100</v>
      </c>
      <c r="O33" s="92">
        <f>PI!J176</f>
        <v>100</v>
      </c>
      <c r="P33" s="92">
        <f>PI!K176</f>
        <v>100</v>
      </c>
      <c r="Q33" s="92">
        <f>PI!L176</f>
        <v>100</v>
      </c>
      <c r="R33" s="92">
        <f>PI!M176</f>
        <v>100</v>
      </c>
      <c r="S33" s="92">
        <f>PI!N176</f>
        <v>100</v>
      </c>
      <c r="T33" s="108">
        <f>PI!O176</f>
        <v>100</v>
      </c>
      <c r="U33" s="36"/>
      <c r="V33" s="36"/>
    </row>
    <row r="34" spans="1:22" ht="15.75">
      <c r="A34" s="280">
        <v>8</v>
      </c>
      <c r="B34" s="310" t="s">
        <v>31</v>
      </c>
      <c r="C34" s="450"/>
      <c r="D34" s="360"/>
      <c r="E34" s="136"/>
      <c r="F34" s="78">
        <v>10</v>
      </c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108"/>
      <c r="U34" s="36"/>
      <c r="V34" s="36"/>
    </row>
    <row r="35" spans="1:22" ht="15.75">
      <c r="A35" s="280"/>
      <c r="B35" s="160" t="s">
        <v>312</v>
      </c>
      <c r="C35" s="450" t="s">
        <v>277</v>
      </c>
      <c r="D35" s="360" t="s">
        <v>313</v>
      </c>
      <c r="E35" s="136" t="s">
        <v>426</v>
      </c>
      <c r="F35" s="78"/>
      <c r="G35" s="92">
        <f>N35</f>
        <v>0.5</v>
      </c>
      <c r="H35" s="92">
        <f>T35</f>
        <v>1.26</v>
      </c>
      <c r="I35" s="92">
        <f>PI!D197</f>
        <v>7.0000000000000007E-2</v>
      </c>
      <c r="J35" s="92">
        <f>PI!E197</f>
        <v>0.14000000000000001</v>
      </c>
      <c r="K35" s="92">
        <f>PI!F197</f>
        <v>0.21</v>
      </c>
      <c r="L35" s="92">
        <f>PI!G197</f>
        <v>0.28000000000000003</v>
      </c>
      <c r="M35" s="92">
        <f>PI!H197</f>
        <v>0.39</v>
      </c>
      <c r="N35" s="92">
        <f>PI!I197</f>
        <v>0.5</v>
      </c>
      <c r="O35" s="92">
        <f>PI!J197</f>
        <v>0.61</v>
      </c>
      <c r="P35" s="92">
        <f>PI!K197</f>
        <v>0.72</v>
      </c>
      <c r="Q35" s="92">
        <f>PI!L197</f>
        <v>0.82</v>
      </c>
      <c r="R35" s="92">
        <f>PI!M197</f>
        <v>0.93</v>
      </c>
      <c r="S35" s="92">
        <f>PI!N197</f>
        <v>1.04</v>
      </c>
      <c r="T35" s="108">
        <f>PI!O197</f>
        <v>1.26</v>
      </c>
      <c r="U35" s="36"/>
      <c r="V35" s="36"/>
    </row>
    <row r="36" spans="1:22" ht="15.75">
      <c r="A36" s="281"/>
      <c r="B36" s="160" t="s">
        <v>314</v>
      </c>
      <c r="C36" s="447" t="s">
        <v>277</v>
      </c>
      <c r="D36" s="360" t="s">
        <v>133</v>
      </c>
      <c r="E36" s="77" t="s">
        <v>427</v>
      </c>
      <c r="F36" s="77"/>
      <c r="G36" s="93">
        <f>N36</f>
        <v>748</v>
      </c>
      <c r="H36" s="93">
        <f>T36</f>
        <v>1721</v>
      </c>
      <c r="I36" s="93">
        <f>PI!D203</f>
        <v>102</v>
      </c>
      <c r="J36" s="93">
        <f>PI!E203</f>
        <v>208</v>
      </c>
      <c r="K36" s="93">
        <f>PI!F203</f>
        <v>319</v>
      </c>
      <c r="L36" s="93">
        <f>PI!G203</f>
        <v>425</v>
      </c>
      <c r="M36" s="93">
        <f>PI!H203</f>
        <v>589</v>
      </c>
      <c r="N36" s="93">
        <f>PI!I203</f>
        <v>748</v>
      </c>
      <c r="O36" s="93">
        <f>PI!J203</f>
        <v>912</v>
      </c>
      <c r="P36" s="93">
        <f>PI!K203</f>
        <v>1076</v>
      </c>
      <c r="Q36" s="93">
        <f>PI!L203</f>
        <v>1234</v>
      </c>
      <c r="R36" s="93">
        <f>PI!M203</f>
        <v>1398</v>
      </c>
      <c r="S36" s="93">
        <f>PI!N203</f>
        <v>1557</v>
      </c>
      <c r="T36" s="123">
        <f>PI!O203</f>
        <v>1721</v>
      </c>
      <c r="U36" s="36"/>
      <c r="V36" s="36"/>
    </row>
    <row r="37" spans="1:22" ht="15.75">
      <c r="A37" s="280"/>
      <c r="B37" s="160" t="s">
        <v>315</v>
      </c>
      <c r="C37" s="450" t="s">
        <v>277</v>
      </c>
      <c r="D37" s="360" t="s">
        <v>133</v>
      </c>
      <c r="E37" s="136" t="s">
        <v>428</v>
      </c>
      <c r="F37" s="78"/>
      <c r="G37" s="92">
        <f>N37</f>
        <v>90</v>
      </c>
      <c r="H37" s="92">
        <f>T37</f>
        <v>150</v>
      </c>
      <c r="I37" s="92">
        <f>PI!D209</f>
        <v>15</v>
      </c>
      <c r="J37" s="92">
        <f>PI!E209</f>
        <v>30</v>
      </c>
      <c r="K37" s="92">
        <f>PI!F209</f>
        <v>45</v>
      </c>
      <c r="L37" s="92">
        <f>PI!G209</f>
        <v>60</v>
      </c>
      <c r="M37" s="92">
        <f>PI!H209</f>
        <v>75</v>
      </c>
      <c r="N37" s="92">
        <f>PI!I209</f>
        <v>90</v>
      </c>
      <c r="O37" s="92">
        <f>PI!J209</f>
        <v>100</v>
      </c>
      <c r="P37" s="92">
        <f>PI!K209</f>
        <v>110</v>
      </c>
      <c r="Q37" s="92">
        <f>PI!L209</f>
        <v>120</v>
      </c>
      <c r="R37" s="92">
        <f>PI!M209</f>
        <v>130</v>
      </c>
      <c r="S37" s="92">
        <f>PI!N209</f>
        <v>140</v>
      </c>
      <c r="T37" s="108">
        <f>PI!O209</f>
        <v>150</v>
      </c>
      <c r="U37" s="36"/>
      <c r="V37" s="36"/>
    </row>
    <row r="38" spans="1:22" ht="15.75">
      <c r="A38" s="331"/>
      <c r="B38" s="160" t="s">
        <v>316</v>
      </c>
      <c r="C38" s="450" t="s">
        <v>277</v>
      </c>
      <c r="D38" s="360" t="s">
        <v>133</v>
      </c>
      <c r="E38" s="136" t="s">
        <v>429</v>
      </c>
      <c r="F38" s="78"/>
      <c r="G38" s="92">
        <f>N38</f>
        <v>2</v>
      </c>
      <c r="H38" s="92">
        <f>T38</f>
        <v>2</v>
      </c>
      <c r="I38" s="92">
        <f>PI!D215</f>
        <v>0</v>
      </c>
      <c r="J38" s="92">
        <f>PI!E215</f>
        <v>0</v>
      </c>
      <c r="K38" s="92">
        <f>PI!F215</f>
        <v>0</v>
      </c>
      <c r="L38" s="92">
        <f>PI!G215</f>
        <v>2</v>
      </c>
      <c r="M38" s="92">
        <f>PI!H215</f>
        <v>2</v>
      </c>
      <c r="N38" s="92">
        <f>PI!I215</f>
        <v>2</v>
      </c>
      <c r="O38" s="92">
        <f>PI!J215</f>
        <v>2</v>
      </c>
      <c r="P38" s="92">
        <f>PI!K215</f>
        <v>2</v>
      </c>
      <c r="Q38" s="92">
        <f>PI!L215</f>
        <v>2</v>
      </c>
      <c r="R38" s="92">
        <f>PI!M215</f>
        <v>2</v>
      </c>
      <c r="S38" s="92">
        <f>PI!N215</f>
        <v>2</v>
      </c>
      <c r="T38" s="108">
        <f>PI!O215</f>
        <v>2</v>
      </c>
      <c r="U38" s="36"/>
      <c r="V38" s="36"/>
    </row>
    <row r="39" spans="1:22" ht="15.75">
      <c r="A39" s="280">
        <v>9</v>
      </c>
      <c r="B39" s="310" t="s">
        <v>430</v>
      </c>
      <c r="C39" s="450"/>
      <c r="D39" s="360"/>
      <c r="E39" s="136"/>
      <c r="F39" s="78">
        <v>4</v>
      </c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108"/>
      <c r="U39" s="36"/>
      <c r="V39" s="36"/>
    </row>
    <row r="40" spans="1:22" ht="15.75">
      <c r="A40" s="280"/>
      <c r="B40" s="160" t="s">
        <v>431</v>
      </c>
      <c r="C40" s="450" t="s">
        <v>277</v>
      </c>
      <c r="D40" s="360" t="s">
        <v>133</v>
      </c>
      <c r="E40" s="136" t="s">
        <v>432</v>
      </c>
      <c r="F40" s="78"/>
      <c r="G40" s="92">
        <f>N40</f>
        <v>0</v>
      </c>
      <c r="H40" s="92">
        <f>T40</f>
        <v>0</v>
      </c>
      <c r="I40" s="92">
        <f>PI!D221</f>
        <v>0</v>
      </c>
      <c r="J40" s="92">
        <f>PI!E221</f>
        <v>0</v>
      </c>
      <c r="K40" s="92">
        <f>PI!F221</f>
        <v>0</v>
      </c>
      <c r="L40" s="92">
        <f>PI!G221</f>
        <v>0</v>
      </c>
      <c r="M40" s="92">
        <f>PI!H221</f>
        <v>0</v>
      </c>
      <c r="N40" s="92">
        <f>PI!I221</f>
        <v>0</v>
      </c>
      <c r="O40" s="92">
        <f>PI!J221</f>
        <v>0</v>
      </c>
      <c r="P40" s="92">
        <f>PI!K221</f>
        <v>0</v>
      </c>
      <c r="Q40" s="92">
        <f>PI!L221</f>
        <v>0</v>
      </c>
      <c r="R40" s="92">
        <f>PI!M221</f>
        <v>0</v>
      </c>
      <c r="S40" s="92">
        <f>PI!N221</f>
        <v>0</v>
      </c>
      <c r="T40" s="108">
        <f>PI!O221</f>
        <v>0</v>
      </c>
      <c r="U40" s="36"/>
      <c r="V40" s="36"/>
    </row>
    <row r="41" spans="1:22" ht="31.5">
      <c r="A41" s="280"/>
      <c r="B41" s="160" t="s">
        <v>433</v>
      </c>
      <c r="C41" s="450" t="s">
        <v>277</v>
      </c>
      <c r="D41" s="360" t="s">
        <v>434</v>
      </c>
      <c r="E41" s="136" t="s">
        <v>435</v>
      </c>
      <c r="F41" s="78"/>
      <c r="G41" s="92">
        <f>N41</f>
        <v>0</v>
      </c>
      <c r="H41" s="92">
        <f>T41</f>
        <v>0</v>
      </c>
      <c r="I41" s="92">
        <f>PI!D227</f>
        <v>0</v>
      </c>
      <c r="J41" s="92">
        <f>PI!E227</f>
        <v>0</v>
      </c>
      <c r="K41" s="92">
        <f>PI!F227</f>
        <v>0</v>
      </c>
      <c r="L41" s="92">
        <f>PI!G227</f>
        <v>0</v>
      </c>
      <c r="M41" s="92">
        <f>PI!H227</f>
        <v>0</v>
      </c>
      <c r="N41" s="92">
        <f>PI!I227</f>
        <v>0</v>
      </c>
      <c r="O41" s="92">
        <f>PI!J227</f>
        <v>0</v>
      </c>
      <c r="P41" s="92">
        <f>PI!K227</f>
        <v>0</v>
      </c>
      <c r="Q41" s="92">
        <f>PI!L227</f>
        <v>0</v>
      </c>
      <c r="R41" s="92">
        <f>PI!M227</f>
        <v>0</v>
      </c>
      <c r="S41" s="92">
        <f>PI!N227</f>
        <v>0</v>
      </c>
      <c r="T41" s="108">
        <f>PI!O227</f>
        <v>0</v>
      </c>
      <c r="U41" s="36"/>
      <c r="V41" s="36"/>
    </row>
    <row r="42" spans="1:22" ht="15.75">
      <c r="A42" s="280">
        <v>10</v>
      </c>
      <c r="B42" s="310" t="s">
        <v>321</v>
      </c>
      <c r="C42" s="450"/>
      <c r="D42" s="360"/>
      <c r="E42" s="136"/>
      <c r="F42" s="78">
        <v>8</v>
      </c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108"/>
      <c r="U42" s="36"/>
      <c r="V42" s="36"/>
    </row>
    <row r="43" spans="1:22" ht="15.75">
      <c r="A43" s="279"/>
      <c r="B43" s="160" t="s">
        <v>322</v>
      </c>
      <c r="C43" s="450" t="s">
        <v>277</v>
      </c>
      <c r="D43" s="360" t="s">
        <v>133</v>
      </c>
      <c r="E43" s="136" t="s">
        <v>436</v>
      </c>
      <c r="F43" s="78"/>
      <c r="G43" s="92">
        <f>N43</f>
        <v>414</v>
      </c>
      <c r="H43" s="92">
        <f>T43</f>
        <v>414</v>
      </c>
      <c r="I43" s="92">
        <f>PI!D237</f>
        <v>414</v>
      </c>
      <c r="J43" s="92">
        <f>PI!E237</f>
        <v>414</v>
      </c>
      <c r="K43" s="92">
        <f>PI!F237</f>
        <v>414</v>
      </c>
      <c r="L43" s="92">
        <f>PI!G237</f>
        <v>414</v>
      </c>
      <c r="M43" s="92">
        <f>PI!H237</f>
        <v>414</v>
      </c>
      <c r="N43" s="92">
        <f>PI!I237</f>
        <v>414</v>
      </c>
      <c r="O43" s="92">
        <f>PI!J237</f>
        <v>414</v>
      </c>
      <c r="P43" s="92">
        <f>PI!K237</f>
        <v>414</v>
      </c>
      <c r="Q43" s="92">
        <f>PI!L237</f>
        <v>414</v>
      </c>
      <c r="R43" s="92">
        <f>PI!M237</f>
        <v>414</v>
      </c>
      <c r="S43" s="92">
        <f>PI!N237</f>
        <v>414</v>
      </c>
      <c r="T43" s="108">
        <f>PI!O237</f>
        <v>414</v>
      </c>
      <c r="U43" s="36"/>
      <c r="V43" s="36"/>
    </row>
    <row r="44" spans="1:22" ht="15.75">
      <c r="A44" s="280"/>
      <c r="B44" s="160" t="s">
        <v>324</v>
      </c>
      <c r="C44" s="450" t="s">
        <v>279</v>
      </c>
      <c r="D44" s="360" t="s">
        <v>133</v>
      </c>
      <c r="E44" s="136" t="s">
        <v>437</v>
      </c>
      <c r="F44" s="78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108"/>
      <c r="U44" s="36"/>
      <c r="V44" s="36"/>
    </row>
    <row r="45" spans="1:22" ht="15.75">
      <c r="A45" s="280">
        <v>11</v>
      </c>
      <c r="B45" s="310" t="s">
        <v>438</v>
      </c>
      <c r="C45" s="450" t="s">
        <v>277</v>
      </c>
      <c r="D45" s="76" t="s">
        <v>149</v>
      </c>
      <c r="E45" s="136" t="s">
        <v>439</v>
      </c>
      <c r="F45" s="78">
        <v>3</v>
      </c>
      <c r="G45" s="92">
        <f>N45</f>
        <v>100</v>
      </c>
      <c r="H45" s="92">
        <f>T45</f>
        <v>100</v>
      </c>
      <c r="I45" s="92">
        <f>PI!D255</f>
        <v>100</v>
      </c>
      <c r="J45" s="92">
        <f>PI!E255</f>
        <v>100</v>
      </c>
      <c r="K45" s="92">
        <f>PI!F255</f>
        <v>100</v>
      </c>
      <c r="L45" s="92">
        <f>PI!G255</f>
        <v>100</v>
      </c>
      <c r="M45" s="92">
        <f>PI!H255</f>
        <v>100</v>
      </c>
      <c r="N45" s="92">
        <f>PI!I255</f>
        <v>100</v>
      </c>
      <c r="O45" s="92">
        <f>PI!J255</f>
        <v>100</v>
      </c>
      <c r="P45" s="92">
        <f>PI!K255</f>
        <v>100</v>
      </c>
      <c r="Q45" s="92">
        <f>PI!L255</f>
        <v>100</v>
      </c>
      <c r="R45" s="92">
        <f>PI!M255</f>
        <v>100</v>
      </c>
      <c r="S45" s="92">
        <f>PI!N255</f>
        <v>100</v>
      </c>
      <c r="T45" s="108">
        <f>PI!O255</f>
        <v>100</v>
      </c>
      <c r="U45" s="36"/>
      <c r="V45" s="36"/>
    </row>
    <row r="46" spans="1:22" ht="15.75">
      <c r="A46" s="280">
        <v>12</v>
      </c>
      <c r="B46" s="310" t="s">
        <v>325</v>
      </c>
      <c r="C46" s="450"/>
      <c r="D46" s="360" t="s">
        <v>149</v>
      </c>
      <c r="E46" s="136"/>
      <c r="F46" s="78">
        <v>9</v>
      </c>
      <c r="T46" s="473"/>
      <c r="U46" s="36"/>
      <c r="V46" s="36"/>
    </row>
    <row r="47" spans="1:22" ht="31.5">
      <c r="A47" s="280"/>
      <c r="B47" s="160" t="s">
        <v>440</v>
      </c>
      <c r="C47" s="450" t="s">
        <v>279</v>
      </c>
      <c r="D47" s="360" t="s">
        <v>327</v>
      </c>
      <c r="E47" s="136" t="s">
        <v>441</v>
      </c>
      <c r="F47" s="78"/>
      <c r="G47" s="92">
        <f t="shared" ref="G47:G49" si="0">N47</f>
        <v>213</v>
      </c>
      <c r="H47" s="92">
        <f t="shared" ref="H47:H49" si="1">T47</f>
        <v>213</v>
      </c>
      <c r="I47" s="92">
        <f>PI!D274</f>
        <v>213</v>
      </c>
      <c r="J47" s="92">
        <f>PI!E274</f>
        <v>213</v>
      </c>
      <c r="K47" s="92">
        <f>PI!F274</f>
        <v>213</v>
      </c>
      <c r="L47" s="92">
        <f>PI!G274</f>
        <v>213</v>
      </c>
      <c r="M47" s="92">
        <f>PI!H274</f>
        <v>213</v>
      </c>
      <c r="N47" s="92">
        <f>PI!I274</f>
        <v>213</v>
      </c>
      <c r="O47" s="92">
        <f>PI!J274</f>
        <v>213</v>
      </c>
      <c r="P47" s="92">
        <f>PI!K274</f>
        <v>213</v>
      </c>
      <c r="Q47" s="92">
        <f>PI!L274</f>
        <v>213</v>
      </c>
      <c r="R47" s="92">
        <f>PI!M274</f>
        <v>213</v>
      </c>
      <c r="S47" s="92">
        <f>PI!N274</f>
        <v>213</v>
      </c>
      <c r="T47" s="108">
        <f>PI!O274</f>
        <v>213</v>
      </c>
      <c r="U47" s="36"/>
      <c r="V47" s="36"/>
    </row>
    <row r="48" spans="1:22" ht="31.5">
      <c r="A48" s="280"/>
      <c r="B48" s="160" t="s">
        <v>442</v>
      </c>
      <c r="C48" s="450" t="s">
        <v>279</v>
      </c>
      <c r="D48" s="360" t="s">
        <v>327</v>
      </c>
      <c r="E48" s="136" t="s">
        <v>443</v>
      </c>
      <c r="F48" s="78"/>
      <c r="G48" s="92">
        <f t="shared" si="0"/>
        <v>96.04</v>
      </c>
      <c r="H48" s="92">
        <f t="shared" si="1"/>
        <v>96.04</v>
      </c>
      <c r="I48" s="92">
        <f>PI!D296</f>
        <v>96.04</v>
      </c>
      <c r="J48" s="92">
        <f>PI!E296</f>
        <v>96.04</v>
      </c>
      <c r="K48" s="92">
        <f>PI!F296</f>
        <v>96.04</v>
      </c>
      <c r="L48" s="92">
        <f>PI!G296</f>
        <v>96.04</v>
      </c>
      <c r="M48" s="92">
        <f>PI!H296</f>
        <v>96.04</v>
      </c>
      <c r="N48" s="92">
        <f>PI!I296</f>
        <v>96.04</v>
      </c>
      <c r="O48" s="92">
        <f>PI!J296</f>
        <v>96.04</v>
      </c>
      <c r="P48" s="92">
        <f>PI!K296</f>
        <v>96.04</v>
      </c>
      <c r="Q48" s="92">
        <f>PI!L296</f>
        <v>96.04</v>
      </c>
      <c r="R48" s="92">
        <f>PI!M296</f>
        <v>96.04</v>
      </c>
      <c r="S48" s="92">
        <f>PI!N296</f>
        <v>96.04</v>
      </c>
      <c r="T48" s="108">
        <f>PI!O296</f>
        <v>96.04</v>
      </c>
      <c r="U48" s="36"/>
      <c r="V48" s="36"/>
    </row>
    <row r="49" spans="1:22" ht="15.75">
      <c r="A49" s="280"/>
      <c r="B49" s="160" t="s">
        <v>331</v>
      </c>
      <c r="C49" s="450" t="s">
        <v>277</v>
      </c>
      <c r="D49" s="360" t="s">
        <v>327</v>
      </c>
      <c r="E49" s="136" t="s">
        <v>444</v>
      </c>
      <c r="F49" s="78"/>
      <c r="G49" s="92">
        <f t="shared" si="0"/>
        <v>2.04</v>
      </c>
      <c r="H49" s="92">
        <f t="shared" si="1"/>
        <v>5.0999999999999996</v>
      </c>
      <c r="I49" s="92">
        <f>PI!D317</f>
        <v>0.34</v>
      </c>
      <c r="J49" s="92">
        <f>PI!E317</f>
        <v>0.68</v>
      </c>
      <c r="K49" s="92">
        <f>PI!F317</f>
        <v>1.02</v>
      </c>
      <c r="L49" s="92">
        <f>PI!G317</f>
        <v>1.36</v>
      </c>
      <c r="M49" s="92">
        <f>PI!H317</f>
        <v>1.7</v>
      </c>
      <c r="N49" s="92">
        <f>PI!I317</f>
        <v>2.04</v>
      </c>
      <c r="O49" s="92">
        <f>PI!J317</f>
        <v>2.5499999999999998</v>
      </c>
      <c r="P49" s="92">
        <f>PI!K317</f>
        <v>3.06</v>
      </c>
      <c r="Q49" s="92">
        <f>PI!L317</f>
        <v>3.57</v>
      </c>
      <c r="R49" s="92">
        <f>PI!M317</f>
        <v>4.08</v>
      </c>
      <c r="S49" s="92">
        <f>PI!N317</f>
        <v>4.59</v>
      </c>
      <c r="T49" s="108">
        <f>PI!O317</f>
        <v>5.0999999999999996</v>
      </c>
      <c r="U49" s="36"/>
      <c r="V49" s="36"/>
    </row>
    <row r="50" spans="1:22" ht="15.75">
      <c r="A50" s="281">
        <v>13</v>
      </c>
      <c r="B50" s="310" t="s">
        <v>356</v>
      </c>
      <c r="C50" s="447"/>
      <c r="D50" s="360"/>
      <c r="E50" s="136"/>
      <c r="F50" s="78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108"/>
      <c r="U50" s="36"/>
      <c r="V50" s="36"/>
    </row>
    <row r="51" spans="1:22" ht="31.9" customHeight="1">
      <c r="A51" s="279"/>
      <c r="B51" s="160" t="s">
        <v>357</v>
      </c>
      <c r="C51" s="447"/>
      <c r="D51" s="360"/>
      <c r="E51" s="79" t="s">
        <v>399</v>
      </c>
      <c r="F51" s="77" t="s">
        <v>358</v>
      </c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108"/>
      <c r="U51" s="36"/>
      <c r="V51" s="36"/>
    </row>
    <row r="52" spans="1:22" ht="31.5">
      <c r="A52" s="280"/>
      <c r="B52" s="160" t="s">
        <v>359</v>
      </c>
      <c r="C52" s="447"/>
      <c r="D52" s="360"/>
      <c r="E52" s="79" t="s">
        <v>445</v>
      </c>
      <c r="F52" s="77" t="s">
        <v>360</v>
      </c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108"/>
      <c r="U52" s="36"/>
      <c r="V52" s="36"/>
    </row>
    <row r="53" spans="1:22" ht="31.5">
      <c r="A53" s="280"/>
      <c r="B53" s="160" t="s">
        <v>361</v>
      </c>
      <c r="C53" s="447"/>
      <c r="D53" s="360"/>
      <c r="E53" s="136" t="s">
        <v>401</v>
      </c>
      <c r="F53" s="200" t="s">
        <v>363</v>
      </c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108"/>
      <c r="U53" s="36"/>
      <c r="V53" s="36"/>
    </row>
    <row r="54" spans="1:22" ht="15.75">
      <c r="A54" s="280"/>
      <c r="B54" s="160" t="s">
        <v>364</v>
      </c>
      <c r="C54" s="447"/>
      <c r="D54" s="360"/>
      <c r="E54" s="136" t="s">
        <v>402</v>
      </c>
      <c r="F54" s="201" t="s">
        <v>366</v>
      </c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123"/>
      <c r="U54" s="36"/>
      <c r="V54" s="36"/>
    </row>
    <row r="55" spans="1:22" ht="15.75">
      <c r="A55" s="281"/>
      <c r="B55" s="160" t="s">
        <v>367</v>
      </c>
      <c r="C55" s="447"/>
      <c r="D55" s="360"/>
      <c r="E55" s="136" t="s">
        <v>446</v>
      </c>
      <c r="F55" s="78" t="s">
        <v>368</v>
      </c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108"/>
      <c r="U55" s="36"/>
      <c r="V55" s="36"/>
    </row>
    <row r="56" spans="1:22" ht="15.75">
      <c r="A56" s="73"/>
      <c r="B56" s="427" t="s">
        <v>104</v>
      </c>
      <c r="C56" s="451"/>
      <c r="D56" s="436"/>
      <c r="E56" s="86"/>
      <c r="F56" s="86">
        <f>F7+F18</f>
        <v>100</v>
      </c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73"/>
    </row>
    <row r="57" spans="1:22" customFormat="1">
      <c r="B57" s="428"/>
      <c r="C57" s="443"/>
      <c r="D57" s="428"/>
      <c r="E57" s="105"/>
    </row>
    <row r="58" spans="1:22" customFormat="1">
      <c r="A58" s="114"/>
      <c r="B58" s="429" t="s">
        <v>369</v>
      </c>
      <c r="C58" s="452"/>
      <c r="D58" s="437">
        <f>COUNTA(D8:D55)</f>
        <v>32</v>
      </c>
      <c r="E58" s="114"/>
      <c r="F58" s="4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</row>
    <row r="59" spans="1:22" customFormat="1">
      <c r="B59" s="428"/>
      <c r="C59" s="443"/>
      <c r="D59" s="428"/>
      <c r="E59" s="105"/>
    </row>
    <row r="60" spans="1:22" customFormat="1">
      <c r="A60" s="117" t="s">
        <v>370</v>
      </c>
      <c r="B60" s="430"/>
      <c r="C60" s="453"/>
      <c r="D60" s="421"/>
      <c r="E60" s="119"/>
      <c r="F60" s="119"/>
      <c r="G60" s="119"/>
      <c r="H60" s="119"/>
      <c r="I60" s="119"/>
      <c r="J60" s="119"/>
      <c r="K60" s="119"/>
      <c r="L60" s="119"/>
      <c r="M60" s="119"/>
      <c r="Q60" s="119"/>
      <c r="S60" s="119"/>
    </row>
    <row r="61" spans="1:22" customFormat="1" ht="30">
      <c r="A61" s="119">
        <v>3</v>
      </c>
      <c r="B61" s="431" t="s">
        <v>371</v>
      </c>
      <c r="C61" s="453"/>
      <c r="D61" s="421"/>
      <c r="E61" s="119"/>
      <c r="F61" s="119"/>
      <c r="G61" s="119"/>
      <c r="H61" s="119"/>
      <c r="I61" s="119"/>
      <c r="J61" s="119"/>
      <c r="K61" s="119"/>
      <c r="L61" s="119"/>
      <c r="M61" s="119"/>
      <c r="Q61" s="119"/>
      <c r="S61" s="119"/>
    </row>
    <row r="62" spans="1:22" customFormat="1" ht="30">
      <c r="A62" s="119">
        <v>1</v>
      </c>
      <c r="B62" s="431" t="s">
        <v>372</v>
      </c>
      <c r="C62" s="453"/>
      <c r="D62" s="421"/>
      <c r="E62" s="119"/>
      <c r="F62" s="119"/>
      <c r="G62" s="119"/>
      <c r="H62" s="119"/>
      <c r="I62" s="119"/>
      <c r="J62" s="119"/>
      <c r="K62" s="119"/>
      <c r="L62" s="119"/>
      <c r="M62" s="119"/>
      <c r="Q62" s="119"/>
      <c r="S62" s="119"/>
    </row>
    <row r="63" spans="1:22" customFormat="1">
      <c r="A63" s="119"/>
      <c r="B63" s="430"/>
      <c r="C63" s="453"/>
      <c r="D63" s="421"/>
      <c r="E63" s="119"/>
      <c r="F63" s="119"/>
      <c r="G63" s="119"/>
      <c r="H63" s="119"/>
      <c r="I63" s="119"/>
      <c r="J63" s="119"/>
      <c r="K63" s="119"/>
      <c r="L63" s="119"/>
      <c r="M63" s="119"/>
      <c r="Q63" s="119"/>
      <c r="S63" s="119"/>
    </row>
    <row r="64" spans="1:22" customFormat="1">
      <c r="A64" s="119"/>
      <c r="B64" s="430"/>
      <c r="C64" s="453"/>
      <c r="D64" s="421"/>
      <c r="E64" s="119"/>
      <c r="F64" s="119"/>
      <c r="G64" s="119"/>
      <c r="H64" s="119"/>
      <c r="I64" s="119"/>
      <c r="J64" s="119"/>
      <c r="K64" s="119"/>
      <c r="L64" s="119"/>
      <c r="M64" s="119"/>
      <c r="Q64" s="119"/>
      <c r="S64" s="119"/>
    </row>
    <row r="65" spans="1:30" customFormat="1">
      <c r="A65" s="121"/>
      <c r="B65" s="432"/>
      <c r="C65" s="453"/>
      <c r="D65" s="422"/>
      <c r="E65" s="121"/>
      <c r="F65" s="121"/>
      <c r="G65" s="121"/>
      <c r="H65" s="121"/>
      <c r="I65" s="121"/>
      <c r="J65" s="121"/>
      <c r="K65" s="121"/>
      <c r="L65" s="121"/>
      <c r="M65" s="121"/>
    </row>
    <row r="66" spans="1:30" customFormat="1">
      <c r="B66" s="428"/>
      <c r="C66" s="443"/>
      <c r="D66" s="428"/>
      <c r="E66" s="105"/>
      <c r="Q66" s="121"/>
      <c r="S66" s="121"/>
    </row>
    <row r="67" spans="1:30" s="31" customFormat="1">
      <c r="A67" s="28"/>
      <c r="B67" s="433"/>
      <c r="C67" s="454"/>
      <c r="D67" s="412"/>
      <c r="E67" s="37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W67" s="30"/>
      <c r="X67" s="30"/>
      <c r="Y67" s="30"/>
      <c r="Z67" s="30"/>
      <c r="AA67" s="30"/>
      <c r="AB67" s="30"/>
      <c r="AC67" s="30"/>
      <c r="AD67" s="30"/>
    </row>
  </sheetData>
  <mergeCells count="7">
    <mergeCell ref="I4:T4"/>
    <mergeCell ref="A4:A5"/>
    <mergeCell ref="B4:C5"/>
    <mergeCell ref="D4:D5"/>
    <mergeCell ref="E4:E5"/>
    <mergeCell ref="F4:F5"/>
    <mergeCell ref="G4:H4"/>
  </mergeCells>
  <conditionalFormatting sqref="A61">
    <cfRule type="iconSet" priority="30">
      <iconSet iconSet="3ArrowsGray" showValue="0">
        <cfvo type="percent" val="0"/>
        <cfvo type="num" val="2"/>
        <cfvo type="num" val="3"/>
      </iconSet>
    </cfRule>
  </conditionalFormatting>
  <conditionalFormatting sqref="A62">
    <cfRule type="iconSet" priority="29">
      <iconSet iconSet="3ArrowsGray" showValue="0">
        <cfvo type="percent" val="0"/>
        <cfvo type="num" val="2"/>
        <cfvo type="num" val="3"/>
      </iconSet>
    </cfRule>
  </conditionalFormatting>
  <conditionalFormatting sqref="C8">
    <cfRule type="iconSet" priority="40">
      <iconSet iconSet="3ArrowsGray" showValue="0">
        <cfvo type="percent" val="0"/>
        <cfvo type="num" val="2"/>
        <cfvo type="num" val="3"/>
      </iconSet>
    </cfRule>
    <cfRule type="iconSet" priority="44">
      <iconSet iconSet="3ArrowsGray" showValue="0">
        <cfvo type="percent" val="0"/>
        <cfvo type="num" val="2"/>
        <cfvo type="num" val="3"/>
      </iconSet>
    </cfRule>
  </conditionalFormatting>
  <conditionalFormatting sqref="C9">
    <cfRule type="iconSet" priority="39">
      <iconSet iconSet="3ArrowsGray" showValue="0">
        <cfvo type="percent" val="0"/>
        <cfvo type="num" val="2"/>
        <cfvo type="num" val="3"/>
      </iconSet>
    </cfRule>
  </conditionalFormatting>
  <conditionalFormatting sqref="C10:C17">
    <cfRule type="iconSet" priority="47682">
      <iconSet iconSet="3ArrowsGray" showValue="0">
        <cfvo type="percent" val="0"/>
        <cfvo type="num" val="2"/>
        <cfvo type="num" val="3"/>
      </iconSet>
    </cfRule>
    <cfRule type="iconSet" priority="47683">
      <iconSet iconSet="3ArrowsGray" showValue="0">
        <cfvo type="percent" val="0"/>
        <cfvo type="num" val="2"/>
        <cfvo type="num" val="3"/>
      </iconSet>
    </cfRule>
  </conditionalFormatting>
  <conditionalFormatting sqref="C19">
    <cfRule type="iconSet" priority="3">
      <iconSet iconSet="3ArrowsGray" showValue="0">
        <cfvo type="percent" val="0"/>
        <cfvo type="num" val="2"/>
        <cfvo type="num" val="3"/>
      </iconSet>
    </cfRule>
    <cfRule type="iconSet" priority="4">
      <iconSet iconSet="3ArrowsGray" showValue="0">
        <cfvo type="percent" val="0"/>
        <cfvo type="num" val="2"/>
        <cfvo type="num" val="3"/>
      </iconSet>
    </cfRule>
  </conditionalFormatting>
  <conditionalFormatting sqref="C20:C35 C37:C49">
    <cfRule type="iconSet" priority="47678">
      <iconSet iconSet="3ArrowsGray" showValue="0">
        <cfvo type="percent" val="0"/>
        <cfvo type="num" val="2"/>
        <cfvo type="num" val="3"/>
      </iconSet>
    </cfRule>
    <cfRule type="iconSet" priority="47679">
      <iconSet iconSet="3ArrowsGray" showValue="0">
        <cfvo type="percent" val="0"/>
        <cfvo type="num" val="2"/>
        <cfvo type="num" val="3"/>
      </iconSet>
    </cfRule>
  </conditionalFormatting>
  <conditionalFormatting sqref="C36">
    <cfRule type="iconSet" priority="1">
      <iconSet iconSet="3ArrowsGray" showValue="0">
        <cfvo type="percent" val="0"/>
        <cfvo type="num" val="2"/>
        <cfvo type="num" val="3"/>
      </iconSet>
    </cfRule>
    <cfRule type="iconSet" priority="2">
      <iconSet iconSet="3ArrowsGray" showValue="0">
        <cfvo type="percent" val="0"/>
        <cfvo type="num" val="2"/>
        <cfvo type="num" val="3"/>
      </iconSet>
    </cfRule>
  </conditionalFormatting>
  <conditionalFormatting sqref="C50">
    <cfRule type="iconSet" priority="5">
      <iconSet iconSet="3ArrowsGray" showValue="0">
        <cfvo type="percent" val="0"/>
        <cfvo type="num" val="2"/>
        <cfvo type="num" val="3"/>
      </iconSet>
    </cfRule>
    <cfRule type="iconSet" priority="6">
      <iconSet iconSet="3ArrowsGray" showValue="0">
        <cfvo type="percent" val="0"/>
        <cfvo type="num" val="2"/>
        <cfvo type="num" val="3"/>
      </iconSet>
    </cfRule>
  </conditionalFormatting>
  <conditionalFormatting sqref="C51">
    <cfRule type="iconSet" priority="47680">
      <iconSet iconSet="3ArrowsGray" showValue="0">
        <cfvo type="percent" val="0"/>
        <cfvo type="num" val="2"/>
        <cfvo type="num" val="3"/>
      </iconSet>
    </cfRule>
  </conditionalFormatting>
  <conditionalFormatting sqref="C51:C55">
    <cfRule type="iconSet" priority="47681">
      <iconSet iconSet="3ArrowsGray" showValue="0">
        <cfvo type="percent" val="0"/>
        <cfvo type="num" val="2"/>
        <cfvo type="num" val="3"/>
      </iconSet>
    </cfRule>
  </conditionalFormatting>
  <conditionalFormatting sqref="C57">
    <cfRule type="iconSet" priority="32">
      <iconSet iconSet="3ArrowsGray" showValue="0">
        <cfvo type="percent" val="0"/>
        <cfvo type="num" val="2"/>
        <cfvo type="num" val="3"/>
      </iconSet>
    </cfRule>
  </conditionalFormatting>
  <conditionalFormatting sqref="C58">
    <cfRule type="iconSet" priority="35">
      <iconSet iconSet="3ArrowsGray" showValue="0">
        <cfvo type="percent" val="0"/>
        <cfvo type="num" val="2"/>
        <cfvo type="num" val="3"/>
      </iconSet>
    </cfRule>
  </conditionalFormatting>
  <conditionalFormatting sqref="D57">
    <cfRule type="iconSet" priority="25">
      <iconSet iconSet="3ArrowsGray" showValue="0">
        <cfvo type="percent" val="0"/>
        <cfvo type="num" val="2"/>
        <cfvo type="num" val="3"/>
      </iconSet>
    </cfRule>
    <cfRule type="iconSet" priority="34">
      <iconSet iconSet="3ArrowsGray" showValue="0">
        <cfvo type="percent" val="0"/>
        <cfvo type="num" val="2"/>
        <cfvo type="num" val="3"/>
      </iconSet>
    </cfRule>
  </conditionalFormatting>
  <conditionalFormatting sqref="E57">
    <cfRule type="iconSet" priority="33">
      <iconSet iconSet="3ArrowsGray" showValue="0">
        <cfvo type="percent" val="0"/>
        <cfvo type="num" val="2"/>
        <cfvo type="num" val="3"/>
      </iconSet>
    </cfRule>
  </conditionalFormatting>
  <conditionalFormatting sqref="G57:H57">
    <cfRule type="iconSet" priority="42">
      <iconSet iconSet="3ArrowsGray" showValue="0">
        <cfvo type="percent" val="0"/>
        <cfvo type="num" val="2"/>
        <cfvo type="num" val="3"/>
      </iconSet>
    </cfRule>
  </conditionalFormatting>
  <conditionalFormatting sqref="G58:H58">
    <cfRule type="iconSet" priority="41">
      <iconSet iconSet="3ArrowsGray" showValue="0">
        <cfvo type="percent" val="0"/>
        <cfvo type="num" val="2"/>
        <cfvo type="num" val="3"/>
      </iconSet>
    </cfRule>
  </conditionalFormatting>
  <conditionalFormatting sqref="I57:T57">
    <cfRule type="iconSet" priority="31">
      <iconSet iconSet="3ArrowsGray" showValue="0">
        <cfvo type="percent" val="0"/>
        <cfvo type="num" val="2"/>
        <cfvo type="num" val="3"/>
      </iconSet>
    </cfRule>
  </conditionalFormatting>
  <conditionalFormatting sqref="I58:T58">
    <cfRule type="iconSet" priority="26">
      <iconSet iconSet="3ArrowsGray" showValue="0">
        <cfvo type="percent" val="0"/>
        <cfvo type="num" val="2"/>
        <cfvo type="num" val="3"/>
      </iconSet>
    </cfRule>
    <cfRule type="iconSet" priority="27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52" fitToHeight="0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6DF5-C605-4EE3-96D7-6121C799C89D}">
  <sheetPr>
    <tabColor rgb="FFFF0000"/>
    <pageSetUpPr fitToPage="1"/>
  </sheetPr>
  <dimension ref="A1:AD67"/>
  <sheetViews>
    <sheetView workbookViewId="0"/>
  </sheetViews>
  <sheetFormatPr defaultColWidth="8.85546875" defaultRowHeight="15"/>
  <cols>
    <col min="1" max="1" width="5.7109375" style="28" customWidth="1"/>
    <col min="2" max="2" width="60" style="433" customWidth="1"/>
    <col min="3" max="3" width="2.85546875" style="454" customWidth="1"/>
    <col min="4" max="4" width="14.42578125" style="28" customWidth="1"/>
    <col min="5" max="5" width="106.7109375" style="28" hidden="1" customWidth="1"/>
    <col min="6" max="6" width="10.140625" style="30" customWidth="1"/>
    <col min="7" max="20" width="11.28515625" style="30" customWidth="1"/>
    <col min="21" max="21" width="17.7109375" style="31" bestFit="1" customWidth="1"/>
    <col min="22" max="22" width="16" style="31" bestFit="1" customWidth="1"/>
    <col min="23" max="23" width="19.140625" style="30" bestFit="1" customWidth="1"/>
    <col min="24" max="24" width="12.42578125" style="30" bestFit="1" customWidth="1"/>
    <col min="25" max="25" width="8.85546875" style="30"/>
    <col min="26" max="26" width="11.42578125" style="30" bestFit="1" customWidth="1"/>
    <col min="27" max="29" width="8.85546875" style="30"/>
    <col min="30" max="30" width="17.85546875" style="30" bestFit="1" customWidth="1"/>
    <col min="31" max="16384" width="8.85546875" style="30"/>
  </cols>
  <sheetData>
    <row r="1" spans="1:22" ht="15.75">
      <c r="B1" s="424" t="s">
        <v>251</v>
      </c>
      <c r="C1" s="439"/>
      <c r="I1" s="22"/>
    </row>
    <row r="2" spans="1:22" ht="15.75">
      <c r="B2" s="424" t="s">
        <v>123</v>
      </c>
      <c r="C2" s="439"/>
    </row>
    <row r="3" spans="1:22" ht="15.75">
      <c r="B3" s="424" t="s">
        <v>381</v>
      </c>
      <c r="C3" s="439"/>
    </row>
    <row r="4" spans="1:22" s="33" customFormat="1" ht="15" customHeight="1">
      <c r="A4" s="741" t="s">
        <v>8</v>
      </c>
      <c r="B4" s="743" t="s">
        <v>9</v>
      </c>
      <c r="C4" s="744"/>
      <c r="D4" s="741" t="s">
        <v>93</v>
      </c>
      <c r="E4" s="741" t="s">
        <v>272</v>
      </c>
      <c r="F4" s="741" t="s">
        <v>99</v>
      </c>
      <c r="G4" s="747" t="s">
        <v>100</v>
      </c>
      <c r="H4" s="748"/>
      <c r="I4" s="730" t="s">
        <v>273</v>
      </c>
      <c r="J4" s="731"/>
      <c r="K4" s="731"/>
      <c r="L4" s="731"/>
      <c r="M4" s="731"/>
      <c r="N4" s="731"/>
      <c r="O4" s="731"/>
      <c r="P4" s="731"/>
      <c r="Q4" s="731"/>
      <c r="R4" s="731"/>
      <c r="S4" s="731"/>
      <c r="T4" s="732"/>
      <c r="U4" s="32"/>
      <c r="V4" s="32"/>
    </row>
    <row r="5" spans="1:22" s="33" customFormat="1" ht="15" customHeight="1">
      <c r="A5" s="742"/>
      <c r="B5" s="745"/>
      <c r="C5" s="746"/>
      <c r="D5" s="742"/>
      <c r="E5" s="742"/>
      <c r="F5" s="742"/>
      <c r="G5" s="606" t="s">
        <v>274</v>
      </c>
      <c r="H5" s="606" t="s">
        <v>275</v>
      </c>
      <c r="I5" s="113" t="s">
        <v>94</v>
      </c>
      <c r="J5" s="113" t="s">
        <v>95</v>
      </c>
      <c r="K5" s="113" t="s">
        <v>96</v>
      </c>
      <c r="L5" s="113" t="s">
        <v>97</v>
      </c>
      <c r="M5" s="113" t="s">
        <v>98</v>
      </c>
      <c r="N5" s="113" t="s">
        <v>153</v>
      </c>
      <c r="O5" s="113" t="s">
        <v>163</v>
      </c>
      <c r="P5" s="113" t="s">
        <v>165</v>
      </c>
      <c r="Q5" s="113" t="s">
        <v>167</v>
      </c>
      <c r="R5" s="113" t="s">
        <v>169</v>
      </c>
      <c r="S5" s="113" t="s">
        <v>171</v>
      </c>
      <c r="T5" s="607" t="s">
        <v>174</v>
      </c>
      <c r="U5" s="32"/>
      <c r="V5" s="32"/>
    </row>
    <row r="6" spans="1:22" s="33" customFormat="1" ht="15" customHeight="1">
      <c r="A6" s="606">
        <v>1</v>
      </c>
      <c r="B6" s="648">
        <v>2</v>
      </c>
      <c r="C6" s="487"/>
      <c r="D6" s="606">
        <v>3</v>
      </c>
      <c r="E6" s="606">
        <v>4</v>
      </c>
      <c r="F6" s="606">
        <v>5</v>
      </c>
      <c r="G6" s="606">
        <v>6</v>
      </c>
      <c r="H6" s="606">
        <v>7</v>
      </c>
      <c r="I6" s="606">
        <v>8</v>
      </c>
      <c r="J6" s="606">
        <v>9</v>
      </c>
      <c r="K6" s="606">
        <v>10</v>
      </c>
      <c r="L6" s="606">
        <v>11</v>
      </c>
      <c r="M6" s="606">
        <v>12</v>
      </c>
      <c r="N6" s="606">
        <v>13</v>
      </c>
      <c r="O6" s="606">
        <v>14</v>
      </c>
      <c r="P6" s="606">
        <v>15</v>
      </c>
      <c r="Q6" s="606">
        <v>16</v>
      </c>
      <c r="R6" s="606">
        <v>17</v>
      </c>
      <c r="S6" s="606">
        <v>18</v>
      </c>
      <c r="T6" s="606">
        <v>19</v>
      </c>
      <c r="U6" s="32"/>
      <c r="V6" s="32"/>
    </row>
    <row r="7" spans="1:22" s="35" customFormat="1" ht="16.5">
      <c r="A7" s="65" t="s">
        <v>269</v>
      </c>
      <c r="B7" s="425" t="s">
        <v>15</v>
      </c>
      <c r="C7" s="446"/>
      <c r="D7" s="50"/>
      <c r="E7" s="72"/>
      <c r="F7" s="68">
        <f>SUM(F8:F17)</f>
        <v>40</v>
      </c>
      <c r="G7" s="68"/>
      <c r="H7" s="68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107"/>
      <c r="U7" s="34"/>
      <c r="V7" s="34"/>
    </row>
    <row r="8" spans="1:22" ht="15.75">
      <c r="A8" s="277">
        <v>1</v>
      </c>
      <c r="B8" s="310" t="s">
        <v>383</v>
      </c>
      <c r="C8" s="447" t="s">
        <v>277</v>
      </c>
      <c r="D8" s="76" t="s">
        <v>384</v>
      </c>
      <c r="E8" s="77" t="s">
        <v>403</v>
      </c>
      <c r="F8" s="77">
        <v>14</v>
      </c>
      <c r="G8" s="92">
        <f>N8</f>
        <v>17.68</v>
      </c>
      <c r="H8" s="92">
        <f>T8</f>
        <v>35.99</v>
      </c>
      <c r="I8" s="92">
        <f>KPI!D20</f>
        <v>2.91</v>
      </c>
      <c r="J8" s="92">
        <f>KPI!E20</f>
        <v>5.68</v>
      </c>
      <c r="K8" s="92">
        <f>KPI!F20</f>
        <v>8.77</v>
      </c>
      <c r="L8" s="92">
        <f>KPI!G20</f>
        <v>11.75</v>
      </c>
      <c r="M8" s="92">
        <f>KPI!H20</f>
        <v>14.81</v>
      </c>
      <c r="N8" s="92">
        <f>KPI!I20</f>
        <v>17.68</v>
      </c>
      <c r="O8" s="92">
        <f>KPI!J20</f>
        <v>20.6</v>
      </c>
      <c r="P8" s="92">
        <f>KPI!K20</f>
        <v>23.59</v>
      </c>
      <c r="Q8" s="92">
        <f>KPI!L20</f>
        <v>26.61</v>
      </c>
      <c r="R8" s="92">
        <f>KPI!M20</f>
        <v>29.76</v>
      </c>
      <c r="S8" s="92">
        <f>KPI!N20</f>
        <v>32.86</v>
      </c>
      <c r="T8" s="108">
        <f>KPI!O20</f>
        <v>35.99</v>
      </c>
      <c r="U8" s="36"/>
      <c r="V8" s="36"/>
    </row>
    <row r="9" spans="1:22" ht="15.75">
      <c r="A9" s="279">
        <v>2</v>
      </c>
      <c r="B9" s="310" t="s">
        <v>385</v>
      </c>
      <c r="C9" s="448"/>
      <c r="D9" s="76"/>
      <c r="E9" s="77"/>
      <c r="F9" s="77">
        <v>14</v>
      </c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108"/>
      <c r="U9" s="36"/>
      <c r="V9" s="36"/>
    </row>
    <row r="10" spans="1:22" ht="15.75">
      <c r="A10" s="280"/>
      <c r="B10" s="160" t="s">
        <v>404</v>
      </c>
      <c r="C10" s="447" t="s">
        <v>279</v>
      </c>
      <c r="D10" s="76" t="s">
        <v>447</v>
      </c>
      <c r="E10" s="77" t="s">
        <v>280</v>
      </c>
      <c r="F10" s="77"/>
      <c r="G10" s="92">
        <f>N10</f>
        <v>422.13578461538452</v>
      </c>
      <c r="H10" s="92">
        <f>T10</f>
        <v>844.27156923076882</v>
      </c>
      <c r="I10" s="92">
        <v>70.355964102564087</v>
      </c>
      <c r="J10" s="92">
        <v>140.71192820512817</v>
      </c>
      <c r="K10" s="92">
        <v>211.06789230769226</v>
      </c>
      <c r="L10" s="92">
        <v>281.42385641025635</v>
      </c>
      <c r="M10" s="92">
        <v>351.77982051282044</v>
      </c>
      <c r="N10" s="92">
        <v>422.13578461538452</v>
      </c>
      <c r="O10" s="92">
        <v>492.49174871794861</v>
      </c>
      <c r="P10" s="92">
        <v>562.8477128205127</v>
      </c>
      <c r="Q10" s="92">
        <v>633.20367692307673</v>
      </c>
      <c r="R10" s="92">
        <v>703.55964102564076</v>
      </c>
      <c r="S10" s="92">
        <v>773.91560512820479</v>
      </c>
      <c r="T10" s="108">
        <v>844.27156923076882</v>
      </c>
      <c r="U10" s="36"/>
      <c r="V10" s="36"/>
    </row>
    <row r="11" spans="1:22" ht="15.75">
      <c r="A11" s="280"/>
      <c r="B11" s="160" t="s">
        <v>406</v>
      </c>
      <c r="C11" s="447" t="s">
        <v>279</v>
      </c>
      <c r="D11" s="76" t="s">
        <v>448</v>
      </c>
      <c r="E11" s="77" t="s">
        <v>281</v>
      </c>
      <c r="F11" s="77"/>
      <c r="G11" s="92">
        <f>N11</f>
        <v>1.31</v>
      </c>
      <c r="H11" s="92">
        <f>T11</f>
        <v>2.62</v>
      </c>
      <c r="I11" s="92">
        <f>KPI!D66</f>
        <v>0.22</v>
      </c>
      <c r="J11" s="92">
        <f>KPI!E66</f>
        <v>0.44</v>
      </c>
      <c r="K11" s="92">
        <f>KPI!F66</f>
        <v>0.65</v>
      </c>
      <c r="L11" s="92">
        <f>KPI!G66</f>
        <v>0.87</v>
      </c>
      <c r="M11" s="92">
        <f>KPI!H66</f>
        <v>1.0900000000000001</v>
      </c>
      <c r="N11" s="92">
        <f>KPI!I66</f>
        <v>1.31</v>
      </c>
      <c r="O11" s="92">
        <f>KPI!J66</f>
        <v>1.53</v>
      </c>
      <c r="P11" s="92">
        <f>KPI!K66</f>
        <v>1.75</v>
      </c>
      <c r="Q11" s="92">
        <f>KPI!L66</f>
        <v>1.96</v>
      </c>
      <c r="R11" s="92">
        <f>KPI!M66</f>
        <v>2.1800000000000002</v>
      </c>
      <c r="S11" s="92">
        <f>KPI!N66</f>
        <v>2.4</v>
      </c>
      <c r="T11" s="108">
        <f>KPI!O66</f>
        <v>2.62</v>
      </c>
      <c r="U11" s="36"/>
      <c r="V11" s="36"/>
    </row>
    <row r="12" spans="1:22" ht="15.75">
      <c r="A12" s="281"/>
      <c r="B12" s="160" t="s">
        <v>408</v>
      </c>
      <c r="C12" s="447" t="s">
        <v>279</v>
      </c>
      <c r="D12" s="76" t="s">
        <v>140</v>
      </c>
      <c r="E12" s="77" t="s">
        <v>409</v>
      </c>
      <c r="F12" s="77"/>
      <c r="G12" s="92">
        <f>N12</f>
        <v>6.3</v>
      </c>
      <c r="H12" s="92">
        <f>T12</f>
        <v>12.6</v>
      </c>
      <c r="I12" s="92">
        <f>KPI!D78</f>
        <v>1.05</v>
      </c>
      <c r="J12" s="92">
        <f>KPI!E78</f>
        <v>2.1</v>
      </c>
      <c r="K12" s="92">
        <f>KPI!F78</f>
        <v>3.15</v>
      </c>
      <c r="L12" s="92">
        <f>KPI!G78</f>
        <v>4.2</v>
      </c>
      <c r="M12" s="92">
        <f>KPI!H78</f>
        <v>5.25</v>
      </c>
      <c r="N12" s="92">
        <f>KPI!I78</f>
        <v>6.3</v>
      </c>
      <c r="O12" s="92">
        <f>KPI!J78</f>
        <v>7.35</v>
      </c>
      <c r="P12" s="92">
        <f>KPI!K78</f>
        <v>8.4</v>
      </c>
      <c r="Q12" s="92">
        <f>KPI!L78</f>
        <v>9.4499999999999993</v>
      </c>
      <c r="R12" s="92">
        <f>KPI!M78</f>
        <v>10.5</v>
      </c>
      <c r="S12" s="92">
        <f>KPI!N78</f>
        <v>11.55</v>
      </c>
      <c r="T12" s="108">
        <f>KPI!O78</f>
        <v>12.6</v>
      </c>
      <c r="U12" s="36"/>
      <c r="V12" s="36"/>
    </row>
    <row r="13" spans="1:22" ht="15.75">
      <c r="A13" s="280">
        <v>3</v>
      </c>
      <c r="B13" s="310" t="s">
        <v>391</v>
      </c>
      <c r="C13" s="447"/>
      <c r="D13" s="76"/>
      <c r="E13" s="77"/>
      <c r="F13" s="77">
        <v>12</v>
      </c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108"/>
      <c r="U13" s="36"/>
      <c r="V13" s="36"/>
    </row>
    <row r="14" spans="1:22" ht="15.75">
      <c r="A14" s="280"/>
      <c r="B14" s="160" t="s">
        <v>392</v>
      </c>
      <c r="C14" s="447" t="s">
        <v>279</v>
      </c>
      <c r="D14" s="76" t="s">
        <v>149</v>
      </c>
      <c r="E14" s="77" t="s">
        <v>410</v>
      </c>
      <c r="F14" s="77"/>
      <c r="G14" s="92">
        <f>N14</f>
        <v>6.53</v>
      </c>
      <c r="H14" s="92">
        <f>T14</f>
        <v>6.25</v>
      </c>
      <c r="I14" s="92">
        <f>KPI!D105</f>
        <v>6.91</v>
      </c>
      <c r="J14" s="92">
        <f>KPI!E105</f>
        <v>6.91</v>
      </c>
      <c r="K14" s="92">
        <f>KPI!F105</f>
        <v>6.91</v>
      </c>
      <c r="L14" s="92">
        <f>KPI!G105</f>
        <v>6.78</v>
      </c>
      <c r="M14" s="92">
        <f>KPI!H105</f>
        <v>6.66</v>
      </c>
      <c r="N14" s="92">
        <f>KPI!I105</f>
        <v>6.53</v>
      </c>
      <c r="O14" s="92">
        <f>KPI!J105</f>
        <v>6.49</v>
      </c>
      <c r="P14" s="92">
        <f>KPI!K105</f>
        <v>6.44</v>
      </c>
      <c r="Q14" s="92">
        <f>KPI!L105</f>
        <v>6.39</v>
      </c>
      <c r="R14" s="92">
        <f>KPI!M105</f>
        <v>6.34</v>
      </c>
      <c r="S14" s="92">
        <f>KPI!N105</f>
        <v>6.3</v>
      </c>
      <c r="T14" s="92">
        <f>KPI!O105</f>
        <v>6.25</v>
      </c>
      <c r="U14" s="36"/>
      <c r="V14" s="36"/>
    </row>
    <row r="15" spans="1:22" ht="15.75">
      <c r="A15" s="280"/>
      <c r="B15" s="160" t="s">
        <v>411</v>
      </c>
      <c r="C15" s="447" t="s">
        <v>277</v>
      </c>
      <c r="D15" s="76" t="s">
        <v>149</v>
      </c>
      <c r="E15" s="77" t="s">
        <v>412</v>
      </c>
      <c r="F15" s="77"/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108"/>
      <c r="U15" s="36"/>
      <c r="V15" s="36"/>
    </row>
    <row r="16" spans="1:22" ht="15.75">
      <c r="A16" s="280"/>
      <c r="B16" s="160" t="s">
        <v>393</v>
      </c>
      <c r="C16" s="447" t="s">
        <v>277</v>
      </c>
      <c r="D16" s="76" t="s">
        <v>149</v>
      </c>
      <c r="E16" s="77" t="s">
        <v>413</v>
      </c>
      <c r="F16" s="77"/>
      <c r="G16" s="92">
        <f>N16</f>
        <v>21.052631578947366</v>
      </c>
      <c r="H16" s="92">
        <f>T16</f>
        <v>100</v>
      </c>
      <c r="I16" s="92">
        <f>KPI!D123</f>
        <v>3.5087719298245621</v>
      </c>
      <c r="J16" s="92">
        <f>KPI!E123</f>
        <v>7.0175438596491242</v>
      </c>
      <c r="K16" s="92">
        <f>KPI!F123</f>
        <v>10.526315789473683</v>
      </c>
      <c r="L16" s="92">
        <f>KPI!G123</f>
        <v>14.035087719298248</v>
      </c>
      <c r="M16" s="92">
        <f>KPI!H123</f>
        <v>17.543859649122808</v>
      </c>
      <c r="N16" s="92">
        <f>KPI!I123</f>
        <v>21.052631578947366</v>
      </c>
      <c r="O16" s="92">
        <f>KPI!J123</f>
        <v>34.210526315789473</v>
      </c>
      <c r="P16" s="92">
        <f>KPI!K123</f>
        <v>47.368421052631575</v>
      </c>
      <c r="Q16" s="92">
        <f>KPI!L123</f>
        <v>60.526315789473685</v>
      </c>
      <c r="R16" s="92">
        <f>KPI!M123</f>
        <v>73.68421052631578</v>
      </c>
      <c r="S16" s="92">
        <f>KPI!N123</f>
        <v>86.842105263157904</v>
      </c>
      <c r="T16" s="92">
        <f>KPI!O123</f>
        <v>100</v>
      </c>
      <c r="U16" s="36"/>
      <c r="V16" s="36"/>
    </row>
    <row r="17" spans="1:22" ht="15.75">
      <c r="A17" s="280"/>
      <c r="B17" s="160" t="s">
        <v>451</v>
      </c>
      <c r="C17" s="447" t="s">
        <v>277</v>
      </c>
      <c r="D17" s="76" t="s">
        <v>72</v>
      </c>
      <c r="E17" s="77" t="s">
        <v>414</v>
      </c>
      <c r="F17" s="77"/>
      <c r="G17" s="92">
        <f>N17</f>
        <v>262</v>
      </c>
      <c r="H17" s="92">
        <f>T17</f>
        <v>688</v>
      </c>
      <c r="I17" s="92">
        <f>KPI!D134</f>
        <v>49</v>
      </c>
      <c r="J17" s="92">
        <f>KPI!E134</f>
        <v>97</v>
      </c>
      <c r="K17" s="92">
        <f>KPI!F134</f>
        <v>145</v>
      </c>
      <c r="L17" s="92">
        <f>KPI!G134</f>
        <v>192</v>
      </c>
      <c r="M17" s="92">
        <f>KPI!H134</f>
        <v>228</v>
      </c>
      <c r="N17" s="92">
        <f>KPI!I134</f>
        <v>262</v>
      </c>
      <c r="O17" s="92">
        <f>KPI!J134</f>
        <v>369</v>
      </c>
      <c r="P17" s="92">
        <f>KPI!K134</f>
        <v>476</v>
      </c>
      <c r="Q17" s="92">
        <f>KPI!L134</f>
        <v>583</v>
      </c>
      <c r="R17" s="92">
        <f>KPI!M134</f>
        <v>688</v>
      </c>
      <c r="S17" s="92">
        <f>KPI!N134</f>
        <v>688</v>
      </c>
      <c r="T17" s="92">
        <f>KPI!O134</f>
        <v>688</v>
      </c>
      <c r="U17" s="36"/>
      <c r="V17" s="36"/>
    </row>
    <row r="18" spans="1:22" s="35" customFormat="1" ht="16.5">
      <c r="A18" s="278" t="s">
        <v>284</v>
      </c>
      <c r="B18" s="426" t="s">
        <v>285</v>
      </c>
      <c r="C18" s="449"/>
      <c r="D18" s="129"/>
      <c r="E18" s="167"/>
      <c r="F18" s="167">
        <f>SUM(F19:F55)</f>
        <v>60</v>
      </c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7"/>
      <c r="R18" s="167"/>
      <c r="S18" s="167"/>
      <c r="T18" s="168"/>
      <c r="U18" s="34"/>
      <c r="V18" s="34"/>
    </row>
    <row r="19" spans="1:22" ht="15.75">
      <c r="A19" s="279">
        <v>4</v>
      </c>
      <c r="B19" s="310" t="s">
        <v>286</v>
      </c>
      <c r="C19" s="447"/>
      <c r="D19" s="76"/>
      <c r="E19" s="79"/>
      <c r="F19" s="77">
        <v>9</v>
      </c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108"/>
      <c r="U19" s="36"/>
      <c r="V19" s="36"/>
    </row>
    <row r="20" spans="1:22" ht="15.75">
      <c r="A20" s="280"/>
      <c r="B20" s="160" t="s">
        <v>288</v>
      </c>
      <c r="C20" s="447" t="s">
        <v>279</v>
      </c>
      <c r="D20" s="76" t="s">
        <v>136</v>
      </c>
      <c r="E20" s="79" t="s">
        <v>415</v>
      </c>
      <c r="F20" s="77"/>
      <c r="G20" s="92">
        <f>N20</f>
        <v>14.000000000000002</v>
      </c>
      <c r="H20" s="92">
        <f>T20</f>
        <v>26</v>
      </c>
      <c r="I20" s="92">
        <f>PI!D20</f>
        <v>2</v>
      </c>
      <c r="J20" s="92">
        <f>PI!E20</f>
        <v>5</v>
      </c>
      <c r="K20" s="92">
        <f>PI!F20</f>
        <v>7</v>
      </c>
      <c r="L20" s="92">
        <f>PI!G20</f>
        <v>9</v>
      </c>
      <c r="M20" s="92">
        <f>PI!H20</f>
        <v>12</v>
      </c>
      <c r="N20" s="92">
        <f>PI!I20</f>
        <v>14.000000000000002</v>
      </c>
      <c r="O20" s="92">
        <f>PI!J20</f>
        <v>16</v>
      </c>
      <c r="P20" s="92">
        <f>PI!K20</f>
        <v>19</v>
      </c>
      <c r="Q20" s="92">
        <f>PI!L20</f>
        <v>21</v>
      </c>
      <c r="R20" s="92">
        <f>PI!M20</f>
        <v>23</v>
      </c>
      <c r="S20" s="92">
        <f>PI!N20</f>
        <v>26</v>
      </c>
      <c r="T20" s="108">
        <f>PI!O20</f>
        <v>26</v>
      </c>
      <c r="U20" s="36"/>
      <c r="V20" s="36"/>
    </row>
    <row r="21" spans="1:22" ht="15.75">
      <c r="A21" s="280"/>
      <c r="B21" s="160" t="s">
        <v>290</v>
      </c>
      <c r="C21" s="447" t="s">
        <v>279</v>
      </c>
      <c r="D21" s="76" t="s">
        <v>136</v>
      </c>
      <c r="E21" s="79" t="s">
        <v>416</v>
      </c>
      <c r="F21" s="77"/>
      <c r="G21" s="92">
        <f>N21</f>
        <v>10</v>
      </c>
      <c r="H21" s="92">
        <f>T21</f>
        <v>20</v>
      </c>
      <c r="I21" s="92">
        <f>PI!D21</f>
        <v>2</v>
      </c>
      <c r="J21" s="92">
        <f>PI!E21</f>
        <v>3</v>
      </c>
      <c r="K21" s="92">
        <f>PI!F21</f>
        <v>5</v>
      </c>
      <c r="L21" s="92">
        <f>PI!G21</f>
        <v>7</v>
      </c>
      <c r="M21" s="92">
        <f>PI!H21</f>
        <v>8</v>
      </c>
      <c r="N21" s="92">
        <f>PI!I21</f>
        <v>10</v>
      </c>
      <c r="O21" s="92">
        <f>PI!J21</f>
        <v>12</v>
      </c>
      <c r="P21" s="92">
        <f>PI!K21</f>
        <v>14</v>
      </c>
      <c r="Q21" s="92">
        <f>PI!L21</f>
        <v>15</v>
      </c>
      <c r="R21" s="92">
        <f>PI!M21</f>
        <v>17</v>
      </c>
      <c r="S21" s="92">
        <f>PI!N21</f>
        <v>19</v>
      </c>
      <c r="T21" s="108">
        <f>PI!O21</f>
        <v>20</v>
      </c>
      <c r="U21" s="36"/>
      <c r="V21" s="36"/>
    </row>
    <row r="22" spans="1:22" ht="31.5">
      <c r="A22" s="280"/>
      <c r="B22" s="160" t="s">
        <v>292</v>
      </c>
      <c r="C22" s="450" t="s">
        <v>279</v>
      </c>
      <c r="D22" s="76" t="s">
        <v>72</v>
      </c>
      <c r="E22" s="79" t="s">
        <v>417</v>
      </c>
      <c r="F22" s="77"/>
      <c r="G22" s="92">
        <f>N22</f>
        <v>1</v>
      </c>
      <c r="H22" s="92">
        <f>T22</f>
        <v>1</v>
      </c>
      <c r="I22" s="92">
        <f>PI!D33</f>
        <v>0</v>
      </c>
      <c r="J22" s="92">
        <f>PI!E33</f>
        <v>0</v>
      </c>
      <c r="K22" s="92">
        <f>PI!F33</f>
        <v>1</v>
      </c>
      <c r="L22" s="92">
        <f>PI!G33</f>
        <v>1</v>
      </c>
      <c r="M22" s="92">
        <f>PI!H33</f>
        <v>1</v>
      </c>
      <c r="N22" s="92">
        <f>PI!I33</f>
        <v>1</v>
      </c>
      <c r="O22" s="92">
        <f>PI!J33</f>
        <v>1</v>
      </c>
      <c r="P22" s="92">
        <f>PI!K33</f>
        <v>1</v>
      </c>
      <c r="Q22" s="92">
        <f>PI!L33</f>
        <v>1</v>
      </c>
      <c r="R22" s="92">
        <f>PI!M33</f>
        <v>1</v>
      </c>
      <c r="S22" s="92">
        <f>PI!N33</f>
        <v>1</v>
      </c>
      <c r="T22" s="108">
        <f>PI!O33</f>
        <v>1</v>
      </c>
      <c r="U22" s="36"/>
      <c r="V22" s="36"/>
    </row>
    <row r="23" spans="1:22" ht="15.75">
      <c r="A23" s="281">
        <v>5</v>
      </c>
      <c r="B23" s="310" t="s">
        <v>294</v>
      </c>
      <c r="C23" s="450"/>
      <c r="D23" s="76"/>
      <c r="E23" s="136"/>
      <c r="F23" s="78">
        <v>8</v>
      </c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123"/>
      <c r="U23" s="36"/>
      <c r="V23" s="36"/>
    </row>
    <row r="24" spans="1:22" ht="15.75">
      <c r="A24" s="280"/>
      <c r="B24" s="160" t="s">
        <v>295</v>
      </c>
      <c r="C24" s="450" t="s">
        <v>279</v>
      </c>
      <c r="D24" s="76" t="s">
        <v>149</v>
      </c>
      <c r="E24" s="136" t="s">
        <v>418</v>
      </c>
      <c r="F24" s="78"/>
      <c r="G24" s="93">
        <f>N24</f>
        <v>0.09</v>
      </c>
      <c r="H24" s="93">
        <f>T24</f>
        <v>0.09</v>
      </c>
      <c r="I24" s="357">
        <f>PI!D67</f>
        <v>0.09</v>
      </c>
      <c r="J24" s="357">
        <f>PI!E67</f>
        <v>0.09</v>
      </c>
      <c r="K24" s="357">
        <f>PI!F67</f>
        <v>0.09</v>
      </c>
      <c r="L24" s="357">
        <f>PI!G67</f>
        <v>0.09</v>
      </c>
      <c r="M24" s="357">
        <f>PI!H67</f>
        <v>0.09</v>
      </c>
      <c r="N24" s="357">
        <f>PI!I67</f>
        <v>0.09</v>
      </c>
      <c r="O24" s="357">
        <f>PI!J67</f>
        <v>0.09</v>
      </c>
      <c r="P24" s="357">
        <f>PI!K67</f>
        <v>0.09</v>
      </c>
      <c r="Q24" s="357">
        <f>PI!L67</f>
        <v>0.09</v>
      </c>
      <c r="R24" s="357">
        <f>PI!M67</f>
        <v>0.09</v>
      </c>
      <c r="S24" s="357">
        <f>PI!N67</f>
        <v>0.09</v>
      </c>
      <c r="T24" s="470">
        <f>PI!O67</f>
        <v>0.09</v>
      </c>
      <c r="U24" s="36"/>
      <c r="V24" s="36"/>
    </row>
    <row r="25" spans="1:22" ht="15.75">
      <c r="A25" s="279"/>
      <c r="B25" s="160" t="s">
        <v>296</v>
      </c>
      <c r="C25" s="450" t="s">
        <v>279</v>
      </c>
      <c r="D25" s="76" t="s">
        <v>149</v>
      </c>
      <c r="E25" s="136" t="s">
        <v>419</v>
      </c>
      <c r="F25" s="78"/>
      <c r="G25" s="93">
        <f>N25</f>
        <v>0.04</v>
      </c>
      <c r="H25" s="93">
        <f>T25</f>
        <v>0.04</v>
      </c>
      <c r="I25" s="357">
        <f>PI!D89</f>
        <v>0.04</v>
      </c>
      <c r="J25" s="357">
        <f>PI!E89</f>
        <v>0.04</v>
      </c>
      <c r="K25" s="357">
        <f>PI!F89</f>
        <v>0.04</v>
      </c>
      <c r="L25" s="357">
        <f>PI!G89</f>
        <v>0.04</v>
      </c>
      <c r="M25" s="357">
        <f>PI!H89</f>
        <v>0.04</v>
      </c>
      <c r="N25" s="357">
        <f>PI!I89</f>
        <v>0.04</v>
      </c>
      <c r="O25" s="357">
        <f>PI!J89</f>
        <v>0.04</v>
      </c>
      <c r="P25" s="357">
        <f>PI!K89</f>
        <v>0.04</v>
      </c>
      <c r="Q25" s="357">
        <f>PI!L89</f>
        <v>0.04</v>
      </c>
      <c r="R25" s="357">
        <f>PI!M89</f>
        <v>0.04</v>
      </c>
      <c r="S25" s="357">
        <f>PI!N89</f>
        <v>0.04</v>
      </c>
      <c r="T25" s="470">
        <f>PI!O89</f>
        <v>0.04</v>
      </c>
      <c r="U25" s="36"/>
      <c r="V25" s="36"/>
    </row>
    <row r="26" spans="1:22" ht="15.75">
      <c r="A26" s="280"/>
      <c r="B26" s="160" t="s">
        <v>298</v>
      </c>
      <c r="C26" s="450" t="s">
        <v>277</v>
      </c>
      <c r="D26" s="76" t="s">
        <v>193</v>
      </c>
      <c r="E26" s="136" t="s">
        <v>420</v>
      </c>
      <c r="F26" s="78"/>
      <c r="G26" s="92">
        <f>N26</f>
        <v>4.9000000000000004</v>
      </c>
      <c r="H26" s="92">
        <f>T26</f>
        <v>4.9000000000000004</v>
      </c>
      <c r="I26" s="92">
        <f>PI!D97</f>
        <v>4.9000000000000004</v>
      </c>
      <c r="J26" s="92">
        <f>PI!E97</f>
        <v>4.9000000000000004</v>
      </c>
      <c r="K26" s="92">
        <f>PI!F97</f>
        <v>4.9000000000000004</v>
      </c>
      <c r="L26" s="92">
        <f>PI!G97</f>
        <v>4.9000000000000004</v>
      </c>
      <c r="M26" s="92">
        <f>PI!H97</f>
        <v>4.9000000000000004</v>
      </c>
      <c r="N26" s="92">
        <f>PI!I97</f>
        <v>4.9000000000000004</v>
      </c>
      <c r="O26" s="92">
        <f>PI!J97</f>
        <v>4.9000000000000004</v>
      </c>
      <c r="P26" s="92">
        <f>PI!K97</f>
        <v>4.9000000000000004</v>
      </c>
      <c r="Q26" s="92">
        <f>PI!L97</f>
        <v>4.9000000000000004</v>
      </c>
      <c r="R26" s="92">
        <f>PI!M97</f>
        <v>4.9000000000000004</v>
      </c>
      <c r="S26" s="92">
        <f>PI!N97</f>
        <v>4.9000000000000004</v>
      </c>
      <c r="T26" s="108">
        <f>PI!O97</f>
        <v>4.9000000000000004</v>
      </c>
      <c r="U26" s="36"/>
      <c r="V26" s="36"/>
    </row>
    <row r="27" spans="1:22" ht="15.75">
      <c r="A27" s="280"/>
      <c r="B27" s="160" t="s">
        <v>300</v>
      </c>
      <c r="C27" s="450" t="s">
        <v>277</v>
      </c>
      <c r="D27" s="76" t="s">
        <v>301</v>
      </c>
      <c r="E27" s="136" t="s">
        <v>421</v>
      </c>
      <c r="F27" s="78"/>
      <c r="G27" s="92">
        <f>N27</f>
        <v>6091</v>
      </c>
      <c r="H27" s="92">
        <f>T27</f>
        <v>10152</v>
      </c>
      <c r="I27" s="92">
        <f>PI!D106</f>
        <v>1043</v>
      </c>
      <c r="J27" s="92">
        <f>PI!E106</f>
        <v>1985</v>
      </c>
      <c r="K27" s="92">
        <f>PI!F106</f>
        <v>3029</v>
      </c>
      <c r="L27" s="92">
        <f>PI!G106</f>
        <v>4038</v>
      </c>
      <c r="M27" s="92">
        <f>PI!H106</f>
        <v>5081</v>
      </c>
      <c r="N27" s="92">
        <f>PI!I106</f>
        <v>6091</v>
      </c>
      <c r="O27" s="92">
        <f>PI!J106</f>
        <v>6775</v>
      </c>
      <c r="P27" s="92">
        <f>PI!K106</f>
        <v>7459</v>
      </c>
      <c r="Q27" s="92">
        <f>PI!L106</f>
        <v>8122</v>
      </c>
      <c r="R27" s="92">
        <f>PI!M106</f>
        <v>8806</v>
      </c>
      <c r="S27" s="92">
        <f>PI!N106</f>
        <v>9468</v>
      </c>
      <c r="T27" s="108">
        <f>PI!O106</f>
        <v>10152</v>
      </c>
      <c r="U27" s="36"/>
      <c r="V27" s="36"/>
    </row>
    <row r="28" spans="1:22" ht="15.75">
      <c r="A28" s="280">
        <v>6</v>
      </c>
      <c r="B28" s="310" t="s">
        <v>303</v>
      </c>
      <c r="C28" s="450"/>
      <c r="D28" s="76"/>
      <c r="E28" s="136"/>
      <c r="F28" s="78">
        <v>3</v>
      </c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108"/>
      <c r="U28" s="36"/>
      <c r="V28" s="36"/>
    </row>
    <row r="29" spans="1:22" ht="15.75">
      <c r="A29" s="280"/>
      <c r="B29" s="160" t="s">
        <v>304</v>
      </c>
      <c r="C29" s="450" t="s">
        <v>279</v>
      </c>
      <c r="D29" s="76" t="s">
        <v>132</v>
      </c>
      <c r="E29" s="136" t="s">
        <v>422</v>
      </c>
      <c r="F29" s="78"/>
      <c r="G29" s="92">
        <f t="shared" ref="G29:G30" si="0">N29</f>
        <v>30</v>
      </c>
      <c r="H29" s="92">
        <f t="shared" ref="H29:H30" si="1">T29</f>
        <v>30</v>
      </c>
      <c r="I29" s="92">
        <f>PI!D121</f>
        <v>30</v>
      </c>
      <c r="J29" s="92">
        <f>PI!E121</f>
        <v>30</v>
      </c>
      <c r="K29" s="92">
        <f>PI!F121</f>
        <v>30</v>
      </c>
      <c r="L29" s="92">
        <f>PI!G121</f>
        <v>30</v>
      </c>
      <c r="M29" s="92">
        <f>PI!H121</f>
        <v>30</v>
      </c>
      <c r="N29" s="92">
        <f>PI!I121</f>
        <v>30</v>
      </c>
      <c r="O29" s="92">
        <f>PI!J121</f>
        <v>30</v>
      </c>
      <c r="P29" s="92">
        <f>PI!K121</f>
        <v>30</v>
      </c>
      <c r="Q29" s="92">
        <f>PI!L121</f>
        <v>30</v>
      </c>
      <c r="R29" s="92">
        <f>PI!M121</f>
        <v>30</v>
      </c>
      <c r="S29" s="92">
        <f>PI!N121</f>
        <v>30</v>
      </c>
      <c r="T29" s="108">
        <f>PI!O121</f>
        <v>30</v>
      </c>
      <c r="U29" s="36"/>
      <c r="V29" s="36"/>
    </row>
    <row r="30" spans="1:22" ht="31.5">
      <c r="A30" s="280"/>
      <c r="B30" s="160" t="s">
        <v>305</v>
      </c>
      <c r="C30" s="450" t="s">
        <v>277</v>
      </c>
      <c r="D30" s="76" t="s">
        <v>149</v>
      </c>
      <c r="E30" s="136" t="s">
        <v>423</v>
      </c>
      <c r="F30" s="78"/>
      <c r="G30" s="92">
        <f t="shared" si="0"/>
        <v>0</v>
      </c>
      <c r="H30" s="92">
        <f t="shared" si="1"/>
        <v>0</v>
      </c>
      <c r="I30" s="92">
        <f>PI!D137</f>
        <v>0</v>
      </c>
      <c r="J30" s="92">
        <f>PI!E137</f>
        <v>0</v>
      </c>
      <c r="K30" s="92">
        <f>PI!F137</f>
        <v>0</v>
      </c>
      <c r="L30" s="92">
        <f>PI!G137</f>
        <v>0</v>
      </c>
      <c r="M30" s="92">
        <f>PI!H137</f>
        <v>0</v>
      </c>
      <c r="N30" s="92">
        <f>PI!I137</f>
        <v>0</v>
      </c>
      <c r="O30" s="92">
        <f>PI!J137</f>
        <v>0</v>
      </c>
      <c r="P30" s="92">
        <f>PI!K137</f>
        <v>0</v>
      </c>
      <c r="Q30" s="92">
        <f>PI!L137</f>
        <v>0</v>
      </c>
      <c r="R30" s="92">
        <f>PI!M137</f>
        <v>0</v>
      </c>
      <c r="S30" s="92">
        <f>PI!N137</f>
        <v>0</v>
      </c>
      <c r="T30" s="108">
        <f>PI!O137</f>
        <v>0</v>
      </c>
      <c r="U30" s="36"/>
      <c r="V30" s="36"/>
    </row>
    <row r="31" spans="1:22" ht="15.75">
      <c r="A31" s="280">
        <v>7</v>
      </c>
      <c r="B31" s="310" t="s">
        <v>306</v>
      </c>
      <c r="C31" s="450"/>
      <c r="D31" s="76"/>
      <c r="E31" s="136"/>
      <c r="F31" s="78">
        <v>6</v>
      </c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108"/>
      <c r="U31" s="36"/>
      <c r="V31" s="36"/>
    </row>
    <row r="32" spans="1:22" ht="15.75">
      <c r="A32" s="280"/>
      <c r="B32" s="160" t="s">
        <v>308</v>
      </c>
      <c r="C32" s="450" t="s">
        <v>277</v>
      </c>
      <c r="D32" s="76" t="s">
        <v>149</v>
      </c>
      <c r="E32" s="136" t="s">
        <v>424</v>
      </c>
      <c r="F32" s="78"/>
      <c r="G32" s="92">
        <f>N32</f>
        <v>100</v>
      </c>
      <c r="H32" s="92">
        <f>T32</f>
        <v>100</v>
      </c>
      <c r="I32" s="92">
        <f>PI!D157</f>
        <v>100</v>
      </c>
      <c r="J32" s="92">
        <f>PI!E157</f>
        <v>100</v>
      </c>
      <c r="K32" s="92">
        <f>PI!F157</f>
        <v>100</v>
      </c>
      <c r="L32" s="92">
        <f>PI!G157</f>
        <v>100</v>
      </c>
      <c r="M32" s="92">
        <f>PI!H157</f>
        <v>100</v>
      </c>
      <c r="N32" s="92">
        <f>PI!I157</f>
        <v>100</v>
      </c>
      <c r="O32" s="92">
        <f>PI!J157</f>
        <v>100</v>
      </c>
      <c r="P32" s="92">
        <f>PI!K157</f>
        <v>100</v>
      </c>
      <c r="Q32" s="92">
        <f>PI!L157</f>
        <v>100</v>
      </c>
      <c r="R32" s="92">
        <f>PI!M157</f>
        <v>100</v>
      </c>
      <c r="S32" s="92">
        <f>PI!N157</f>
        <v>100</v>
      </c>
      <c r="T32" s="108">
        <f>PI!O157</f>
        <v>100</v>
      </c>
      <c r="U32" s="36"/>
      <c r="V32" s="36"/>
    </row>
    <row r="33" spans="1:26" ht="15.75">
      <c r="A33" s="280"/>
      <c r="B33" s="160" t="s">
        <v>309</v>
      </c>
      <c r="C33" s="450" t="s">
        <v>277</v>
      </c>
      <c r="D33" s="76" t="s">
        <v>149</v>
      </c>
      <c r="E33" s="136" t="s">
        <v>425</v>
      </c>
      <c r="F33" s="78"/>
      <c r="G33" s="92">
        <f>N33</f>
        <v>100</v>
      </c>
      <c r="H33" s="92">
        <f>T33</f>
        <v>100</v>
      </c>
      <c r="I33" s="92">
        <f>PI!D179</f>
        <v>100</v>
      </c>
      <c r="J33" s="92">
        <f>PI!E179</f>
        <v>100</v>
      </c>
      <c r="K33" s="92">
        <f>PI!F179</f>
        <v>100</v>
      </c>
      <c r="L33" s="92">
        <f>PI!G179</f>
        <v>100</v>
      </c>
      <c r="M33" s="92">
        <f>PI!H179</f>
        <v>100</v>
      </c>
      <c r="N33" s="92">
        <f>PI!I179</f>
        <v>100</v>
      </c>
      <c r="O33" s="92">
        <f>PI!J179</f>
        <v>100</v>
      </c>
      <c r="P33" s="92">
        <f>PI!K179</f>
        <v>100</v>
      </c>
      <c r="Q33" s="92">
        <f>PI!L179</f>
        <v>100</v>
      </c>
      <c r="R33" s="92">
        <f>PI!M179</f>
        <v>100</v>
      </c>
      <c r="S33" s="92">
        <f>PI!N179</f>
        <v>100</v>
      </c>
      <c r="T33" s="108">
        <f>PI!O179</f>
        <v>100</v>
      </c>
      <c r="U33" s="36"/>
      <c r="V33" s="36"/>
    </row>
    <row r="34" spans="1:26" ht="15.75">
      <c r="A34" s="280">
        <v>8</v>
      </c>
      <c r="B34" s="310" t="s">
        <v>31</v>
      </c>
      <c r="C34" s="450"/>
      <c r="D34" s="76"/>
      <c r="E34" s="136"/>
      <c r="F34" s="78">
        <v>10</v>
      </c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108"/>
      <c r="U34" s="36"/>
      <c r="V34" s="36"/>
    </row>
    <row r="35" spans="1:26" ht="15.75">
      <c r="A35" s="280"/>
      <c r="B35" s="160" t="s">
        <v>312</v>
      </c>
      <c r="C35" s="450" t="s">
        <v>277</v>
      </c>
      <c r="D35" s="76" t="s">
        <v>313</v>
      </c>
      <c r="E35" s="136" t="s">
        <v>426</v>
      </c>
      <c r="F35" s="78"/>
      <c r="G35" s="92">
        <f>N35</f>
        <v>0.97</v>
      </c>
      <c r="H35" s="92">
        <f>T35</f>
        <v>2.46</v>
      </c>
      <c r="I35" s="92">
        <f>PI!D198</f>
        <v>0.13</v>
      </c>
      <c r="J35" s="92">
        <f>PI!E198</f>
        <v>0.27</v>
      </c>
      <c r="K35" s="92">
        <f>PI!F198</f>
        <v>0.42</v>
      </c>
      <c r="L35" s="92">
        <f>PI!G198</f>
        <v>0.55000000000000004</v>
      </c>
      <c r="M35" s="92">
        <f>PI!H198</f>
        <v>0.77</v>
      </c>
      <c r="N35" s="92">
        <f>PI!I198</f>
        <v>0.97</v>
      </c>
      <c r="O35" s="92">
        <f>PI!J198</f>
        <v>1.19</v>
      </c>
      <c r="P35" s="92">
        <f>PI!K198</f>
        <v>1.4</v>
      </c>
      <c r="Q35" s="92">
        <f>PI!L198</f>
        <v>1.61</v>
      </c>
      <c r="R35" s="92">
        <f>PI!M198</f>
        <v>1.82</v>
      </c>
      <c r="S35" s="92">
        <f>PI!N198</f>
        <v>2.0299999999999998</v>
      </c>
      <c r="T35" s="92">
        <f>PI!O198</f>
        <v>2.46</v>
      </c>
      <c r="U35" s="36"/>
      <c r="V35" s="36"/>
    </row>
    <row r="36" spans="1:26" ht="15.75">
      <c r="A36" s="281"/>
      <c r="B36" s="160" t="s">
        <v>314</v>
      </c>
      <c r="C36" s="447" t="s">
        <v>277</v>
      </c>
      <c r="D36" s="76" t="s">
        <v>133</v>
      </c>
      <c r="E36" s="77" t="s">
        <v>427</v>
      </c>
      <c r="F36" s="77"/>
      <c r="G36" s="93">
        <f>N36</f>
        <v>1093</v>
      </c>
      <c r="H36" s="93">
        <f>T36</f>
        <v>2517</v>
      </c>
      <c r="I36" s="93">
        <f>PI!D204</f>
        <v>149</v>
      </c>
      <c r="J36" s="93">
        <f>PI!E204</f>
        <v>304</v>
      </c>
      <c r="K36" s="93">
        <f>PI!F204</f>
        <v>466</v>
      </c>
      <c r="L36" s="93">
        <f>PI!G204</f>
        <v>622</v>
      </c>
      <c r="M36" s="93">
        <f>PI!H204</f>
        <v>861</v>
      </c>
      <c r="N36" s="93">
        <f>PI!I204</f>
        <v>1093</v>
      </c>
      <c r="O36" s="93">
        <f>PI!J204</f>
        <v>1333</v>
      </c>
      <c r="P36" s="93">
        <f>PI!K204</f>
        <v>1573</v>
      </c>
      <c r="Q36" s="93">
        <f>PI!L204</f>
        <v>1805</v>
      </c>
      <c r="R36" s="93">
        <f>PI!M204</f>
        <v>2045</v>
      </c>
      <c r="S36" s="93">
        <f>PI!N204</f>
        <v>2277</v>
      </c>
      <c r="T36" s="123">
        <f>PI!O204</f>
        <v>2517</v>
      </c>
      <c r="U36" s="36"/>
      <c r="V36" s="36"/>
    </row>
    <row r="37" spans="1:26" ht="15.75">
      <c r="A37" s="280"/>
      <c r="B37" s="160" t="s">
        <v>315</v>
      </c>
      <c r="C37" s="450" t="s">
        <v>277</v>
      </c>
      <c r="D37" s="76" t="s">
        <v>133</v>
      </c>
      <c r="E37" s="136" t="s">
        <v>428</v>
      </c>
      <c r="F37" s="78"/>
      <c r="G37" s="92">
        <f>N37</f>
        <v>120</v>
      </c>
      <c r="H37" s="92">
        <f>T37</f>
        <v>198</v>
      </c>
      <c r="I37" s="92">
        <f>PI!D210</f>
        <v>20</v>
      </c>
      <c r="J37" s="92">
        <f>PI!E210</f>
        <v>40</v>
      </c>
      <c r="K37" s="92">
        <f>PI!F210</f>
        <v>60</v>
      </c>
      <c r="L37" s="92">
        <f>PI!G210</f>
        <v>80</v>
      </c>
      <c r="M37" s="92">
        <f>PI!H210</f>
        <v>100</v>
      </c>
      <c r="N37" s="92">
        <f>PI!I210</f>
        <v>120</v>
      </c>
      <c r="O37" s="92">
        <f>PI!J210</f>
        <v>133</v>
      </c>
      <c r="P37" s="92">
        <f>PI!K210</f>
        <v>146</v>
      </c>
      <c r="Q37" s="92">
        <f>PI!L210</f>
        <v>159</v>
      </c>
      <c r="R37" s="92">
        <f>PI!M210</f>
        <v>172</v>
      </c>
      <c r="S37" s="92">
        <f>PI!N210</f>
        <v>185</v>
      </c>
      <c r="T37" s="108">
        <f>PI!O210</f>
        <v>198</v>
      </c>
      <c r="U37" s="36"/>
      <c r="V37" s="36"/>
    </row>
    <row r="38" spans="1:26" ht="15.75">
      <c r="A38" s="331"/>
      <c r="B38" s="160" t="s">
        <v>316</v>
      </c>
      <c r="C38" s="450" t="s">
        <v>277</v>
      </c>
      <c r="D38" s="76" t="s">
        <v>133</v>
      </c>
      <c r="E38" s="136" t="s">
        <v>429</v>
      </c>
      <c r="F38" s="78"/>
      <c r="G38" s="92">
        <f>N38</f>
        <v>0</v>
      </c>
      <c r="H38" s="92">
        <f>T38</f>
        <v>0</v>
      </c>
      <c r="I38" s="92">
        <f>PI!D216</f>
        <v>0</v>
      </c>
      <c r="J38" s="92">
        <f>PI!E216</f>
        <v>0</v>
      </c>
      <c r="K38" s="92">
        <f>PI!F216</f>
        <v>0</v>
      </c>
      <c r="L38" s="92">
        <f>PI!G216</f>
        <v>0</v>
      </c>
      <c r="M38" s="92">
        <f>PI!H216</f>
        <v>0</v>
      </c>
      <c r="N38" s="92">
        <f>PI!I216</f>
        <v>0</v>
      </c>
      <c r="O38" s="92">
        <f>PI!J216</f>
        <v>0</v>
      </c>
      <c r="P38" s="92">
        <f>PI!K216</f>
        <v>0</v>
      </c>
      <c r="Q38" s="92">
        <f>PI!L216</f>
        <v>0</v>
      </c>
      <c r="R38" s="92">
        <f>PI!M216</f>
        <v>0</v>
      </c>
      <c r="S38" s="92">
        <f>PI!N216</f>
        <v>0</v>
      </c>
      <c r="T38" s="108">
        <f>PI!O216</f>
        <v>0</v>
      </c>
      <c r="U38" s="36"/>
      <c r="V38" s="36"/>
    </row>
    <row r="39" spans="1:26" ht="15.75">
      <c r="A39" s="280">
        <v>9</v>
      </c>
      <c r="B39" s="310" t="s">
        <v>430</v>
      </c>
      <c r="C39" s="450"/>
      <c r="D39" s="76"/>
      <c r="E39" s="136"/>
      <c r="F39" s="78">
        <v>4</v>
      </c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108"/>
      <c r="U39" s="36"/>
      <c r="V39" s="36"/>
    </row>
    <row r="40" spans="1:26" ht="15.75">
      <c r="A40" s="280"/>
      <c r="B40" s="160" t="s">
        <v>431</v>
      </c>
      <c r="C40" s="450" t="s">
        <v>277</v>
      </c>
      <c r="D40" s="76" t="s">
        <v>133</v>
      </c>
      <c r="E40" s="136" t="s">
        <v>432</v>
      </c>
      <c r="F40" s="78"/>
      <c r="G40" s="92">
        <f>N40</f>
        <v>3</v>
      </c>
      <c r="H40" s="92">
        <f>T40</f>
        <v>123</v>
      </c>
      <c r="I40" s="92">
        <f>PI!D222</f>
        <v>1</v>
      </c>
      <c r="J40" s="92">
        <f>PI!E222</f>
        <v>1</v>
      </c>
      <c r="K40" s="92">
        <f>PI!F222</f>
        <v>1</v>
      </c>
      <c r="L40" s="92">
        <f>PI!G222</f>
        <v>1</v>
      </c>
      <c r="M40" s="92">
        <f>PI!H222</f>
        <v>2</v>
      </c>
      <c r="N40" s="92">
        <f>PI!I222</f>
        <v>3</v>
      </c>
      <c r="O40" s="92">
        <f>PI!J222</f>
        <v>11</v>
      </c>
      <c r="P40" s="92">
        <f>PI!K222</f>
        <v>17</v>
      </c>
      <c r="Q40" s="92">
        <f>PI!L222</f>
        <v>27</v>
      </c>
      <c r="R40" s="92">
        <f>PI!M222</f>
        <v>45</v>
      </c>
      <c r="S40" s="92">
        <f>PI!N222</f>
        <v>74</v>
      </c>
      <c r="T40" s="108">
        <f>PI!O222</f>
        <v>123</v>
      </c>
      <c r="U40" s="36"/>
      <c r="V40" s="36"/>
    </row>
    <row r="41" spans="1:26" ht="31.5">
      <c r="A41" s="280"/>
      <c r="B41" s="160" t="s">
        <v>433</v>
      </c>
      <c r="C41" s="450" t="s">
        <v>277</v>
      </c>
      <c r="D41" s="76" t="s">
        <v>434</v>
      </c>
      <c r="E41" s="136" t="s">
        <v>435</v>
      </c>
      <c r="F41" s="78"/>
      <c r="G41" s="92">
        <f>N41</f>
        <v>121.5</v>
      </c>
      <c r="H41" s="92">
        <f>T41</f>
        <v>16442.113000000001</v>
      </c>
      <c r="I41" s="92">
        <f>PI!D228</f>
        <v>40.5</v>
      </c>
      <c r="J41" s="92">
        <f>PI!E228</f>
        <v>40.5</v>
      </c>
      <c r="K41" s="92">
        <f>PI!F228</f>
        <v>40.5</v>
      </c>
      <c r="L41" s="92">
        <f>PI!G228</f>
        <v>40.5</v>
      </c>
      <c r="M41" s="92">
        <f>PI!H228</f>
        <v>81</v>
      </c>
      <c r="N41" s="92">
        <f>PI!I228</f>
        <v>121.5</v>
      </c>
      <c r="O41" s="92">
        <f>PI!J228</f>
        <v>1470.433</v>
      </c>
      <c r="P41" s="92">
        <f>PI!K228</f>
        <v>2272.4870000000001</v>
      </c>
      <c r="Q41" s="92">
        <f>PI!L228</f>
        <v>3609.2440000000001</v>
      </c>
      <c r="R41" s="92">
        <f>PI!M228</f>
        <v>6015.4070000000002</v>
      </c>
      <c r="S41" s="92">
        <f>PI!N228</f>
        <v>9892.0030000000006</v>
      </c>
      <c r="T41" s="108">
        <f>PI!O228</f>
        <v>16442.113000000001</v>
      </c>
      <c r="U41" s="36"/>
      <c r="V41" s="36"/>
    </row>
    <row r="42" spans="1:26" ht="15.75">
      <c r="A42" s="280">
        <v>10</v>
      </c>
      <c r="B42" s="310" t="s">
        <v>321</v>
      </c>
      <c r="C42" s="450"/>
      <c r="D42" s="76"/>
      <c r="E42" s="136"/>
      <c r="F42" s="78">
        <v>8</v>
      </c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108"/>
      <c r="U42" s="36"/>
      <c r="V42" s="36"/>
    </row>
    <row r="43" spans="1:26" ht="15.75">
      <c r="A43" s="279"/>
      <c r="B43" s="160" t="s">
        <v>322</v>
      </c>
      <c r="C43" s="450" t="s">
        <v>277</v>
      </c>
      <c r="D43" s="76" t="s">
        <v>133</v>
      </c>
      <c r="E43" s="136" t="s">
        <v>436</v>
      </c>
      <c r="F43" s="78"/>
      <c r="G43" s="92">
        <f>N43</f>
        <v>743</v>
      </c>
      <c r="H43" s="92">
        <f>T43</f>
        <v>743</v>
      </c>
      <c r="I43" s="92">
        <f>PI!D238</f>
        <v>743</v>
      </c>
      <c r="J43" s="92">
        <f>PI!E238</f>
        <v>743</v>
      </c>
      <c r="K43" s="92">
        <f>PI!F238</f>
        <v>743</v>
      </c>
      <c r="L43" s="92">
        <f>PI!G238</f>
        <v>743</v>
      </c>
      <c r="M43" s="92">
        <f>PI!H238</f>
        <v>743</v>
      </c>
      <c r="N43" s="92">
        <f>PI!I238</f>
        <v>743</v>
      </c>
      <c r="O43" s="92">
        <f>PI!J238</f>
        <v>743</v>
      </c>
      <c r="P43" s="92">
        <f>PI!K238</f>
        <v>743</v>
      </c>
      <c r="Q43" s="92">
        <f>PI!L238</f>
        <v>743</v>
      </c>
      <c r="R43" s="92">
        <f>PI!M238</f>
        <v>743</v>
      </c>
      <c r="S43" s="92">
        <f>PI!N238</f>
        <v>743</v>
      </c>
      <c r="T43" s="108">
        <f>PI!O238</f>
        <v>743</v>
      </c>
      <c r="U43" s="36"/>
      <c r="V43" s="36"/>
      <c r="Z43" s="377"/>
    </row>
    <row r="44" spans="1:26" ht="15.75">
      <c r="A44" s="280"/>
      <c r="B44" s="160" t="s">
        <v>324</v>
      </c>
      <c r="C44" s="450" t="s">
        <v>279</v>
      </c>
      <c r="D44" s="76" t="s">
        <v>133</v>
      </c>
      <c r="E44" s="136" t="s">
        <v>437</v>
      </c>
      <c r="F44" s="78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108"/>
      <c r="U44" s="36"/>
      <c r="V44" s="36"/>
    </row>
    <row r="45" spans="1:26" ht="15.75">
      <c r="A45" s="280">
        <v>11</v>
      </c>
      <c r="B45" s="310" t="s">
        <v>438</v>
      </c>
      <c r="C45" s="450" t="s">
        <v>277</v>
      </c>
      <c r="D45" s="76" t="s">
        <v>149</v>
      </c>
      <c r="E45" s="136" t="s">
        <v>439</v>
      </c>
      <c r="F45" s="78">
        <v>3</v>
      </c>
      <c r="G45" s="92">
        <f>N45</f>
        <v>100</v>
      </c>
      <c r="H45" s="92">
        <f>T45</f>
        <v>100</v>
      </c>
      <c r="I45" s="92">
        <f>PI!D258</f>
        <v>100</v>
      </c>
      <c r="J45" s="92">
        <f>PI!E258</f>
        <v>100</v>
      </c>
      <c r="K45" s="92">
        <f>PI!F258</f>
        <v>100</v>
      </c>
      <c r="L45" s="92">
        <f>PI!G258</f>
        <v>100</v>
      </c>
      <c r="M45" s="92">
        <f>PI!H258</f>
        <v>100</v>
      </c>
      <c r="N45" s="92">
        <f>PI!I258</f>
        <v>100</v>
      </c>
      <c r="O45" s="92">
        <f>PI!J258</f>
        <v>100</v>
      </c>
      <c r="P45" s="92">
        <f>PI!K258</f>
        <v>100</v>
      </c>
      <c r="Q45" s="92">
        <f>PI!L258</f>
        <v>100</v>
      </c>
      <c r="R45" s="92">
        <f>PI!M258</f>
        <v>100</v>
      </c>
      <c r="S45" s="92">
        <f>PI!N258</f>
        <v>100</v>
      </c>
      <c r="T45" s="108">
        <f>PI!O258</f>
        <v>100</v>
      </c>
      <c r="U45" s="36"/>
      <c r="V45" s="36"/>
    </row>
    <row r="46" spans="1:26" ht="15.75">
      <c r="A46" s="280">
        <v>12</v>
      </c>
      <c r="B46" s="310" t="s">
        <v>325</v>
      </c>
      <c r="C46" s="450"/>
      <c r="D46" s="76" t="s">
        <v>149</v>
      </c>
      <c r="E46" s="136"/>
      <c r="F46" s="78">
        <v>9</v>
      </c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108"/>
      <c r="U46" s="36"/>
      <c r="V46" s="36"/>
    </row>
    <row r="47" spans="1:26" ht="31.5">
      <c r="A47" s="280"/>
      <c r="B47" s="160" t="s">
        <v>440</v>
      </c>
      <c r="C47" s="450" t="s">
        <v>279</v>
      </c>
      <c r="D47" s="76" t="s">
        <v>327</v>
      </c>
      <c r="E47" s="136" t="s">
        <v>441</v>
      </c>
      <c r="F47" s="78"/>
      <c r="G47" s="92">
        <f t="shared" ref="G47:G48" si="2">N47</f>
        <v>289</v>
      </c>
      <c r="H47" s="92">
        <f t="shared" ref="H47:H48" si="3">T47</f>
        <v>289</v>
      </c>
      <c r="I47" s="92">
        <f>PI!D277</f>
        <v>289</v>
      </c>
      <c r="J47" s="92">
        <f>PI!E277</f>
        <v>289</v>
      </c>
      <c r="K47" s="92">
        <f>PI!F277</f>
        <v>289</v>
      </c>
      <c r="L47" s="92">
        <f>PI!G277</f>
        <v>289</v>
      </c>
      <c r="M47" s="92">
        <f>PI!H277</f>
        <v>289</v>
      </c>
      <c r="N47" s="92">
        <f>PI!I277</f>
        <v>289</v>
      </c>
      <c r="O47" s="92">
        <f>PI!J277</f>
        <v>289</v>
      </c>
      <c r="P47" s="92">
        <f>PI!K277</f>
        <v>289</v>
      </c>
      <c r="Q47" s="92">
        <f>PI!L277</f>
        <v>289</v>
      </c>
      <c r="R47" s="92">
        <f>PI!M277</f>
        <v>289</v>
      </c>
      <c r="S47" s="92">
        <f>PI!N277</f>
        <v>289</v>
      </c>
      <c r="T47" s="108">
        <f>PI!O277</f>
        <v>289</v>
      </c>
      <c r="U47" s="36"/>
      <c r="V47" s="36"/>
    </row>
    <row r="48" spans="1:26" ht="31.5">
      <c r="A48" s="280"/>
      <c r="B48" s="160" t="s">
        <v>442</v>
      </c>
      <c r="C48" s="450" t="s">
        <v>279</v>
      </c>
      <c r="D48" s="76" t="s">
        <v>327</v>
      </c>
      <c r="E48" s="136" t="s">
        <v>443</v>
      </c>
      <c r="F48" s="78"/>
      <c r="G48" s="92">
        <f t="shared" si="2"/>
        <v>161.27000000000001</v>
      </c>
      <c r="H48" s="92">
        <f t="shared" si="3"/>
        <v>161.27000000000001</v>
      </c>
      <c r="I48" s="92">
        <f>PI!D299</f>
        <v>161.27000000000001</v>
      </c>
      <c r="J48" s="92">
        <f>PI!E299</f>
        <v>161.27000000000001</v>
      </c>
      <c r="K48" s="92">
        <f>PI!F299</f>
        <v>161.27000000000001</v>
      </c>
      <c r="L48" s="92">
        <f>PI!G299</f>
        <v>161.27000000000001</v>
      </c>
      <c r="M48" s="92">
        <f>PI!H299</f>
        <v>161.27000000000001</v>
      </c>
      <c r="N48" s="92">
        <f>PI!I299</f>
        <v>161.27000000000001</v>
      </c>
      <c r="O48" s="92">
        <f>PI!J299</f>
        <v>161.27000000000001</v>
      </c>
      <c r="P48" s="92">
        <f>PI!K299</f>
        <v>161.27000000000001</v>
      </c>
      <c r="Q48" s="92">
        <f>PI!L299</f>
        <v>161.27000000000001</v>
      </c>
      <c r="R48" s="92">
        <f>PI!M299</f>
        <v>161.27000000000001</v>
      </c>
      <c r="S48" s="92">
        <f>PI!N299</f>
        <v>161.27000000000001</v>
      </c>
      <c r="T48" s="108">
        <f>PI!O299</f>
        <v>161.27000000000001</v>
      </c>
      <c r="U48" s="36"/>
      <c r="V48" s="36"/>
    </row>
    <row r="49" spans="1:22" ht="15.75">
      <c r="A49" s="280"/>
      <c r="B49" s="160" t="s">
        <v>331</v>
      </c>
      <c r="C49" s="450" t="s">
        <v>277</v>
      </c>
      <c r="D49" s="76" t="s">
        <v>327</v>
      </c>
      <c r="E49" s="136" t="s">
        <v>444</v>
      </c>
      <c r="F49" s="78"/>
      <c r="G49" s="92">
        <f>N49</f>
        <v>0</v>
      </c>
      <c r="H49" s="92">
        <f>T49</f>
        <v>0</v>
      </c>
      <c r="I49" s="92">
        <f>PI!D320</f>
        <v>0</v>
      </c>
      <c r="J49" s="92">
        <f>PI!E320</f>
        <v>0</v>
      </c>
      <c r="K49" s="92">
        <f>PI!F320</f>
        <v>0</v>
      </c>
      <c r="L49" s="92">
        <f>PI!G320</f>
        <v>0</v>
      </c>
      <c r="M49" s="92">
        <f>PI!H320</f>
        <v>0</v>
      </c>
      <c r="N49" s="92">
        <f>PI!I320</f>
        <v>0</v>
      </c>
      <c r="O49" s="92">
        <f>PI!J320</f>
        <v>0</v>
      </c>
      <c r="P49" s="92">
        <f>PI!K320</f>
        <v>0</v>
      </c>
      <c r="Q49" s="92">
        <f>PI!L320</f>
        <v>0</v>
      </c>
      <c r="R49" s="92">
        <f>PI!M320</f>
        <v>0</v>
      </c>
      <c r="S49" s="92">
        <f>PI!N320</f>
        <v>0</v>
      </c>
      <c r="T49" s="92">
        <f>PI!O320</f>
        <v>0</v>
      </c>
      <c r="U49" s="36"/>
      <c r="V49" s="36"/>
    </row>
    <row r="50" spans="1:22" ht="15.75">
      <c r="A50" s="281">
        <v>13</v>
      </c>
      <c r="B50" s="310" t="s">
        <v>356</v>
      </c>
      <c r="C50" s="450"/>
      <c r="D50" s="76"/>
      <c r="E50" s="136"/>
      <c r="F50" s="78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108"/>
      <c r="U50" s="36"/>
      <c r="V50" s="36"/>
    </row>
    <row r="51" spans="1:22" ht="31.9" customHeight="1">
      <c r="A51" s="279"/>
      <c r="B51" s="160" t="s">
        <v>357</v>
      </c>
      <c r="C51" s="447"/>
      <c r="D51" s="76"/>
      <c r="E51" s="79" t="s">
        <v>399</v>
      </c>
      <c r="F51" s="77" t="s">
        <v>358</v>
      </c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108"/>
      <c r="U51" s="36"/>
      <c r="V51" s="36"/>
    </row>
    <row r="52" spans="1:22" ht="31.5">
      <c r="A52" s="280"/>
      <c r="B52" s="160" t="s">
        <v>359</v>
      </c>
      <c r="C52" s="447"/>
      <c r="D52" s="76"/>
      <c r="E52" s="79" t="s">
        <v>445</v>
      </c>
      <c r="F52" s="77" t="s">
        <v>360</v>
      </c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108"/>
      <c r="U52" s="36"/>
      <c r="V52" s="36"/>
    </row>
    <row r="53" spans="1:22" ht="31.5">
      <c r="A53" s="280"/>
      <c r="B53" s="160" t="s">
        <v>361</v>
      </c>
      <c r="C53" s="447"/>
      <c r="D53" s="76"/>
      <c r="E53" s="136" t="s">
        <v>401</v>
      </c>
      <c r="F53" s="200" t="s">
        <v>363</v>
      </c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108"/>
      <c r="U53" s="36"/>
      <c r="V53" s="36"/>
    </row>
    <row r="54" spans="1:22" ht="15.75">
      <c r="A54" s="280"/>
      <c r="B54" s="160" t="s">
        <v>364</v>
      </c>
      <c r="C54" s="447"/>
      <c r="D54" s="76"/>
      <c r="E54" s="136" t="s">
        <v>402</v>
      </c>
      <c r="F54" s="201" t="s">
        <v>366</v>
      </c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123"/>
      <c r="U54" s="36"/>
      <c r="V54" s="36"/>
    </row>
    <row r="55" spans="1:22" ht="15.75">
      <c r="A55" s="281"/>
      <c r="B55" s="160" t="s">
        <v>367</v>
      </c>
      <c r="C55" s="447"/>
      <c r="D55" s="76"/>
      <c r="E55" s="136" t="s">
        <v>446</v>
      </c>
      <c r="F55" s="78" t="s">
        <v>368</v>
      </c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108"/>
      <c r="U55" s="36"/>
      <c r="V55" s="36"/>
    </row>
    <row r="56" spans="1:22" ht="15.75">
      <c r="A56" s="73"/>
      <c r="B56" s="427" t="s">
        <v>104</v>
      </c>
      <c r="C56" s="451"/>
      <c r="D56" s="85"/>
      <c r="E56" s="86"/>
      <c r="F56" s="86">
        <f>F7+F18</f>
        <v>100</v>
      </c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73"/>
    </row>
    <row r="57" spans="1:22" customFormat="1">
      <c r="B57" s="428"/>
      <c r="C57" s="443"/>
      <c r="E57" s="105"/>
    </row>
    <row r="58" spans="1:22" customFormat="1">
      <c r="A58" s="114"/>
      <c r="B58" s="429" t="s">
        <v>369</v>
      </c>
      <c r="C58" s="452"/>
      <c r="D58" s="4">
        <f>COUNTA(D8:D55)</f>
        <v>32</v>
      </c>
      <c r="E58" s="114"/>
      <c r="F58" s="4"/>
      <c r="G58" s="116"/>
      <c r="H58" s="116"/>
      <c r="I58" s="116"/>
      <c r="J58" s="116"/>
      <c r="K58" s="116"/>
      <c r="L58" s="116"/>
      <c r="M58" s="116"/>
      <c r="N58" s="116"/>
      <c r="O58" s="116"/>
      <c r="P58" s="116"/>
      <c r="Q58" s="116"/>
      <c r="R58" s="116"/>
      <c r="S58" s="116"/>
      <c r="T58" s="116"/>
    </row>
    <row r="59" spans="1:22" customFormat="1">
      <c r="B59" s="428"/>
      <c r="C59" s="443"/>
      <c r="E59" s="105"/>
    </row>
    <row r="60" spans="1:22" customFormat="1">
      <c r="A60" s="117" t="s">
        <v>370</v>
      </c>
      <c r="B60" s="430"/>
      <c r="C60" s="453"/>
      <c r="D60" s="119"/>
      <c r="E60" s="119"/>
      <c r="F60" s="119"/>
      <c r="G60" s="119"/>
      <c r="H60" s="119"/>
      <c r="I60" s="119"/>
      <c r="J60" s="119"/>
      <c r="K60" s="119"/>
      <c r="L60" s="119"/>
      <c r="M60" s="119"/>
      <c r="Q60" s="119"/>
      <c r="S60" s="119"/>
    </row>
    <row r="61" spans="1:22" customFormat="1" ht="30">
      <c r="A61" s="119">
        <v>3</v>
      </c>
      <c r="B61" s="431" t="s">
        <v>371</v>
      </c>
      <c r="C61" s="453"/>
      <c r="D61" s="119"/>
      <c r="E61" s="119"/>
      <c r="F61" s="119"/>
      <c r="G61" s="119"/>
      <c r="H61" s="119"/>
      <c r="I61" s="119"/>
      <c r="J61" s="119"/>
      <c r="K61" s="119"/>
      <c r="L61" s="119"/>
      <c r="M61" s="119"/>
      <c r="Q61" s="119"/>
      <c r="S61" s="119"/>
    </row>
    <row r="62" spans="1:22" customFormat="1" ht="30">
      <c r="A62" s="119">
        <v>1</v>
      </c>
      <c r="B62" s="431" t="s">
        <v>372</v>
      </c>
      <c r="C62" s="453"/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Q62" s="119"/>
      <c r="S62" s="119"/>
    </row>
    <row r="63" spans="1:22" customFormat="1">
      <c r="A63" s="119"/>
      <c r="B63" s="430"/>
      <c r="C63" s="453"/>
      <c r="D63" s="119"/>
      <c r="E63" s="119"/>
      <c r="F63" s="119"/>
      <c r="G63" s="119"/>
      <c r="H63" s="119"/>
      <c r="I63" s="119"/>
      <c r="J63" s="119"/>
      <c r="K63" s="119"/>
      <c r="L63" s="119"/>
      <c r="M63" s="119"/>
      <c r="Q63" s="119"/>
      <c r="S63" s="119"/>
    </row>
    <row r="64" spans="1:22" customFormat="1">
      <c r="A64" s="119"/>
      <c r="B64" s="430"/>
      <c r="C64" s="453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Q64" s="119"/>
      <c r="S64" s="119"/>
    </row>
    <row r="65" spans="1:30" customFormat="1">
      <c r="A65" s="121"/>
      <c r="B65" s="432"/>
      <c r="C65" s="453"/>
      <c r="D65" s="121"/>
      <c r="E65" s="121"/>
      <c r="F65" s="121"/>
      <c r="G65" s="121"/>
      <c r="H65" s="121"/>
      <c r="I65" s="121"/>
      <c r="J65" s="121"/>
      <c r="K65" s="121"/>
      <c r="L65" s="121"/>
      <c r="M65" s="121"/>
    </row>
    <row r="66" spans="1:30" customFormat="1">
      <c r="B66" s="428"/>
      <c r="C66" s="443"/>
      <c r="E66" s="105"/>
      <c r="Q66" s="121"/>
      <c r="S66" s="121"/>
    </row>
    <row r="67" spans="1:30" s="31" customFormat="1">
      <c r="A67" s="28"/>
      <c r="B67" s="433"/>
      <c r="C67" s="454"/>
      <c r="D67" s="28"/>
      <c r="E67" s="37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W67" s="30"/>
      <c r="X67" s="30"/>
      <c r="Y67" s="30"/>
      <c r="Z67" s="30"/>
      <c r="AA67" s="30"/>
      <c r="AB67" s="30"/>
      <c r="AC67" s="30"/>
      <c r="AD67" s="30"/>
    </row>
  </sheetData>
  <mergeCells count="7">
    <mergeCell ref="I4:T4"/>
    <mergeCell ref="A4:A5"/>
    <mergeCell ref="B4:C5"/>
    <mergeCell ref="D4:D5"/>
    <mergeCell ref="E4:E5"/>
    <mergeCell ref="F4:F5"/>
    <mergeCell ref="G4:H4"/>
  </mergeCells>
  <conditionalFormatting sqref="A61">
    <cfRule type="iconSet" priority="30">
      <iconSet iconSet="3ArrowsGray" showValue="0">
        <cfvo type="percent" val="0"/>
        <cfvo type="num" val="2"/>
        <cfvo type="num" val="3"/>
      </iconSet>
    </cfRule>
  </conditionalFormatting>
  <conditionalFormatting sqref="A62">
    <cfRule type="iconSet" priority="29">
      <iconSet iconSet="3ArrowsGray" showValue="0">
        <cfvo type="percent" val="0"/>
        <cfvo type="num" val="2"/>
        <cfvo type="num" val="3"/>
      </iconSet>
    </cfRule>
  </conditionalFormatting>
  <conditionalFormatting sqref="C8">
    <cfRule type="iconSet" priority="40">
      <iconSet iconSet="3ArrowsGray" showValue="0">
        <cfvo type="percent" val="0"/>
        <cfvo type="num" val="2"/>
        <cfvo type="num" val="3"/>
      </iconSet>
    </cfRule>
    <cfRule type="iconSet" priority="44">
      <iconSet iconSet="3ArrowsGray" showValue="0">
        <cfvo type="percent" val="0"/>
        <cfvo type="num" val="2"/>
        <cfvo type="num" val="3"/>
      </iconSet>
    </cfRule>
  </conditionalFormatting>
  <conditionalFormatting sqref="C9">
    <cfRule type="iconSet" priority="39">
      <iconSet iconSet="3ArrowsGray" showValue="0">
        <cfvo type="percent" val="0"/>
        <cfvo type="num" val="2"/>
        <cfvo type="num" val="3"/>
      </iconSet>
    </cfRule>
  </conditionalFormatting>
  <conditionalFormatting sqref="C10:C17">
    <cfRule type="iconSet" priority="47692">
      <iconSet iconSet="3ArrowsGray" showValue="0">
        <cfvo type="percent" val="0"/>
        <cfvo type="num" val="2"/>
        <cfvo type="num" val="3"/>
      </iconSet>
    </cfRule>
    <cfRule type="iconSet" priority="47693">
      <iconSet iconSet="3ArrowsGray" showValue="0">
        <cfvo type="percent" val="0"/>
        <cfvo type="num" val="2"/>
        <cfvo type="num" val="3"/>
      </iconSet>
    </cfRule>
  </conditionalFormatting>
  <conditionalFormatting sqref="C19">
    <cfRule type="iconSet" priority="3">
      <iconSet iconSet="3ArrowsGray" showValue="0">
        <cfvo type="percent" val="0"/>
        <cfvo type="num" val="2"/>
        <cfvo type="num" val="3"/>
      </iconSet>
    </cfRule>
    <cfRule type="iconSet" priority="4">
      <iconSet iconSet="3ArrowsGray" showValue="0">
        <cfvo type="percent" val="0"/>
        <cfvo type="num" val="2"/>
        <cfvo type="num" val="3"/>
      </iconSet>
    </cfRule>
  </conditionalFormatting>
  <conditionalFormatting sqref="C20:C35 C37:C50">
    <cfRule type="iconSet" priority="47688">
      <iconSet iconSet="3ArrowsGray" showValue="0">
        <cfvo type="percent" val="0"/>
        <cfvo type="num" val="2"/>
        <cfvo type="num" val="3"/>
      </iconSet>
    </cfRule>
    <cfRule type="iconSet" priority="47689">
      <iconSet iconSet="3ArrowsGray" showValue="0">
        <cfvo type="percent" val="0"/>
        <cfvo type="num" val="2"/>
        <cfvo type="num" val="3"/>
      </iconSet>
    </cfRule>
  </conditionalFormatting>
  <conditionalFormatting sqref="C36">
    <cfRule type="iconSet" priority="1">
      <iconSet iconSet="3ArrowsGray" showValue="0">
        <cfvo type="percent" val="0"/>
        <cfvo type="num" val="2"/>
        <cfvo type="num" val="3"/>
      </iconSet>
    </cfRule>
    <cfRule type="iconSet" priority="2">
      <iconSet iconSet="3ArrowsGray" showValue="0">
        <cfvo type="percent" val="0"/>
        <cfvo type="num" val="2"/>
        <cfvo type="num" val="3"/>
      </iconSet>
    </cfRule>
  </conditionalFormatting>
  <conditionalFormatting sqref="C51">
    <cfRule type="iconSet" priority="47690">
      <iconSet iconSet="3ArrowsGray" showValue="0">
        <cfvo type="percent" val="0"/>
        <cfvo type="num" val="2"/>
        <cfvo type="num" val="3"/>
      </iconSet>
    </cfRule>
  </conditionalFormatting>
  <conditionalFormatting sqref="C51:C55">
    <cfRule type="iconSet" priority="47691">
      <iconSet iconSet="3ArrowsGray" showValue="0">
        <cfvo type="percent" val="0"/>
        <cfvo type="num" val="2"/>
        <cfvo type="num" val="3"/>
      </iconSet>
    </cfRule>
  </conditionalFormatting>
  <conditionalFormatting sqref="C57">
    <cfRule type="iconSet" priority="32">
      <iconSet iconSet="3ArrowsGray" showValue="0">
        <cfvo type="percent" val="0"/>
        <cfvo type="num" val="2"/>
        <cfvo type="num" val="3"/>
      </iconSet>
    </cfRule>
  </conditionalFormatting>
  <conditionalFormatting sqref="C58">
    <cfRule type="iconSet" priority="35">
      <iconSet iconSet="3ArrowsGray" showValue="0">
        <cfvo type="percent" val="0"/>
        <cfvo type="num" val="2"/>
        <cfvo type="num" val="3"/>
      </iconSet>
    </cfRule>
  </conditionalFormatting>
  <conditionalFormatting sqref="D57">
    <cfRule type="iconSet" priority="25">
      <iconSet iconSet="3ArrowsGray" showValue="0">
        <cfvo type="percent" val="0"/>
        <cfvo type="num" val="2"/>
        <cfvo type="num" val="3"/>
      </iconSet>
    </cfRule>
    <cfRule type="iconSet" priority="34">
      <iconSet iconSet="3ArrowsGray" showValue="0">
        <cfvo type="percent" val="0"/>
        <cfvo type="num" val="2"/>
        <cfvo type="num" val="3"/>
      </iconSet>
    </cfRule>
  </conditionalFormatting>
  <conditionalFormatting sqref="E57">
    <cfRule type="iconSet" priority="33">
      <iconSet iconSet="3ArrowsGray" showValue="0">
        <cfvo type="percent" val="0"/>
        <cfvo type="num" val="2"/>
        <cfvo type="num" val="3"/>
      </iconSet>
    </cfRule>
  </conditionalFormatting>
  <conditionalFormatting sqref="G57:H57">
    <cfRule type="iconSet" priority="42">
      <iconSet iconSet="3ArrowsGray" showValue="0">
        <cfvo type="percent" val="0"/>
        <cfvo type="num" val="2"/>
        <cfvo type="num" val="3"/>
      </iconSet>
    </cfRule>
  </conditionalFormatting>
  <conditionalFormatting sqref="G58:H58">
    <cfRule type="iconSet" priority="41">
      <iconSet iconSet="3ArrowsGray" showValue="0">
        <cfvo type="percent" val="0"/>
        <cfvo type="num" val="2"/>
        <cfvo type="num" val="3"/>
      </iconSet>
    </cfRule>
  </conditionalFormatting>
  <conditionalFormatting sqref="I57:T57">
    <cfRule type="iconSet" priority="31">
      <iconSet iconSet="3ArrowsGray" showValue="0">
        <cfvo type="percent" val="0"/>
        <cfvo type="num" val="2"/>
        <cfvo type="num" val="3"/>
      </iconSet>
    </cfRule>
  </conditionalFormatting>
  <conditionalFormatting sqref="I58:T58">
    <cfRule type="iconSet" priority="26">
      <iconSet iconSet="3ArrowsGray" showValue="0">
        <cfvo type="percent" val="0"/>
        <cfvo type="num" val="2"/>
        <cfvo type="num" val="3"/>
      </iconSet>
    </cfRule>
    <cfRule type="iconSet" priority="27">
      <iconSet iconSet="3ArrowsGray" showValue="0">
        <cfvo type="percent" val="0"/>
        <cfvo type="num" val="2"/>
        <cfvo type="num" val="3"/>
      </iconSet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52" fitToHeight="0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0F021-11FB-46A1-8F23-01159CFE4888}">
  <dimension ref="A1:CG82"/>
  <sheetViews>
    <sheetView zoomScale="119" workbookViewId="0">
      <selection activeCell="A44" sqref="A44"/>
    </sheetView>
  </sheetViews>
  <sheetFormatPr defaultRowHeight="15"/>
  <cols>
    <col min="3" max="31" width="8.85546875" customWidth="1"/>
    <col min="50" max="50" width="16" customWidth="1"/>
    <col min="67" max="67" width="9.42578125" bestFit="1" customWidth="1"/>
    <col min="68" max="68" width="9.7109375" bestFit="1" customWidth="1"/>
    <col min="70" max="70" width="18.140625" customWidth="1"/>
    <col min="71" max="71" width="19.140625" customWidth="1"/>
  </cols>
  <sheetData>
    <row r="1" spans="1:85" ht="23.25">
      <c r="A1" s="619" t="s">
        <v>452</v>
      </c>
      <c r="AJ1" s="749" t="s">
        <v>472</v>
      </c>
      <c r="AK1" s="749"/>
      <c r="AL1" s="749"/>
      <c r="AM1" s="749"/>
      <c r="AN1" s="749"/>
      <c r="AO1" s="749"/>
      <c r="AP1" s="749"/>
      <c r="AQ1" s="749"/>
      <c r="AR1" s="749"/>
      <c r="AS1" s="749"/>
      <c r="AT1" s="749"/>
      <c r="AU1" s="749"/>
      <c r="AV1" s="749"/>
      <c r="BA1" s="749" t="s">
        <v>472</v>
      </c>
      <c r="BB1" s="749"/>
      <c r="BC1" s="749"/>
      <c r="BD1" s="749"/>
      <c r="BE1" s="749"/>
      <c r="BF1" s="749"/>
      <c r="BG1" s="749"/>
      <c r="BH1" s="749"/>
      <c r="BI1" s="749"/>
      <c r="BJ1" s="749"/>
      <c r="BK1" s="749"/>
      <c r="BL1" s="749"/>
      <c r="BM1" s="749"/>
    </row>
    <row r="2" spans="1:85">
      <c r="E2" s="21" t="s">
        <v>100</v>
      </c>
      <c r="G2">
        <v>1</v>
      </c>
      <c r="H2">
        <v>2</v>
      </c>
      <c r="I2">
        <v>3</v>
      </c>
      <c r="J2">
        <v>4</v>
      </c>
      <c r="K2">
        <v>5</v>
      </c>
      <c r="L2">
        <v>6</v>
      </c>
      <c r="M2">
        <v>7</v>
      </c>
      <c r="N2">
        <v>8</v>
      </c>
      <c r="O2">
        <v>9</v>
      </c>
      <c r="P2">
        <v>10</v>
      </c>
      <c r="Q2">
        <v>11</v>
      </c>
      <c r="R2">
        <v>12</v>
      </c>
      <c r="T2" s="21" t="s">
        <v>254</v>
      </c>
      <c r="V2">
        <v>1</v>
      </c>
      <c r="W2">
        <v>2</v>
      </c>
      <c r="X2">
        <v>3</v>
      </c>
      <c r="Y2">
        <v>4</v>
      </c>
      <c r="Z2">
        <v>5</v>
      </c>
      <c r="AA2">
        <v>6</v>
      </c>
      <c r="AB2">
        <v>7</v>
      </c>
      <c r="AC2">
        <v>8</v>
      </c>
      <c r="AD2">
        <v>9</v>
      </c>
      <c r="AE2">
        <v>10</v>
      </c>
      <c r="AF2">
        <v>11</v>
      </c>
      <c r="AG2">
        <v>12</v>
      </c>
      <c r="AI2" s="21" t="s">
        <v>102</v>
      </c>
      <c r="AK2">
        <v>1</v>
      </c>
      <c r="AL2">
        <v>2</v>
      </c>
      <c r="AM2">
        <v>3</v>
      </c>
      <c r="AN2">
        <v>4</v>
      </c>
      <c r="AO2">
        <v>5</v>
      </c>
      <c r="AP2">
        <v>6</v>
      </c>
      <c r="AQ2">
        <v>7</v>
      </c>
      <c r="AR2">
        <v>8</v>
      </c>
      <c r="AS2">
        <v>9</v>
      </c>
      <c r="AT2">
        <v>10</v>
      </c>
      <c r="AU2">
        <v>11</v>
      </c>
      <c r="AV2">
        <v>12</v>
      </c>
      <c r="AX2" s="21" t="s">
        <v>99</v>
      </c>
      <c r="AY2" s="21"/>
      <c r="BA2">
        <v>1</v>
      </c>
      <c r="BB2">
        <v>2</v>
      </c>
      <c r="BC2">
        <v>3</v>
      </c>
      <c r="BD2">
        <v>4</v>
      </c>
      <c r="BE2">
        <v>5</v>
      </c>
      <c r="BF2">
        <v>6</v>
      </c>
      <c r="BG2">
        <v>7</v>
      </c>
      <c r="BH2">
        <v>8</v>
      </c>
      <c r="BI2">
        <v>9</v>
      </c>
      <c r="BJ2">
        <v>10</v>
      </c>
      <c r="BK2">
        <v>11</v>
      </c>
      <c r="BL2">
        <v>12</v>
      </c>
      <c r="BO2" s="143"/>
      <c r="BP2" s="751" t="s">
        <v>453</v>
      </c>
      <c r="BQ2" s="751"/>
      <c r="BR2" s="751"/>
      <c r="BS2" s="751"/>
      <c r="BT2" s="751"/>
      <c r="BU2" s="751"/>
      <c r="BV2" s="751"/>
      <c r="BW2" s="751"/>
      <c r="BX2" s="751"/>
      <c r="BY2" s="751"/>
      <c r="BZ2" s="751"/>
      <c r="CA2" s="751"/>
      <c r="CB2" s="751"/>
      <c r="CC2" s="751"/>
    </row>
    <row r="3" spans="1:85">
      <c r="A3" t="s">
        <v>454</v>
      </c>
      <c r="B3" t="s">
        <v>455</v>
      </c>
      <c r="C3" t="s">
        <v>456</v>
      </c>
      <c r="E3" s="21" t="s">
        <v>457</v>
      </c>
      <c r="G3" s="616">
        <f>DATE(2025,G2+1,0)</f>
        <v>45688</v>
      </c>
      <c r="H3" s="616">
        <f t="shared" ref="H3:R3" si="0">DATE(2025,H2+1,0)</f>
        <v>45716</v>
      </c>
      <c r="I3" s="616">
        <f t="shared" si="0"/>
        <v>45747</v>
      </c>
      <c r="J3" s="616">
        <f t="shared" si="0"/>
        <v>45777</v>
      </c>
      <c r="K3" s="616">
        <f t="shared" si="0"/>
        <v>45808</v>
      </c>
      <c r="L3" s="616">
        <f t="shared" si="0"/>
        <v>45838</v>
      </c>
      <c r="M3" s="616">
        <f t="shared" si="0"/>
        <v>45869</v>
      </c>
      <c r="N3" s="616">
        <f t="shared" si="0"/>
        <v>45900</v>
      </c>
      <c r="O3" s="616">
        <f t="shared" si="0"/>
        <v>45930</v>
      </c>
      <c r="P3" s="616">
        <f t="shared" si="0"/>
        <v>45961</v>
      </c>
      <c r="Q3" s="616">
        <f t="shared" si="0"/>
        <v>45991</v>
      </c>
      <c r="R3" s="616">
        <f t="shared" si="0"/>
        <v>46022</v>
      </c>
      <c r="T3" s="21" t="s">
        <v>457</v>
      </c>
      <c r="V3" s="616">
        <f>DATE(2025,V2+1,0)</f>
        <v>45688</v>
      </c>
      <c r="W3" s="616">
        <f t="shared" ref="W3" si="1">DATE(2025,W2+1,0)</f>
        <v>45716</v>
      </c>
      <c r="X3" s="616">
        <f t="shared" ref="X3" si="2">DATE(2025,X2+1,0)</f>
        <v>45747</v>
      </c>
      <c r="Y3" s="616">
        <f t="shared" ref="Y3" si="3">DATE(2025,Y2+1,0)</f>
        <v>45777</v>
      </c>
      <c r="Z3" s="616">
        <f t="shared" ref="Z3" si="4">DATE(2025,Z2+1,0)</f>
        <v>45808</v>
      </c>
      <c r="AA3" s="616">
        <f t="shared" ref="AA3" si="5">DATE(2025,AA2+1,0)</f>
        <v>45838</v>
      </c>
      <c r="AB3" s="616">
        <f t="shared" ref="AB3" si="6">DATE(2025,AB2+1,0)</f>
        <v>45869</v>
      </c>
      <c r="AC3" s="616">
        <f t="shared" ref="AC3" si="7">DATE(2025,AC2+1,0)</f>
        <v>45900</v>
      </c>
      <c r="AD3" s="616">
        <f t="shared" ref="AD3" si="8">DATE(2025,AD2+1,0)</f>
        <v>45930</v>
      </c>
      <c r="AE3" s="616">
        <f t="shared" ref="AE3" si="9">DATE(2025,AE2+1,0)</f>
        <v>45961</v>
      </c>
      <c r="AF3" s="616">
        <f t="shared" ref="AF3" si="10">DATE(2025,AF2+1,0)</f>
        <v>45991</v>
      </c>
      <c r="AG3" s="616">
        <f t="shared" ref="AG3" si="11">DATE(2025,AG2+1,0)</f>
        <v>46022</v>
      </c>
      <c r="AI3" s="21" t="s">
        <v>457</v>
      </c>
      <c r="AK3" s="616">
        <f>DATE(2025,AK2+1,0)</f>
        <v>45688</v>
      </c>
      <c r="AL3" s="616">
        <f t="shared" ref="AL3" si="12">DATE(2025,AL2+1,0)</f>
        <v>45716</v>
      </c>
      <c r="AM3" s="616">
        <f t="shared" ref="AM3" si="13">DATE(2025,AM2+1,0)</f>
        <v>45747</v>
      </c>
      <c r="AN3" s="616">
        <f t="shared" ref="AN3" si="14">DATE(2025,AN2+1,0)</f>
        <v>45777</v>
      </c>
      <c r="AO3" s="616">
        <f t="shared" ref="AO3" si="15">DATE(2025,AO2+1,0)</f>
        <v>45808</v>
      </c>
      <c r="AP3" s="616">
        <f t="shared" ref="AP3" si="16">DATE(2025,AP2+1,0)</f>
        <v>45838</v>
      </c>
      <c r="AQ3" s="616">
        <f t="shared" ref="AQ3" si="17">DATE(2025,AQ2+1,0)</f>
        <v>45869</v>
      </c>
      <c r="AR3" s="616">
        <f t="shared" ref="AR3" si="18">DATE(2025,AR2+1,0)</f>
        <v>45900</v>
      </c>
      <c r="AS3" s="616">
        <f t="shared" ref="AS3" si="19">DATE(2025,AS2+1,0)</f>
        <v>45930</v>
      </c>
      <c r="AT3" s="616">
        <f t="shared" ref="AT3" si="20">DATE(2025,AT2+1,0)</f>
        <v>45961</v>
      </c>
      <c r="AU3" s="616">
        <f t="shared" ref="AU3" si="21">DATE(2025,AU2+1,0)</f>
        <v>45991</v>
      </c>
      <c r="AV3" s="616">
        <f t="shared" ref="AV3" si="22">DATE(2025,AV2+1,0)</f>
        <v>46022</v>
      </c>
      <c r="AW3" s="616"/>
      <c r="AX3" s="21" t="s">
        <v>457</v>
      </c>
      <c r="AY3" s="21"/>
      <c r="BA3" s="616">
        <f>DATE(2025,BA2+1,0)</f>
        <v>45688</v>
      </c>
      <c r="BB3" s="616">
        <f t="shared" ref="BB3" si="23">DATE(2025,BB2+1,0)</f>
        <v>45716</v>
      </c>
      <c r="BC3" s="616">
        <f t="shared" ref="BC3" si="24">DATE(2025,BC2+1,0)</f>
        <v>45747</v>
      </c>
      <c r="BD3" s="616">
        <f t="shared" ref="BD3" si="25">DATE(2025,BD2+1,0)</f>
        <v>45777</v>
      </c>
      <c r="BE3" s="616">
        <f t="shared" ref="BE3" si="26">DATE(2025,BE2+1,0)</f>
        <v>45808</v>
      </c>
      <c r="BF3" s="616">
        <f t="shared" ref="BF3" si="27">DATE(2025,BF2+1,0)</f>
        <v>45838</v>
      </c>
      <c r="BG3" s="616">
        <f t="shared" ref="BG3" si="28">DATE(2025,BG2+1,0)</f>
        <v>45869</v>
      </c>
      <c r="BH3" s="616">
        <f t="shared" ref="BH3" si="29">DATE(2025,BH2+1,0)</f>
        <v>45900</v>
      </c>
      <c r="BI3" s="616">
        <f t="shared" ref="BI3" si="30">DATE(2025,BI2+1,0)</f>
        <v>45930</v>
      </c>
      <c r="BJ3" s="616">
        <f t="shared" ref="BJ3" si="31">DATE(2025,BJ2+1,0)</f>
        <v>45961</v>
      </c>
      <c r="BK3" s="616">
        <f t="shared" ref="BK3" si="32">DATE(2025,BK2+1,0)</f>
        <v>45991</v>
      </c>
      <c r="BL3" s="616">
        <f t="shared" ref="BL3" si="33">DATE(2025,BL2+1,0)</f>
        <v>46022</v>
      </c>
      <c r="BM3" s="616"/>
      <c r="BN3" s="616"/>
      <c r="BO3" s="143"/>
      <c r="BP3" s="617">
        <f>DBRD!$R$11</f>
        <v>45838</v>
      </c>
      <c r="BQ3" s="105" t="s">
        <v>458</v>
      </c>
      <c r="BR3" s="21"/>
      <c r="BS3" s="105" t="s">
        <v>459</v>
      </c>
      <c r="BT3" s="105" t="s">
        <v>460</v>
      </c>
      <c r="BU3" s="105" t="s">
        <v>461</v>
      </c>
      <c r="BX3" s="750" t="s">
        <v>459</v>
      </c>
      <c r="BY3" s="105" t="s">
        <v>9</v>
      </c>
      <c r="BZ3">
        <f>COUNT(BS4:BS10)</f>
        <v>6</v>
      </c>
      <c r="CB3" t="s">
        <v>459</v>
      </c>
      <c r="CC3">
        <f>SUM(BZ3:BZ4)</f>
        <v>33</v>
      </c>
    </row>
    <row r="4" spans="1:85">
      <c r="A4" t="str" cm="1">
        <f t="array" ref="A4:A44">_xlfn._xlws.FILTER('UP3'!$B$7:$B$70,'UP3'!$C$7:$C$70&gt;0)</f>
        <v>Penjualan Tenaga Listrik</v>
      </c>
      <c r="B4" t="e" cm="1">
        <f t="array" ref="B4:B44">SEARCH(".",_xlfn.ANCHORARRAY(A4))</f>
        <v>#VALUE!</v>
      </c>
      <c r="C4" t="str" cm="1">
        <f t="array" ref="C4:C44">IF(ISERROR(_xlfn.ANCHORARRAY(B4))=TRUE,_xlfn.ANCHORARRAY(A4),RIGHT(_xlfn.ANCHORARRAY(A4),LEN(_xlfn.ANCHORARRAY(A4))-_xlfn.ANCHORARRAY(B4)-1))</f>
        <v>Penjualan Tenaga Listrik</v>
      </c>
      <c r="D4" s="105" t="s">
        <v>462</v>
      </c>
      <c r="E4" t="str" cm="1">
        <f t="array" ref="E4:E44">_xlfn.ANCHORARRAY(C4)</f>
        <v>Penjualan Tenaga Listrik</v>
      </c>
      <c r="G4" cm="1">
        <f t="array" ref="G4:G44">INDEX(T.UP3!I$7:I$70,MATCH(_xlfn.ANCHORARRAY($A4),T.UP3!$B$7:$B$70,0))</f>
        <v>18.739999999999998</v>
      </c>
      <c r="H4" cm="1">
        <f t="array" ref="H4:H44">INDEX(T.UP3!J$7:J$70,MATCH(_xlfn.ANCHORARRAY($A4),T.UP3!$B$7:$B$70,0))</f>
        <v>36.549999999999997</v>
      </c>
      <c r="I4" cm="1">
        <f t="array" ref="I4:I44">INDEX(T.UP3!K$7:K$70,MATCH(_xlfn.ANCHORARRAY($A4),T.UP3!$B$7:$B$70,0))</f>
        <v>56.39</v>
      </c>
      <c r="J4" cm="1">
        <f t="array" ref="J4:J44">INDEX(T.UP3!L$7:L$70,MATCH(_xlfn.ANCHORARRAY($A4),T.UP3!$B$7:$B$70,0))</f>
        <v>75.55</v>
      </c>
      <c r="K4" cm="1">
        <f t="array" ref="K4:K44">INDEX(T.UP3!M$7:M$70,MATCH(_xlfn.ANCHORARRAY($A4),T.UP3!$B$7:$B$70,0))</f>
        <v>95.22</v>
      </c>
      <c r="L4" cm="1">
        <f t="array" ref="L4:L44">INDEX(T.UP3!N$7:N$70,MATCH(_xlfn.ANCHORARRAY($A4),T.UP3!$B$7:$B$70,0))</f>
        <v>113.73</v>
      </c>
      <c r="M4" cm="1">
        <f t="array" ref="M4:M44">INDEX(T.UP3!O$7:O$70,MATCH(_xlfn.ANCHORARRAY($A4),T.UP3!$B$7:$B$70,0))</f>
        <v>132.49</v>
      </c>
      <c r="N4" cm="1">
        <f t="array" ref="N4:N44">INDEX(T.UP3!P$7:P$70,MATCH(_xlfn.ANCHORARRAY($A4),T.UP3!$B$7:$B$70,0))</f>
        <v>151.71</v>
      </c>
      <c r="O4" cm="1">
        <f t="array" ref="O4:O44">INDEX(T.UP3!Q$7:Q$70,MATCH(_xlfn.ANCHORARRAY($A4),T.UP3!$B$7:$B$70,0))</f>
        <v>171.15</v>
      </c>
      <c r="P4" cm="1">
        <f t="array" ref="P4:P44">INDEX(T.UP3!R$7:R$70,MATCH(_xlfn.ANCHORARRAY($A4),T.UP3!$B$7:$B$70,0))</f>
        <v>191.42</v>
      </c>
      <c r="Q4" cm="1">
        <f t="array" ref="Q4:Q44">INDEX(T.UP3!S$7:S$70,MATCH(_xlfn.ANCHORARRAY($A4),T.UP3!$B$7:$B$70,0))</f>
        <v>211.32</v>
      </c>
      <c r="R4" cm="1">
        <f t="array" ref="R4:R44">INDEX(T.UP3!T$7:T$70,MATCH(_xlfn.ANCHORARRAY($A4),T.UP3!$B$7:$B$70,0))</f>
        <v>231.47</v>
      </c>
      <c r="T4" t="str" cm="1">
        <f t="array" ref="T4:T44">_xlfn.ANCHORARRAY(C4)</f>
        <v>Penjualan Tenaga Listrik</v>
      </c>
      <c r="V4" cm="1">
        <f t="array" ref="V4:V44">INDEX('R.UP3'!I$7:I$70,MATCH(_xlfn.ANCHORARRAY($A4),'R.UP3'!$B$7:$B$70,0))</f>
        <v>22.980830736000001</v>
      </c>
      <c r="W4" cm="1">
        <f t="array" ref="W4:W44">INDEX('R.UP3'!J$7:J$70,MATCH(_xlfn.ANCHORARRAY($A4),'R.UP3'!$B$7:$B$70,0))</f>
        <v>42.202825991000005</v>
      </c>
      <c r="X4" cm="1">
        <f t="array" ref="X4:X44">INDEX('R.UP3'!K$7:K$70,MATCH(_xlfn.ANCHORARRAY($A4),'R.UP3'!$B$7:$B$70,0))</f>
        <v>60.926308253999998</v>
      </c>
      <c r="Y4" cm="1">
        <f t="array" ref="Y4:Y44">INDEX('R.UP3'!L$7:L$70,MATCH(_xlfn.ANCHORARRAY($A4),'R.UP3'!$B$7:$B$70,0))</f>
        <v>76.412118610000007</v>
      </c>
      <c r="Z4" cm="1">
        <f t="array" ref="Z4:Z44">INDEX('R.UP3'!M$7:M$70,MATCH(_xlfn.ANCHORARRAY($A4),'R.UP3'!$B$7:$B$70,0))</f>
        <v>93.906393210000005</v>
      </c>
      <c r="AA4" cm="1">
        <f t="array" ref="AA4:AA44">INDEX('R.UP3'!N$7:N$70,MATCH(_xlfn.ANCHORARRAY($A4),'R.UP3'!$B$7:$B$70,0))</f>
        <v>111.651567363</v>
      </c>
      <c r="AB4" cm="1">
        <f t="array" ref="AB4:AB44">INDEX('R.UP3'!O$7:O$70,MATCH(_xlfn.ANCHORARRAY($A4),'R.UP3'!$B$7:$B$70,0))</f>
        <v>129.839321754</v>
      </c>
      <c r="AC4" cm="1">
        <f t="array" ref="AC4:AC44">INDEX('R.UP3'!P$7:P$70,MATCH(_xlfn.ANCHORARRAY($A4),'R.UP3'!$B$7:$B$70,0))</f>
        <v>148.05997696200001</v>
      </c>
      <c r="AD4" cm="1">
        <f t="array" ref="AD4:AD44">INDEX('R.UP3'!Q$7:Q$70,MATCH(_xlfn.ANCHORARRAY($A4),'R.UP3'!$B$7:$B$70,0))</f>
        <v>166.35580660400001</v>
      </c>
      <c r="AE4" cm="1">
        <f t="array" ref="AE4:AE44">INDEX('R.UP3'!R$7:R$70,MATCH(_xlfn.ANCHORARRAY($A4),'R.UP3'!$B$7:$B$70,0))</f>
        <v>166.35580660400001</v>
      </c>
      <c r="AF4" cm="1">
        <f t="array" ref="AF4:AF44">INDEX('R.UP3'!S$7:S$70,MATCH(_xlfn.ANCHORARRAY($A4),'R.UP3'!$B$7:$B$70,0))</f>
        <v>166.35580660400001</v>
      </c>
      <c r="AG4" cm="1">
        <f t="array" ref="AG4:AG44">INDEX('R.UP3'!T$7:T$70,MATCH(_xlfn.ANCHORARRAY($A4),'R.UP3'!$B$7:$B$70,0))</f>
        <v>166.35580660400001</v>
      </c>
      <c r="AI4" t="str">
        <f t="shared" ref="AI4:AI44" si="34">$C4</f>
        <v>Penjualan Tenaga Listrik</v>
      </c>
      <c r="AK4" s="618">
        <f>IF(V4/G4*100&gt;110,110,V4/G4*100)</f>
        <v>110</v>
      </c>
      <c r="AL4" s="618">
        <f t="shared" ref="AL4:AV4" si="35">IF(W4/H4*100&gt;110,110,W4/H4*100)</f>
        <v>110</v>
      </c>
      <c r="AM4" s="618">
        <f t="shared" si="35"/>
        <v>108.04452607554531</v>
      </c>
      <c r="AN4" s="618">
        <f t="shared" si="35"/>
        <v>101.14112324288551</v>
      </c>
      <c r="AO4" s="618">
        <f t="shared" si="35"/>
        <v>98.620450756143669</v>
      </c>
      <c r="AP4" s="618">
        <f t="shared" si="35"/>
        <v>98.172485151675019</v>
      </c>
      <c r="AQ4" s="618">
        <f t="shared" si="35"/>
        <v>97.999337122801705</v>
      </c>
      <c r="AR4" s="618">
        <f t="shared" si="35"/>
        <v>97.594078809570888</v>
      </c>
      <c r="AS4" s="618">
        <f t="shared" si="35"/>
        <v>97.198835293017822</v>
      </c>
      <c r="AT4" s="618">
        <f t="shared" si="35"/>
        <v>86.906178353359124</v>
      </c>
      <c r="AU4" s="618">
        <f t="shared" si="35"/>
        <v>78.72222534734054</v>
      </c>
      <c r="AV4" s="618">
        <f t="shared" si="35"/>
        <v>71.869273168877186</v>
      </c>
      <c r="AW4" s="621"/>
      <c r="AX4" t="str">
        <f t="shared" ref="AX4:AX44" si="36">$C4</f>
        <v>Penjualan Tenaga Listrik</v>
      </c>
      <c r="AY4" s="105" t="s">
        <v>458</v>
      </c>
      <c r="AZ4" s="620">
        <v>14</v>
      </c>
      <c r="BA4" s="618">
        <f>ROUNDDOWN(AK4/100*$AZ4,2)</f>
        <v>15.4</v>
      </c>
      <c r="BB4" s="618">
        <f t="shared" ref="BB4:BB44" si="37">ROUNDDOWN(AL4/100*$AZ4,2)</f>
        <v>15.4</v>
      </c>
      <c r="BC4" s="618">
        <f t="shared" ref="BC4:BC44" si="38">ROUNDDOWN(AM4/100*$AZ4,2)</f>
        <v>15.12</v>
      </c>
      <c r="BD4" s="618">
        <f t="shared" ref="BD4:BD44" si="39">ROUNDDOWN(AN4/100*$AZ4,2)</f>
        <v>14.15</v>
      </c>
      <c r="BE4" s="618">
        <f t="shared" ref="BE4:BE44" si="40">ROUNDDOWN(AO4/100*$AZ4,2)</f>
        <v>13.8</v>
      </c>
      <c r="BF4" s="618">
        <f t="shared" ref="BF4:BF44" si="41">ROUNDDOWN(AP4/100*$AZ4,2)</f>
        <v>13.74</v>
      </c>
      <c r="BG4" s="618">
        <f t="shared" ref="BG4:BG44" si="42">ROUNDDOWN(AQ4/100*$AZ4,2)</f>
        <v>13.71</v>
      </c>
      <c r="BH4" s="618">
        <f t="shared" ref="BH4:BH44" si="43">ROUNDDOWN(AR4/100*$AZ4,2)</f>
        <v>13.66</v>
      </c>
      <c r="BI4" s="618">
        <f t="shared" ref="BI4:BI44" si="44">ROUNDDOWN(AS4/100*$AZ4,2)</f>
        <v>13.6</v>
      </c>
      <c r="BJ4" s="618">
        <f t="shared" ref="BJ4:BJ44" si="45">ROUNDDOWN(AT4/100*$AZ4,2)</f>
        <v>12.16</v>
      </c>
      <c r="BK4" s="618">
        <f t="shared" ref="BK4:BK44" si="46">ROUNDDOWN(AU4/100*$AZ4,2)</f>
        <v>11.02</v>
      </c>
      <c r="BL4" s="618">
        <f t="shared" ref="BL4:BL44" si="47">ROUNDDOWN(AV4/100*$AZ4,2)</f>
        <v>10.06</v>
      </c>
      <c r="BM4" s="621"/>
      <c r="BN4" s="621"/>
      <c r="BO4" s="143"/>
      <c r="BQ4" s="622" cm="1">
        <f t="array" ref="BQ4">INDEX(AK4:AV4,MATCH(MONTH($BP$3),MONTH($AK$3:$AV$3),0))</f>
        <v>98.172485151675019</v>
      </c>
      <c r="BR4" t="str" cm="1">
        <f t="array" ref="BR4:BR44">_xlfn.ANCHORARRAY(C4)</f>
        <v>Penjualan Tenaga Listrik</v>
      </c>
      <c r="BS4" s="621" t="str" cm="1">
        <f t="array" ref="BS4:BS44">IF(BQ4:BQ44&gt;=100,BQ4:BQ44,"")</f>
        <v/>
      </c>
      <c r="BT4" s="621">
        <f t="shared" ref="BT4:BT44" si="48">IF(BQ4&lt;100,IF(BQ4&gt;=95,BQ4,""),"")</f>
        <v>98.172485151675019</v>
      </c>
      <c r="BU4" s="621" t="str" cm="1">
        <f t="array" ref="BU4:BU42">IF(BQ4:BQ42&lt;95,BQ4:BQ42,"")</f>
        <v/>
      </c>
      <c r="BV4" s="618">
        <f>BQ4/100</f>
        <v>0.98172485151675015</v>
      </c>
      <c r="BX4" s="750"/>
      <c r="BY4" s="105" t="s">
        <v>463</v>
      </c>
      <c r="BZ4">
        <f>COUNT(BS11:BS42)</f>
        <v>27</v>
      </c>
      <c r="CB4" t="s">
        <v>460</v>
      </c>
      <c r="CC4">
        <f>SUM(BZ5:BZ6)</f>
        <v>1</v>
      </c>
    </row>
    <row r="5" spans="1:85">
      <c r="A5" t="str">
        <v>a. SAIDI Sesuai Kewenangannya</v>
      </c>
      <c r="B5">
        <v>2</v>
      </c>
      <c r="C5" t="str">
        <v>SAIDI Sesuai Kewenangannya</v>
      </c>
      <c r="D5" s="105" t="s">
        <v>462</v>
      </c>
      <c r="E5" t="str">
        <v>SAIDI Sesuai Kewenangannya</v>
      </c>
      <c r="G5">
        <v>23.39</v>
      </c>
      <c r="H5">
        <v>46.78</v>
      </c>
      <c r="I5">
        <v>70.17</v>
      </c>
      <c r="J5">
        <v>93.56</v>
      </c>
      <c r="K5">
        <v>116.95</v>
      </c>
      <c r="L5">
        <v>140.34</v>
      </c>
      <c r="M5">
        <v>163.72</v>
      </c>
      <c r="N5">
        <v>187.11</v>
      </c>
      <c r="O5">
        <v>210.5</v>
      </c>
      <c r="P5">
        <v>233.89</v>
      </c>
      <c r="Q5">
        <v>257.27999999999997</v>
      </c>
      <c r="R5">
        <v>280.67</v>
      </c>
      <c r="T5" t="str">
        <v>SAIDI Sesuai Kewenangannya</v>
      </c>
      <c r="V5">
        <v>12.366708627002435</v>
      </c>
      <c r="W5">
        <v>14.217818098417473</v>
      </c>
      <c r="X5">
        <v>15.90798980700673</v>
      </c>
      <c r="Y5">
        <v>30.880917162575816</v>
      </c>
      <c r="Z5">
        <v>82.702127067631139</v>
      </c>
      <c r="AA5">
        <v>122.59170408678104</v>
      </c>
      <c r="AB5">
        <v>145.52251005165829</v>
      </c>
      <c r="AC5">
        <v>149.85371016749113</v>
      </c>
      <c r="AD5">
        <v>159.21375563345018</v>
      </c>
      <c r="AE5">
        <v>0</v>
      </c>
      <c r="AF5">
        <v>0</v>
      </c>
      <c r="AG5">
        <v>0</v>
      </c>
      <c r="AI5" t="str">
        <f t="shared" si="34"/>
        <v>SAIDI Sesuai Kewenangannya</v>
      </c>
      <c r="AK5" s="618">
        <f>IF((2-(V5/G5))*100&gt;110,110,(2-(V5/G5))*100)</f>
        <v>110</v>
      </c>
      <c r="AL5" s="618">
        <f t="shared" ref="AL5:AV6" si="49">IF((2-(W5/H5))*100&gt;110,110,(2-(W5/H5))*100)</f>
        <v>110</v>
      </c>
      <c r="AM5" s="618">
        <f t="shared" si="49"/>
        <v>110</v>
      </c>
      <c r="AN5" s="618">
        <f t="shared" si="49"/>
        <v>110</v>
      </c>
      <c r="AO5" s="618">
        <f t="shared" si="49"/>
        <v>110</v>
      </c>
      <c r="AP5" s="618">
        <f t="shared" si="49"/>
        <v>110</v>
      </c>
      <c r="AQ5" s="618">
        <f t="shared" si="49"/>
        <v>110</v>
      </c>
      <c r="AR5" s="618">
        <f t="shared" si="49"/>
        <v>110</v>
      </c>
      <c r="AS5" s="618">
        <f t="shared" si="49"/>
        <v>110</v>
      </c>
      <c r="AT5" s="618">
        <f t="shared" si="49"/>
        <v>110</v>
      </c>
      <c r="AU5" s="618">
        <f t="shared" si="49"/>
        <v>110</v>
      </c>
      <c r="AV5" s="618">
        <f t="shared" si="49"/>
        <v>110</v>
      </c>
      <c r="AW5" s="621"/>
      <c r="AX5" t="str">
        <f t="shared" si="36"/>
        <v>SAIDI Sesuai Kewenangannya</v>
      </c>
      <c r="AY5" s="105" t="s">
        <v>458</v>
      </c>
      <c r="AZ5" s="620">
        <f>14/3</f>
        <v>4.666666666666667</v>
      </c>
      <c r="BA5" s="618">
        <f t="shared" ref="BA5:BA44" si="50">ROUNDDOWN(AK5/100*$AZ5,2)</f>
        <v>5.13</v>
      </c>
      <c r="BB5" s="618">
        <f t="shared" si="37"/>
        <v>5.13</v>
      </c>
      <c r="BC5" s="618">
        <f t="shared" si="38"/>
        <v>5.13</v>
      </c>
      <c r="BD5" s="618">
        <f t="shared" si="39"/>
        <v>5.13</v>
      </c>
      <c r="BE5" s="618">
        <f t="shared" si="40"/>
        <v>5.13</v>
      </c>
      <c r="BF5" s="618">
        <f t="shared" si="41"/>
        <v>5.13</v>
      </c>
      <c r="BG5" s="618">
        <f t="shared" si="42"/>
        <v>5.13</v>
      </c>
      <c r="BH5" s="618">
        <f t="shared" si="43"/>
        <v>5.13</v>
      </c>
      <c r="BI5" s="618">
        <f t="shared" si="44"/>
        <v>5.13</v>
      </c>
      <c r="BJ5" s="618">
        <f t="shared" si="45"/>
        <v>5.13</v>
      </c>
      <c r="BK5" s="618">
        <f t="shared" si="46"/>
        <v>5.13</v>
      </c>
      <c r="BL5" s="618">
        <f t="shared" si="47"/>
        <v>5.13</v>
      </c>
      <c r="BM5" s="621"/>
      <c r="BN5" s="621"/>
      <c r="BO5" s="143"/>
      <c r="BQ5" s="622" cm="1">
        <f t="array" ref="BQ5">INDEX(AK5:AV5,MATCH(MONTH($BP$3),MONTH($AK$3:$AV$3),0))</f>
        <v>110</v>
      </c>
      <c r="BR5" t="str">
        <v>SAIDI Sesuai Kewenangannya</v>
      </c>
      <c r="BS5" s="621">
        <v>110</v>
      </c>
      <c r="BT5" s="621" t="str">
        <f t="shared" si="48"/>
        <v/>
      </c>
      <c r="BU5" s="621" t="str">
        <v/>
      </c>
      <c r="BV5" s="618">
        <f t="shared" ref="BV5:BV42" si="51">BQ5/100</f>
        <v>1.1000000000000001</v>
      </c>
      <c r="BX5" s="750" t="s">
        <v>460</v>
      </c>
      <c r="BY5" s="105" t="s">
        <v>9</v>
      </c>
      <c r="BZ5">
        <f>COUNT(BT4:BT10)</f>
        <v>1</v>
      </c>
      <c r="CB5" t="s">
        <v>461</v>
      </c>
      <c r="CC5">
        <f>SUM(BZ7:BZ8)</f>
        <v>5</v>
      </c>
    </row>
    <row r="6" spans="1:85">
      <c r="A6" t="str">
        <v>b. SAIFI Sesuai Kewenangannya</v>
      </c>
      <c r="B6">
        <v>2</v>
      </c>
      <c r="C6" t="str">
        <v>SAIFI Sesuai Kewenangannya</v>
      </c>
      <c r="D6" s="105" t="s">
        <v>462</v>
      </c>
      <c r="E6" t="str">
        <v>SAIFI Sesuai Kewenangannya</v>
      </c>
      <c r="G6">
        <v>0.25</v>
      </c>
      <c r="H6">
        <v>0.49</v>
      </c>
      <c r="I6">
        <v>0.74</v>
      </c>
      <c r="J6">
        <v>0.99</v>
      </c>
      <c r="K6">
        <v>1.24</v>
      </c>
      <c r="L6">
        <v>1.48</v>
      </c>
      <c r="M6">
        <v>1.73</v>
      </c>
      <c r="N6">
        <v>1.98</v>
      </c>
      <c r="O6">
        <v>2.2200000000000002</v>
      </c>
      <c r="P6">
        <v>2.4700000000000002</v>
      </c>
      <c r="Q6">
        <v>2.72</v>
      </c>
      <c r="R6">
        <v>2.97</v>
      </c>
      <c r="T6" t="str">
        <v>SAIFI Sesuai Kewenangannya</v>
      </c>
      <c r="V6">
        <v>0.14652677048122328</v>
      </c>
      <c r="W6">
        <v>0.17056140261461228</v>
      </c>
      <c r="X6">
        <v>0.28323684728938825</v>
      </c>
      <c r="Y6">
        <v>0.48270813924748562</v>
      </c>
      <c r="Z6">
        <v>0.95578936719105667</v>
      </c>
      <c r="AA6">
        <v>1.2958186175580222</v>
      </c>
      <c r="AB6">
        <v>1.5608290494497543</v>
      </c>
      <c r="AC6">
        <v>1.5900798533510785</v>
      </c>
      <c r="AD6">
        <v>1.7486104156234352</v>
      </c>
      <c r="AE6">
        <v>0</v>
      </c>
      <c r="AF6">
        <v>0</v>
      </c>
      <c r="AG6">
        <v>0</v>
      </c>
      <c r="AI6" t="str">
        <f t="shared" si="34"/>
        <v>SAIFI Sesuai Kewenangannya</v>
      </c>
      <c r="AK6" s="618">
        <f t="shared" ref="AK6" si="52">IF((2-(V6/G6))*100&gt;110,110,(2-(V6/G6))*100)</f>
        <v>110</v>
      </c>
      <c r="AL6" s="618">
        <f t="shared" si="49"/>
        <v>110</v>
      </c>
      <c r="AM6" s="618">
        <f t="shared" si="49"/>
        <v>110</v>
      </c>
      <c r="AN6" s="618">
        <f t="shared" si="49"/>
        <v>110</v>
      </c>
      <c r="AO6" s="618">
        <f t="shared" si="49"/>
        <v>110</v>
      </c>
      <c r="AP6" s="618">
        <f t="shared" si="49"/>
        <v>110</v>
      </c>
      <c r="AQ6" s="618">
        <f t="shared" si="49"/>
        <v>109.77866766186391</v>
      </c>
      <c r="AR6" s="618">
        <f t="shared" si="49"/>
        <v>110</v>
      </c>
      <c r="AS6" s="618">
        <f t="shared" si="49"/>
        <v>110</v>
      </c>
      <c r="AT6" s="618">
        <f t="shared" si="49"/>
        <v>110</v>
      </c>
      <c r="AU6" s="618">
        <f t="shared" si="49"/>
        <v>110</v>
      </c>
      <c r="AV6" s="618">
        <f t="shared" si="49"/>
        <v>110</v>
      </c>
      <c r="AW6" s="621"/>
      <c r="AX6" t="str">
        <f t="shared" si="36"/>
        <v>SAIFI Sesuai Kewenangannya</v>
      </c>
      <c r="AY6" s="105" t="s">
        <v>458</v>
      </c>
      <c r="AZ6" s="620">
        <f t="shared" ref="AZ6:AZ7" si="53">14/3</f>
        <v>4.666666666666667</v>
      </c>
      <c r="BA6" s="618">
        <f t="shared" si="50"/>
        <v>5.13</v>
      </c>
      <c r="BB6" s="618">
        <f t="shared" si="37"/>
        <v>5.13</v>
      </c>
      <c r="BC6" s="618">
        <f t="shared" si="38"/>
        <v>5.13</v>
      </c>
      <c r="BD6" s="618">
        <f t="shared" si="39"/>
        <v>5.13</v>
      </c>
      <c r="BE6" s="618">
        <f t="shared" si="40"/>
        <v>5.13</v>
      </c>
      <c r="BF6" s="618">
        <f t="shared" si="41"/>
        <v>5.13</v>
      </c>
      <c r="BG6" s="618">
        <f t="shared" si="42"/>
        <v>5.12</v>
      </c>
      <c r="BH6" s="618">
        <f t="shared" si="43"/>
        <v>5.13</v>
      </c>
      <c r="BI6" s="618">
        <f t="shared" si="44"/>
        <v>5.13</v>
      </c>
      <c r="BJ6" s="618">
        <f t="shared" si="45"/>
        <v>5.13</v>
      </c>
      <c r="BK6" s="618">
        <f t="shared" si="46"/>
        <v>5.13</v>
      </c>
      <c r="BL6" s="618">
        <f t="shared" si="47"/>
        <v>5.13</v>
      </c>
      <c r="BM6" s="621"/>
      <c r="BN6" s="621"/>
      <c r="BO6" s="143"/>
      <c r="BQ6" s="622" cm="1">
        <f t="array" ref="BQ6">INDEX(AK6:AV6,MATCH(MONTH($BP$3),MONTH($AK$3:$AV$3),0))</f>
        <v>110</v>
      </c>
      <c r="BR6" t="str">
        <v>SAIFI Sesuai Kewenangannya</v>
      </c>
      <c r="BS6" s="621">
        <v>110</v>
      </c>
      <c r="BT6" s="621" t="str">
        <f t="shared" si="48"/>
        <v/>
      </c>
      <c r="BU6" s="621" t="str">
        <v/>
      </c>
      <c r="BV6" s="618">
        <f t="shared" si="51"/>
        <v>1.1000000000000001</v>
      </c>
      <c r="BX6" s="750"/>
      <c r="BY6" s="105" t="s">
        <v>463</v>
      </c>
      <c r="BZ6">
        <f>COUNT(BT11:BT42)</f>
        <v>0</v>
      </c>
    </row>
    <row r="7" spans="1:85">
      <c r="A7" t="str">
        <v>c. ENS</v>
      </c>
      <c r="B7">
        <v>2</v>
      </c>
      <c r="C7" t="str">
        <v>ENS</v>
      </c>
      <c r="D7" s="105" t="s">
        <v>462</v>
      </c>
      <c r="E7" t="str">
        <v>ENS</v>
      </c>
      <c r="G7">
        <v>8.99</v>
      </c>
      <c r="H7">
        <v>17.98</v>
      </c>
      <c r="I7">
        <v>26.97</v>
      </c>
      <c r="J7">
        <v>35.96</v>
      </c>
      <c r="K7">
        <v>44.94</v>
      </c>
      <c r="L7">
        <v>53.93</v>
      </c>
      <c r="M7">
        <v>62.92</v>
      </c>
      <c r="N7">
        <v>71.91</v>
      </c>
      <c r="O7">
        <v>80.900000000000006</v>
      </c>
      <c r="P7">
        <v>89.89</v>
      </c>
      <c r="Q7">
        <v>98.88</v>
      </c>
      <c r="R7">
        <v>107.87</v>
      </c>
      <c r="T7" t="str">
        <v>ENS</v>
      </c>
      <c r="V7">
        <v>5.444</v>
      </c>
      <c r="W7">
        <v>6.6289999999999996</v>
      </c>
      <c r="X7">
        <v>7.3599999999999994</v>
      </c>
      <c r="Y7">
        <v>13.033999999999999</v>
      </c>
      <c r="Z7">
        <v>27.391999999999999</v>
      </c>
      <c r="AA7">
        <v>37.920999999999999</v>
      </c>
      <c r="AB7">
        <v>44.24</v>
      </c>
      <c r="AC7">
        <v>46.248000000000005</v>
      </c>
      <c r="AD7">
        <v>50.782000000000004</v>
      </c>
      <c r="AE7">
        <v>0</v>
      </c>
      <c r="AF7">
        <v>0</v>
      </c>
      <c r="AG7">
        <v>0</v>
      </c>
      <c r="AI7" t="str">
        <f t="shared" si="34"/>
        <v>ENS</v>
      </c>
      <c r="AK7" s="618">
        <f>IF(((G7-(V7-G7))/G7)*100&gt;110,110,((G7-(V7-G7))/G7)*100)</f>
        <v>110</v>
      </c>
      <c r="AL7" s="618">
        <f t="shared" ref="AL7:AV7" si="54">IF(((H7-(W7-H7))/H7)*100&gt;110,110,((H7-(W7-H7))/H7)*100)</f>
        <v>110</v>
      </c>
      <c r="AM7" s="618">
        <f t="shared" si="54"/>
        <v>110</v>
      </c>
      <c r="AN7" s="618">
        <f t="shared" si="54"/>
        <v>110</v>
      </c>
      <c r="AO7" s="618">
        <f t="shared" si="54"/>
        <v>110</v>
      </c>
      <c r="AP7" s="618">
        <f t="shared" si="54"/>
        <v>110</v>
      </c>
      <c r="AQ7" s="618">
        <f t="shared" si="54"/>
        <v>110</v>
      </c>
      <c r="AR7" s="618">
        <f t="shared" si="54"/>
        <v>110</v>
      </c>
      <c r="AS7" s="618">
        <f t="shared" si="54"/>
        <v>110</v>
      </c>
      <c r="AT7" s="618">
        <f t="shared" si="54"/>
        <v>110</v>
      </c>
      <c r="AU7" s="618">
        <f t="shared" si="54"/>
        <v>110</v>
      </c>
      <c r="AV7" s="618">
        <f t="shared" si="54"/>
        <v>110</v>
      </c>
      <c r="AW7" s="621"/>
      <c r="AX7" t="str">
        <f t="shared" si="36"/>
        <v>ENS</v>
      </c>
      <c r="AY7" s="105" t="s">
        <v>458</v>
      </c>
      <c r="AZ7" s="620">
        <f t="shared" si="53"/>
        <v>4.666666666666667</v>
      </c>
      <c r="BA7" s="618">
        <f t="shared" si="50"/>
        <v>5.13</v>
      </c>
      <c r="BB7" s="618">
        <f t="shared" si="37"/>
        <v>5.13</v>
      </c>
      <c r="BC7" s="618">
        <f t="shared" si="38"/>
        <v>5.13</v>
      </c>
      <c r="BD7" s="618">
        <f t="shared" si="39"/>
        <v>5.13</v>
      </c>
      <c r="BE7" s="618">
        <f t="shared" si="40"/>
        <v>5.13</v>
      </c>
      <c r="BF7" s="618">
        <f t="shared" si="41"/>
        <v>5.13</v>
      </c>
      <c r="BG7" s="618">
        <f t="shared" si="42"/>
        <v>5.13</v>
      </c>
      <c r="BH7" s="618">
        <f t="shared" si="43"/>
        <v>5.13</v>
      </c>
      <c r="BI7" s="618">
        <f t="shared" si="44"/>
        <v>5.13</v>
      </c>
      <c r="BJ7" s="618">
        <f t="shared" si="45"/>
        <v>5.13</v>
      </c>
      <c r="BK7" s="618">
        <f t="shared" si="46"/>
        <v>5.13</v>
      </c>
      <c r="BL7" s="618">
        <f t="shared" si="47"/>
        <v>5.13</v>
      </c>
      <c r="BM7" s="621"/>
      <c r="BN7" s="621"/>
      <c r="BO7" s="143"/>
      <c r="BQ7" s="622" cm="1">
        <f t="array" ref="BQ7">INDEX(AK7:AV7,MATCH(MONTH($BP$3),MONTH($AK$3:$AV$3),0))</f>
        <v>110</v>
      </c>
      <c r="BR7" t="str">
        <v>ENS</v>
      </c>
      <c r="BS7" s="621">
        <v>110</v>
      </c>
      <c r="BT7" s="621" t="str">
        <f t="shared" si="48"/>
        <v/>
      </c>
      <c r="BU7" s="621" t="str">
        <v/>
      </c>
      <c r="BV7" s="618">
        <f t="shared" si="51"/>
        <v>1.1000000000000001</v>
      </c>
      <c r="BX7" s="750" t="s">
        <v>461</v>
      </c>
      <c r="BY7" s="105" t="s">
        <v>9</v>
      </c>
      <c r="BZ7">
        <f>COUNT(BU4:BU10)</f>
        <v>0</v>
      </c>
    </row>
    <row r="8" spans="1:85">
      <c r="A8" t="str">
        <v>a. Susut Distribusi Tanpa E-min (sesuai kewenangan)</v>
      </c>
      <c r="B8">
        <v>2</v>
      </c>
      <c r="C8" t="str">
        <v>Susut Distribusi Tanpa E-min (sesuai kewenangan)</v>
      </c>
      <c r="D8" s="105" t="s">
        <v>462</v>
      </c>
      <c r="E8" t="str">
        <v>Susut Distribusi Tanpa E-min (sesuai kewenangan)</v>
      </c>
      <c r="G8">
        <v>9.9499999999999993</v>
      </c>
      <c r="H8">
        <v>9.9499999999999993</v>
      </c>
      <c r="I8">
        <v>9.9499999999999993</v>
      </c>
      <c r="J8">
        <v>9.77</v>
      </c>
      <c r="K8">
        <v>9.59</v>
      </c>
      <c r="L8">
        <v>9.41</v>
      </c>
      <c r="M8">
        <v>9.34</v>
      </c>
      <c r="N8">
        <v>9.27</v>
      </c>
      <c r="O8">
        <v>9.1999999999999993</v>
      </c>
      <c r="P8">
        <v>9.14</v>
      </c>
      <c r="Q8">
        <v>9.07</v>
      </c>
      <c r="R8">
        <v>9</v>
      </c>
      <c r="T8" t="str">
        <v>Susut Distribusi Tanpa E-min (sesuai kewenangan)</v>
      </c>
      <c r="V8">
        <v>-15.682737184229497</v>
      </c>
      <c r="W8">
        <v>-10.228821067310426</v>
      </c>
      <c r="X8">
        <v>-2.8846078747913642</v>
      </c>
      <c r="Y8">
        <v>3.5063857291321998</v>
      </c>
      <c r="Z8">
        <v>6.3999484078289566</v>
      </c>
      <c r="AA8">
        <v>6.9996588694363426</v>
      </c>
      <c r="AB8">
        <v>7.6587322275420009</v>
      </c>
      <c r="AC8">
        <v>7.929049915654077</v>
      </c>
      <c r="AD8">
        <v>8.2084941236385731</v>
      </c>
      <c r="AE8">
        <v>0</v>
      </c>
      <c r="AF8">
        <v>0</v>
      </c>
      <c r="AG8">
        <v>0</v>
      </c>
      <c r="AI8" t="str">
        <f t="shared" si="34"/>
        <v>Susut Distribusi Tanpa E-min (sesuai kewenangan)</v>
      </c>
      <c r="AK8" s="618">
        <f t="shared" ref="AK8" si="55">IF((2-(V8/G8))*100&gt;110,110,(2-(V8/G8))*100)</f>
        <v>110</v>
      </c>
      <c r="AL8" s="618">
        <f t="shared" ref="AL8" si="56">IF((2-(W8/H8))*100&gt;110,110,(2-(W8/H8))*100)</f>
        <v>110</v>
      </c>
      <c r="AM8" s="618">
        <f t="shared" ref="AM8" si="57">IF((2-(X8/I8))*100&gt;110,110,(2-(X8/I8))*100)</f>
        <v>110</v>
      </c>
      <c r="AN8" s="618">
        <f t="shared" ref="AN8" si="58">IF((2-(Y8/J8))*100&gt;110,110,(2-(Y8/J8))*100)</f>
        <v>110</v>
      </c>
      <c r="AO8" s="618">
        <f t="shared" ref="AO8" si="59">IF((2-(Z8/K8))*100&gt;110,110,(2-(Z8/K8))*100)</f>
        <v>110</v>
      </c>
      <c r="AP8" s="618">
        <f t="shared" ref="AP8" si="60">IF((2-(AA8/L8))*100&gt;110,110,(2-(AA8/L8))*100)</f>
        <v>110</v>
      </c>
      <c r="AQ8" s="618">
        <f t="shared" ref="AQ8" si="61">IF((2-(AB8/M8))*100&gt;110,110,(2-(AB8/M8))*100)</f>
        <v>110</v>
      </c>
      <c r="AR8" s="618">
        <f t="shared" ref="AR8" si="62">IF((2-(AC8/N8))*100&gt;110,110,(2-(AC8/N8))*100)</f>
        <v>110</v>
      </c>
      <c r="AS8" s="618">
        <f t="shared" ref="AS8" si="63">IF((2-(AD8/O8))*100&gt;110,110,(2-(AD8/O8))*100)</f>
        <v>110</v>
      </c>
      <c r="AT8" s="618">
        <f t="shared" ref="AT8" si="64">IF((2-(AE8/P8))*100&gt;110,110,(2-(AE8/P8))*100)</f>
        <v>110</v>
      </c>
      <c r="AU8" s="618">
        <f t="shared" ref="AU8" si="65">IF((2-(AF8/Q8))*100&gt;110,110,(2-(AF8/Q8))*100)</f>
        <v>110</v>
      </c>
      <c r="AV8" s="618">
        <f t="shared" ref="AV8" si="66">IF((2-(AG8/R8))*100&gt;110,110,(2-(AG8/R8))*100)</f>
        <v>110</v>
      </c>
      <c r="AW8" s="621"/>
      <c r="AX8" t="str">
        <f t="shared" si="36"/>
        <v>Susut Distribusi Tanpa E-min (sesuai kewenangan)</v>
      </c>
      <c r="AY8" s="105" t="s">
        <v>458</v>
      </c>
      <c r="AZ8" s="620">
        <f>12/3</f>
        <v>4</v>
      </c>
      <c r="BA8" s="618">
        <f t="shared" si="50"/>
        <v>4.4000000000000004</v>
      </c>
      <c r="BB8" s="618">
        <f t="shared" si="37"/>
        <v>4.4000000000000004</v>
      </c>
      <c r="BC8" s="618">
        <f t="shared" si="38"/>
        <v>4.4000000000000004</v>
      </c>
      <c r="BD8" s="618">
        <f t="shared" si="39"/>
        <v>4.4000000000000004</v>
      </c>
      <c r="BE8" s="618">
        <f t="shared" si="40"/>
        <v>4.4000000000000004</v>
      </c>
      <c r="BF8" s="618">
        <f t="shared" si="41"/>
        <v>4.4000000000000004</v>
      </c>
      <c r="BG8" s="618">
        <f t="shared" si="42"/>
        <v>4.4000000000000004</v>
      </c>
      <c r="BH8" s="618">
        <f t="shared" si="43"/>
        <v>4.4000000000000004</v>
      </c>
      <c r="BI8" s="618">
        <f t="shared" si="44"/>
        <v>4.4000000000000004</v>
      </c>
      <c r="BJ8" s="618">
        <f t="shared" si="45"/>
        <v>4.4000000000000004</v>
      </c>
      <c r="BK8" s="618">
        <f t="shared" si="46"/>
        <v>4.4000000000000004</v>
      </c>
      <c r="BL8" s="618">
        <f t="shared" si="47"/>
        <v>4.4000000000000004</v>
      </c>
      <c r="BM8" s="621"/>
      <c r="BN8" s="621"/>
      <c r="BO8" s="143"/>
      <c r="BQ8" s="622" cm="1">
        <f t="array" ref="BQ8">INDEX(AK8:AV8,MATCH(MONTH($BP$3),MONTH($AK$3:$AV$3),0))</f>
        <v>110</v>
      </c>
      <c r="BR8" t="str">
        <v>Susut Distribusi Tanpa E-min (sesuai kewenangan)</v>
      </c>
      <c r="BS8" s="621">
        <v>110</v>
      </c>
      <c r="BT8" s="621" t="str">
        <f t="shared" si="48"/>
        <v/>
      </c>
      <c r="BU8" s="621" t="str">
        <v/>
      </c>
      <c r="BV8" s="618">
        <f t="shared" si="51"/>
        <v>1.1000000000000001</v>
      </c>
      <c r="BX8" s="750"/>
      <c r="BY8" s="105" t="s">
        <v>463</v>
      </c>
      <c r="BZ8">
        <f>COUNT(BU11:BU42)</f>
        <v>5</v>
      </c>
    </row>
    <row r="9" spans="1:85">
      <c r="A9" t="str">
        <v>b. Penyelesaian Temuan P2TL</v>
      </c>
      <c r="B9">
        <v>2</v>
      </c>
      <c r="C9" t="str">
        <v>Penyelesaian Temuan P2TL</v>
      </c>
      <c r="D9" s="105" t="s">
        <v>462</v>
      </c>
      <c r="E9" t="str">
        <v>Penyelesaian Temuan P2TL</v>
      </c>
      <c r="G9">
        <v>6.67</v>
      </c>
      <c r="H9">
        <v>13.33</v>
      </c>
      <c r="I9">
        <v>20</v>
      </c>
      <c r="J9">
        <v>26.67</v>
      </c>
      <c r="K9">
        <v>33.33</v>
      </c>
      <c r="L9">
        <v>40</v>
      </c>
      <c r="M9">
        <v>50</v>
      </c>
      <c r="N9">
        <v>60</v>
      </c>
      <c r="O9">
        <v>70</v>
      </c>
      <c r="P9">
        <v>80</v>
      </c>
      <c r="Q9">
        <v>90</v>
      </c>
      <c r="R9">
        <v>100</v>
      </c>
      <c r="T9" t="str">
        <v>Penyelesaian Temuan P2TL</v>
      </c>
      <c r="V9">
        <v>5.8059061761727984</v>
      </c>
      <c r="W9">
        <v>6.7500843739453256</v>
      </c>
      <c r="X9">
        <v>15.173742828214648</v>
      </c>
      <c r="Y9">
        <v>21.76044549443132</v>
      </c>
      <c r="Z9">
        <v>29.091596355045564</v>
      </c>
      <c r="AA9">
        <v>49.917819777252781</v>
      </c>
      <c r="AB9">
        <v>69.343266959163017</v>
      </c>
      <c r="AC9">
        <v>80.308133648329402</v>
      </c>
      <c r="AD9">
        <v>91.575632804589944</v>
      </c>
      <c r="AE9">
        <v>91.575632804589944</v>
      </c>
      <c r="AF9">
        <v>91.575632804589944</v>
      </c>
      <c r="AG9">
        <v>91.575632804589944</v>
      </c>
      <c r="AI9" t="str">
        <f t="shared" si="34"/>
        <v>Penyelesaian Temuan P2TL</v>
      </c>
      <c r="AK9" s="618">
        <f t="shared" ref="AK9:AV9" si="67">IF(V9/G9*100&gt;110,110,V9/G9*100)</f>
        <v>87.045070107538209</v>
      </c>
      <c r="AL9" s="618">
        <f t="shared" si="67"/>
        <v>50.638292377684358</v>
      </c>
      <c r="AM9" s="618">
        <f t="shared" si="67"/>
        <v>75.868714141073241</v>
      </c>
      <c r="AN9" s="618">
        <f t="shared" si="67"/>
        <v>81.591471670158683</v>
      </c>
      <c r="AO9" s="618">
        <f t="shared" si="67"/>
        <v>87.283517416878382</v>
      </c>
      <c r="AP9" s="618">
        <f t="shared" si="67"/>
        <v>110</v>
      </c>
      <c r="AQ9" s="618">
        <f t="shared" si="67"/>
        <v>110</v>
      </c>
      <c r="AR9" s="618">
        <f t="shared" si="67"/>
        <v>110</v>
      </c>
      <c r="AS9" s="618">
        <f t="shared" si="67"/>
        <v>110</v>
      </c>
      <c r="AT9" s="618">
        <f t="shared" si="67"/>
        <v>110</v>
      </c>
      <c r="AU9" s="618">
        <f t="shared" si="67"/>
        <v>101.75070311621104</v>
      </c>
      <c r="AV9" s="618">
        <f t="shared" si="67"/>
        <v>91.575632804589944</v>
      </c>
      <c r="AW9" s="621"/>
      <c r="AX9" t="str">
        <f t="shared" si="36"/>
        <v>Penyelesaian Temuan P2TL</v>
      </c>
      <c r="AY9" s="105" t="s">
        <v>458</v>
      </c>
      <c r="AZ9" s="620">
        <f t="shared" ref="AZ9:AZ10" si="68">12/3</f>
        <v>4</v>
      </c>
      <c r="BA9" s="618">
        <f t="shared" si="50"/>
        <v>3.48</v>
      </c>
      <c r="BB9" s="618">
        <f t="shared" si="37"/>
        <v>2.02</v>
      </c>
      <c r="BC9" s="618">
        <f t="shared" si="38"/>
        <v>3.03</v>
      </c>
      <c r="BD9" s="618">
        <f t="shared" si="39"/>
        <v>3.26</v>
      </c>
      <c r="BE9" s="618">
        <f t="shared" si="40"/>
        <v>3.49</v>
      </c>
      <c r="BF9" s="618">
        <f t="shared" si="41"/>
        <v>4.4000000000000004</v>
      </c>
      <c r="BG9" s="618">
        <f t="shared" si="42"/>
        <v>4.4000000000000004</v>
      </c>
      <c r="BH9" s="618">
        <f t="shared" si="43"/>
        <v>4.4000000000000004</v>
      </c>
      <c r="BI9" s="618">
        <f t="shared" si="44"/>
        <v>4.4000000000000004</v>
      </c>
      <c r="BJ9" s="618">
        <f t="shared" si="45"/>
        <v>4.4000000000000004</v>
      </c>
      <c r="BK9" s="618">
        <f t="shared" si="46"/>
        <v>4.07</v>
      </c>
      <c r="BL9" s="618">
        <f t="shared" si="47"/>
        <v>3.66</v>
      </c>
      <c r="BM9" s="621"/>
      <c r="BN9" s="621"/>
      <c r="BO9" s="143"/>
      <c r="BQ9" s="622" cm="1">
        <f t="array" ref="BQ9">INDEX(AK9:AV9,MATCH(MONTH($BP$3),MONTH($AK$3:$AV$3),0))</f>
        <v>110</v>
      </c>
      <c r="BR9" t="str">
        <v>Penyelesaian Temuan P2TL</v>
      </c>
      <c r="BS9" s="621">
        <v>110</v>
      </c>
      <c r="BT9" s="621" t="str">
        <f t="shared" si="48"/>
        <v/>
      </c>
      <c r="BU9" s="621" t="str">
        <v/>
      </c>
      <c r="BV9" s="618">
        <f t="shared" si="51"/>
        <v>1.1000000000000001</v>
      </c>
    </row>
    <row r="10" spans="1:85">
      <c r="A10" t="str">
        <v>c. Penyelesaian Ganti Meter</v>
      </c>
      <c r="B10">
        <v>2</v>
      </c>
      <c r="C10" t="str">
        <v>Penyelesaian Ganti Meter</v>
      </c>
      <c r="D10" s="105" t="s">
        <v>462</v>
      </c>
      <c r="E10" t="str">
        <v>Penyelesaian Ganti Meter</v>
      </c>
      <c r="G10">
        <v>437</v>
      </c>
      <c r="H10">
        <v>869</v>
      </c>
      <c r="I10">
        <v>1300</v>
      </c>
      <c r="J10">
        <v>1732</v>
      </c>
      <c r="K10">
        <v>1947</v>
      </c>
      <c r="L10">
        <v>2158</v>
      </c>
      <c r="M10">
        <v>2801</v>
      </c>
      <c r="N10">
        <v>3444</v>
      </c>
      <c r="O10">
        <v>4087</v>
      </c>
      <c r="P10">
        <v>4727</v>
      </c>
      <c r="Q10">
        <v>4727</v>
      </c>
      <c r="R10">
        <v>4727</v>
      </c>
      <c r="T10" t="str">
        <v>Penyelesaian Ganti Meter</v>
      </c>
      <c r="V10">
        <v>21</v>
      </c>
      <c r="W10">
        <v>287</v>
      </c>
      <c r="X10">
        <v>1413</v>
      </c>
      <c r="Y10">
        <v>2172</v>
      </c>
      <c r="Z10">
        <v>2755</v>
      </c>
      <c r="AA10">
        <v>3122</v>
      </c>
      <c r="AB10">
        <v>3533</v>
      </c>
      <c r="AC10">
        <v>3695</v>
      </c>
      <c r="AD10">
        <v>3957</v>
      </c>
      <c r="AE10">
        <v>3957</v>
      </c>
      <c r="AF10">
        <v>3957</v>
      </c>
      <c r="AG10">
        <v>3957</v>
      </c>
      <c r="AI10" t="str">
        <f t="shared" si="34"/>
        <v>Penyelesaian Ganti Meter</v>
      </c>
      <c r="AK10" s="618">
        <f t="shared" ref="AK10" si="69">IF(V10/G10*100&gt;110,110,V10/G10*100)</f>
        <v>4.805491990846682</v>
      </c>
      <c r="AL10" s="618">
        <f t="shared" ref="AL10" si="70">IF(W10/H10*100&gt;110,110,W10/H10*100)</f>
        <v>33.026467203682394</v>
      </c>
      <c r="AM10" s="618">
        <f t="shared" ref="AM10" si="71">IF(X10/I10*100&gt;110,110,X10/I10*100)</f>
        <v>108.69230769230769</v>
      </c>
      <c r="AN10" s="618">
        <f t="shared" ref="AN10" si="72">IF(Y10/J10*100&gt;110,110,Y10/J10*100)</f>
        <v>110</v>
      </c>
      <c r="AO10" s="618">
        <f t="shared" ref="AO10" si="73">IF(Z10/K10*100&gt;110,110,Z10/K10*100)</f>
        <v>110</v>
      </c>
      <c r="AP10" s="618">
        <f t="shared" ref="AP10" si="74">IF(AA10/L10*100&gt;110,110,AA10/L10*100)</f>
        <v>110</v>
      </c>
      <c r="AQ10" s="618">
        <f t="shared" ref="AQ10" si="75">IF(AB10/M10*100&gt;110,110,AB10/M10*100)</f>
        <v>110</v>
      </c>
      <c r="AR10" s="618">
        <f t="shared" ref="AR10" si="76">IF(AC10/N10*100&gt;110,110,AC10/N10*100)</f>
        <v>107.28803716608594</v>
      </c>
      <c r="AS10" s="618">
        <f t="shared" ref="AS10" si="77">IF(AD10/O10*100&gt;110,110,AD10/O10*100)</f>
        <v>96.819182774651338</v>
      </c>
      <c r="AT10" s="618">
        <f t="shared" ref="AT10" si="78">IF(AE10/P10*100&gt;110,110,AE10/P10*100)</f>
        <v>83.710598688385872</v>
      </c>
      <c r="AU10" s="618">
        <f t="shared" ref="AU10" si="79">IF(AF10/Q10*100&gt;110,110,AF10/Q10*100)</f>
        <v>83.710598688385872</v>
      </c>
      <c r="AV10" s="618">
        <f t="shared" ref="AV10" si="80">IF(AG10/R10*100&gt;110,110,AG10/R10*100)</f>
        <v>83.710598688385872</v>
      </c>
      <c r="AW10" s="621"/>
      <c r="AX10" t="str">
        <f t="shared" si="36"/>
        <v>Penyelesaian Ganti Meter</v>
      </c>
      <c r="AY10" s="105" t="s">
        <v>458</v>
      </c>
      <c r="AZ10" s="620">
        <f t="shared" si="68"/>
        <v>4</v>
      </c>
      <c r="BA10" s="618">
        <f t="shared" si="50"/>
        <v>0.19</v>
      </c>
      <c r="BB10" s="618">
        <f t="shared" si="37"/>
        <v>1.32</v>
      </c>
      <c r="BC10" s="618">
        <f t="shared" si="38"/>
        <v>4.34</v>
      </c>
      <c r="BD10" s="618">
        <f t="shared" si="39"/>
        <v>4.4000000000000004</v>
      </c>
      <c r="BE10" s="618">
        <f t="shared" si="40"/>
        <v>4.4000000000000004</v>
      </c>
      <c r="BF10" s="618">
        <f t="shared" si="41"/>
        <v>4.4000000000000004</v>
      </c>
      <c r="BG10" s="618">
        <f t="shared" si="42"/>
        <v>4.4000000000000004</v>
      </c>
      <c r="BH10" s="618">
        <f t="shared" si="43"/>
        <v>4.29</v>
      </c>
      <c r="BI10" s="618">
        <f t="shared" si="44"/>
        <v>3.87</v>
      </c>
      <c r="BJ10" s="618">
        <f t="shared" si="45"/>
        <v>3.34</v>
      </c>
      <c r="BK10" s="618">
        <f t="shared" si="46"/>
        <v>3.34</v>
      </c>
      <c r="BL10" s="618">
        <f t="shared" si="47"/>
        <v>3.34</v>
      </c>
      <c r="BM10" s="621"/>
      <c r="BN10" s="621"/>
      <c r="BO10" s="143"/>
      <c r="BQ10" s="622" cm="1">
        <f t="array" ref="BQ10">INDEX(AK10:AV10,MATCH(MONTH($BP$3),MONTH($AK$3:$AV$3),0))</f>
        <v>110</v>
      </c>
      <c r="BR10" t="str">
        <v>Penyelesaian Ganti Meter</v>
      </c>
      <c r="BS10" s="621">
        <v>110</v>
      </c>
      <c r="BT10" s="621" t="str">
        <f t="shared" si="48"/>
        <v/>
      </c>
      <c r="BU10" s="621" t="str">
        <v/>
      </c>
      <c r="BV10" s="618">
        <f t="shared" si="51"/>
        <v>1.1000000000000001</v>
      </c>
    </row>
    <row r="11" spans="1:85">
      <c r="A11" t="str">
        <v>a. Gangguan TM &gt; 5 Menit</v>
      </c>
      <c r="B11">
        <v>2</v>
      </c>
      <c r="C11" t="str">
        <v>Gangguan TM &gt; 5 Menit</v>
      </c>
      <c r="D11" s="105" t="s">
        <v>462</v>
      </c>
      <c r="E11" t="str">
        <v>Gangguan TM &gt; 5 Menit</v>
      </c>
      <c r="G11">
        <v>15</v>
      </c>
      <c r="H11">
        <v>29</v>
      </c>
      <c r="I11">
        <v>45</v>
      </c>
      <c r="J11">
        <v>59</v>
      </c>
      <c r="K11">
        <v>74</v>
      </c>
      <c r="L11">
        <v>88</v>
      </c>
      <c r="M11">
        <v>103</v>
      </c>
      <c r="N11">
        <v>119</v>
      </c>
      <c r="O11">
        <v>134</v>
      </c>
      <c r="P11">
        <v>148</v>
      </c>
      <c r="Q11">
        <v>163</v>
      </c>
      <c r="R11">
        <v>166</v>
      </c>
      <c r="T11" t="str">
        <v>Gangguan TM &gt; 5 Menit</v>
      </c>
      <c r="V11">
        <v>5</v>
      </c>
      <c r="W11">
        <v>10</v>
      </c>
      <c r="X11">
        <v>32</v>
      </c>
      <c r="Y11">
        <v>40</v>
      </c>
      <c r="Z11">
        <v>66</v>
      </c>
      <c r="AA11">
        <v>73</v>
      </c>
      <c r="AB11">
        <v>87</v>
      </c>
      <c r="AC11">
        <v>87</v>
      </c>
      <c r="AD11">
        <v>98</v>
      </c>
      <c r="AE11">
        <v>98</v>
      </c>
      <c r="AF11">
        <v>98</v>
      </c>
      <c r="AG11">
        <v>98</v>
      </c>
      <c r="AI11" t="str">
        <f t="shared" si="34"/>
        <v>Gangguan TM &gt; 5 Menit</v>
      </c>
      <c r="AK11" s="618">
        <f t="shared" ref="AK11:AV11" si="81">IF(((G11-(V11-G11))/G11)*100&gt;110,110,((G11-(V11-G11))/G11)*100)</f>
        <v>110</v>
      </c>
      <c r="AL11" s="618">
        <f t="shared" si="81"/>
        <v>110</v>
      </c>
      <c r="AM11" s="618">
        <f t="shared" si="81"/>
        <v>110</v>
      </c>
      <c r="AN11" s="618">
        <f t="shared" si="81"/>
        <v>110</v>
      </c>
      <c r="AO11" s="618">
        <f t="shared" si="81"/>
        <v>110</v>
      </c>
      <c r="AP11" s="618">
        <f t="shared" si="81"/>
        <v>110</v>
      </c>
      <c r="AQ11" s="618">
        <f t="shared" si="81"/>
        <v>110</v>
      </c>
      <c r="AR11" s="618">
        <f t="shared" si="81"/>
        <v>110</v>
      </c>
      <c r="AS11" s="618">
        <f t="shared" si="81"/>
        <v>110</v>
      </c>
      <c r="AT11" s="618">
        <f t="shared" si="81"/>
        <v>110</v>
      </c>
      <c r="AU11" s="618">
        <f t="shared" si="81"/>
        <v>110</v>
      </c>
      <c r="AV11" s="618">
        <f t="shared" si="81"/>
        <v>110</v>
      </c>
      <c r="AW11" s="621"/>
      <c r="AX11" t="str">
        <f t="shared" si="36"/>
        <v>Gangguan TM &gt; 5 Menit</v>
      </c>
      <c r="AY11" s="105" t="s">
        <v>458</v>
      </c>
      <c r="AZ11" s="620">
        <f>6/3</f>
        <v>2</v>
      </c>
      <c r="BA11" s="618">
        <f t="shared" si="50"/>
        <v>2.2000000000000002</v>
      </c>
      <c r="BB11" s="618">
        <f t="shared" si="37"/>
        <v>2.2000000000000002</v>
      </c>
      <c r="BC11" s="618">
        <f t="shared" si="38"/>
        <v>2.2000000000000002</v>
      </c>
      <c r="BD11" s="618">
        <f t="shared" si="39"/>
        <v>2.2000000000000002</v>
      </c>
      <c r="BE11" s="618">
        <f t="shared" si="40"/>
        <v>2.2000000000000002</v>
      </c>
      <c r="BF11" s="618">
        <f t="shared" si="41"/>
        <v>2.2000000000000002</v>
      </c>
      <c r="BG11" s="618">
        <f t="shared" si="42"/>
        <v>2.2000000000000002</v>
      </c>
      <c r="BH11" s="618">
        <f t="shared" si="43"/>
        <v>2.2000000000000002</v>
      </c>
      <c r="BI11" s="618">
        <f t="shared" si="44"/>
        <v>2.2000000000000002</v>
      </c>
      <c r="BJ11" s="618">
        <f t="shared" si="45"/>
        <v>2.2000000000000002</v>
      </c>
      <c r="BK11" s="618">
        <f t="shared" si="46"/>
        <v>2.2000000000000002</v>
      </c>
      <c r="BL11" s="618">
        <f t="shared" si="47"/>
        <v>2.2000000000000002</v>
      </c>
      <c r="BM11" s="621"/>
      <c r="BN11" s="621"/>
      <c r="BO11" s="143"/>
      <c r="BQ11" s="622" cm="1">
        <f t="array" ref="BQ11">INDEX(AK11:AV11,MATCH(MONTH($BP$3),MONTH($AK$3:$AV$3),0))</f>
        <v>110</v>
      </c>
      <c r="BR11" t="str">
        <v>Gangguan TM &gt; 5 Menit</v>
      </c>
      <c r="BS11" s="621">
        <v>110</v>
      </c>
      <c r="BT11" s="621" t="str">
        <f t="shared" si="48"/>
        <v/>
      </c>
      <c r="BU11" s="621" t="str">
        <v/>
      </c>
      <c r="BV11" s="618">
        <f t="shared" si="51"/>
        <v>1.1000000000000001</v>
      </c>
      <c r="BX11" s="751" t="s">
        <v>464</v>
      </c>
      <c r="BY11" s="751"/>
      <c r="BZ11" s="751"/>
      <c r="CA11" s="751"/>
      <c r="CB11" s="751"/>
      <c r="CC11" s="751"/>
      <c r="CD11" s="751"/>
    </row>
    <row r="12" spans="1:85">
      <c r="A12" t="str">
        <v>b. Gangguan TM ≤ 5 Menit</v>
      </c>
      <c r="B12">
        <v>2</v>
      </c>
      <c r="C12" t="str">
        <v>Gangguan TM ≤ 5 Menit</v>
      </c>
      <c r="D12" s="105" t="s">
        <v>462</v>
      </c>
      <c r="E12" t="str">
        <v>Gangguan TM ≤ 5 Menit</v>
      </c>
      <c r="G12">
        <v>17</v>
      </c>
      <c r="H12">
        <v>31</v>
      </c>
      <c r="I12">
        <v>48</v>
      </c>
      <c r="J12">
        <v>65</v>
      </c>
      <c r="K12">
        <v>79</v>
      </c>
      <c r="L12">
        <v>96</v>
      </c>
      <c r="M12">
        <v>113</v>
      </c>
      <c r="N12">
        <v>128</v>
      </c>
      <c r="O12">
        <v>144</v>
      </c>
      <c r="P12">
        <v>161</v>
      </c>
      <c r="Q12">
        <v>177</v>
      </c>
      <c r="R12">
        <v>191</v>
      </c>
      <c r="T12" t="str">
        <v>Gangguan TM ≤ 5 Menit</v>
      </c>
      <c r="V12">
        <v>1</v>
      </c>
      <c r="W12">
        <v>18</v>
      </c>
      <c r="X12">
        <v>21</v>
      </c>
      <c r="Y12">
        <v>22</v>
      </c>
      <c r="Z12">
        <v>57</v>
      </c>
      <c r="AA12">
        <v>76</v>
      </c>
      <c r="AB12">
        <v>93</v>
      </c>
      <c r="AC12">
        <v>96</v>
      </c>
      <c r="AD12">
        <v>112</v>
      </c>
      <c r="AE12">
        <v>112</v>
      </c>
      <c r="AF12">
        <v>112</v>
      </c>
      <c r="AG12">
        <v>112</v>
      </c>
      <c r="AI12" t="str">
        <f t="shared" si="34"/>
        <v>Gangguan TM ≤ 5 Menit</v>
      </c>
      <c r="AK12" s="618">
        <f t="shared" ref="AK12" si="82">IF((2-(V12/G12))*100&gt;110,110,(2-(V12/G12))*100)</f>
        <v>110</v>
      </c>
      <c r="AL12" s="618">
        <f t="shared" ref="AL12" si="83">IF((2-(W12/H12))*100&gt;110,110,(2-(W12/H12))*100)</f>
        <v>110</v>
      </c>
      <c r="AM12" s="618">
        <f t="shared" ref="AM12" si="84">IF((2-(X12/I12))*100&gt;110,110,(2-(X12/I12))*100)</f>
        <v>110</v>
      </c>
      <c r="AN12" s="618">
        <f t="shared" ref="AN12" si="85">IF((2-(Y12/J12))*100&gt;110,110,(2-(Y12/J12))*100)</f>
        <v>110</v>
      </c>
      <c r="AO12" s="618">
        <f t="shared" ref="AO12" si="86">IF((2-(Z12/K12))*100&gt;110,110,(2-(Z12/K12))*100)</f>
        <v>110</v>
      </c>
      <c r="AP12" s="618">
        <f t="shared" ref="AP12" si="87">IF((2-(AA12/L12))*100&gt;110,110,(2-(AA12/L12))*100)</f>
        <v>110</v>
      </c>
      <c r="AQ12" s="618">
        <f t="shared" ref="AQ12" si="88">IF((2-(AB12/M12))*100&gt;110,110,(2-(AB12/M12))*100)</f>
        <v>110</v>
      </c>
      <c r="AR12" s="618">
        <f t="shared" ref="AR12" si="89">IF((2-(AC12/N12))*100&gt;110,110,(2-(AC12/N12))*100)</f>
        <v>110</v>
      </c>
      <c r="AS12" s="618">
        <f t="shared" ref="AS12" si="90">IF((2-(AD12/O12))*100&gt;110,110,(2-(AD12/O12))*100)</f>
        <v>110</v>
      </c>
      <c r="AT12" s="618">
        <f t="shared" ref="AT12" si="91">IF((2-(AE12/P12))*100&gt;110,110,(2-(AE12/P12))*100)</f>
        <v>110</v>
      </c>
      <c r="AU12" s="618">
        <f t="shared" ref="AU12" si="92">IF((2-(AF12/Q12))*100&gt;110,110,(2-(AF12/Q12))*100)</f>
        <v>110</v>
      </c>
      <c r="AV12" s="618">
        <f t="shared" ref="AV12" si="93">IF((2-(AG12/R12))*100&gt;110,110,(2-(AG12/R12))*100)</f>
        <v>110</v>
      </c>
      <c r="AW12" s="621"/>
      <c r="AX12" t="str">
        <f t="shared" si="36"/>
        <v>Gangguan TM ≤ 5 Menit</v>
      </c>
      <c r="AY12" s="105" t="s">
        <v>458</v>
      </c>
      <c r="AZ12" s="620">
        <f t="shared" ref="AZ12:AZ13" si="94">6/3</f>
        <v>2</v>
      </c>
      <c r="BA12" s="618">
        <f t="shared" si="50"/>
        <v>2.2000000000000002</v>
      </c>
      <c r="BB12" s="618">
        <f t="shared" si="37"/>
        <v>2.2000000000000002</v>
      </c>
      <c r="BC12" s="618">
        <f t="shared" si="38"/>
        <v>2.2000000000000002</v>
      </c>
      <c r="BD12" s="618">
        <f t="shared" si="39"/>
        <v>2.2000000000000002</v>
      </c>
      <c r="BE12" s="618">
        <f t="shared" si="40"/>
        <v>2.2000000000000002</v>
      </c>
      <c r="BF12" s="618">
        <f t="shared" si="41"/>
        <v>2.2000000000000002</v>
      </c>
      <c r="BG12" s="618">
        <f t="shared" si="42"/>
        <v>2.2000000000000002</v>
      </c>
      <c r="BH12" s="618">
        <f t="shared" si="43"/>
        <v>2.2000000000000002</v>
      </c>
      <c r="BI12" s="618">
        <f t="shared" si="44"/>
        <v>2.2000000000000002</v>
      </c>
      <c r="BJ12" s="618">
        <f t="shared" si="45"/>
        <v>2.2000000000000002</v>
      </c>
      <c r="BK12" s="618">
        <f t="shared" si="46"/>
        <v>2.2000000000000002</v>
      </c>
      <c r="BL12" s="618">
        <f t="shared" si="47"/>
        <v>2.2000000000000002</v>
      </c>
      <c r="BM12" s="621"/>
      <c r="BN12" s="621"/>
      <c r="BO12" s="143"/>
      <c r="BQ12" s="622" cm="1">
        <f t="array" ref="BQ12">INDEX(AK12:AV12,MATCH(MONTH($BP$3),MONTH($AK$3:$AV$3),0))</f>
        <v>110</v>
      </c>
      <c r="BR12" t="str">
        <v>Gangguan TM ≤ 5 Menit</v>
      </c>
      <c r="BS12" s="621">
        <v>110</v>
      </c>
      <c r="BT12" s="621" t="str">
        <f t="shared" si="48"/>
        <v/>
      </c>
      <c r="BU12" s="621" t="str">
        <v/>
      </c>
      <c r="BV12" s="618">
        <f t="shared" si="51"/>
        <v>1.1000000000000001</v>
      </c>
      <c r="BY12" s="105" t="s">
        <v>460</v>
      </c>
      <c r="BZ12" s="105" t="s">
        <v>461</v>
      </c>
      <c r="CB12" t="s">
        <v>465</v>
      </c>
      <c r="CC12" s="105" t="s">
        <v>99</v>
      </c>
      <c r="CD12" s="105" t="s">
        <v>466</v>
      </c>
    </row>
    <row r="13" spans="1:85">
      <c r="A13" t="str">
        <v>c. Kerusakan Peralatan Distribusi (PHB TM dan Trafo) Sesuai Kewenangan</v>
      </c>
      <c r="B13">
        <v>2</v>
      </c>
      <c r="C13" t="str">
        <v>Kerusakan Peralatan Distribusi (PHB TM dan Trafo) Sesuai Kewenangan</v>
      </c>
      <c r="D13" s="105" t="s">
        <v>462</v>
      </c>
      <c r="E13" t="str">
        <v>Kerusakan Peralatan Distribusi (PHB TM dan Trafo) Sesuai Kewenangan</v>
      </c>
      <c r="G13">
        <v>0</v>
      </c>
      <c r="H13">
        <v>0</v>
      </c>
      <c r="I13">
        <v>5</v>
      </c>
      <c r="J13">
        <v>5</v>
      </c>
      <c r="K13">
        <v>5</v>
      </c>
      <c r="L13">
        <v>5</v>
      </c>
      <c r="M13">
        <v>5</v>
      </c>
      <c r="N13">
        <v>5</v>
      </c>
      <c r="O13">
        <v>5</v>
      </c>
      <c r="P13">
        <v>5</v>
      </c>
      <c r="Q13">
        <v>5</v>
      </c>
      <c r="R13">
        <v>5</v>
      </c>
      <c r="T13" t="str">
        <v>Kerusakan Peralatan Distribusi (PHB TM dan Trafo) Sesuai Kewenangan</v>
      </c>
      <c r="V13">
        <v>0</v>
      </c>
      <c r="W13">
        <v>0</v>
      </c>
      <c r="X13">
        <v>0</v>
      </c>
      <c r="Y13">
        <v>0</v>
      </c>
      <c r="Z13">
        <v>1</v>
      </c>
      <c r="AA13">
        <v>2</v>
      </c>
      <c r="AB13">
        <v>3</v>
      </c>
      <c r="AC13">
        <v>3</v>
      </c>
      <c r="AD13">
        <v>3</v>
      </c>
      <c r="AE13">
        <v>3</v>
      </c>
      <c r="AF13">
        <v>3</v>
      </c>
      <c r="AG13">
        <v>3</v>
      </c>
      <c r="AI13" t="str">
        <f t="shared" si="34"/>
        <v>Kerusakan Peralatan Distribusi (PHB TM dan Trafo) Sesuai Kewenangan</v>
      </c>
      <c r="AK13" s="618">
        <f t="shared" ref="AK13" si="95">IFERROR(IF((2-(V13/G13))*100&gt;110,110,(2-(V13/G13))*100),100)</f>
        <v>100</v>
      </c>
      <c r="AL13" s="618">
        <f>IFERROR(IF((2-(W13/H13))*100&gt;110,110,(2-(W13/H13))*100),100)</f>
        <v>100</v>
      </c>
      <c r="AM13" s="618">
        <f t="shared" ref="AM13:AV14" si="96">IFERROR(IF((2-(X13/I13))*100&gt;110,110,(2-(X13/I13))*100),100)</f>
        <v>110</v>
      </c>
      <c r="AN13" s="618">
        <f t="shared" si="96"/>
        <v>110</v>
      </c>
      <c r="AO13" s="618">
        <f t="shared" si="96"/>
        <v>110</v>
      </c>
      <c r="AP13" s="618">
        <f t="shared" si="96"/>
        <v>110</v>
      </c>
      <c r="AQ13" s="618">
        <f t="shared" si="96"/>
        <v>110</v>
      </c>
      <c r="AR13" s="618">
        <f t="shared" si="96"/>
        <v>110</v>
      </c>
      <c r="AS13" s="618">
        <f t="shared" si="96"/>
        <v>110</v>
      </c>
      <c r="AT13" s="618">
        <f t="shared" si="96"/>
        <v>110</v>
      </c>
      <c r="AU13" s="618">
        <f t="shared" si="96"/>
        <v>110</v>
      </c>
      <c r="AV13" s="618">
        <f t="shared" si="96"/>
        <v>110</v>
      </c>
      <c r="AW13" s="621"/>
      <c r="AX13" t="str">
        <f t="shared" si="36"/>
        <v>Kerusakan Peralatan Distribusi (PHB TM dan Trafo) Sesuai Kewenangan</v>
      </c>
      <c r="AY13" s="105" t="s">
        <v>458</v>
      </c>
      <c r="AZ13" s="620">
        <f t="shared" si="94"/>
        <v>2</v>
      </c>
      <c r="BA13" s="618">
        <f t="shared" si="50"/>
        <v>2</v>
      </c>
      <c r="BB13" s="618">
        <f t="shared" si="37"/>
        <v>2</v>
      </c>
      <c r="BC13" s="618">
        <f t="shared" si="38"/>
        <v>2.2000000000000002</v>
      </c>
      <c r="BD13" s="618">
        <f t="shared" si="39"/>
        <v>2.2000000000000002</v>
      </c>
      <c r="BE13" s="618">
        <f t="shared" si="40"/>
        <v>2.2000000000000002</v>
      </c>
      <c r="BF13" s="618">
        <f t="shared" si="41"/>
        <v>2.2000000000000002</v>
      </c>
      <c r="BG13" s="618">
        <f t="shared" si="42"/>
        <v>2.2000000000000002</v>
      </c>
      <c r="BH13" s="618">
        <f t="shared" si="43"/>
        <v>2.2000000000000002</v>
      </c>
      <c r="BI13" s="618">
        <f t="shared" si="44"/>
        <v>2.2000000000000002</v>
      </c>
      <c r="BJ13" s="618">
        <f t="shared" si="45"/>
        <v>2.2000000000000002</v>
      </c>
      <c r="BK13" s="618">
        <f t="shared" si="46"/>
        <v>2.2000000000000002</v>
      </c>
      <c r="BL13" s="618">
        <f t="shared" si="47"/>
        <v>2.2000000000000002</v>
      </c>
      <c r="BM13" s="621"/>
      <c r="BN13" s="621"/>
      <c r="BO13" s="143"/>
      <c r="BQ13" s="622" cm="1">
        <f t="array" ref="BQ13">INDEX(AK13:AV13,MATCH(MONTH($BP$3),MONTH($AK$3:$AV$3),0))</f>
        <v>110</v>
      </c>
      <c r="BR13" t="str">
        <v>Kerusakan Peralatan Distribusi (PHB TM dan Trafo) Sesuai Kewenangan</v>
      </c>
      <c r="BS13" s="621">
        <v>110</v>
      </c>
      <c r="BT13" s="621" t="str">
        <f t="shared" si="48"/>
        <v/>
      </c>
      <c r="BU13" s="621" t="str">
        <v/>
      </c>
      <c r="BV13" s="618">
        <f t="shared" si="51"/>
        <v>1.1000000000000001</v>
      </c>
      <c r="BX13" s="194" t="str" cm="1">
        <f t="array" ref="BX13:BX18">_xlfn._xlws.FILTER($BR$4:$BR$42,$BQ$4:$BQ$42&lt;100)</f>
        <v>Penjualan Tenaga Listrik</v>
      </c>
      <c r="BY13" s="618">
        <f>IFERROR(IF(ISNUMBER(INDEX($BT$4:$BT$42,MATCH(BX13,$BR$4:$BR$42,0))) = FALSE, NA(),INDEX($BT$4:$BT$42,MATCH(BX13,$BR$4:$BR$42,0))),NA())</f>
        <v>98.172485151675019</v>
      </c>
      <c r="BZ13" s="618" t="e">
        <f>IFERROR(IF(ISNUMBER(INDEX(_xlfn.ANCHORARRAY($BU$4),MATCH(BX13,$BR$4:$BR$42,0))) = FALSE, NA(),INDEX(_xlfn.ANCHORARRAY($BU$4),MATCH(BX13,$BR$4:$BR$42,0))),NA())</f>
        <v>#N/A</v>
      </c>
      <c r="CA13" s="625">
        <f>IF(ISERROR(BY13),BZ13,BY13)</f>
        <v>98.172485151675019</v>
      </c>
      <c r="CB13" s="626">
        <f>IFERROR(100-CA13,NA())</f>
        <v>1.8275148483249808</v>
      </c>
      <c r="CC13" s="105">
        <f>IFERROR(INDEX($AZ$4:$AZ$44,MATCH(BX13,$AX$4:$AX$44,0)),NA())</f>
        <v>14</v>
      </c>
      <c r="CD13" s="626">
        <f>IFERROR((100-CA13)/100*CC13,NA())</f>
        <v>0.25585207876549731</v>
      </c>
      <c r="CF13" t="b">
        <f>ISNUMBER(BY13)</f>
        <v>1</v>
      </c>
      <c r="CG13" t="b">
        <f>ISNUMBER(BZ13)</f>
        <v>0</v>
      </c>
    </row>
    <row r="14" spans="1:85">
      <c r="A14" t="str">
        <v>a. Feedback Rating Negatif pada PLN Mobile - Gangguan</v>
      </c>
      <c r="B14">
        <v>2</v>
      </c>
      <c r="C14" t="str">
        <v>Feedback Rating Negatif pada PLN Mobile - Gangguan</v>
      </c>
      <c r="D14" s="105" t="s">
        <v>462</v>
      </c>
      <c r="E14" t="str">
        <v>Feedback Rating Negatif pada PLN Mobile - Gangguan</v>
      </c>
      <c r="G14">
        <v>0.09</v>
      </c>
      <c r="H14">
        <v>0.09</v>
      </c>
      <c r="I14">
        <v>0.09</v>
      </c>
      <c r="J14">
        <v>0.09</v>
      </c>
      <c r="K14">
        <v>0.09</v>
      </c>
      <c r="L14">
        <v>0.09</v>
      </c>
      <c r="M14">
        <v>0.09</v>
      </c>
      <c r="N14">
        <v>0.09</v>
      </c>
      <c r="O14">
        <v>0.09</v>
      </c>
      <c r="P14">
        <v>0.09</v>
      </c>
      <c r="Q14">
        <v>0.09</v>
      </c>
      <c r="R14">
        <v>0.09</v>
      </c>
      <c r="T14" t="str">
        <v>Feedback Rating Negatif pada PLN Mobile - Gangguan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I14" t="str">
        <f t="shared" si="34"/>
        <v>Feedback Rating Negatif pada PLN Mobile - Gangguan</v>
      </c>
      <c r="AK14" s="618">
        <f t="shared" ref="AK14" si="97">IFERROR(IF((2-(V14/G14))*100&gt;110,110,(2-(V14/G14))*100),100)</f>
        <v>110</v>
      </c>
      <c r="AL14" s="618">
        <f t="shared" ref="AL14" si="98">IFERROR(IF((2-(W14/H14))*100&gt;110,110,(2-(W14/H14))*100),100)</f>
        <v>110</v>
      </c>
      <c r="AM14" s="618">
        <f t="shared" si="96"/>
        <v>110</v>
      </c>
      <c r="AN14" s="618">
        <f t="shared" si="96"/>
        <v>110</v>
      </c>
      <c r="AO14" s="618">
        <f t="shared" si="96"/>
        <v>110</v>
      </c>
      <c r="AP14" s="618">
        <f t="shared" si="96"/>
        <v>110</v>
      </c>
      <c r="AQ14" s="618">
        <f t="shared" si="96"/>
        <v>110</v>
      </c>
      <c r="AR14" s="618">
        <f t="shared" si="96"/>
        <v>110</v>
      </c>
      <c r="AS14" s="618">
        <f t="shared" si="96"/>
        <v>110</v>
      </c>
      <c r="AT14" s="618">
        <f t="shared" si="96"/>
        <v>110</v>
      </c>
      <c r="AU14" s="618">
        <f t="shared" si="96"/>
        <v>110</v>
      </c>
      <c r="AV14" s="618">
        <f t="shared" si="96"/>
        <v>110</v>
      </c>
      <c r="AW14" s="621"/>
      <c r="AX14" t="str">
        <f t="shared" si="36"/>
        <v>Feedback Rating Negatif pada PLN Mobile - Gangguan</v>
      </c>
      <c r="AY14" s="105" t="s">
        <v>458</v>
      </c>
      <c r="AZ14" s="620">
        <f>6/4</f>
        <v>1.5</v>
      </c>
      <c r="BA14" s="618">
        <f t="shared" si="50"/>
        <v>1.65</v>
      </c>
      <c r="BB14" s="618">
        <f t="shared" si="37"/>
        <v>1.65</v>
      </c>
      <c r="BC14" s="618">
        <f t="shared" si="38"/>
        <v>1.65</v>
      </c>
      <c r="BD14" s="618">
        <f t="shared" si="39"/>
        <v>1.65</v>
      </c>
      <c r="BE14" s="618">
        <f t="shared" si="40"/>
        <v>1.65</v>
      </c>
      <c r="BF14" s="618">
        <f t="shared" si="41"/>
        <v>1.65</v>
      </c>
      <c r="BG14" s="618">
        <f t="shared" si="42"/>
        <v>1.65</v>
      </c>
      <c r="BH14" s="618">
        <f t="shared" si="43"/>
        <v>1.65</v>
      </c>
      <c r="BI14" s="618">
        <f t="shared" si="44"/>
        <v>1.65</v>
      </c>
      <c r="BJ14" s="618">
        <f t="shared" si="45"/>
        <v>1.65</v>
      </c>
      <c r="BK14" s="618">
        <f t="shared" si="46"/>
        <v>1.65</v>
      </c>
      <c r="BL14" s="618">
        <f t="shared" si="47"/>
        <v>1.65</v>
      </c>
      <c r="BM14" s="621"/>
      <c r="BN14" s="621"/>
      <c r="BO14" s="143"/>
      <c r="BQ14" s="622" cm="1">
        <f t="array" ref="BQ14">INDEX(AK14:AV14,MATCH(MONTH($BP$3),MONTH($AK$3:$AV$3),0))</f>
        <v>110</v>
      </c>
      <c r="BR14" t="str">
        <v>Feedback Rating Negatif pada PLN Mobile - Gangguan</v>
      </c>
      <c r="BS14" s="621">
        <v>110</v>
      </c>
      <c r="BT14" s="621" t="str">
        <f t="shared" si="48"/>
        <v/>
      </c>
      <c r="BU14" s="621" t="str">
        <v/>
      </c>
      <c r="BV14" s="618">
        <f t="shared" si="51"/>
        <v>1.1000000000000001</v>
      </c>
      <c r="BX14" s="194" t="str">
        <v>Penambahan Daya Tersambung</v>
      </c>
      <c r="BY14" s="618" t="e">
        <f t="shared" ref="BY14:BY41" si="99">IFERROR(IF(ISNUMBER(INDEX($BT$4:$BT$42,MATCH(BX14,$BR$4:$BR$42,0))) = FALSE, NA(),INDEX($BT$4:$BT$42,MATCH(BX14,$BR$4:$BR$42,0))),NA())</f>
        <v>#N/A</v>
      </c>
      <c r="BZ14" s="618">
        <f t="shared" ref="BZ14:BZ41" si="100">IFERROR(IF(ISNUMBER(INDEX(_xlfn.ANCHORARRAY($BU$4),MATCH(BX14,$BR$4:$BR$42,0))) = FALSE, NA(),INDEX(_xlfn.ANCHORARRAY($BU$4),MATCH(BX14,$BR$4:$BR$42,0))),NA())</f>
        <v>55.49874213836479</v>
      </c>
      <c r="CA14" s="625">
        <f t="shared" ref="CA14:CA41" si="101">IF(ISERROR(BY14),BZ14,BY14)</f>
        <v>55.49874213836479</v>
      </c>
      <c r="CB14" s="626">
        <f t="shared" ref="CB14:CB41" si="102">IFERROR(100-CA14,NA())</f>
        <v>44.50125786163521</v>
      </c>
      <c r="CC14" s="105">
        <f t="shared" ref="CC14:CC41" si="103">IFERROR(INDEX($AZ$4:$AZ$44,MATCH(BX14,$AX$4:$AX$44,0)),NA())</f>
        <v>2</v>
      </c>
      <c r="CD14" s="626">
        <f t="shared" ref="CD14:CD41" si="104">IFERROR((100-CA14)/100*CC14,NA())</f>
        <v>0.89002515723270426</v>
      </c>
    </row>
    <row r="15" spans="1:85">
      <c r="A15" t="str">
        <v>b. Pengaduan Gangguan Berulang pada PLN Mobile</v>
      </c>
      <c r="B15">
        <v>2</v>
      </c>
      <c r="C15" t="str">
        <v>Pengaduan Gangguan Berulang pada PLN Mobile</v>
      </c>
      <c r="D15" s="105" t="s">
        <v>462</v>
      </c>
      <c r="E15" t="str">
        <v>Pengaduan Gangguan Berulang pada PLN Mobile</v>
      </c>
      <c r="G15">
        <v>0.04</v>
      </c>
      <c r="H15">
        <v>0.04</v>
      </c>
      <c r="I15">
        <v>0.04</v>
      </c>
      <c r="J15">
        <v>0.04</v>
      </c>
      <c r="K15">
        <v>0.04</v>
      </c>
      <c r="L15">
        <v>0.04</v>
      </c>
      <c r="M15">
        <v>0.04</v>
      </c>
      <c r="N15">
        <v>0.04</v>
      </c>
      <c r="O15">
        <v>0.04</v>
      </c>
      <c r="P15">
        <v>0.04</v>
      </c>
      <c r="Q15">
        <v>0.04</v>
      </c>
      <c r="R15">
        <v>0.04</v>
      </c>
      <c r="T15" t="str">
        <v>Pengaduan Gangguan Berulang pada PLN Mobile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5.2714812862414339E-3</v>
      </c>
      <c r="AI15" t="str">
        <f t="shared" si="34"/>
        <v>Pengaduan Gangguan Berulang pada PLN Mobile</v>
      </c>
      <c r="AK15" s="618">
        <f t="shared" ref="AK15" si="105">IFERROR(IF((2-(V15/G15))*100&gt;110,110,(2-(V15/G15))*100),100)</f>
        <v>110</v>
      </c>
      <c r="AL15" s="618">
        <f t="shared" ref="AL15" si="106">IFERROR(IF((2-(W15/H15))*100&gt;110,110,(2-(W15/H15))*100),100)</f>
        <v>110</v>
      </c>
      <c r="AM15" s="618">
        <f t="shared" ref="AM15" si="107">IFERROR(IF((2-(X15/I15))*100&gt;110,110,(2-(X15/I15))*100),100)</f>
        <v>110</v>
      </c>
      <c r="AN15" s="618">
        <f t="shared" ref="AN15" si="108">IFERROR(IF((2-(Y15/J15))*100&gt;110,110,(2-(Y15/J15))*100),100)</f>
        <v>110</v>
      </c>
      <c r="AO15" s="618">
        <f t="shared" ref="AO15" si="109">IFERROR(IF((2-(Z15/K15))*100&gt;110,110,(2-(Z15/K15))*100),100)</f>
        <v>110</v>
      </c>
      <c r="AP15" s="618">
        <f t="shared" ref="AP15" si="110">IFERROR(IF((2-(AA15/L15))*100&gt;110,110,(2-(AA15/L15))*100),100)</f>
        <v>110</v>
      </c>
      <c r="AQ15" s="618">
        <f t="shared" ref="AQ15" si="111">IFERROR(IF((2-(AB15/M15))*100&gt;110,110,(2-(AB15/M15))*100),100)</f>
        <v>110</v>
      </c>
      <c r="AR15" s="618">
        <f t="shared" ref="AR15" si="112">IFERROR(IF((2-(AC15/N15))*100&gt;110,110,(2-(AC15/N15))*100),100)</f>
        <v>110</v>
      </c>
      <c r="AS15" s="618">
        <f t="shared" ref="AS15" si="113">IFERROR(IF((2-(AD15/O15))*100&gt;110,110,(2-(AD15/O15))*100),100)</f>
        <v>110</v>
      </c>
      <c r="AT15" s="618">
        <f t="shared" ref="AT15" si="114">IFERROR(IF((2-(AE15/P15))*100&gt;110,110,(2-(AE15/P15))*100),100)</f>
        <v>110</v>
      </c>
      <c r="AU15" s="618">
        <f t="shared" ref="AU15" si="115">IFERROR(IF((2-(AF15/Q15))*100&gt;110,110,(2-(AF15/Q15))*100),100)</f>
        <v>110</v>
      </c>
      <c r="AV15" s="618">
        <f t="shared" ref="AV15" si="116">IFERROR(IF((2-(AG15/R15))*100&gt;110,110,(2-(AG15/R15))*100),100)</f>
        <v>110</v>
      </c>
      <c r="AW15" s="621"/>
      <c r="AX15" t="str">
        <f t="shared" si="36"/>
        <v>Pengaduan Gangguan Berulang pada PLN Mobile</v>
      </c>
      <c r="AY15" s="105" t="s">
        <v>458</v>
      </c>
      <c r="AZ15" s="620">
        <f t="shared" ref="AZ15:AZ17" si="117">6/4</f>
        <v>1.5</v>
      </c>
      <c r="BA15" s="618">
        <f t="shared" si="50"/>
        <v>1.65</v>
      </c>
      <c r="BB15" s="618">
        <f t="shared" si="37"/>
        <v>1.65</v>
      </c>
      <c r="BC15" s="618">
        <f t="shared" si="38"/>
        <v>1.65</v>
      </c>
      <c r="BD15" s="618">
        <f t="shared" si="39"/>
        <v>1.65</v>
      </c>
      <c r="BE15" s="618">
        <f t="shared" si="40"/>
        <v>1.65</v>
      </c>
      <c r="BF15" s="618">
        <f t="shared" si="41"/>
        <v>1.65</v>
      </c>
      <c r="BG15" s="618">
        <f t="shared" si="42"/>
        <v>1.65</v>
      </c>
      <c r="BH15" s="618">
        <f t="shared" si="43"/>
        <v>1.65</v>
      </c>
      <c r="BI15" s="618">
        <f t="shared" si="44"/>
        <v>1.65</v>
      </c>
      <c r="BJ15" s="618">
        <f t="shared" si="45"/>
        <v>1.65</v>
      </c>
      <c r="BK15" s="618">
        <f t="shared" si="46"/>
        <v>1.65</v>
      </c>
      <c r="BL15" s="618">
        <f t="shared" si="47"/>
        <v>1.65</v>
      </c>
      <c r="BM15" s="621"/>
      <c r="BN15" s="621"/>
      <c r="BO15" s="143"/>
      <c r="BQ15" s="622" cm="1">
        <f t="array" ref="BQ15">INDEX(AK15:AV15,MATCH(MONTH($BP$3),MONTH($AK$3:$AV$3),0))</f>
        <v>110</v>
      </c>
      <c r="BR15" t="str">
        <v>Pengaduan Gangguan Berulang pada PLN Mobile</v>
      </c>
      <c r="BS15" s="621">
        <v>110</v>
      </c>
      <c r="BT15" s="621" t="str">
        <f t="shared" si="48"/>
        <v/>
      </c>
      <c r="BU15" s="621" t="str">
        <v/>
      </c>
      <c r="BV15" s="618">
        <f t="shared" si="51"/>
        <v>1.1000000000000001</v>
      </c>
      <c r="BX15" s="194" t="str">
        <v>Penambahan Jumlah Pelanggan</v>
      </c>
      <c r="BY15" s="618" t="e">
        <f t="shared" si="99"/>
        <v>#N/A</v>
      </c>
      <c r="BZ15" s="618">
        <f t="shared" si="100"/>
        <v>55.444901493829832</v>
      </c>
      <c r="CA15" s="625">
        <f t="shared" si="101"/>
        <v>55.444901493829832</v>
      </c>
      <c r="CB15" s="626">
        <f t="shared" si="102"/>
        <v>44.555098506170168</v>
      </c>
      <c r="CC15" s="105">
        <f t="shared" si="103"/>
        <v>2</v>
      </c>
      <c r="CD15" s="626">
        <f t="shared" si="104"/>
        <v>0.89110197012340331</v>
      </c>
    </row>
    <row r="16" spans="1:85">
      <c r="A16" t="str">
        <v>c. Rating PLN Mobile</v>
      </c>
      <c r="B16">
        <v>2</v>
      </c>
      <c r="C16" t="str">
        <v>Rating PLN Mobile</v>
      </c>
      <c r="D16" s="105" t="s">
        <v>462</v>
      </c>
      <c r="E16" t="str">
        <v>Rating PLN Mobile</v>
      </c>
      <c r="G16">
        <v>4.9000000000000004</v>
      </c>
      <c r="H16">
        <v>4.9000000000000004</v>
      </c>
      <c r="I16">
        <v>4.9000000000000004</v>
      </c>
      <c r="J16">
        <v>4.9000000000000004</v>
      </c>
      <c r="K16">
        <v>4.9000000000000004</v>
      </c>
      <c r="L16">
        <v>4.9000000000000004</v>
      </c>
      <c r="M16">
        <v>4.9000000000000004</v>
      </c>
      <c r="N16">
        <v>4.9000000000000004</v>
      </c>
      <c r="O16">
        <v>4.9000000000000004</v>
      </c>
      <c r="P16">
        <v>4.9000000000000004</v>
      </c>
      <c r="Q16">
        <v>4.9000000000000004</v>
      </c>
      <c r="R16">
        <v>4.9000000000000004</v>
      </c>
      <c r="T16" t="str">
        <v>Rating PLN Mobile</v>
      </c>
      <c r="V16">
        <v>4.91</v>
      </c>
      <c r="W16">
        <v>4.91</v>
      </c>
      <c r="X16">
        <v>4.91</v>
      </c>
      <c r="Y16">
        <v>4.91</v>
      </c>
      <c r="Z16">
        <v>4.9000000000000004</v>
      </c>
      <c r="AA16">
        <v>4.9000000000000004</v>
      </c>
      <c r="AB16">
        <v>4.9000000000000004</v>
      </c>
      <c r="AC16">
        <v>4.9000000000000004</v>
      </c>
      <c r="AD16">
        <v>4.9000000000000004</v>
      </c>
      <c r="AE16">
        <v>4.9000000000000004</v>
      </c>
      <c r="AF16">
        <v>4.9000000000000004</v>
      </c>
      <c r="AG16">
        <v>4.9000000000000004</v>
      </c>
      <c r="AI16" t="str">
        <f t="shared" si="34"/>
        <v>Rating PLN Mobile</v>
      </c>
      <c r="AK16" s="618">
        <f t="shared" ref="AK16:AV16" si="118">IF(V16/G16*100&gt;110,110,V16/G16*100)</f>
        <v>100.20408163265306</v>
      </c>
      <c r="AL16" s="618">
        <f t="shared" si="118"/>
        <v>100.20408163265306</v>
      </c>
      <c r="AM16" s="618">
        <f t="shared" si="118"/>
        <v>100.20408163265306</v>
      </c>
      <c r="AN16" s="618">
        <f t="shared" si="118"/>
        <v>100.20408163265306</v>
      </c>
      <c r="AO16" s="618">
        <f t="shared" si="118"/>
        <v>100</v>
      </c>
      <c r="AP16" s="618">
        <f t="shared" si="118"/>
        <v>100</v>
      </c>
      <c r="AQ16" s="618">
        <f t="shared" si="118"/>
        <v>100</v>
      </c>
      <c r="AR16" s="618">
        <f t="shared" si="118"/>
        <v>100</v>
      </c>
      <c r="AS16" s="618">
        <f t="shared" si="118"/>
        <v>100</v>
      </c>
      <c r="AT16" s="618">
        <f t="shared" si="118"/>
        <v>100</v>
      </c>
      <c r="AU16" s="618">
        <f t="shared" si="118"/>
        <v>100</v>
      </c>
      <c r="AV16" s="618">
        <f t="shared" si="118"/>
        <v>100</v>
      </c>
      <c r="AW16" s="621"/>
      <c r="AX16" t="str">
        <f t="shared" si="36"/>
        <v>Rating PLN Mobile</v>
      </c>
      <c r="AY16" s="105" t="s">
        <v>458</v>
      </c>
      <c r="AZ16" s="620">
        <f t="shared" si="117"/>
        <v>1.5</v>
      </c>
      <c r="BA16" s="618">
        <f t="shared" si="50"/>
        <v>1.5</v>
      </c>
      <c r="BB16" s="618">
        <f t="shared" si="37"/>
        <v>1.5</v>
      </c>
      <c r="BC16" s="618">
        <f t="shared" si="38"/>
        <v>1.5</v>
      </c>
      <c r="BD16" s="618">
        <f t="shared" si="39"/>
        <v>1.5</v>
      </c>
      <c r="BE16" s="618">
        <f t="shared" si="40"/>
        <v>1.5</v>
      </c>
      <c r="BF16" s="618">
        <f t="shared" si="41"/>
        <v>1.5</v>
      </c>
      <c r="BG16" s="618">
        <f t="shared" si="42"/>
        <v>1.5</v>
      </c>
      <c r="BH16" s="618">
        <f t="shared" si="43"/>
        <v>1.5</v>
      </c>
      <c r="BI16" s="618">
        <f t="shared" si="44"/>
        <v>1.5</v>
      </c>
      <c r="BJ16" s="618">
        <f t="shared" si="45"/>
        <v>1.5</v>
      </c>
      <c r="BK16" s="618">
        <f t="shared" si="46"/>
        <v>1.5</v>
      </c>
      <c r="BL16" s="618">
        <f t="shared" si="47"/>
        <v>1.5</v>
      </c>
      <c r="BM16" s="621"/>
      <c r="BN16" s="621"/>
      <c r="BO16" s="143"/>
      <c r="BQ16" s="622" cm="1">
        <f t="array" ref="BQ16">INDEX(AK16:AV16,MATCH(MONTH($BP$3),MONTH($AK$3:$AV$3),0))</f>
        <v>100</v>
      </c>
      <c r="BR16" t="str">
        <v>Rating PLN Mobile</v>
      </c>
      <c r="BS16" s="621">
        <v>100</v>
      </c>
      <c r="BT16" s="621" t="str">
        <f t="shared" si="48"/>
        <v/>
      </c>
      <c r="BU16" s="621" t="str">
        <v/>
      </c>
      <c r="BV16" s="618">
        <f t="shared" si="51"/>
        <v>1</v>
      </c>
      <c r="BX16" s="194" t="str">
        <v>Jumlah Penambahan Pelanggan Produk Tematik</v>
      </c>
      <c r="BY16" s="618" t="e">
        <f t="shared" si="99"/>
        <v>#N/A</v>
      </c>
      <c r="BZ16" s="618">
        <f t="shared" si="100"/>
        <v>84.5</v>
      </c>
      <c r="CA16" s="625">
        <f t="shared" si="101"/>
        <v>84.5</v>
      </c>
      <c r="CB16" s="626">
        <f t="shared" si="102"/>
        <v>15.5</v>
      </c>
      <c r="CC16" s="105">
        <f t="shared" si="103"/>
        <v>1.5</v>
      </c>
      <c r="CD16" s="626">
        <f t="shared" si="104"/>
        <v>0.23249999999999998</v>
      </c>
    </row>
    <row r="17" spans="1:82">
      <c r="A17" t="str">
        <v>d. Jumlah Kali Transaksi Keuangan melalui PLN Mobile</v>
      </c>
      <c r="B17">
        <v>2</v>
      </c>
      <c r="C17" t="str">
        <v>Jumlah Kali Transaksi Keuangan melalui PLN Mobile</v>
      </c>
      <c r="D17" s="105" t="s">
        <v>462</v>
      </c>
      <c r="E17" t="str">
        <v>Jumlah Kali Transaksi Keuangan melalui PLN Mobile</v>
      </c>
      <c r="G17">
        <v>5386</v>
      </c>
      <c r="H17">
        <v>10253</v>
      </c>
      <c r="I17">
        <v>15641</v>
      </c>
      <c r="J17">
        <v>20855</v>
      </c>
      <c r="K17">
        <v>26242</v>
      </c>
      <c r="L17">
        <v>31455</v>
      </c>
      <c r="M17">
        <v>36754</v>
      </c>
      <c r="N17">
        <v>42054</v>
      </c>
      <c r="O17">
        <v>47183</v>
      </c>
      <c r="P17">
        <v>52481</v>
      </c>
      <c r="Q17">
        <v>57609</v>
      </c>
      <c r="R17">
        <v>62908</v>
      </c>
      <c r="T17" t="str">
        <v>Jumlah Kali Transaksi Keuangan melalui PLN Mobile</v>
      </c>
      <c r="V17">
        <v>2781</v>
      </c>
      <c r="W17">
        <v>6163</v>
      </c>
      <c r="X17">
        <v>16349</v>
      </c>
      <c r="Y17">
        <v>26667</v>
      </c>
      <c r="Z17">
        <v>36549</v>
      </c>
      <c r="AA17">
        <v>45061</v>
      </c>
      <c r="AB17">
        <v>53566</v>
      </c>
      <c r="AC17">
        <v>60672</v>
      </c>
      <c r="AD17">
        <v>68090</v>
      </c>
      <c r="AE17">
        <v>0</v>
      </c>
      <c r="AF17">
        <v>0</v>
      </c>
      <c r="AG17">
        <v>0</v>
      </c>
      <c r="AI17" t="str">
        <f t="shared" si="34"/>
        <v>Jumlah Kali Transaksi Keuangan melalui PLN Mobile</v>
      </c>
      <c r="AK17" s="618">
        <f t="shared" ref="AK17" si="119">IF(V17/G17*100&gt;110,110,V17/G17*100)</f>
        <v>51.633865577422945</v>
      </c>
      <c r="AL17" s="618">
        <f t="shared" ref="AL17" si="120">IF(W17/H17*100&gt;110,110,W17/H17*100)</f>
        <v>60.10923632107675</v>
      </c>
      <c r="AM17" s="618">
        <f t="shared" ref="AM17" si="121">IF(X17/I17*100&gt;110,110,X17/I17*100)</f>
        <v>104.52656479764721</v>
      </c>
      <c r="AN17" s="618">
        <f t="shared" ref="AN17" si="122">IF(Y17/J17*100&gt;110,110,Y17/J17*100)</f>
        <v>110</v>
      </c>
      <c r="AO17" s="618">
        <f t="shared" ref="AO17" si="123">IF(Z17/K17*100&gt;110,110,Z17/K17*100)</f>
        <v>110</v>
      </c>
      <c r="AP17" s="618">
        <f t="shared" ref="AP17" si="124">IF(AA17/L17*100&gt;110,110,AA17/L17*100)</f>
        <v>110</v>
      </c>
      <c r="AQ17" s="618">
        <f t="shared" ref="AQ17" si="125">IF(AB17/M17*100&gt;110,110,AB17/M17*100)</f>
        <v>110</v>
      </c>
      <c r="AR17" s="618">
        <f t="shared" ref="AR17" si="126">IF(AC17/N17*100&gt;110,110,AC17/N17*100)</f>
        <v>110</v>
      </c>
      <c r="AS17" s="618">
        <f t="shared" ref="AS17" si="127">IF(AD17/O17*100&gt;110,110,AD17/O17*100)</f>
        <v>110</v>
      </c>
      <c r="AT17" s="618">
        <f t="shared" ref="AT17" si="128">IF(AE17/P17*100&gt;110,110,AE17/P17*100)</f>
        <v>0</v>
      </c>
      <c r="AU17" s="618">
        <f t="shared" ref="AU17" si="129">IF(AF17/Q17*100&gt;110,110,AF17/Q17*100)</f>
        <v>0</v>
      </c>
      <c r="AV17" s="618">
        <f t="shared" ref="AV17" si="130">IF(AG17/R17*100&gt;110,110,AG17/R17*100)</f>
        <v>0</v>
      </c>
      <c r="AW17" s="621"/>
      <c r="AX17" t="str">
        <f t="shared" si="36"/>
        <v>Jumlah Kali Transaksi Keuangan melalui PLN Mobile</v>
      </c>
      <c r="AY17" s="105" t="s">
        <v>458</v>
      </c>
      <c r="AZ17" s="620">
        <f t="shared" si="117"/>
        <v>1.5</v>
      </c>
      <c r="BA17" s="618">
        <f t="shared" si="50"/>
        <v>0.77</v>
      </c>
      <c r="BB17" s="618">
        <f t="shared" si="37"/>
        <v>0.9</v>
      </c>
      <c r="BC17" s="618">
        <f t="shared" si="38"/>
        <v>1.56</v>
      </c>
      <c r="BD17" s="618">
        <f t="shared" si="39"/>
        <v>1.65</v>
      </c>
      <c r="BE17" s="618">
        <f t="shared" si="40"/>
        <v>1.65</v>
      </c>
      <c r="BF17" s="618">
        <f t="shared" si="41"/>
        <v>1.65</v>
      </c>
      <c r="BG17" s="618">
        <f t="shared" si="42"/>
        <v>1.65</v>
      </c>
      <c r="BH17" s="618">
        <f t="shared" si="43"/>
        <v>1.65</v>
      </c>
      <c r="BI17" s="618">
        <f t="shared" si="44"/>
        <v>1.65</v>
      </c>
      <c r="BJ17" s="618">
        <f t="shared" si="45"/>
        <v>0</v>
      </c>
      <c r="BK17" s="618">
        <f t="shared" si="46"/>
        <v>0</v>
      </c>
      <c r="BL17" s="618">
        <f t="shared" si="47"/>
        <v>0</v>
      </c>
      <c r="BM17" s="621"/>
      <c r="BN17" s="621"/>
      <c r="BO17" s="143"/>
      <c r="BQ17" s="622" cm="1">
        <f t="array" ref="BQ17">INDEX(AK17:AV17,MATCH(MONTH($BP$3),MONTH($AK$3:$AV$3),0))</f>
        <v>110</v>
      </c>
      <c r="BR17" t="str">
        <v>Jumlah Kali Transaksi Keuangan melalui PLN Mobile</v>
      </c>
      <c r="BS17" s="621">
        <v>110</v>
      </c>
      <c r="BT17" s="621" t="str">
        <f t="shared" si="48"/>
        <v/>
      </c>
      <c r="BU17" s="621" t="str">
        <v/>
      </c>
      <c r="BV17" s="618">
        <f t="shared" si="51"/>
        <v>1.1000000000000001</v>
      </c>
      <c r="BX17" s="194" t="str">
        <v>Pencapaian Saldo Rata-Rata Akhir Bulan diluar Konsumen Instansi (Kementerian &amp; Lembaga)</v>
      </c>
      <c r="BY17" s="618" t="e">
        <f t="shared" si="99"/>
        <v>#N/A</v>
      </c>
      <c r="BZ17" s="618">
        <f t="shared" si="100"/>
        <v>35.092020470185467</v>
      </c>
      <c r="CA17" s="625">
        <f t="shared" si="101"/>
        <v>35.092020470185467</v>
      </c>
      <c r="CB17" s="626">
        <f t="shared" si="102"/>
        <v>64.907979529814526</v>
      </c>
      <c r="CC17" s="105">
        <f t="shared" si="103"/>
        <v>2</v>
      </c>
      <c r="CD17" s="626">
        <f t="shared" si="104"/>
        <v>1.2981595905962906</v>
      </c>
    </row>
    <row r="18" spans="1:82">
      <c r="A18" t="str">
        <v>a. Response Time atas Gangguan (diluar Clear Tamper)</v>
      </c>
      <c r="B18">
        <v>2</v>
      </c>
      <c r="C18" t="str">
        <v>Response Time atas Gangguan (diluar Clear Tamper)</v>
      </c>
      <c r="D18" s="105" t="s">
        <v>462</v>
      </c>
      <c r="E18" t="str">
        <v>Response Time atas Gangguan (diluar Clear Tamper)</v>
      </c>
      <c r="G18">
        <v>30</v>
      </c>
      <c r="H18">
        <v>30</v>
      </c>
      <c r="I18">
        <v>30</v>
      </c>
      <c r="J18">
        <v>30</v>
      </c>
      <c r="K18">
        <v>30</v>
      </c>
      <c r="L18">
        <v>30</v>
      </c>
      <c r="M18">
        <v>30</v>
      </c>
      <c r="N18">
        <v>30</v>
      </c>
      <c r="O18">
        <v>30</v>
      </c>
      <c r="P18">
        <v>30</v>
      </c>
      <c r="Q18">
        <v>30</v>
      </c>
      <c r="R18">
        <v>30</v>
      </c>
      <c r="T18" t="str">
        <v>Response Time atas Gangguan (diluar Clear Tamper)</v>
      </c>
      <c r="V18">
        <v>8.1972562755399867</v>
      </c>
      <c r="W18">
        <v>8.1895472049853559</v>
      </c>
      <c r="X18">
        <v>8.1517234042283491</v>
      </c>
      <c r="Y18">
        <v>8.1290916049582798</v>
      </c>
      <c r="Z18">
        <v>9.2132732839666236</v>
      </c>
      <c r="AA18">
        <v>9.3707533111591559</v>
      </c>
      <c r="AB18">
        <v>9.4832390448681085</v>
      </c>
      <c r="AC18">
        <v>9.7132346993555974</v>
      </c>
      <c r="AD18">
        <v>9.9645423134519469</v>
      </c>
      <c r="AE18">
        <v>9.9645423134519469</v>
      </c>
      <c r="AF18">
        <v>9.9645423134519469</v>
      </c>
      <c r="AG18">
        <v>9.9645423134519469</v>
      </c>
      <c r="AI18" t="str">
        <f t="shared" si="34"/>
        <v>Response Time atas Gangguan (diluar Clear Tamper)</v>
      </c>
      <c r="AK18" s="618">
        <f t="shared" ref="AK18" si="131">IFERROR(IF((2-(V18/G18))*100&gt;110,110,(2-(V18/G18))*100),100)</f>
        <v>110</v>
      </c>
      <c r="AL18" s="618">
        <f t="shared" ref="AL18" si="132">IFERROR(IF((2-(W18/H18))*100&gt;110,110,(2-(W18/H18))*100),100)</f>
        <v>110</v>
      </c>
      <c r="AM18" s="618">
        <f t="shared" ref="AM18" si="133">IFERROR(IF((2-(X18/I18))*100&gt;110,110,(2-(X18/I18))*100),100)</f>
        <v>110</v>
      </c>
      <c r="AN18" s="618">
        <f t="shared" ref="AN18" si="134">IFERROR(IF((2-(Y18/J18))*100&gt;110,110,(2-(Y18/J18))*100),100)</f>
        <v>110</v>
      </c>
      <c r="AO18" s="618">
        <f t="shared" ref="AO18" si="135">IFERROR(IF((2-(Z18/K18))*100&gt;110,110,(2-(Z18/K18))*100),100)</f>
        <v>110</v>
      </c>
      <c r="AP18" s="618">
        <f t="shared" ref="AP18" si="136">IFERROR(IF((2-(AA18/L18))*100&gt;110,110,(2-(AA18/L18))*100),100)</f>
        <v>110</v>
      </c>
      <c r="AQ18" s="618">
        <f t="shared" ref="AQ18" si="137">IFERROR(IF((2-(AB18/M18))*100&gt;110,110,(2-(AB18/M18))*100),100)</f>
        <v>110</v>
      </c>
      <c r="AR18" s="618">
        <f t="shared" ref="AR18" si="138">IFERROR(IF((2-(AC18/N18))*100&gt;110,110,(2-(AC18/N18))*100),100)</f>
        <v>110</v>
      </c>
      <c r="AS18" s="618">
        <f t="shared" ref="AS18" si="139">IFERROR(IF((2-(AD18/O18))*100&gt;110,110,(2-(AD18/O18))*100),100)</f>
        <v>110</v>
      </c>
      <c r="AT18" s="618">
        <f t="shared" ref="AT18" si="140">IFERROR(IF((2-(AE18/P18))*100&gt;110,110,(2-(AE18/P18))*100),100)</f>
        <v>110</v>
      </c>
      <c r="AU18" s="618">
        <f t="shared" ref="AU18" si="141">IFERROR(IF((2-(AF18/Q18))*100&gt;110,110,(2-(AF18/Q18))*100),100)</f>
        <v>110</v>
      </c>
      <c r="AV18" s="618">
        <f t="shared" ref="AV18" si="142">IFERROR(IF((2-(AG18/R18))*100&gt;110,110,(2-(AG18/R18))*100),100)</f>
        <v>110</v>
      </c>
      <c r="AW18" s="621"/>
      <c r="AX18" t="str">
        <f t="shared" si="36"/>
        <v>Response Time atas Gangguan (diluar Clear Tamper)</v>
      </c>
      <c r="AY18" s="105" t="s">
        <v>458</v>
      </c>
      <c r="AZ18" s="620">
        <f>3/2</f>
        <v>1.5</v>
      </c>
      <c r="BA18" s="618">
        <f t="shared" si="50"/>
        <v>1.65</v>
      </c>
      <c r="BB18" s="618">
        <f t="shared" si="37"/>
        <v>1.65</v>
      </c>
      <c r="BC18" s="618">
        <f t="shared" si="38"/>
        <v>1.65</v>
      </c>
      <c r="BD18" s="618">
        <f t="shared" si="39"/>
        <v>1.65</v>
      </c>
      <c r="BE18" s="618">
        <f t="shared" si="40"/>
        <v>1.65</v>
      </c>
      <c r="BF18" s="618">
        <f t="shared" si="41"/>
        <v>1.65</v>
      </c>
      <c r="BG18" s="618">
        <f t="shared" si="42"/>
        <v>1.65</v>
      </c>
      <c r="BH18" s="618">
        <f t="shared" si="43"/>
        <v>1.65</v>
      </c>
      <c r="BI18" s="618">
        <f t="shared" si="44"/>
        <v>1.65</v>
      </c>
      <c r="BJ18" s="618">
        <f t="shared" si="45"/>
        <v>1.65</v>
      </c>
      <c r="BK18" s="618">
        <f t="shared" si="46"/>
        <v>1.65</v>
      </c>
      <c r="BL18" s="618">
        <f t="shared" si="47"/>
        <v>1.65</v>
      </c>
      <c r="BM18" s="621"/>
      <c r="BN18" s="621"/>
      <c r="BO18" s="143"/>
      <c r="BQ18" s="622" cm="1">
        <f t="array" ref="BQ18">INDEX(AK18:AV18,MATCH(MONTH($BP$3),MONTH($AK$3:$AV$3),0))</f>
        <v>110</v>
      </c>
      <c r="BR18" t="str">
        <v>Response Time atas Gangguan (diluar Clear Tamper)</v>
      </c>
      <c r="BS18" s="621">
        <v>110</v>
      </c>
      <c r="BT18" s="621" t="str">
        <f t="shared" si="48"/>
        <v/>
      </c>
      <c r="BU18" s="621" t="str">
        <v/>
      </c>
      <c r="BV18" s="618">
        <f t="shared" si="51"/>
        <v>1.1000000000000001</v>
      </c>
      <c r="BX18" s="194" t="str">
        <v>Produktivitas Unit</v>
      </c>
      <c r="BY18" s="618" t="e">
        <f t="shared" si="99"/>
        <v>#N/A</v>
      </c>
      <c r="BZ18" s="618">
        <f t="shared" si="100"/>
        <v>90</v>
      </c>
      <c r="CA18" s="625">
        <f t="shared" si="101"/>
        <v>90</v>
      </c>
      <c r="CB18" s="626">
        <f t="shared" si="102"/>
        <v>10</v>
      </c>
      <c r="CC18" s="105">
        <f t="shared" si="103"/>
        <v>1</v>
      </c>
      <c r="CD18" s="626">
        <f t="shared" si="104"/>
        <v>0.1</v>
      </c>
    </row>
    <row r="19" spans="1:82">
      <c r="A19" t="str">
        <v>b. Success Rate Auto Dispatch Gangguan Individual (diluar Clear Tamper)</v>
      </c>
      <c r="B19">
        <v>2</v>
      </c>
      <c r="C19" t="str">
        <v>Success Rate Auto Dispatch Gangguan Individual (diluar Clear Tamper)</v>
      </c>
      <c r="D19" s="105" t="s">
        <v>462</v>
      </c>
      <c r="E19" t="str">
        <v>Success Rate Auto Dispatch Gangguan Individual (diluar Clear Tamper)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T19" t="str">
        <v>Success Rate Auto Dispatch Gangguan Individual (diluar Clear Tamper)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I19" t="str">
        <f t="shared" si="34"/>
        <v>Success Rate Auto Dispatch Gangguan Individual (diluar Clear Tamper)</v>
      </c>
      <c r="AK19" s="618">
        <f t="shared" ref="AK19:AK30" si="143">IFERROR(IF(V19/G19*100&gt;110,110,V19/G19*100),100)</f>
        <v>100</v>
      </c>
      <c r="AL19" s="618">
        <f t="shared" ref="AL19:AV19" si="144">IFERROR(IF(W19/H19*100&gt;110,110,W19/H19*100),100)</f>
        <v>100</v>
      </c>
      <c r="AM19" s="618">
        <f t="shared" si="144"/>
        <v>100</v>
      </c>
      <c r="AN19" s="618">
        <f t="shared" si="144"/>
        <v>100</v>
      </c>
      <c r="AO19" s="618">
        <f t="shared" si="144"/>
        <v>100</v>
      </c>
      <c r="AP19" s="618">
        <f t="shared" si="144"/>
        <v>100</v>
      </c>
      <c r="AQ19" s="618">
        <f t="shared" si="144"/>
        <v>100</v>
      </c>
      <c r="AR19" s="618">
        <f t="shared" si="144"/>
        <v>100</v>
      </c>
      <c r="AS19" s="618">
        <f t="shared" si="144"/>
        <v>100</v>
      </c>
      <c r="AT19" s="618">
        <f t="shared" si="144"/>
        <v>100</v>
      </c>
      <c r="AU19" s="618">
        <f t="shared" si="144"/>
        <v>100</v>
      </c>
      <c r="AV19" s="618">
        <f t="shared" si="144"/>
        <v>100</v>
      </c>
      <c r="AW19" s="621"/>
      <c r="AX19" t="str">
        <f t="shared" si="36"/>
        <v>Success Rate Auto Dispatch Gangguan Individual (diluar Clear Tamper)</v>
      </c>
      <c r="AY19" s="105" t="s">
        <v>458</v>
      </c>
      <c r="AZ19" s="620">
        <f>3/2</f>
        <v>1.5</v>
      </c>
      <c r="BA19" s="618">
        <f t="shared" si="50"/>
        <v>1.5</v>
      </c>
      <c r="BB19" s="618">
        <f t="shared" si="37"/>
        <v>1.5</v>
      </c>
      <c r="BC19" s="618">
        <f t="shared" si="38"/>
        <v>1.5</v>
      </c>
      <c r="BD19" s="618">
        <f t="shared" si="39"/>
        <v>1.5</v>
      </c>
      <c r="BE19" s="618">
        <f t="shared" si="40"/>
        <v>1.5</v>
      </c>
      <c r="BF19" s="618">
        <f t="shared" si="41"/>
        <v>1.5</v>
      </c>
      <c r="BG19" s="618">
        <f t="shared" si="42"/>
        <v>1.5</v>
      </c>
      <c r="BH19" s="618">
        <f t="shared" si="43"/>
        <v>1.5</v>
      </c>
      <c r="BI19" s="618">
        <f t="shared" si="44"/>
        <v>1.5</v>
      </c>
      <c r="BJ19" s="618">
        <f t="shared" si="45"/>
        <v>1.5</v>
      </c>
      <c r="BK19" s="618">
        <f t="shared" si="46"/>
        <v>1.5</v>
      </c>
      <c r="BL19" s="618">
        <f t="shared" si="47"/>
        <v>1.5</v>
      </c>
      <c r="BM19" s="621"/>
      <c r="BN19" s="621"/>
      <c r="BO19" s="143"/>
      <c r="BQ19" s="622" cm="1">
        <f t="array" ref="BQ19">INDEX(AK19:AV19,MATCH(MONTH($BP$3),MONTH($AK$3:$AV$3),0))</f>
        <v>100</v>
      </c>
      <c r="BR19" t="str">
        <v>Success Rate Auto Dispatch Gangguan Individual (diluar Clear Tamper)</v>
      </c>
      <c r="BS19" s="621">
        <v>100</v>
      </c>
      <c r="BT19" s="621" t="str">
        <f t="shared" si="48"/>
        <v/>
      </c>
      <c r="BU19" s="621" t="str">
        <v/>
      </c>
      <c r="BV19" s="618">
        <f t="shared" si="51"/>
        <v>1</v>
      </c>
      <c r="BY19" s="618" t="e">
        <f t="shared" si="99"/>
        <v>#N/A</v>
      </c>
      <c r="BZ19" s="618" t="e">
        <f t="shared" si="100"/>
        <v>#N/A</v>
      </c>
      <c r="CA19" s="625" t="e">
        <f t="shared" si="101"/>
        <v>#N/A</v>
      </c>
      <c r="CB19" s="626" t="e">
        <f t="shared" si="102"/>
        <v>#N/A</v>
      </c>
      <c r="CC19" s="105" t="e">
        <f t="shared" si="103"/>
        <v>#N/A</v>
      </c>
      <c r="CD19" s="626" t="e">
        <f t="shared" si="104"/>
        <v>#N/A</v>
      </c>
    </row>
    <row r="20" spans="1:82">
      <c r="A20" t="str">
        <v>a. Recovery Time Gangguan Meluas TM</v>
      </c>
      <c r="B20">
        <v>2</v>
      </c>
      <c r="C20" t="str">
        <v>Recovery Time Gangguan Meluas TM</v>
      </c>
      <c r="D20" s="105" t="s">
        <v>462</v>
      </c>
      <c r="E20" t="str">
        <v>Recovery Time Gangguan Meluas TM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T20" t="str">
        <v>Recovery Time Gangguan Meluas TM</v>
      </c>
      <c r="V20">
        <v>92.25</v>
      </c>
      <c r="W20">
        <v>90.5</v>
      </c>
      <c r="X20">
        <v>110</v>
      </c>
      <c r="Y20">
        <v>110</v>
      </c>
      <c r="Z20">
        <v>110</v>
      </c>
      <c r="AA20">
        <v>110</v>
      </c>
      <c r="AB20">
        <v>110</v>
      </c>
      <c r="AC20">
        <v>110</v>
      </c>
      <c r="AD20">
        <v>110</v>
      </c>
      <c r="AE20">
        <v>0</v>
      </c>
      <c r="AF20">
        <v>0</v>
      </c>
      <c r="AG20">
        <v>0</v>
      </c>
      <c r="AI20" t="str">
        <f t="shared" si="34"/>
        <v>Recovery Time Gangguan Meluas TM</v>
      </c>
      <c r="AK20" s="618">
        <f t="shared" si="143"/>
        <v>92.25</v>
      </c>
      <c r="AL20" s="618">
        <f t="shared" ref="AL20" si="145">IFERROR(IF(W20/H20*100&gt;110,110,W20/H20*100),100)</f>
        <v>90.5</v>
      </c>
      <c r="AM20" s="618">
        <f t="shared" ref="AM20" si="146">IFERROR(IF(X20/I20*100&gt;110,110,X20/I20*100),100)</f>
        <v>110.00000000000001</v>
      </c>
      <c r="AN20" s="618">
        <f t="shared" ref="AN20" si="147">IFERROR(IF(Y20/J20*100&gt;110,110,Y20/J20*100),100)</f>
        <v>110.00000000000001</v>
      </c>
      <c r="AO20" s="618">
        <f t="shared" ref="AO20" si="148">IFERROR(IF(Z20/K20*100&gt;110,110,Z20/K20*100),100)</f>
        <v>110.00000000000001</v>
      </c>
      <c r="AP20" s="618">
        <f t="shared" ref="AP20" si="149">IFERROR(IF(AA20/L20*100&gt;110,110,AA20/L20*100),100)</f>
        <v>110.00000000000001</v>
      </c>
      <c r="AQ20" s="618">
        <f t="shared" ref="AQ20" si="150">IFERROR(IF(AB20/M20*100&gt;110,110,AB20/M20*100),100)</f>
        <v>110.00000000000001</v>
      </c>
      <c r="AR20" s="618">
        <f t="shared" ref="AR20" si="151">IFERROR(IF(AC20/N20*100&gt;110,110,AC20/N20*100),100)</f>
        <v>110.00000000000001</v>
      </c>
      <c r="AS20" s="618">
        <f t="shared" ref="AS20" si="152">IFERROR(IF(AD20/O20*100&gt;110,110,AD20/O20*100),100)</f>
        <v>110.00000000000001</v>
      </c>
      <c r="AT20" s="618">
        <f t="shared" ref="AT20" si="153">IFERROR(IF(AE20/P20*100&gt;110,110,AE20/P20*100),100)</f>
        <v>0</v>
      </c>
      <c r="AU20" s="618">
        <f t="shared" ref="AU20" si="154">IFERROR(IF(AF20/Q20*100&gt;110,110,AF20/Q20*100),100)</f>
        <v>0</v>
      </c>
      <c r="AV20" s="618">
        <f t="shared" ref="AV20" si="155">IFERROR(IF(AG20/R20*100&gt;110,110,AG20/R20*100),100)</f>
        <v>0</v>
      </c>
      <c r="AW20" s="621"/>
      <c r="AX20" t="str">
        <f t="shared" si="36"/>
        <v>Recovery Time Gangguan Meluas TM</v>
      </c>
      <c r="AY20" s="105" t="s">
        <v>458</v>
      </c>
      <c r="AZ20" s="620">
        <f>4/2</f>
        <v>2</v>
      </c>
      <c r="BA20" s="618">
        <f t="shared" si="50"/>
        <v>1.84</v>
      </c>
      <c r="BB20" s="618">
        <f t="shared" si="37"/>
        <v>1.81</v>
      </c>
      <c r="BC20" s="618">
        <f t="shared" si="38"/>
        <v>2.2000000000000002</v>
      </c>
      <c r="BD20" s="618">
        <f t="shared" si="39"/>
        <v>2.2000000000000002</v>
      </c>
      <c r="BE20" s="618">
        <f t="shared" si="40"/>
        <v>2.2000000000000002</v>
      </c>
      <c r="BF20" s="618">
        <f t="shared" si="41"/>
        <v>2.2000000000000002</v>
      </c>
      <c r="BG20" s="618">
        <f t="shared" si="42"/>
        <v>2.2000000000000002</v>
      </c>
      <c r="BH20" s="618">
        <f t="shared" si="43"/>
        <v>2.2000000000000002</v>
      </c>
      <c r="BI20" s="618">
        <f t="shared" si="44"/>
        <v>2.2000000000000002</v>
      </c>
      <c r="BJ20" s="618">
        <f t="shared" si="45"/>
        <v>0</v>
      </c>
      <c r="BK20" s="618">
        <f t="shared" si="46"/>
        <v>0</v>
      </c>
      <c r="BL20" s="618">
        <f t="shared" si="47"/>
        <v>0</v>
      </c>
      <c r="BM20" s="621"/>
      <c r="BN20" s="621"/>
      <c r="BO20" s="143"/>
      <c r="BQ20" s="622" cm="1">
        <f t="array" ref="BQ20">INDEX(AK20:AV20,MATCH(MONTH($BP$3),MONTH($AK$3:$AV$3),0))</f>
        <v>110.00000000000001</v>
      </c>
      <c r="BR20" t="str">
        <v>Recovery Time Gangguan Meluas TM</v>
      </c>
      <c r="BS20" s="621">
        <v>110.00000000000001</v>
      </c>
      <c r="BT20" s="621" t="str">
        <f t="shared" si="48"/>
        <v/>
      </c>
      <c r="BU20" s="621" t="str">
        <v/>
      </c>
      <c r="BV20" s="618">
        <f t="shared" si="51"/>
        <v>1.1000000000000001</v>
      </c>
      <c r="BY20" s="618" t="e">
        <f t="shared" si="99"/>
        <v>#N/A</v>
      </c>
      <c r="BZ20" s="618" t="e">
        <f t="shared" si="100"/>
        <v>#N/A</v>
      </c>
      <c r="CA20" s="625" t="e">
        <f t="shared" si="101"/>
        <v>#N/A</v>
      </c>
      <c r="CB20" s="626" t="e">
        <f t="shared" si="102"/>
        <v>#N/A</v>
      </c>
      <c r="CC20" s="105" t="e">
        <f t="shared" si="103"/>
        <v>#N/A</v>
      </c>
      <c r="CD20" s="626" t="e">
        <f t="shared" si="104"/>
        <v>#N/A</v>
      </c>
    </row>
    <row r="21" spans="1:82">
      <c r="A21" t="str">
        <v>b. Penormalan Siaga 1 Gangguan TM</v>
      </c>
      <c r="B21">
        <v>2</v>
      </c>
      <c r="C21" t="str">
        <v>Penormalan Siaga 1 Gangguan TM</v>
      </c>
      <c r="D21" s="105" t="s">
        <v>462</v>
      </c>
      <c r="E21" t="str">
        <v>Penormalan Siaga 1 Gangguan TM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T21" t="str">
        <v>Penormalan Siaga 1 Gangguan TM</v>
      </c>
      <c r="V21">
        <v>110</v>
      </c>
      <c r="W21">
        <v>110</v>
      </c>
      <c r="X21">
        <v>110</v>
      </c>
      <c r="Y21">
        <v>110</v>
      </c>
      <c r="Z21">
        <v>110</v>
      </c>
      <c r="AA21">
        <v>110</v>
      </c>
      <c r="AB21">
        <v>110</v>
      </c>
      <c r="AC21">
        <v>110</v>
      </c>
      <c r="AD21">
        <v>110</v>
      </c>
      <c r="AE21">
        <v>0</v>
      </c>
      <c r="AF21">
        <v>0</v>
      </c>
      <c r="AG21">
        <v>0</v>
      </c>
      <c r="AI21" t="str">
        <f t="shared" si="34"/>
        <v>Penormalan Siaga 1 Gangguan TM</v>
      </c>
      <c r="AK21" s="618">
        <f t="shared" si="143"/>
        <v>110.00000000000001</v>
      </c>
      <c r="AL21" s="618">
        <f t="shared" ref="AL21" si="156">IFERROR(IF(W21/H21*100&gt;110,110,W21/H21*100),100)</f>
        <v>110.00000000000001</v>
      </c>
      <c r="AM21" s="618">
        <f t="shared" ref="AM21" si="157">IFERROR(IF(X21/I21*100&gt;110,110,X21/I21*100),100)</f>
        <v>110.00000000000001</v>
      </c>
      <c r="AN21" s="618">
        <f t="shared" ref="AN21" si="158">IFERROR(IF(Y21/J21*100&gt;110,110,Y21/J21*100),100)</f>
        <v>110.00000000000001</v>
      </c>
      <c r="AO21" s="618">
        <f t="shared" ref="AO21" si="159">IFERROR(IF(Z21/K21*100&gt;110,110,Z21/K21*100),100)</f>
        <v>110.00000000000001</v>
      </c>
      <c r="AP21" s="618">
        <f t="shared" ref="AP21" si="160">IFERROR(IF(AA21/L21*100&gt;110,110,AA21/L21*100),100)</f>
        <v>110.00000000000001</v>
      </c>
      <c r="AQ21" s="618">
        <f t="shared" ref="AQ21" si="161">IFERROR(IF(AB21/M21*100&gt;110,110,AB21/M21*100),100)</f>
        <v>110.00000000000001</v>
      </c>
      <c r="AR21" s="618">
        <f t="shared" ref="AR21" si="162">IFERROR(IF(AC21/N21*100&gt;110,110,AC21/N21*100),100)</f>
        <v>110.00000000000001</v>
      </c>
      <c r="AS21" s="618">
        <f t="shared" ref="AS21" si="163">IFERROR(IF(AD21/O21*100&gt;110,110,AD21/O21*100),100)</f>
        <v>110.00000000000001</v>
      </c>
      <c r="AT21" s="618">
        <f t="shared" ref="AT21" si="164">IFERROR(IF(AE21/P21*100&gt;110,110,AE21/P21*100),100)</f>
        <v>0</v>
      </c>
      <c r="AU21" s="618">
        <f t="shared" ref="AU21" si="165">IFERROR(IF(AF21/Q21*100&gt;110,110,AF21/Q21*100),100)</f>
        <v>0</v>
      </c>
      <c r="AV21" s="618">
        <f t="shared" ref="AV21" si="166">IFERROR(IF(AG21/R21*100&gt;110,110,AG21/R21*100),100)</f>
        <v>0</v>
      </c>
      <c r="AW21" s="621"/>
      <c r="AX21" t="str">
        <f t="shared" si="36"/>
        <v>Penormalan Siaga 1 Gangguan TM</v>
      </c>
      <c r="AY21" s="105" t="s">
        <v>458</v>
      </c>
      <c r="AZ21" s="620">
        <f>4/2</f>
        <v>2</v>
      </c>
      <c r="BA21" s="618">
        <f t="shared" si="50"/>
        <v>2.2000000000000002</v>
      </c>
      <c r="BB21" s="618">
        <f t="shared" si="37"/>
        <v>2.2000000000000002</v>
      </c>
      <c r="BC21" s="618">
        <f t="shared" si="38"/>
        <v>2.2000000000000002</v>
      </c>
      <c r="BD21" s="618">
        <f t="shared" si="39"/>
        <v>2.2000000000000002</v>
      </c>
      <c r="BE21" s="618">
        <f t="shared" si="40"/>
        <v>2.2000000000000002</v>
      </c>
      <c r="BF21" s="618">
        <f t="shared" si="41"/>
        <v>2.2000000000000002</v>
      </c>
      <c r="BG21" s="618">
        <f t="shared" si="42"/>
        <v>2.2000000000000002</v>
      </c>
      <c r="BH21" s="618">
        <f t="shared" si="43"/>
        <v>2.2000000000000002</v>
      </c>
      <c r="BI21" s="618">
        <f t="shared" si="44"/>
        <v>2.2000000000000002</v>
      </c>
      <c r="BJ21" s="618">
        <f t="shared" si="45"/>
        <v>0</v>
      </c>
      <c r="BK21" s="618">
        <f t="shared" si="46"/>
        <v>0</v>
      </c>
      <c r="BL21" s="618">
        <f t="shared" si="47"/>
        <v>0</v>
      </c>
      <c r="BM21" s="621"/>
      <c r="BN21" s="621"/>
      <c r="BO21" s="143"/>
      <c r="BQ21" s="622" cm="1">
        <f t="array" ref="BQ21">INDEX(AK21:AV21,MATCH(MONTH($BP$3),MONTH($AK$3:$AV$3),0))</f>
        <v>110.00000000000001</v>
      </c>
      <c r="BR21" t="str">
        <v>Penormalan Siaga 1 Gangguan TM</v>
      </c>
      <c r="BS21" s="621">
        <v>110.00000000000001</v>
      </c>
      <c r="BT21" s="621" t="str">
        <f t="shared" si="48"/>
        <v/>
      </c>
      <c r="BU21" s="621" t="str">
        <v/>
      </c>
      <c r="BV21" s="618">
        <f t="shared" si="51"/>
        <v>1.1000000000000001</v>
      </c>
      <c r="BY21" s="618" t="e">
        <f t="shared" si="99"/>
        <v>#N/A</v>
      </c>
      <c r="BZ21" s="618" t="e">
        <f t="shared" si="100"/>
        <v>#N/A</v>
      </c>
      <c r="CA21" s="625" t="e">
        <f t="shared" si="101"/>
        <v>#N/A</v>
      </c>
      <c r="CB21" s="626" t="e">
        <f t="shared" si="102"/>
        <v>#N/A</v>
      </c>
      <c r="CC21" s="105" t="e">
        <f t="shared" si="103"/>
        <v>#N/A</v>
      </c>
      <c r="CD21" s="626" t="e">
        <f t="shared" si="104"/>
        <v>#N/A</v>
      </c>
    </row>
    <row r="22" spans="1:82">
      <c r="A22" t="str">
        <v>a. Pengembangan EAM Distribusi</v>
      </c>
      <c r="B22">
        <v>2</v>
      </c>
      <c r="C22" t="str">
        <v>Pengembangan EAM Distribusi</v>
      </c>
      <c r="D22" s="105" t="s">
        <v>462</v>
      </c>
      <c r="E22" t="str">
        <v>Pengembangan EAM Distribusi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T22" t="str">
        <v>Pengembangan EAM Distribusi</v>
      </c>
      <c r="V22">
        <v>99.06</v>
      </c>
      <c r="W22">
        <v>116.19</v>
      </c>
      <c r="X22">
        <v>118.81</v>
      </c>
      <c r="Y22">
        <v>120.77</v>
      </c>
      <c r="Z22">
        <v>121.31</v>
      </c>
      <c r="AA22">
        <v>121.31</v>
      </c>
      <c r="AB22">
        <v>98.6</v>
      </c>
      <c r="AC22">
        <v>101.98</v>
      </c>
      <c r="AD22">
        <v>101.95</v>
      </c>
      <c r="AE22">
        <v>0</v>
      </c>
      <c r="AF22">
        <v>0</v>
      </c>
      <c r="AG22">
        <v>0</v>
      </c>
      <c r="AI22" t="str">
        <f t="shared" si="34"/>
        <v>Pengembangan EAM Distribusi</v>
      </c>
      <c r="AK22" s="618">
        <f t="shared" si="143"/>
        <v>99.06</v>
      </c>
      <c r="AL22" s="618">
        <f t="shared" ref="AL22" si="167">IFERROR(IF(W22/H22*100&gt;110,110,W22/H22*100),100)</f>
        <v>110</v>
      </c>
      <c r="AM22" s="618">
        <f t="shared" ref="AM22" si="168">IFERROR(IF(X22/I22*100&gt;110,110,X22/I22*100),100)</f>
        <v>110</v>
      </c>
      <c r="AN22" s="618">
        <f t="shared" ref="AN22" si="169">IFERROR(IF(Y22/J22*100&gt;110,110,Y22/J22*100),100)</f>
        <v>110</v>
      </c>
      <c r="AO22" s="618">
        <f t="shared" ref="AO22" si="170">IFERROR(IF(Z22/K22*100&gt;110,110,Z22/K22*100),100)</f>
        <v>110</v>
      </c>
      <c r="AP22" s="618">
        <f t="shared" ref="AP22" si="171">IFERROR(IF(AA22/L22*100&gt;110,110,AA22/L22*100),100)</f>
        <v>110</v>
      </c>
      <c r="AQ22" s="618">
        <f t="shared" ref="AQ22" si="172">IFERROR(IF(AB22/M22*100&gt;110,110,AB22/M22*100),100)</f>
        <v>98.6</v>
      </c>
      <c r="AR22" s="618">
        <f t="shared" ref="AR22" si="173">IFERROR(IF(AC22/N22*100&gt;110,110,AC22/N22*100),100)</f>
        <v>101.98</v>
      </c>
      <c r="AS22" s="618">
        <f t="shared" ref="AS22" si="174">IFERROR(IF(AD22/O22*100&gt;110,110,AD22/O22*100),100)</f>
        <v>101.95</v>
      </c>
      <c r="AT22" s="618">
        <f t="shared" ref="AT22" si="175">IFERROR(IF(AE22/P22*100&gt;110,110,AE22/P22*100),100)</f>
        <v>0</v>
      </c>
      <c r="AU22" s="618">
        <f t="shared" ref="AU22" si="176">IFERROR(IF(AF22/Q22*100&gt;110,110,AF22/Q22*100),100)</f>
        <v>0</v>
      </c>
      <c r="AV22" s="618">
        <f t="shared" ref="AV22" si="177">IFERROR(IF(AG22/R22*100&gt;110,110,AG22/R22*100),100)</f>
        <v>0</v>
      </c>
      <c r="AW22" s="621"/>
      <c r="AX22" t="str">
        <f t="shared" si="36"/>
        <v>Pengembangan EAM Distribusi</v>
      </c>
      <c r="AY22" s="105" t="s">
        <v>458</v>
      </c>
      <c r="AZ22" s="620">
        <f>6</f>
        <v>6</v>
      </c>
      <c r="BA22" s="618">
        <f t="shared" si="50"/>
        <v>5.94</v>
      </c>
      <c r="BB22" s="618">
        <f t="shared" si="37"/>
        <v>6.6</v>
      </c>
      <c r="BC22" s="618">
        <f t="shared" si="38"/>
        <v>6.6</v>
      </c>
      <c r="BD22" s="618">
        <f t="shared" si="39"/>
        <v>6.6</v>
      </c>
      <c r="BE22" s="618">
        <f t="shared" si="40"/>
        <v>6.6</v>
      </c>
      <c r="BF22" s="618">
        <f t="shared" si="41"/>
        <v>6.6</v>
      </c>
      <c r="BG22" s="618">
        <f t="shared" si="42"/>
        <v>5.91</v>
      </c>
      <c r="BH22" s="618">
        <f t="shared" si="43"/>
        <v>6.11</v>
      </c>
      <c r="BI22" s="618">
        <f t="shared" si="44"/>
        <v>6.11</v>
      </c>
      <c r="BJ22" s="618">
        <f t="shared" si="45"/>
        <v>0</v>
      </c>
      <c r="BK22" s="618">
        <f t="shared" si="46"/>
        <v>0</v>
      </c>
      <c r="BL22" s="618">
        <f t="shared" si="47"/>
        <v>0</v>
      </c>
      <c r="BM22" s="621"/>
      <c r="BN22" s="621"/>
      <c r="BO22" s="143"/>
      <c r="BQ22" s="622" cm="1">
        <f t="array" ref="BQ22">INDEX(AK22:AV22,MATCH(MONTH($BP$3),MONTH($AK$3:$AV$3),0))</f>
        <v>110</v>
      </c>
      <c r="BR22" t="str">
        <v>Pengembangan EAM Distribusi</v>
      </c>
      <c r="BS22" s="621">
        <v>110</v>
      </c>
      <c r="BT22" s="621" t="str">
        <f t="shared" si="48"/>
        <v/>
      </c>
      <c r="BU22" s="621" t="str">
        <v/>
      </c>
      <c r="BV22" s="618">
        <f t="shared" si="51"/>
        <v>1.1000000000000001</v>
      </c>
      <c r="BY22" s="618" t="e">
        <f t="shared" si="99"/>
        <v>#N/A</v>
      </c>
      <c r="BZ22" s="618" t="e">
        <f t="shared" si="100"/>
        <v>#N/A</v>
      </c>
      <c r="CA22" s="625" t="e">
        <f t="shared" si="101"/>
        <v>#N/A</v>
      </c>
      <c r="CB22" s="626" t="e">
        <f t="shared" si="102"/>
        <v>#N/A</v>
      </c>
      <c r="CC22" s="105" t="e">
        <f t="shared" si="103"/>
        <v>#N/A</v>
      </c>
      <c r="CD22" s="626" t="e">
        <f t="shared" si="104"/>
        <v>#N/A</v>
      </c>
    </row>
    <row r="23" spans="1:82">
      <c r="A23" t="str">
        <v>a. Penambahan Daya Tersambung</v>
      </c>
      <c r="B23">
        <v>2</v>
      </c>
      <c r="C23" t="str">
        <v>Penambahan Daya Tersambung</v>
      </c>
      <c r="D23" s="105" t="s">
        <v>462</v>
      </c>
      <c r="E23" t="str">
        <v>Penambahan Daya Tersambung</v>
      </c>
      <c r="G23">
        <v>0.72</v>
      </c>
      <c r="H23">
        <v>1.47</v>
      </c>
      <c r="I23">
        <v>2.2599999999999998</v>
      </c>
      <c r="J23">
        <v>3.01</v>
      </c>
      <c r="K23">
        <v>4.18</v>
      </c>
      <c r="L23">
        <v>5.3</v>
      </c>
      <c r="M23">
        <v>6.46</v>
      </c>
      <c r="N23">
        <v>7.62</v>
      </c>
      <c r="O23">
        <v>8.75</v>
      </c>
      <c r="P23">
        <v>9.91</v>
      </c>
      <c r="Q23">
        <v>11.03</v>
      </c>
      <c r="R23">
        <v>13.36</v>
      </c>
      <c r="T23" t="str">
        <v>Penambahan Daya Tersambung</v>
      </c>
      <c r="V23">
        <v>0.75440000000000007</v>
      </c>
      <c r="W23">
        <v>1.274</v>
      </c>
      <c r="X23">
        <v>1.82315</v>
      </c>
      <c r="Y23">
        <v>2.3200833333333333</v>
      </c>
      <c r="Z23">
        <v>2.4581833333333334</v>
      </c>
      <c r="AA23">
        <v>2.9414333333333333</v>
      </c>
      <c r="AB23">
        <v>3.5287333333333333</v>
      </c>
      <c r="AC23">
        <v>4.2161333333333335</v>
      </c>
      <c r="AD23">
        <v>5.7844333333333333</v>
      </c>
      <c r="AE23">
        <v>0</v>
      </c>
      <c r="AF23">
        <v>0</v>
      </c>
      <c r="AG23">
        <v>0</v>
      </c>
      <c r="AI23" t="str">
        <f t="shared" si="34"/>
        <v>Penambahan Daya Tersambung</v>
      </c>
      <c r="AK23" s="618">
        <f t="shared" si="143"/>
        <v>104.77777777777779</v>
      </c>
      <c r="AL23" s="618">
        <f t="shared" ref="AL23" si="178">IFERROR(IF(W23/H23*100&gt;110,110,W23/H23*100),100)</f>
        <v>86.666666666666671</v>
      </c>
      <c r="AM23" s="618">
        <f t="shared" ref="AM23" si="179">IFERROR(IF(X23/I23*100&gt;110,110,X23/I23*100),100)</f>
        <v>80.670353982300895</v>
      </c>
      <c r="AN23" s="618">
        <f t="shared" ref="AN23" si="180">IFERROR(IF(Y23/J23*100&gt;110,110,Y23/J23*100),100)</f>
        <v>77.079180509413064</v>
      </c>
      <c r="AO23" s="618">
        <f t="shared" ref="AO23" si="181">IFERROR(IF(Z23/K23*100&gt;110,110,Z23/K23*100),100)</f>
        <v>58.808213716108462</v>
      </c>
      <c r="AP23" s="618">
        <f t="shared" ref="AP23" si="182">IFERROR(IF(AA23/L23*100&gt;110,110,AA23/L23*100),100)</f>
        <v>55.49874213836479</v>
      </c>
      <c r="AQ23" s="618">
        <f t="shared" ref="AQ23" si="183">IFERROR(IF(AB23/M23*100&gt;110,110,AB23/M23*100),100)</f>
        <v>54.624355005159963</v>
      </c>
      <c r="AR23" s="618">
        <f t="shared" ref="AR23" si="184">IFERROR(IF(AC23/N23*100&gt;110,110,AC23/N23*100),100)</f>
        <v>55.329833770778656</v>
      </c>
      <c r="AS23" s="618">
        <f t="shared" ref="AS23" si="185">IFERROR(IF(AD23/O23*100&gt;110,110,AD23/O23*100),100)</f>
        <v>66.107809523809522</v>
      </c>
      <c r="AT23" s="618">
        <f t="shared" ref="AT23" si="186">IFERROR(IF(AE23/P23*100&gt;110,110,AE23/P23*100),100)</f>
        <v>0</v>
      </c>
      <c r="AU23" s="618">
        <f t="shared" ref="AU23" si="187">IFERROR(IF(AF23/Q23*100&gt;110,110,AF23/Q23*100),100)</f>
        <v>0</v>
      </c>
      <c r="AV23" s="618">
        <f t="shared" ref="AV23" si="188">IFERROR(IF(AG23/R23*100&gt;110,110,AG23/R23*100),100)</f>
        <v>0</v>
      </c>
      <c r="AW23" s="621"/>
      <c r="AX23" t="str">
        <f t="shared" si="36"/>
        <v>Penambahan Daya Tersambung</v>
      </c>
      <c r="AY23" s="105" t="s">
        <v>458</v>
      </c>
      <c r="AZ23" s="620">
        <v>2</v>
      </c>
      <c r="BA23" s="618">
        <f t="shared" si="50"/>
        <v>2.09</v>
      </c>
      <c r="BB23" s="618">
        <f t="shared" si="37"/>
        <v>1.73</v>
      </c>
      <c r="BC23" s="618">
        <f t="shared" si="38"/>
        <v>1.61</v>
      </c>
      <c r="BD23" s="618">
        <f t="shared" si="39"/>
        <v>1.54</v>
      </c>
      <c r="BE23" s="618">
        <f t="shared" si="40"/>
        <v>1.17</v>
      </c>
      <c r="BF23" s="618">
        <f t="shared" si="41"/>
        <v>1.1000000000000001</v>
      </c>
      <c r="BG23" s="618">
        <f t="shared" si="42"/>
        <v>1.0900000000000001</v>
      </c>
      <c r="BH23" s="618">
        <f t="shared" si="43"/>
        <v>1.1000000000000001</v>
      </c>
      <c r="BI23" s="618">
        <f t="shared" si="44"/>
        <v>1.32</v>
      </c>
      <c r="BJ23" s="618">
        <f t="shared" si="45"/>
        <v>0</v>
      </c>
      <c r="BK23" s="618">
        <f t="shared" si="46"/>
        <v>0</v>
      </c>
      <c r="BL23" s="618">
        <f t="shared" si="47"/>
        <v>0</v>
      </c>
      <c r="BM23" s="621"/>
      <c r="BN23" s="621"/>
      <c r="BO23" s="143"/>
      <c r="BQ23" s="622" cm="1">
        <f t="array" ref="BQ23">INDEX(AK23:AV23,MATCH(MONTH($BP$3),MONTH($AK$3:$AV$3),0))</f>
        <v>55.49874213836479</v>
      </c>
      <c r="BR23" t="str">
        <v>Penambahan Daya Tersambung</v>
      </c>
      <c r="BS23" s="621" t="str">
        <v/>
      </c>
      <c r="BT23" s="621" t="str">
        <f t="shared" si="48"/>
        <v/>
      </c>
      <c r="BU23" s="621">
        <v>55.49874213836479</v>
      </c>
      <c r="BV23" s="618">
        <f t="shared" si="51"/>
        <v>0.55498742138364787</v>
      </c>
      <c r="BY23" s="618" t="e">
        <f t="shared" si="99"/>
        <v>#N/A</v>
      </c>
      <c r="BZ23" s="618" t="e">
        <f t="shared" si="100"/>
        <v>#N/A</v>
      </c>
      <c r="CA23" s="625" t="e">
        <f t="shared" si="101"/>
        <v>#N/A</v>
      </c>
      <c r="CB23" s="626" t="e">
        <f t="shared" si="102"/>
        <v>#N/A</v>
      </c>
      <c r="CC23" s="105" t="e">
        <f t="shared" si="103"/>
        <v>#N/A</v>
      </c>
      <c r="CD23" s="626" t="e">
        <f t="shared" si="104"/>
        <v>#N/A</v>
      </c>
    </row>
    <row r="24" spans="1:82">
      <c r="A24" t="str">
        <v>b. Penambahan Jumlah Pelanggan</v>
      </c>
      <c r="B24">
        <v>2</v>
      </c>
      <c r="C24" t="str">
        <v>Penambahan Jumlah Pelanggan</v>
      </c>
      <c r="D24" s="105" t="s">
        <v>462</v>
      </c>
      <c r="E24" t="str">
        <v>Penambahan Jumlah Pelanggan</v>
      </c>
      <c r="G24">
        <v>631</v>
      </c>
      <c r="H24">
        <v>1283</v>
      </c>
      <c r="I24">
        <v>1968</v>
      </c>
      <c r="J24">
        <v>2626</v>
      </c>
      <c r="K24">
        <v>3639</v>
      </c>
      <c r="L24">
        <v>4619</v>
      </c>
      <c r="M24">
        <v>5632</v>
      </c>
      <c r="N24">
        <v>6645</v>
      </c>
      <c r="O24">
        <v>7625</v>
      </c>
      <c r="P24">
        <v>8638</v>
      </c>
      <c r="Q24">
        <v>9618</v>
      </c>
      <c r="R24">
        <v>10632</v>
      </c>
      <c r="T24" t="str">
        <v>Penambahan Jumlah Pelanggan</v>
      </c>
      <c r="V24">
        <v>498</v>
      </c>
      <c r="W24">
        <v>965</v>
      </c>
      <c r="X24">
        <v>1364</v>
      </c>
      <c r="Y24">
        <v>1792</v>
      </c>
      <c r="Z24">
        <v>2153</v>
      </c>
      <c r="AA24">
        <v>2561</v>
      </c>
      <c r="AB24">
        <v>2930</v>
      </c>
      <c r="AC24">
        <v>3293</v>
      </c>
      <c r="AD24">
        <v>3761</v>
      </c>
      <c r="AE24">
        <v>0</v>
      </c>
      <c r="AF24">
        <v>0</v>
      </c>
      <c r="AG24">
        <v>0</v>
      </c>
      <c r="AI24" t="str">
        <f t="shared" si="34"/>
        <v>Penambahan Jumlah Pelanggan</v>
      </c>
      <c r="AK24" s="618">
        <f t="shared" si="143"/>
        <v>78.922345483359749</v>
      </c>
      <c r="AL24" s="618">
        <f t="shared" ref="AL24:AV30" si="189">IFERROR(IF(W24/H24*100&gt;110,110,W24/H24*100),100)</f>
        <v>75.214341387373338</v>
      </c>
      <c r="AM24" s="618">
        <f t="shared" si="189"/>
        <v>69.308943089430898</v>
      </c>
      <c r="AN24" s="618">
        <f t="shared" si="189"/>
        <v>68.240670220868239</v>
      </c>
      <c r="AO24" s="618">
        <f t="shared" si="189"/>
        <v>59.164605660895852</v>
      </c>
      <c r="AP24" s="618">
        <f t="shared" si="189"/>
        <v>55.444901493829832</v>
      </c>
      <c r="AQ24" s="618">
        <f t="shared" si="189"/>
        <v>52.024147727272727</v>
      </c>
      <c r="AR24" s="618">
        <f t="shared" si="189"/>
        <v>49.556057185854023</v>
      </c>
      <c r="AS24" s="618">
        <f t="shared" si="189"/>
        <v>49.324590163934431</v>
      </c>
      <c r="AT24" s="618">
        <f t="shared" si="189"/>
        <v>0</v>
      </c>
      <c r="AU24" s="618">
        <f t="shared" si="189"/>
        <v>0</v>
      </c>
      <c r="AV24" s="618">
        <f t="shared" si="189"/>
        <v>0</v>
      </c>
      <c r="AW24" s="621"/>
      <c r="AX24" t="str">
        <f t="shared" si="36"/>
        <v>Penambahan Jumlah Pelanggan</v>
      </c>
      <c r="AY24" s="105" t="s">
        <v>458</v>
      </c>
      <c r="AZ24" s="620">
        <v>2</v>
      </c>
      <c r="BA24" s="618">
        <f t="shared" si="50"/>
        <v>1.57</v>
      </c>
      <c r="BB24" s="618">
        <f t="shared" si="37"/>
        <v>1.5</v>
      </c>
      <c r="BC24" s="618">
        <f t="shared" si="38"/>
        <v>1.38</v>
      </c>
      <c r="BD24" s="618">
        <f t="shared" si="39"/>
        <v>1.36</v>
      </c>
      <c r="BE24" s="618">
        <f t="shared" si="40"/>
        <v>1.18</v>
      </c>
      <c r="BF24" s="618">
        <f t="shared" si="41"/>
        <v>1.1000000000000001</v>
      </c>
      <c r="BG24" s="618">
        <f t="shared" si="42"/>
        <v>1.04</v>
      </c>
      <c r="BH24" s="618">
        <f t="shared" si="43"/>
        <v>0.99</v>
      </c>
      <c r="BI24" s="618">
        <f t="shared" si="44"/>
        <v>0.98</v>
      </c>
      <c r="BJ24" s="618">
        <f t="shared" si="45"/>
        <v>0</v>
      </c>
      <c r="BK24" s="618">
        <f t="shared" si="46"/>
        <v>0</v>
      </c>
      <c r="BL24" s="618">
        <f t="shared" si="47"/>
        <v>0</v>
      </c>
      <c r="BM24" s="621"/>
      <c r="BN24" s="621"/>
      <c r="BO24" s="143"/>
      <c r="BQ24" s="622" cm="1">
        <f t="array" ref="BQ24">INDEX(AK24:AV24,MATCH(MONTH($BP$3),MONTH($AK$3:$AV$3),0))</f>
        <v>55.444901493829832</v>
      </c>
      <c r="BR24" t="str">
        <v>Penambahan Jumlah Pelanggan</v>
      </c>
      <c r="BS24" s="621" t="str">
        <v/>
      </c>
      <c r="BT24" s="621" t="str">
        <f t="shared" si="48"/>
        <v/>
      </c>
      <c r="BU24" s="621">
        <v>55.444901493829832</v>
      </c>
      <c r="BV24" s="618">
        <f t="shared" si="51"/>
        <v>0.55444901493829835</v>
      </c>
      <c r="BY24" s="618" t="e">
        <f t="shared" si="99"/>
        <v>#N/A</v>
      </c>
      <c r="BZ24" s="618" t="e">
        <f t="shared" si="100"/>
        <v>#N/A</v>
      </c>
      <c r="CA24" s="625" t="e">
        <f t="shared" si="101"/>
        <v>#N/A</v>
      </c>
      <c r="CB24" s="626" t="e">
        <f t="shared" si="102"/>
        <v>#N/A</v>
      </c>
      <c r="CC24" s="105" t="e">
        <f t="shared" si="103"/>
        <v>#N/A</v>
      </c>
      <c r="CD24" s="626" t="e">
        <f t="shared" si="104"/>
        <v>#N/A</v>
      </c>
    </row>
    <row r="25" spans="1:82">
      <c r="A25" t="str">
        <v>c. Jumlah Penambahan Pelanggan Produk Tematik</v>
      </c>
      <c r="B25">
        <v>2</v>
      </c>
      <c r="C25" t="str">
        <v>Jumlah Penambahan Pelanggan Produk Tematik</v>
      </c>
      <c r="D25" s="105" t="s">
        <v>462</v>
      </c>
      <c r="E25" t="str">
        <v>Jumlah Penambahan Pelanggan Produk Tematik</v>
      </c>
      <c r="G25">
        <v>100</v>
      </c>
      <c r="H25">
        <v>200</v>
      </c>
      <c r="I25">
        <v>300</v>
      </c>
      <c r="J25">
        <v>400</v>
      </c>
      <c r="K25">
        <v>500</v>
      </c>
      <c r="L25">
        <v>600</v>
      </c>
      <c r="M25">
        <v>666</v>
      </c>
      <c r="N25">
        <v>732</v>
      </c>
      <c r="O25">
        <v>798</v>
      </c>
      <c r="P25">
        <v>864</v>
      </c>
      <c r="Q25">
        <v>930</v>
      </c>
      <c r="R25">
        <v>996</v>
      </c>
      <c r="T25" t="str">
        <v>Jumlah Penambahan Pelanggan Produk Tematik</v>
      </c>
      <c r="V25">
        <v>126</v>
      </c>
      <c r="W25">
        <v>171</v>
      </c>
      <c r="X25">
        <v>251</v>
      </c>
      <c r="Y25">
        <v>251</v>
      </c>
      <c r="Z25">
        <v>347</v>
      </c>
      <c r="AA25">
        <v>507</v>
      </c>
      <c r="AB25">
        <v>599</v>
      </c>
      <c r="AC25">
        <v>744</v>
      </c>
      <c r="AD25">
        <v>814</v>
      </c>
      <c r="AE25">
        <v>0</v>
      </c>
      <c r="AF25">
        <v>0</v>
      </c>
      <c r="AG25">
        <v>0</v>
      </c>
      <c r="AI25" t="str">
        <f t="shared" si="34"/>
        <v>Jumlah Penambahan Pelanggan Produk Tematik</v>
      </c>
      <c r="AK25" s="618">
        <f t="shared" si="143"/>
        <v>110</v>
      </c>
      <c r="AL25" s="618">
        <f t="shared" si="189"/>
        <v>85.5</v>
      </c>
      <c r="AM25" s="618">
        <f t="shared" si="189"/>
        <v>83.666666666666671</v>
      </c>
      <c r="AN25" s="618">
        <f t="shared" si="189"/>
        <v>62.749999999999993</v>
      </c>
      <c r="AO25" s="618">
        <f t="shared" si="189"/>
        <v>69.399999999999991</v>
      </c>
      <c r="AP25" s="618">
        <f t="shared" si="189"/>
        <v>84.5</v>
      </c>
      <c r="AQ25" s="618">
        <f t="shared" si="189"/>
        <v>89.939939939939933</v>
      </c>
      <c r="AR25" s="618">
        <f t="shared" si="189"/>
        <v>101.63934426229508</v>
      </c>
      <c r="AS25" s="618">
        <f t="shared" si="189"/>
        <v>102.00501253132832</v>
      </c>
      <c r="AT25" s="618">
        <f t="shared" si="189"/>
        <v>0</v>
      </c>
      <c r="AU25" s="618">
        <f t="shared" si="189"/>
        <v>0</v>
      </c>
      <c r="AV25" s="618">
        <f t="shared" si="189"/>
        <v>0</v>
      </c>
      <c r="AW25" s="621"/>
      <c r="AX25" t="str">
        <f t="shared" si="36"/>
        <v>Jumlah Penambahan Pelanggan Produk Tematik</v>
      </c>
      <c r="AY25" s="105" t="s">
        <v>458</v>
      </c>
      <c r="AZ25" s="620">
        <v>1.5</v>
      </c>
      <c r="BA25" s="618">
        <f t="shared" si="50"/>
        <v>1.65</v>
      </c>
      <c r="BB25" s="618">
        <f t="shared" si="37"/>
        <v>1.28</v>
      </c>
      <c r="BC25" s="618">
        <f t="shared" si="38"/>
        <v>1.25</v>
      </c>
      <c r="BD25" s="618">
        <f t="shared" si="39"/>
        <v>0.94</v>
      </c>
      <c r="BE25" s="618">
        <f t="shared" si="40"/>
        <v>1.04</v>
      </c>
      <c r="BF25" s="618">
        <f t="shared" si="41"/>
        <v>1.26</v>
      </c>
      <c r="BG25" s="618">
        <f t="shared" si="42"/>
        <v>1.34</v>
      </c>
      <c r="BH25" s="618">
        <f t="shared" si="43"/>
        <v>1.52</v>
      </c>
      <c r="BI25" s="618">
        <f t="shared" si="44"/>
        <v>1.53</v>
      </c>
      <c r="BJ25" s="618">
        <f t="shared" si="45"/>
        <v>0</v>
      </c>
      <c r="BK25" s="618">
        <f t="shared" si="46"/>
        <v>0</v>
      </c>
      <c r="BL25" s="618">
        <f t="shared" si="47"/>
        <v>0</v>
      </c>
      <c r="BM25" s="621"/>
      <c r="BN25" s="621"/>
      <c r="BO25" s="143"/>
      <c r="BQ25" s="622" cm="1">
        <f t="array" ref="BQ25">INDEX(AK25:AV25,MATCH(MONTH($BP$3),MONTH($AK$3:$AV$3),0))</f>
        <v>84.5</v>
      </c>
      <c r="BR25" t="str">
        <v>Jumlah Penambahan Pelanggan Produk Tematik</v>
      </c>
      <c r="BS25" s="621" t="str">
        <v/>
      </c>
      <c r="BT25" s="621" t="str">
        <f t="shared" si="48"/>
        <v/>
      </c>
      <c r="BU25" s="621">
        <v>84.5</v>
      </c>
      <c r="BV25" s="618">
        <f t="shared" si="51"/>
        <v>0.84499999999999997</v>
      </c>
      <c r="BY25" s="618" t="e">
        <f t="shared" si="99"/>
        <v>#N/A</v>
      </c>
      <c r="BZ25" s="618" t="e">
        <f t="shared" si="100"/>
        <v>#N/A</v>
      </c>
      <c r="CA25" s="625" t="e">
        <f t="shared" si="101"/>
        <v>#N/A</v>
      </c>
      <c r="CB25" s="626" t="e">
        <f t="shared" si="102"/>
        <v>#N/A</v>
      </c>
      <c r="CC25" s="105" t="e">
        <f t="shared" si="103"/>
        <v>#N/A</v>
      </c>
      <c r="CD25" s="626" t="e">
        <f t="shared" si="104"/>
        <v>#N/A</v>
      </c>
    </row>
    <row r="26" spans="1:82">
      <c r="A26" t="str">
        <v>d. Implementasi Kesesuaian Sektor Bisnis sesuai KBLI 2020</v>
      </c>
      <c r="B26">
        <v>2</v>
      </c>
      <c r="C26" t="str">
        <v>Implementasi Kesesuaian Sektor Bisnis sesuai KBLI 2020</v>
      </c>
      <c r="D26" s="105" t="s">
        <v>462</v>
      </c>
      <c r="E26" t="str">
        <v>Implementasi Kesesuaian Sektor Bisnis sesuai KBLI 2020</v>
      </c>
      <c r="G26">
        <v>0</v>
      </c>
      <c r="H26">
        <v>0</v>
      </c>
      <c r="I26">
        <v>0</v>
      </c>
      <c r="J26">
        <v>7</v>
      </c>
      <c r="K26">
        <v>7</v>
      </c>
      <c r="L26">
        <v>7</v>
      </c>
      <c r="M26">
        <v>8</v>
      </c>
      <c r="N26">
        <v>8</v>
      </c>
      <c r="O26">
        <v>8</v>
      </c>
      <c r="P26">
        <v>8</v>
      </c>
      <c r="Q26">
        <v>8</v>
      </c>
      <c r="R26">
        <v>8</v>
      </c>
      <c r="T26" t="str">
        <v>Implementasi Kesesuaian Sektor Bisnis sesuai KBLI 2020</v>
      </c>
      <c r="V26">
        <v>0</v>
      </c>
      <c r="W26">
        <v>0</v>
      </c>
      <c r="X26">
        <v>0</v>
      </c>
      <c r="Y26">
        <v>7</v>
      </c>
      <c r="Z26">
        <v>7</v>
      </c>
      <c r="AA26">
        <v>7</v>
      </c>
      <c r="AB26">
        <v>8</v>
      </c>
      <c r="AC26">
        <v>8</v>
      </c>
      <c r="AD26">
        <v>8</v>
      </c>
      <c r="AE26">
        <v>0</v>
      </c>
      <c r="AF26">
        <v>0</v>
      </c>
      <c r="AG26">
        <v>0</v>
      </c>
      <c r="AI26" t="str">
        <f t="shared" si="34"/>
        <v>Implementasi Kesesuaian Sektor Bisnis sesuai KBLI 2020</v>
      </c>
      <c r="AK26" s="618">
        <f t="shared" si="143"/>
        <v>100</v>
      </c>
      <c r="AL26" s="618">
        <f t="shared" si="189"/>
        <v>100</v>
      </c>
      <c r="AM26" s="618">
        <f t="shared" si="189"/>
        <v>100</v>
      </c>
      <c r="AN26" s="618">
        <f t="shared" si="189"/>
        <v>100</v>
      </c>
      <c r="AO26" s="618">
        <f t="shared" si="189"/>
        <v>100</v>
      </c>
      <c r="AP26" s="618">
        <f t="shared" si="189"/>
        <v>100</v>
      </c>
      <c r="AQ26" s="618">
        <f t="shared" si="189"/>
        <v>100</v>
      </c>
      <c r="AR26" s="618">
        <f t="shared" si="189"/>
        <v>100</v>
      </c>
      <c r="AS26" s="618">
        <f t="shared" si="189"/>
        <v>100</v>
      </c>
      <c r="AT26" s="618">
        <f t="shared" si="189"/>
        <v>0</v>
      </c>
      <c r="AU26" s="618">
        <f t="shared" si="189"/>
        <v>0</v>
      </c>
      <c r="AV26" s="618">
        <f t="shared" si="189"/>
        <v>0</v>
      </c>
      <c r="AW26" s="621"/>
      <c r="AX26" t="str">
        <f t="shared" si="36"/>
        <v>Implementasi Kesesuaian Sektor Bisnis sesuai KBLI 2020</v>
      </c>
      <c r="AY26" s="105" t="s">
        <v>458</v>
      </c>
      <c r="AZ26" s="620">
        <v>1.5</v>
      </c>
      <c r="BA26" s="618">
        <f t="shared" si="50"/>
        <v>1.5</v>
      </c>
      <c r="BB26" s="618">
        <f t="shared" si="37"/>
        <v>1.5</v>
      </c>
      <c r="BC26" s="618">
        <f t="shared" si="38"/>
        <v>1.5</v>
      </c>
      <c r="BD26" s="618">
        <f t="shared" si="39"/>
        <v>1.5</v>
      </c>
      <c r="BE26" s="618">
        <f t="shared" si="40"/>
        <v>1.5</v>
      </c>
      <c r="BF26" s="618">
        <f t="shared" si="41"/>
        <v>1.5</v>
      </c>
      <c r="BG26" s="618">
        <f t="shared" si="42"/>
        <v>1.5</v>
      </c>
      <c r="BH26" s="618">
        <f t="shared" si="43"/>
        <v>1.5</v>
      </c>
      <c r="BI26" s="618">
        <f t="shared" si="44"/>
        <v>1.5</v>
      </c>
      <c r="BJ26" s="618">
        <f t="shared" si="45"/>
        <v>0</v>
      </c>
      <c r="BK26" s="618">
        <f t="shared" si="46"/>
        <v>0</v>
      </c>
      <c r="BL26" s="618">
        <f t="shared" si="47"/>
        <v>0</v>
      </c>
      <c r="BM26" s="621"/>
      <c r="BN26" s="621"/>
      <c r="BO26" s="143"/>
      <c r="BQ26" s="622" cm="1">
        <f t="array" ref="BQ26">INDEX(AK26:AV26,MATCH(MONTH($BP$3),MONTH($AK$3:$AV$3),0))</f>
        <v>100</v>
      </c>
      <c r="BR26" t="str">
        <v>Implementasi Kesesuaian Sektor Bisnis sesuai KBLI 2020</v>
      </c>
      <c r="BS26" s="621">
        <v>100</v>
      </c>
      <c r="BT26" s="621" t="str">
        <f t="shared" si="48"/>
        <v/>
      </c>
      <c r="BU26" s="621" t="str">
        <v/>
      </c>
      <c r="BV26" s="618">
        <f t="shared" si="51"/>
        <v>1</v>
      </c>
      <c r="BY26" s="618" t="e">
        <f t="shared" si="99"/>
        <v>#N/A</v>
      </c>
      <c r="BZ26" s="618" t="e">
        <f t="shared" si="100"/>
        <v>#N/A</v>
      </c>
      <c r="CA26" s="625" t="e">
        <f t="shared" si="101"/>
        <v>#N/A</v>
      </c>
      <c r="CB26" s="626" t="e">
        <f t="shared" si="102"/>
        <v>#N/A</v>
      </c>
      <c r="CC26" s="105" t="e">
        <f t="shared" si="103"/>
        <v>#N/A</v>
      </c>
      <c r="CD26" s="626" t="e">
        <f t="shared" si="104"/>
        <v>#N/A</v>
      </c>
    </row>
    <row r="27" spans="1:82">
      <c r="A27" t="str">
        <v>e. Penambahan Jumlah Pelanggan Rumah Tangga Lisdes</v>
      </c>
      <c r="B27">
        <v>2</v>
      </c>
      <c r="C27" t="str">
        <v>Penambahan Jumlah Pelanggan Rumah Tangga Lisdes</v>
      </c>
      <c r="D27" s="105" t="s">
        <v>462</v>
      </c>
      <c r="E27" t="str">
        <v>Penambahan Jumlah Pelanggan Rumah Tangga Lisdes</v>
      </c>
      <c r="G27">
        <v>3</v>
      </c>
      <c r="H27">
        <v>4</v>
      </c>
      <c r="I27">
        <v>4</v>
      </c>
      <c r="J27">
        <v>4</v>
      </c>
      <c r="K27">
        <v>8</v>
      </c>
      <c r="L27">
        <v>14</v>
      </c>
      <c r="M27">
        <v>38</v>
      </c>
      <c r="N27">
        <v>61</v>
      </c>
      <c r="O27">
        <v>99</v>
      </c>
      <c r="P27">
        <v>161</v>
      </c>
      <c r="Q27">
        <v>266</v>
      </c>
      <c r="R27">
        <v>441</v>
      </c>
      <c r="T27" t="str">
        <v>Penambahan Jumlah Pelanggan Rumah Tangga Lisdes</v>
      </c>
      <c r="V27">
        <v>50</v>
      </c>
      <c r="W27">
        <v>71</v>
      </c>
      <c r="X27">
        <v>87</v>
      </c>
      <c r="Y27">
        <v>113</v>
      </c>
      <c r="Z27">
        <v>134</v>
      </c>
      <c r="AA27">
        <v>142</v>
      </c>
      <c r="AB27">
        <v>150</v>
      </c>
      <c r="AC27">
        <v>159</v>
      </c>
      <c r="AD27">
        <v>169</v>
      </c>
      <c r="AE27">
        <v>0</v>
      </c>
      <c r="AF27">
        <v>0</v>
      </c>
      <c r="AG27">
        <v>0</v>
      </c>
      <c r="AI27" t="str">
        <f t="shared" si="34"/>
        <v>Penambahan Jumlah Pelanggan Rumah Tangga Lisdes</v>
      </c>
      <c r="AK27" s="618">
        <f t="shared" si="143"/>
        <v>110</v>
      </c>
      <c r="AL27" s="618">
        <f t="shared" si="189"/>
        <v>110</v>
      </c>
      <c r="AM27" s="618">
        <f t="shared" si="189"/>
        <v>110</v>
      </c>
      <c r="AN27" s="618">
        <f t="shared" si="189"/>
        <v>110</v>
      </c>
      <c r="AO27" s="618">
        <f t="shared" si="189"/>
        <v>110</v>
      </c>
      <c r="AP27" s="618">
        <f t="shared" si="189"/>
        <v>110</v>
      </c>
      <c r="AQ27" s="618">
        <f t="shared" si="189"/>
        <v>110</v>
      </c>
      <c r="AR27" s="618">
        <f t="shared" si="189"/>
        <v>110</v>
      </c>
      <c r="AS27" s="618">
        <f t="shared" si="189"/>
        <v>110</v>
      </c>
      <c r="AT27" s="618">
        <f t="shared" si="189"/>
        <v>0</v>
      </c>
      <c r="AU27" s="618">
        <f t="shared" si="189"/>
        <v>0</v>
      </c>
      <c r="AV27" s="618">
        <f t="shared" si="189"/>
        <v>0</v>
      </c>
      <c r="AW27" s="621"/>
      <c r="AX27" t="str">
        <f t="shared" si="36"/>
        <v>Penambahan Jumlah Pelanggan Rumah Tangga Lisdes</v>
      </c>
      <c r="AY27" s="105" t="s">
        <v>458</v>
      </c>
      <c r="AZ27" s="620">
        <v>1.5</v>
      </c>
      <c r="BA27" s="618">
        <f t="shared" si="50"/>
        <v>1.65</v>
      </c>
      <c r="BB27" s="618">
        <f t="shared" si="37"/>
        <v>1.65</v>
      </c>
      <c r="BC27" s="618">
        <f t="shared" si="38"/>
        <v>1.65</v>
      </c>
      <c r="BD27" s="618">
        <f t="shared" si="39"/>
        <v>1.65</v>
      </c>
      <c r="BE27" s="618">
        <f t="shared" si="40"/>
        <v>1.65</v>
      </c>
      <c r="BF27" s="618">
        <f t="shared" si="41"/>
        <v>1.65</v>
      </c>
      <c r="BG27" s="618">
        <f t="shared" si="42"/>
        <v>1.65</v>
      </c>
      <c r="BH27" s="618">
        <f t="shared" si="43"/>
        <v>1.65</v>
      </c>
      <c r="BI27" s="618">
        <f t="shared" si="44"/>
        <v>1.65</v>
      </c>
      <c r="BJ27" s="618">
        <f t="shared" si="45"/>
        <v>0</v>
      </c>
      <c r="BK27" s="618">
        <f t="shared" si="46"/>
        <v>0</v>
      </c>
      <c r="BL27" s="618">
        <f t="shared" si="47"/>
        <v>0</v>
      </c>
      <c r="BM27" s="621"/>
      <c r="BN27" s="621"/>
      <c r="BO27" s="143"/>
      <c r="BQ27" s="622" cm="1">
        <f t="array" ref="BQ27">INDEX(AK27:AV27,MATCH(MONTH($BP$3),MONTH($AK$3:$AV$3),0))</f>
        <v>110</v>
      </c>
      <c r="BR27" t="str">
        <v>Penambahan Jumlah Pelanggan Rumah Tangga Lisdes</v>
      </c>
      <c r="BS27" s="621">
        <v>110</v>
      </c>
      <c r="BT27" s="621" t="str">
        <f t="shared" si="48"/>
        <v/>
      </c>
      <c r="BU27" s="621" t="str">
        <v/>
      </c>
      <c r="BV27" s="618">
        <f t="shared" si="51"/>
        <v>1.1000000000000001</v>
      </c>
      <c r="BY27" s="618" t="e">
        <f t="shared" si="99"/>
        <v>#N/A</v>
      </c>
      <c r="BZ27" s="618" t="e">
        <f t="shared" si="100"/>
        <v>#N/A</v>
      </c>
      <c r="CA27" s="625" t="e">
        <f t="shared" si="101"/>
        <v>#N/A</v>
      </c>
      <c r="CB27" s="626" t="e">
        <f t="shared" si="102"/>
        <v>#N/A</v>
      </c>
      <c r="CC27" s="105" t="e">
        <f t="shared" si="103"/>
        <v>#N/A</v>
      </c>
      <c r="CD27" s="626" t="e">
        <f t="shared" si="104"/>
        <v>#N/A</v>
      </c>
    </row>
    <row r="28" spans="1:82">
      <c r="A28" t="str">
        <v>f. Peningkatan kWh Penjualan dari Pelanggan Rumah Tangga Lisdes</v>
      </c>
      <c r="B28">
        <v>2</v>
      </c>
      <c r="C28" t="str">
        <v>Peningkatan kWh Penjualan dari Pelanggan Rumah Tangga Lisdes</v>
      </c>
      <c r="D28" s="105" t="s">
        <v>462</v>
      </c>
      <c r="E28" t="str">
        <v>Peningkatan kWh Penjualan dari Pelanggan Rumah Tangga Lisdes</v>
      </c>
      <c r="G28">
        <v>121.5</v>
      </c>
      <c r="H28">
        <v>162</v>
      </c>
      <c r="I28">
        <v>162</v>
      </c>
      <c r="J28">
        <v>162</v>
      </c>
      <c r="K28">
        <v>324</v>
      </c>
      <c r="L28">
        <v>567</v>
      </c>
      <c r="M28">
        <v>5079.6769999999997</v>
      </c>
      <c r="N28">
        <v>8154.2190000000001</v>
      </c>
      <c r="O28">
        <v>13233.896000000001</v>
      </c>
      <c r="P28">
        <v>21521.791000000001</v>
      </c>
      <c r="Q28">
        <v>35557.740000000005</v>
      </c>
      <c r="R28">
        <v>58950.990000000005</v>
      </c>
      <c r="T28" t="str">
        <v>Peningkatan kWh Penjualan dari Pelanggan Rumah Tangga Lisdes</v>
      </c>
      <c r="V28">
        <v>12084.1</v>
      </c>
      <c r="W28">
        <v>23649.5</v>
      </c>
      <c r="X28">
        <v>25628.500000000007</v>
      </c>
      <c r="Y28">
        <v>29595.700000000004</v>
      </c>
      <c r="Z28">
        <v>36325.700000000004</v>
      </c>
      <c r="AA28">
        <v>42397.8</v>
      </c>
      <c r="AB28">
        <v>49790.899999999994</v>
      </c>
      <c r="AC28">
        <v>56666.3</v>
      </c>
      <c r="AD28">
        <v>64005.7</v>
      </c>
      <c r="AE28">
        <v>0</v>
      </c>
      <c r="AF28">
        <v>0</v>
      </c>
      <c r="AG28">
        <v>0</v>
      </c>
      <c r="AI28" t="str">
        <f t="shared" si="34"/>
        <v>Peningkatan kWh Penjualan dari Pelanggan Rumah Tangga Lisdes</v>
      </c>
      <c r="AK28" s="618">
        <f t="shared" si="143"/>
        <v>110</v>
      </c>
      <c r="AL28" s="618">
        <f t="shared" si="189"/>
        <v>110</v>
      </c>
      <c r="AM28" s="618">
        <f t="shared" si="189"/>
        <v>110</v>
      </c>
      <c r="AN28" s="618">
        <f t="shared" si="189"/>
        <v>110</v>
      </c>
      <c r="AO28" s="618">
        <f t="shared" si="189"/>
        <v>110</v>
      </c>
      <c r="AP28" s="618">
        <f t="shared" si="189"/>
        <v>110</v>
      </c>
      <c r="AQ28" s="618">
        <f t="shared" si="189"/>
        <v>110</v>
      </c>
      <c r="AR28" s="618">
        <f t="shared" si="189"/>
        <v>110</v>
      </c>
      <c r="AS28" s="618">
        <f t="shared" si="189"/>
        <v>110</v>
      </c>
      <c r="AT28" s="618">
        <f t="shared" si="189"/>
        <v>0</v>
      </c>
      <c r="AU28" s="618">
        <f t="shared" si="189"/>
        <v>0</v>
      </c>
      <c r="AV28" s="618">
        <f t="shared" si="189"/>
        <v>0</v>
      </c>
      <c r="AW28" s="621"/>
      <c r="AX28" t="str">
        <f t="shared" si="36"/>
        <v>Peningkatan kWh Penjualan dari Pelanggan Rumah Tangga Lisdes</v>
      </c>
      <c r="AY28" s="105" t="s">
        <v>458</v>
      </c>
      <c r="AZ28" s="620">
        <v>1.5</v>
      </c>
      <c r="BA28" s="618">
        <f t="shared" si="50"/>
        <v>1.65</v>
      </c>
      <c r="BB28" s="618">
        <f t="shared" si="37"/>
        <v>1.65</v>
      </c>
      <c r="BC28" s="618">
        <f t="shared" si="38"/>
        <v>1.65</v>
      </c>
      <c r="BD28" s="618">
        <f t="shared" si="39"/>
        <v>1.65</v>
      </c>
      <c r="BE28" s="618">
        <f t="shared" si="40"/>
        <v>1.65</v>
      </c>
      <c r="BF28" s="618">
        <f t="shared" si="41"/>
        <v>1.65</v>
      </c>
      <c r="BG28" s="618">
        <f t="shared" si="42"/>
        <v>1.65</v>
      </c>
      <c r="BH28" s="618">
        <f t="shared" si="43"/>
        <v>1.65</v>
      </c>
      <c r="BI28" s="618">
        <f t="shared" si="44"/>
        <v>1.65</v>
      </c>
      <c r="BJ28" s="618">
        <f t="shared" si="45"/>
        <v>0</v>
      </c>
      <c r="BK28" s="618">
        <f t="shared" si="46"/>
        <v>0</v>
      </c>
      <c r="BL28" s="618">
        <f t="shared" si="47"/>
        <v>0</v>
      </c>
      <c r="BM28" s="621"/>
      <c r="BN28" s="621"/>
      <c r="BO28" s="143"/>
      <c r="BQ28" s="622" cm="1">
        <f t="array" ref="BQ28">INDEX(AK28:AV28,MATCH(MONTH($BP$3),MONTH($AK$3:$AV$3),0))</f>
        <v>110</v>
      </c>
      <c r="BR28" t="str">
        <v>Peningkatan kWh Penjualan dari Pelanggan Rumah Tangga Lisdes</v>
      </c>
      <c r="BS28" s="621">
        <v>110</v>
      </c>
      <c r="BT28" s="621" t="str">
        <f t="shared" si="48"/>
        <v/>
      </c>
      <c r="BU28" s="621" t="str">
        <v/>
      </c>
      <c r="BV28" s="618">
        <f t="shared" si="51"/>
        <v>1.1000000000000001</v>
      </c>
      <c r="BY28" s="618" t="e">
        <f t="shared" si="99"/>
        <v>#N/A</v>
      </c>
      <c r="BZ28" s="618" t="e">
        <f t="shared" si="100"/>
        <v>#N/A</v>
      </c>
      <c r="CA28" s="625" t="e">
        <f t="shared" si="101"/>
        <v>#N/A</v>
      </c>
      <c r="CB28" s="626" t="e">
        <f t="shared" si="102"/>
        <v>#N/A</v>
      </c>
      <c r="CC28" s="105" t="e">
        <f t="shared" si="103"/>
        <v>#N/A</v>
      </c>
      <c r="CD28" s="626" t="e">
        <f t="shared" si="104"/>
        <v>#N/A</v>
      </c>
    </row>
    <row r="29" spans="1:82">
      <c r="A29" t="str">
        <v>a. Jumlah Pengguna Swa Cam</v>
      </c>
      <c r="B29">
        <v>2</v>
      </c>
      <c r="C29" t="str">
        <v>Jumlah Pengguna Swa Cam</v>
      </c>
      <c r="D29" s="105" t="s">
        <v>462</v>
      </c>
      <c r="E29" t="str">
        <v>Jumlah Pengguna Swa Cam</v>
      </c>
      <c r="G29">
        <v>4728</v>
      </c>
      <c r="H29">
        <v>4728</v>
      </c>
      <c r="I29">
        <v>4728</v>
      </c>
      <c r="J29">
        <v>4728</v>
      </c>
      <c r="K29">
        <v>4728</v>
      </c>
      <c r="L29">
        <v>4728</v>
      </c>
      <c r="M29">
        <v>4728</v>
      </c>
      <c r="N29">
        <v>4728</v>
      </c>
      <c r="O29">
        <v>4728</v>
      </c>
      <c r="P29">
        <v>4728</v>
      </c>
      <c r="Q29">
        <v>4728</v>
      </c>
      <c r="R29">
        <v>4728</v>
      </c>
      <c r="T29" t="str">
        <v>Jumlah Pengguna Swa Cam</v>
      </c>
      <c r="V29">
        <v>10357</v>
      </c>
      <c r="W29">
        <v>8775</v>
      </c>
      <c r="X29">
        <v>9061</v>
      </c>
      <c r="Y29">
        <v>8210.25</v>
      </c>
      <c r="Z29">
        <v>7592.2</v>
      </c>
      <c r="AA29">
        <v>7340</v>
      </c>
      <c r="AB29">
        <v>5470</v>
      </c>
      <c r="AC29">
        <v>5376</v>
      </c>
      <c r="AD29">
        <v>5579</v>
      </c>
      <c r="AE29">
        <v>0</v>
      </c>
      <c r="AF29">
        <v>0</v>
      </c>
      <c r="AG29">
        <v>0</v>
      </c>
      <c r="AI29" t="str">
        <f t="shared" si="34"/>
        <v>Jumlah Pengguna Swa Cam</v>
      </c>
      <c r="AK29" s="618">
        <f t="shared" si="143"/>
        <v>110</v>
      </c>
      <c r="AL29" s="618">
        <f t="shared" si="189"/>
        <v>110</v>
      </c>
      <c r="AM29" s="618">
        <f t="shared" si="189"/>
        <v>110</v>
      </c>
      <c r="AN29" s="618">
        <f t="shared" si="189"/>
        <v>110</v>
      </c>
      <c r="AO29" s="618">
        <f t="shared" si="189"/>
        <v>110</v>
      </c>
      <c r="AP29" s="618">
        <f t="shared" si="189"/>
        <v>110</v>
      </c>
      <c r="AQ29" s="618">
        <f t="shared" si="189"/>
        <v>110</v>
      </c>
      <c r="AR29" s="618">
        <f t="shared" si="189"/>
        <v>110</v>
      </c>
      <c r="AS29" s="618">
        <f t="shared" si="189"/>
        <v>110</v>
      </c>
      <c r="AT29" s="618">
        <f t="shared" si="189"/>
        <v>0</v>
      </c>
      <c r="AU29" s="618">
        <f t="shared" si="189"/>
        <v>0</v>
      </c>
      <c r="AV29" s="618">
        <f t="shared" si="189"/>
        <v>0</v>
      </c>
      <c r="AW29" s="621"/>
      <c r="AX29" t="str">
        <f t="shared" si="36"/>
        <v>Jumlah Pengguna Swa Cam</v>
      </c>
      <c r="AY29" s="105" t="s">
        <v>458</v>
      </c>
      <c r="AZ29" s="620">
        <f>4/2</f>
        <v>2</v>
      </c>
      <c r="BA29" s="618">
        <f t="shared" si="50"/>
        <v>2.2000000000000002</v>
      </c>
      <c r="BB29" s="618">
        <f t="shared" si="37"/>
        <v>2.2000000000000002</v>
      </c>
      <c r="BC29" s="618">
        <f t="shared" si="38"/>
        <v>2.2000000000000002</v>
      </c>
      <c r="BD29" s="618">
        <f t="shared" si="39"/>
        <v>2.2000000000000002</v>
      </c>
      <c r="BE29" s="618">
        <f t="shared" si="40"/>
        <v>2.2000000000000002</v>
      </c>
      <c r="BF29" s="618">
        <f t="shared" si="41"/>
        <v>2.2000000000000002</v>
      </c>
      <c r="BG29" s="618">
        <f t="shared" si="42"/>
        <v>2.2000000000000002</v>
      </c>
      <c r="BH29" s="618">
        <f t="shared" si="43"/>
        <v>2.2000000000000002</v>
      </c>
      <c r="BI29" s="618">
        <f t="shared" si="44"/>
        <v>2.2000000000000002</v>
      </c>
      <c r="BJ29" s="618">
        <f t="shared" si="45"/>
        <v>0</v>
      </c>
      <c r="BK29" s="618">
        <f t="shared" si="46"/>
        <v>0</v>
      </c>
      <c r="BL29" s="618">
        <f t="shared" si="47"/>
        <v>0</v>
      </c>
      <c r="BM29" s="621"/>
      <c r="BN29" s="621"/>
      <c r="BO29" s="143"/>
      <c r="BQ29" s="622" cm="1">
        <f t="array" ref="BQ29">INDEX(AK29:AV29,MATCH(MONTH($BP$3),MONTH($AK$3:$AV$3),0))</f>
        <v>110</v>
      </c>
      <c r="BR29" t="str">
        <v>Jumlah Pengguna Swa Cam</v>
      </c>
      <c r="BS29" s="621">
        <v>110</v>
      </c>
      <c r="BT29" s="621" t="str">
        <f t="shared" si="48"/>
        <v/>
      </c>
      <c r="BU29" s="621" t="str">
        <v/>
      </c>
      <c r="BV29" s="618">
        <f t="shared" si="51"/>
        <v>1.1000000000000001</v>
      </c>
      <c r="BY29" s="618" t="e">
        <f t="shared" si="99"/>
        <v>#N/A</v>
      </c>
      <c r="BZ29" s="618" t="e">
        <f t="shared" si="100"/>
        <v>#N/A</v>
      </c>
      <c r="CA29" s="625" t="e">
        <f t="shared" si="101"/>
        <v>#N/A</v>
      </c>
      <c r="CB29" s="626" t="e">
        <f t="shared" si="102"/>
        <v>#N/A</v>
      </c>
      <c r="CC29" s="105" t="e">
        <f t="shared" si="103"/>
        <v>#N/A</v>
      </c>
      <c r="CD29" s="626" t="e">
        <f t="shared" si="104"/>
        <v>#N/A</v>
      </c>
    </row>
    <row r="30" spans="1:82">
      <c r="A30" t="str">
        <v>b. Tindak Lanjut LBKB (Laporan Bulanan Kelainan Baca Meter)</v>
      </c>
      <c r="B30">
        <v>2</v>
      </c>
      <c r="C30" t="str">
        <v>Tindak Lanjut LBKB (Laporan Bulanan Kelainan Baca Meter)</v>
      </c>
      <c r="D30" s="105" t="s">
        <v>462</v>
      </c>
      <c r="E30" t="str">
        <v>Tindak Lanjut LBKB (Laporan Bulanan Kelainan Baca Meter)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T30" t="str">
        <v>Tindak Lanjut LBKB (Laporan Bulanan Kelainan Baca Meter)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I30" t="str">
        <f t="shared" si="34"/>
        <v>Tindak Lanjut LBKB (Laporan Bulanan Kelainan Baca Meter)</v>
      </c>
      <c r="AK30" s="618">
        <f t="shared" si="143"/>
        <v>100</v>
      </c>
      <c r="AL30" s="618">
        <f t="shared" si="189"/>
        <v>100</v>
      </c>
      <c r="AM30" s="618">
        <f t="shared" si="189"/>
        <v>100</v>
      </c>
      <c r="AN30" s="618">
        <f t="shared" si="189"/>
        <v>100</v>
      </c>
      <c r="AO30" s="618">
        <f t="shared" si="189"/>
        <v>100</v>
      </c>
      <c r="AP30" s="618">
        <f t="shared" si="189"/>
        <v>100</v>
      </c>
      <c r="AQ30" s="618">
        <f t="shared" si="189"/>
        <v>100</v>
      </c>
      <c r="AR30" s="618">
        <f t="shared" si="189"/>
        <v>100</v>
      </c>
      <c r="AS30" s="618">
        <f t="shared" si="189"/>
        <v>100</v>
      </c>
      <c r="AT30" s="618">
        <f t="shared" si="189"/>
        <v>100</v>
      </c>
      <c r="AU30" s="618">
        <f t="shared" si="189"/>
        <v>100</v>
      </c>
      <c r="AV30" s="618">
        <f t="shared" si="189"/>
        <v>100</v>
      </c>
      <c r="AW30" s="621"/>
      <c r="AX30" t="str">
        <f t="shared" si="36"/>
        <v>Tindak Lanjut LBKB (Laporan Bulanan Kelainan Baca Meter)</v>
      </c>
      <c r="AY30" s="105" t="s">
        <v>458</v>
      </c>
      <c r="AZ30" s="620">
        <f>4/2</f>
        <v>2</v>
      </c>
      <c r="BA30" s="618">
        <f t="shared" si="50"/>
        <v>2</v>
      </c>
      <c r="BB30" s="618">
        <f t="shared" si="37"/>
        <v>2</v>
      </c>
      <c r="BC30" s="618">
        <f t="shared" si="38"/>
        <v>2</v>
      </c>
      <c r="BD30" s="618">
        <f t="shared" si="39"/>
        <v>2</v>
      </c>
      <c r="BE30" s="618">
        <f t="shared" si="40"/>
        <v>2</v>
      </c>
      <c r="BF30" s="618">
        <f t="shared" si="41"/>
        <v>2</v>
      </c>
      <c r="BG30" s="618">
        <f t="shared" si="42"/>
        <v>2</v>
      </c>
      <c r="BH30" s="618">
        <f t="shared" si="43"/>
        <v>2</v>
      </c>
      <c r="BI30" s="618">
        <f t="shared" si="44"/>
        <v>2</v>
      </c>
      <c r="BJ30" s="618">
        <f t="shared" si="45"/>
        <v>2</v>
      </c>
      <c r="BK30" s="618">
        <f t="shared" si="46"/>
        <v>2</v>
      </c>
      <c r="BL30" s="618">
        <f t="shared" si="47"/>
        <v>2</v>
      </c>
      <c r="BM30" s="621"/>
      <c r="BN30" s="621"/>
      <c r="BO30" s="143"/>
      <c r="BQ30" s="622" cm="1">
        <f t="array" ref="BQ30">INDEX(AK30:AV30,MATCH(MONTH($BP$3),MONTH($AK$3:$AV$3),0))</f>
        <v>100</v>
      </c>
      <c r="BR30" t="str">
        <v>Tindak Lanjut LBKB (Laporan Bulanan Kelainan Baca Meter)</v>
      </c>
      <c r="BS30" s="621">
        <v>100</v>
      </c>
      <c r="BT30" s="621" t="str">
        <f t="shared" si="48"/>
        <v/>
      </c>
      <c r="BU30" s="621" t="str">
        <v/>
      </c>
      <c r="BV30" s="618">
        <f t="shared" si="51"/>
        <v>1</v>
      </c>
      <c r="BY30" s="618" t="e">
        <f t="shared" si="99"/>
        <v>#N/A</v>
      </c>
      <c r="BZ30" s="618" t="e">
        <f t="shared" si="100"/>
        <v>#N/A</v>
      </c>
      <c r="CA30" s="625" t="e">
        <f t="shared" si="101"/>
        <v>#N/A</v>
      </c>
      <c r="CB30" s="626" t="e">
        <f t="shared" si="102"/>
        <v>#N/A</v>
      </c>
      <c r="CC30" s="105" t="e">
        <f t="shared" si="103"/>
        <v>#N/A</v>
      </c>
      <c r="CD30" s="626" t="e">
        <f t="shared" si="104"/>
        <v>#N/A</v>
      </c>
    </row>
    <row r="31" spans="1:82">
      <c r="A31" t="str">
        <v>a. Pencapaian Rata-Rata Saldo Tanggal 20 diluar Konsumen Instansi (Kementerian &amp; Lembaga)</v>
      </c>
      <c r="B31">
        <v>2</v>
      </c>
      <c r="C31" t="str">
        <v>Pencapaian Rata-Rata Saldo Tanggal 20 diluar Konsumen Instansi (Kementerian &amp; Lembaga)</v>
      </c>
      <c r="D31" s="105" t="s">
        <v>462</v>
      </c>
      <c r="E31" t="str">
        <v>Pencapaian Rata-Rata Saldo Tanggal 20 diluar Konsumen Instansi (Kementerian &amp; Lembaga)</v>
      </c>
      <c r="G31">
        <v>1175</v>
      </c>
      <c r="H31">
        <v>1175</v>
      </c>
      <c r="I31">
        <v>1175</v>
      </c>
      <c r="J31">
        <v>1175</v>
      </c>
      <c r="K31">
        <v>1175</v>
      </c>
      <c r="L31">
        <v>1175</v>
      </c>
      <c r="M31">
        <v>1175</v>
      </c>
      <c r="N31">
        <v>1175</v>
      </c>
      <c r="O31">
        <v>1175</v>
      </c>
      <c r="P31">
        <v>1175</v>
      </c>
      <c r="Q31">
        <v>1175</v>
      </c>
      <c r="R31">
        <v>1175</v>
      </c>
      <c r="T31" t="str">
        <v>Pencapaian Rata-Rata Saldo Tanggal 20 diluar Konsumen Instansi (Kementerian &amp; Lembaga)</v>
      </c>
      <c r="V31">
        <v>1281.87806</v>
      </c>
      <c r="W31">
        <v>1083.2909414999999</v>
      </c>
      <c r="X31">
        <v>1022.1397566666666</v>
      </c>
      <c r="Y31">
        <v>1028.3136465</v>
      </c>
      <c r="Z31">
        <v>1095.9366248000001</v>
      </c>
      <c r="AA31">
        <v>1111.3078128333334</v>
      </c>
      <c r="AB31">
        <v>1088.9630380000001</v>
      </c>
      <c r="AC31">
        <v>1029.1045273750001</v>
      </c>
      <c r="AD31">
        <v>1001.4119882222224</v>
      </c>
      <c r="AE31">
        <v>1001.4119882222224</v>
      </c>
      <c r="AF31">
        <v>1001.4119882222224</v>
      </c>
      <c r="AG31">
        <v>1001.4119882222224</v>
      </c>
      <c r="AI31" t="str">
        <f t="shared" si="34"/>
        <v>Pencapaian Rata-Rata Saldo Tanggal 20 diluar Konsumen Instansi (Kementerian &amp; Lembaga)</v>
      </c>
      <c r="AK31" s="618">
        <f t="shared" ref="AK31:AV32" si="190">IFERROR(IF((2-(V31/G31))*100&gt;110,110,(2-(V31/G31))*100),100)</f>
        <v>90.903994893617025</v>
      </c>
      <c r="AL31" s="618">
        <f t="shared" si="190"/>
        <v>107.80502625531916</v>
      </c>
      <c r="AM31" s="618">
        <f t="shared" si="190"/>
        <v>110</v>
      </c>
      <c r="AN31" s="618">
        <f t="shared" si="190"/>
        <v>110</v>
      </c>
      <c r="AO31" s="618">
        <f t="shared" si="190"/>
        <v>106.72879788936169</v>
      </c>
      <c r="AP31" s="618">
        <f t="shared" si="190"/>
        <v>105.42061167375887</v>
      </c>
      <c r="AQ31" s="618">
        <f t="shared" si="190"/>
        <v>107.32229463829785</v>
      </c>
      <c r="AR31" s="618">
        <f t="shared" si="190"/>
        <v>110</v>
      </c>
      <c r="AS31" s="618">
        <f t="shared" si="190"/>
        <v>110</v>
      </c>
      <c r="AT31" s="618">
        <f t="shared" si="190"/>
        <v>110</v>
      </c>
      <c r="AU31" s="618">
        <f t="shared" si="190"/>
        <v>110</v>
      </c>
      <c r="AV31" s="618">
        <f t="shared" si="190"/>
        <v>110</v>
      </c>
      <c r="AW31" s="621"/>
      <c r="AX31" t="str">
        <f t="shared" si="36"/>
        <v>Pencapaian Rata-Rata Saldo Tanggal 20 diluar Konsumen Instansi (Kementerian &amp; Lembaga)</v>
      </c>
      <c r="AY31" s="105" t="s">
        <v>458</v>
      </c>
      <c r="AZ31" s="620">
        <f t="shared" ref="AZ31:AZ36" si="191">6/3</f>
        <v>2</v>
      </c>
      <c r="BA31" s="618">
        <f t="shared" si="50"/>
        <v>1.81</v>
      </c>
      <c r="BB31" s="618">
        <f t="shared" si="37"/>
        <v>2.15</v>
      </c>
      <c r="BC31" s="618">
        <f t="shared" si="38"/>
        <v>2.2000000000000002</v>
      </c>
      <c r="BD31" s="618">
        <f t="shared" si="39"/>
        <v>2.2000000000000002</v>
      </c>
      <c r="BE31" s="618">
        <f t="shared" si="40"/>
        <v>2.13</v>
      </c>
      <c r="BF31" s="618">
        <f t="shared" si="41"/>
        <v>2.1</v>
      </c>
      <c r="BG31" s="618">
        <f t="shared" si="42"/>
        <v>2.14</v>
      </c>
      <c r="BH31" s="618">
        <f t="shared" si="43"/>
        <v>2.2000000000000002</v>
      </c>
      <c r="BI31" s="618">
        <f t="shared" si="44"/>
        <v>2.2000000000000002</v>
      </c>
      <c r="BJ31" s="618">
        <f t="shared" si="45"/>
        <v>2.2000000000000002</v>
      </c>
      <c r="BK31" s="618">
        <f t="shared" si="46"/>
        <v>2.2000000000000002</v>
      </c>
      <c r="BL31" s="618">
        <f t="shared" si="47"/>
        <v>2.2000000000000002</v>
      </c>
      <c r="BM31" s="621"/>
      <c r="BN31" s="621"/>
      <c r="BO31" s="143"/>
      <c r="BQ31" s="622" cm="1">
        <f t="array" ref="BQ31">INDEX(AK31:AV31,MATCH(MONTH($BP$3),MONTH($AK$3:$AV$3),0))</f>
        <v>105.42061167375887</v>
      </c>
      <c r="BR31" t="str">
        <v>Pencapaian Rata-Rata Saldo Tanggal 20 diluar Konsumen Instansi (Kementerian &amp; Lembaga)</v>
      </c>
      <c r="BS31" s="621">
        <v>105.42061167375887</v>
      </c>
      <c r="BT31" s="621" t="str">
        <f t="shared" si="48"/>
        <v/>
      </c>
      <c r="BU31" s="621" t="str">
        <v/>
      </c>
      <c r="BV31" s="618">
        <f t="shared" si="51"/>
        <v>1.0542061167375887</v>
      </c>
      <c r="BY31" s="618" t="e">
        <f t="shared" si="99"/>
        <v>#N/A</v>
      </c>
      <c r="BZ31" s="618" t="e">
        <f t="shared" si="100"/>
        <v>#N/A</v>
      </c>
      <c r="CA31" s="625" t="e">
        <f t="shared" si="101"/>
        <v>#N/A</v>
      </c>
      <c r="CB31" s="626" t="e">
        <f t="shared" si="102"/>
        <v>#N/A</v>
      </c>
      <c r="CC31" s="105" t="e">
        <f t="shared" si="103"/>
        <v>#N/A</v>
      </c>
      <c r="CD31" s="626" t="e">
        <f t="shared" si="104"/>
        <v>#N/A</v>
      </c>
    </row>
    <row r="32" spans="1:82">
      <c r="A32" t="str">
        <v>b. Pencapaian Saldo Rata-Rata Akhir Bulan diluar Konsumen Instansi (Kementerian &amp; Lembaga)</v>
      </c>
      <c r="B32">
        <v>2</v>
      </c>
      <c r="C32" t="str">
        <v>Pencapaian Saldo Rata-Rata Akhir Bulan diluar Konsumen Instansi (Kementerian &amp; Lembaga)</v>
      </c>
      <c r="D32" s="105" t="s">
        <v>462</v>
      </c>
      <c r="E32" t="str">
        <v>Pencapaian Saldo Rata-Rata Akhir Bulan diluar Konsumen Instansi (Kementerian &amp; Lembaga)</v>
      </c>
      <c r="G32">
        <v>286.27</v>
      </c>
      <c r="H32">
        <v>286.27</v>
      </c>
      <c r="I32">
        <v>286.27</v>
      </c>
      <c r="J32">
        <v>286.27</v>
      </c>
      <c r="K32">
        <v>286.27</v>
      </c>
      <c r="L32">
        <v>286.27</v>
      </c>
      <c r="M32">
        <v>286.27</v>
      </c>
      <c r="N32">
        <v>286.27</v>
      </c>
      <c r="O32">
        <v>286.27</v>
      </c>
      <c r="P32">
        <v>286.27</v>
      </c>
      <c r="Q32">
        <v>286.27</v>
      </c>
      <c r="R32">
        <v>286.27</v>
      </c>
      <c r="T32" t="str">
        <v>Pencapaian Saldo Rata-Rata Akhir Bulan diluar Konsumen Instansi (Kementerian &amp; Lembaga)</v>
      </c>
      <c r="V32">
        <v>568.75291700000002</v>
      </c>
      <c r="W32">
        <v>551.86737949999997</v>
      </c>
      <c r="X32">
        <v>507.71158633333334</v>
      </c>
      <c r="Y32">
        <v>521.94955825</v>
      </c>
      <c r="Z32">
        <v>502.51584860000003</v>
      </c>
      <c r="AA32">
        <v>472.08207300000004</v>
      </c>
      <c r="AB32">
        <v>406.4669252857143</v>
      </c>
      <c r="AC32">
        <v>356.950721875</v>
      </c>
      <c r="AD32">
        <v>321.95223111111113</v>
      </c>
      <c r="AE32">
        <v>321.95223111111113</v>
      </c>
      <c r="AF32">
        <v>321.95223111111113</v>
      </c>
      <c r="AG32">
        <v>321.95223111111113</v>
      </c>
      <c r="AI32" t="str">
        <f t="shared" si="34"/>
        <v>Pencapaian Saldo Rata-Rata Akhir Bulan diluar Konsumen Instansi (Kementerian &amp; Lembaga)</v>
      </c>
      <c r="AK32" s="618">
        <f t="shared" si="190"/>
        <v>1.3229059978342006</v>
      </c>
      <c r="AL32" s="618">
        <f t="shared" si="190"/>
        <v>7.2213716072239587</v>
      </c>
      <c r="AM32" s="618">
        <f t="shared" si="190"/>
        <v>22.645898510729957</v>
      </c>
      <c r="AN32" s="618">
        <f t="shared" si="190"/>
        <v>17.672282023963383</v>
      </c>
      <c r="AO32" s="618">
        <f t="shared" si="190"/>
        <v>24.46087658504208</v>
      </c>
      <c r="AP32" s="618">
        <f t="shared" si="190"/>
        <v>35.092020470185467</v>
      </c>
      <c r="AQ32" s="618">
        <f t="shared" si="190"/>
        <v>58.012741368039158</v>
      </c>
      <c r="AR32" s="618">
        <f t="shared" si="190"/>
        <v>75.309769841408453</v>
      </c>
      <c r="AS32" s="618">
        <f t="shared" si="190"/>
        <v>87.53546263628354</v>
      </c>
      <c r="AT32" s="618">
        <f t="shared" si="190"/>
        <v>87.53546263628354</v>
      </c>
      <c r="AU32" s="618">
        <f t="shared" si="190"/>
        <v>87.53546263628354</v>
      </c>
      <c r="AV32" s="618">
        <f t="shared" si="190"/>
        <v>87.53546263628354</v>
      </c>
      <c r="AW32" s="621"/>
      <c r="AX32" t="str">
        <f t="shared" si="36"/>
        <v>Pencapaian Saldo Rata-Rata Akhir Bulan diluar Konsumen Instansi (Kementerian &amp; Lembaga)</v>
      </c>
      <c r="AY32" s="105" t="s">
        <v>458</v>
      </c>
      <c r="AZ32" s="620">
        <f t="shared" si="191"/>
        <v>2</v>
      </c>
      <c r="BA32" s="618">
        <f t="shared" si="50"/>
        <v>0.02</v>
      </c>
      <c r="BB32" s="618">
        <f t="shared" si="37"/>
        <v>0.14000000000000001</v>
      </c>
      <c r="BC32" s="618">
        <f t="shared" si="38"/>
        <v>0.45</v>
      </c>
      <c r="BD32" s="618">
        <f t="shared" si="39"/>
        <v>0.35</v>
      </c>
      <c r="BE32" s="618">
        <f t="shared" si="40"/>
        <v>0.48</v>
      </c>
      <c r="BF32" s="618">
        <f t="shared" si="41"/>
        <v>0.7</v>
      </c>
      <c r="BG32" s="618">
        <f t="shared" si="42"/>
        <v>1.1599999999999999</v>
      </c>
      <c r="BH32" s="618">
        <f t="shared" si="43"/>
        <v>1.5</v>
      </c>
      <c r="BI32" s="618">
        <f t="shared" si="44"/>
        <v>1.75</v>
      </c>
      <c r="BJ32" s="618">
        <f t="shared" si="45"/>
        <v>1.75</v>
      </c>
      <c r="BK32" s="618">
        <f t="shared" si="46"/>
        <v>1.75</v>
      </c>
      <c r="BL32" s="618">
        <f t="shared" si="47"/>
        <v>1.75</v>
      </c>
      <c r="BM32" s="621"/>
      <c r="BN32" s="621"/>
      <c r="BO32" s="143"/>
      <c r="BQ32" s="622" cm="1">
        <f t="array" ref="BQ32">INDEX(AK32:AV32,MATCH(MONTH($BP$3),MONTH($AK$3:$AV$3),0))</f>
        <v>35.092020470185467</v>
      </c>
      <c r="BR32" t="str">
        <v>Pencapaian Saldo Rata-Rata Akhir Bulan diluar Konsumen Instansi (Kementerian &amp; Lembaga)</v>
      </c>
      <c r="BS32" s="621" t="str">
        <v/>
      </c>
      <c r="BT32" s="621" t="str">
        <f t="shared" si="48"/>
        <v/>
      </c>
      <c r="BU32" s="621">
        <v>35.092020470185467</v>
      </c>
      <c r="BV32" s="618">
        <f t="shared" si="51"/>
        <v>0.3509202047018547</v>
      </c>
      <c r="BY32" s="618" t="e">
        <f t="shared" si="99"/>
        <v>#N/A</v>
      </c>
      <c r="BZ32" s="618" t="e">
        <f t="shared" si="100"/>
        <v>#N/A</v>
      </c>
      <c r="CA32" s="625" t="e">
        <f t="shared" si="101"/>
        <v>#N/A</v>
      </c>
      <c r="CB32" s="626" t="e">
        <f t="shared" si="102"/>
        <v>#N/A</v>
      </c>
      <c r="CC32" s="105" t="e">
        <f t="shared" si="103"/>
        <v>#N/A</v>
      </c>
      <c r="CD32" s="626" t="e">
        <f t="shared" si="104"/>
        <v>#N/A</v>
      </c>
    </row>
    <row r="33" spans="1:82">
      <c r="A33" t="str">
        <v>c. Pencapaian Pelunasan PRR</v>
      </c>
      <c r="B33">
        <v>2</v>
      </c>
      <c r="C33" t="str">
        <v>Pencapaian Pelunasan PRR</v>
      </c>
      <c r="D33" s="105" t="s">
        <v>462</v>
      </c>
      <c r="E33" t="str">
        <v>Pencapaian Pelunasan PRR</v>
      </c>
      <c r="G33">
        <v>0.62</v>
      </c>
      <c r="H33">
        <v>1.24</v>
      </c>
      <c r="I33">
        <v>1.86</v>
      </c>
      <c r="J33">
        <v>2.48</v>
      </c>
      <c r="K33">
        <v>3.1</v>
      </c>
      <c r="L33">
        <v>3.73</v>
      </c>
      <c r="M33">
        <v>4.66</v>
      </c>
      <c r="N33">
        <v>5.59</v>
      </c>
      <c r="O33">
        <v>6.52</v>
      </c>
      <c r="P33">
        <v>7.45</v>
      </c>
      <c r="Q33">
        <v>8.3800000000000008</v>
      </c>
      <c r="R33">
        <v>9.31</v>
      </c>
      <c r="T33" t="str">
        <v>Pencapaian Pelunasan PRR</v>
      </c>
      <c r="V33">
        <v>0</v>
      </c>
      <c r="W33">
        <v>0</v>
      </c>
      <c r="X33">
        <v>2.5170159999999999</v>
      </c>
      <c r="Y33">
        <v>3.384001</v>
      </c>
      <c r="Z33">
        <v>11.555612</v>
      </c>
      <c r="AA33">
        <v>11.555612</v>
      </c>
      <c r="AB33">
        <v>11.555612</v>
      </c>
      <c r="AC33">
        <v>11.555612</v>
      </c>
      <c r="AD33">
        <v>16.879501000000001</v>
      </c>
      <c r="AE33">
        <v>0</v>
      </c>
      <c r="AF33">
        <v>0</v>
      </c>
      <c r="AG33">
        <v>0</v>
      </c>
      <c r="AI33" t="str">
        <f t="shared" si="34"/>
        <v>Pencapaian Pelunasan PRR</v>
      </c>
      <c r="AK33" s="618">
        <f t="shared" ref="AK33:AV33" si="192">IFERROR(IF(V33/G33*100&gt;110,110,V33/G33*100),100)</f>
        <v>0</v>
      </c>
      <c r="AL33" s="618">
        <f t="shared" si="192"/>
        <v>0</v>
      </c>
      <c r="AM33" s="618">
        <f t="shared" si="192"/>
        <v>110</v>
      </c>
      <c r="AN33" s="618">
        <f t="shared" si="192"/>
        <v>110</v>
      </c>
      <c r="AO33" s="618">
        <f t="shared" si="192"/>
        <v>110</v>
      </c>
      <c r="AP33" s="618">
        <f t="shared" si="192"/>
        <v>110</v>
      </c>
      <c r="AQ33" s="618">
        <f t="shared" si="192"/>
        <v>110</v>
      </c>
      <c r="AR33" s="618">
        <f t="shared" si="192"/>
        <v>110</v>
      </c>
      <c r="AS33" s="618">
        <f t="shared" si="192"/>
        <v>110</v>
      </c>
      <c r="AT33" s="618">
        <f t="shared" si="192"/>
        <v>0</v>
      </c>
      <c r="AU33" s="618">
        <f t="shared" si="192"/>
        <v>0</v>
      </c>
      <c r="AV33" s="618">
        <f t="shared" si="192"/>
        <v>0</v>
      </c>
      <c r="AW33" s="621"/>
      <c r="AX33" t="str">
        <f t="shared" si="36"/>
        <v>Pencapaian Pelunasan PRR</v>
      </c>
      <c r="AY33" s="105" t="s">
        <v>458</v>
      </c>
      <c r="AZ33" s="620">
        <f t="shared" si="191"/>
        <v>2</v>
      </c>
      <c r="BA33" s="618">
        <f t="shared" si="50"/>
        <v>0</v>
      </c>
      <c r="BB33" s="618">
        <f t="shared" si="37"/>
        <v>0</v>
      </c>
      <c r="BC33" s="618">
        <f t="shared" si="38"/>
        <v>2.2000000000000002</v>
      </c>
      <c r="BD33" s="618">
        <f t="shared" si="39"/>
        <v>2.2000000000000002</v>
      </c>
      <c r="BE33" s="618">
        <f t="shared" si="40"/>
        <v>2.2000000000000002</v>
      </c>
      <c r="BF33" s="618">
        <f t="shared" si="41"/>
        <v>2.2000000000000002</v>
      </c>
      <c r="BG33" s="618">
        <f t="shared" si="42"/>
        <v>2.2000000000000002</v>
      </c>
      <c r="BH33" s="618">
        <f t="shared" si="43"/>
        <v>2.2000000000000002</v>
      </c>
      <c r="BI33" s="618">
        <f t="shared" si="44"/>
        <v>2.2000000000000002</v>
      </c>
      <c r="BJ33" s="618">
        <f t="shared" si="45"/>
        <v>0</v>
      </c>
      <c r="BK33" s="618">
        <f t="shared" si="46"/>
        <v>0</v>
      </c>
      <c r="BL33" s="618">
        <f t="shared" si="47"/>
        <v>0</v>
      </c>
      <c r="BM33" s="621"/>
      <c r="BN33" s="621"/>
      <c r="BO33" s="143"/>
      <c r="BQ33" s="622" cm="1">
        <f t="array" ref="BQ33">INDEX(AK33:AV33,MATCH(MONTH($BP$3),MONTH($AK$3:$AV$3),0))</f>
        <v>110</v>
      </c>
      <c r="BR33" t="str">
        <v>Pencapaian Pelunasan PRR</v>
      </c>
      <c r="BS33" s="621">
        <v>110</v>
      </c>
      <c r="BT33" s="621" t="str">
        <f t="shared" si="48"/>
        <v/>
      </c>
      <c r="BU33" s="621" t="str">
        <v/>
      </c>
      <c r="BV33" s="618">
        <f t="shared" si="51"/>
        <v>1.1000000000000001</v>
      </c>
      <c r="BY33" s="618" t="e">
        <f t="shared" si="99"/>
        <v>#N/A</v>
      </c>
      <c r="BZ33" s="618" t="e">
        <f t="shared" si="100"/>
        <v>#N/A</v>
      </c>
      <c r="CA33" s="625" t="e">
        <f t="shared" si="101"/>
        <v>#N/A</v>
      </c>
      <c r="CB33" s="626" t="e">
        <f t="shared" si="102"/>
        <v>#N/A</v>
      </c>
      <c r="CC33" s="105" t="e">
        <f t="shared" si="103"/>
        <v>#N/A</v>
      </c>
      <c r="CD33" s="626" t="e">
        <f t="shared" si="104"/>
        <v>#N/A</v>
      </c>
    </row>
    <row r="34" spans="1:82">
      <c r="A34" t="str">
        <v>a. Pengendalian Penggunaan Anggaran Investasi sesuai RKAP</v>
      </c>
      <c r="B34">
        <v>2</v>
      </c>
      <c r="C34" t="str">
        <v>Pengendalian Penggunaan Anggaran Investasi sesuai RKAP</v>
      </c>
      <c r="D34" s="105" t="s">
        <v>462</v>
      </c>
      <c r="E34" t="str">
        <v>Pengendalian Penggunaan Anggaran Investasi sesuai RKAP</v>
      </c>
      <c r="G34" t="str">
        <v>95-100</v>
      </c>
      <c r="H34" t="str">
        <v>95-100</v>
      </c>
      <c r="I34" t="str">
        <v>95-100</v>
      </c>
      <c r="J34" t="str">
        <v>95-100</v>
      </c>
      <c r="K34" t="str">
        <v>95-100</v>
      </c>
      <c r="L34" t="str">
        <v>95-100</v>
      </c>
      <c r="M34" t="str">
        <v>95-100</v>
      </c>
      <c r="N34" t="str">
        <v>95-100</v>
      </c>
      <c r="O34" t="str">
        <v>95-100</v>
      </c>
      <c r="P34" t="str">
        <v>95-100</v>
      </c>
      <c r="Q34" t="str">
        <v>95-100</v>
      </c>
      <c r="R34" t="str">
        <v>95-100</v>
      </c>
      <c r="T34" t="str">
        <v>Pengendalian Penggunaan Anggaran Investasi sesuai RKAP</v>
      </c>
      <c r="V34">
        <v>100</v>
      </c>
      <c r="W34">
        <v>100</v>
      </c>
      <c r="X34">
        <v>39.549999999999997</v>
      </c>
      <c r="Y34">
        <v>58.86</v>
      </c>
      <c r="Z34">
        <v>71.11</v>
      </c>
      <c r="AA34">
        <v>99.43</v>
      </c>
      <c r="AB34">
        <v>100</v>
      </c>
      <c r="AC34">
        <v>93.28</v>
      </c>
      <c r="AD34">
        <v>96</v>
      </c>
      <c r="AE34">
        <v>0</v>
      </c>
      <c r="AF34">
        <v>0</v>
      </c>
      <c r="AG34">
        <v>0</v>
      </c>
      <c r="AI34" t="str">
        <f t="shared" si="34"/>
        <v>Pengendalian Penggunaan Anggaran Investasi sesuai RKAP</v>
      </c>
      <c r="AK34" s="618">
        <f t="shared" ref="AK34:AV34" si="193">MAX(0,_xlfn.IFS(V34&lt;95,V34/95,
AND(V34&gt;=95,V34&lt;=100),1+((V34-95)/(100-95))*0.1,V34&gt;
100,1-(V34-100)/(190-100)))*100</f>
        <v>110.00000000000001</v>
      </c>
      <c r="AL34" s="618">
        <f t="shared" si="193"/>
        <v>110.00000000000001</v>
      </c>
      <c r="AM34" s="618">
        <f t="shared" si="193"/>
        <v>41.631578947368418</v>
      </c>
      <c r="AN34" s="618">
        <f t="shared" si="193"/>
        <v>61.9578947368421</v>
      </c>
      <c r="AO34" s="618">
        <f t="shared" si="193"/>
        <v>74.852631578947367</v>
      </c>
      <c r="AP34" s="618">
        <f t="shared" si="193"/>
        <v>108.86000000000003</v>
      </c>
      <c r="AQ34" s="618">
        <f t="shared" si="193"/>
        <v>110.00000000000001</v>
      </c>
      <c r="AR34" s="618">
        <f t="shared" si="193"/>
        <v>98.189473684210526</v>
      </c>
      <c r="AS34" s="618">
        <f t="shared" si="193"/>
        <v>102</v>
      </c>
      <c r="AT34" s="618">
        <f t="shared" si="193"/>
        <v>0</v>
      </c>
      <c r="AU34" s="618">
        <f t="shared" si="193"/>
        <v>0</v>
      </c>
      <c r="AV34" s="618">
        <f t="shared" si="193"/>
        <v>0</v>
      </c>
      <c r="AW34" s="621"/>
      <c r="AX34" t="str">
        <f t="shared" si="36"/>
        <v>Pengendalian Penggunaan Anggaran Investasi sesuai RKAP</v>
      </c>
      <c r="AY34" s="105" t="s">
        <v>458</v>
      </c>
      <c r="AZ34" s="620">
        <f t="shared" si="191"/>
        <v>2</v>
      </c>
      <c r="BA34" s="618">
        <f t="shared" si="50"/>
        <v>2.2000000000000002</v>
      </c>
      <c r="BB34" s="618">
        <f t="shared" si="37"/>
        <v>2.2000000000000002</v>
      </c>
      <c r="BC34" s="618">
        <f t="shared" si="38"/>
        <v>0.83</v>
      </c>
      <c r="BD34" s="618">
        <f t="shared" si="39"/>
        <v>1.23</v>
      </c>
      <c r="BE34" s="618">
        <f t="shared" si="40"/>
        <v>1.49</v>
      </c>
      <c r="BF34" s="618">
        <f t="shared" si="41"/>
        <v>2.17</v>
      </c>
      <c r="BG34" s="618">
        <f t="shared" si="42"/>
        <v>2.2000000000000002</v>
      </c>
      <c r="BH34" s="618">
        <f t="shared" si="43"/>
        <v>1.96</v>
      </c>
      <c r="BI34" s="618">
        <f t="shared" si="44"/>
        <v>2.04</v>
      </c>
      <c r="BJ34" s="618">
        <f t="shared" si="45"/>
        <v>0</v>
      </c>
      <c r="BK34" s="618">
        <f t="shared" si="46"/>
        <v>0</v>
      </c>
      <c r="BL34" s="618">
        <f t="shared" si="47"/>
        <v>0</v>
      </c>
      <c r="BM34" s="621"/>
      <c r="BN34" s="621"/>
      <c r="BO34" s="143"/>
      <c r="BQ34" s="622" cm="1">
        <f t="array" ref="BQ34">INDEX(AK34:AV34,MATCH(MONTH($BP$3),MONTH($AK$3:$AV$3),0))</f>
        <v>108.86000000000003</v>
      </c>
      <c r="BR34" t="str">
        <v>Pengendalian Penggunaan Anggaran Investasi sesuai RKAP</v>
      </c>
      <c r="BS34" s="621">
        <v>108.86000000000003</v>
      </c>
      <c r="BT34" s="621" t="str">
        <f t="shared" si="48"/>
        <v/>
      </c>
      <c r="BU34" s="621" t="str">
        <v/>
      </c>
      <c r="BV34" s="618">
        <f t="shared" si="51"/>
        <v>1.0886000000000002</v>
      </c>
      <c r="BY34" s="618" t="e">
        <f t="shared" si="99"/>
        <v>#N/A</v>
      </c>
      <c r="BZ34" s="618" t="e">
        <f t="shared" si="100"/>
        <v>#N/A</v>
      </c>
      <c r="CA34" s="625" t="e">
        <f t="shared" si="101"/>
        <v>#N/A</v>
      </c>
      <c r="CB34" s="626" t="e">
        <f t="shared" si="102"/>
        <v>#N/A</v>
      </c>
      <c r="CC34" s="105" t="e">
        <f t="shared" si="103"/>
        <v>#N/A</v>
      </c>
      <c r="CD34" s="626" t="e">
        <f t="shared" si="104"/>
        <v>#N/A</v>
      </c>
    </row>
    <row r="35" spans="1:82">
      <c r="A35" t="str">
        <v>b. Usulan Penghapusan ATTB</v>
      </c>
      <c r="B35">
        <v>2</v>
      </c>
      <c r="C35" t="str">
        <v>Usulan Penghapusan ATTB</v>
      </c>
      <c r="D35" s="105" t="s">
        <v>462</v>
      </c>
      <c r="E35" t="str">
        <v>Usulan Penghapusan ATTB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3.16</v>
      </c>
      <c r="T35" t="str">
        <v>Usulan Penghapusan ATTB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I35" t="str">
        <f t="shared" si="34"/>
        <v>Usulan Penghapusan ATTB</v>
      </c>
      <c r="AK35" s="618">
        <f t="shared" ref="AK35:AK44" si="194">IFERROR(IF(V35/G35*100&gt;110,110,V35/G35*100),100)</f>
        <v>100</v>
      </c>
      <c r="AL35" s="618">
        <f t="shared" ref="AL35:AL44" si="195">IFERROR(IF(W35/H35*100&gt;110,110,W35/H35*100),100)</f>
        <v>100</v>
      </c>
      <c r="AM35" s="618">
        <f t="shared" ref="AM35:AM44" si="196">IFERROR(IF(X35/I35*100&gt;110,110,X35/I35*100),100)</f>
        <v>100</v>
      </c>
      <c r="AN35" s="618">
        <f t="shared" ref="AN35:AN44" si="197">IFERROR(IF(Y35/J35*100&gt;110,110,Y35/J35*100),100)</f>
        <v>100</v>
      </c>
      <c r="AO35" s="618">
        <f t="shared" ref="AO35:AO44" si="198">IFERROR(IF(Z35/K35*100&gt;110,110,Z35/K35*100),100)</f>
        <v>100</v>
      </c>
      <c r="AP35" s="618">
        <f t="shared" ref="AP35:AP44" si="199">IFERROR(IF(AA35/L35*100&gt;110,110,AA35/L35*100),100)</f>
        <v>100</v>
      </c>
      <c r="AQ35" s="618">
        <f t="shared" ref="AQ35:AQ44" si="200">IFERROR(IF(AB35/M35*100&gt;110,110,AB35/M35*100),100)</f>
        <v>100</v>
      </c>
      <c r="AR35" s="618">
        <f t="shared" ref="AR35:AR44" si="201">IFERROR(IF(AC35/N35*100&gt;110,110,AC35/N35*100),100)</f>
        <v>100</v>
      </c>
      <c r="AS35" s="618">
        <f t="shared" ref="AS35:AS44" si="202">IFERROR(IF(AD35/O35*100&gt;110,110,AD35/O35*100),100)</f>
        <v>100</v>
      </c>
      <c r="AT35" s="618">
        <f t="shared" ref="AT35:AT44" si="203">IFERROR(IF(AE35/P35*100&gt;110,110,AE35/P35*100),100)</f>
        <v>100</v>
      </c>
      <c r="AU35" s="618">
        <f t="shared" ref="AU35:AU44" si="204">IFERROR(IF(AF35/Q35*100&gt;110,110,AF35/Q35*100),100)</f>
        <v>100</v>
      </c>
      <c r="AV35" s="618">
        <f t="shared" ref="AV35:AV44" si="205">IFERROR(IF(AG35/R35*100&gt;110,110,AG35/R35*100),100)</f>
        <v>0</v>
      </c>
      <c r="AW35" s="621"/>
      <c r="AX35" t="str">
        <f t="shared" si="36"/>
        <v>Usulan Penghapusan ATTB</v>
      </c>
      <c r="AY35" s="105" t="s">
        <v>458</v>
      </c>
      <c r="AZ35" s="620">
        <f t="shared" si="191"/>
        <v>2</v>
      </c>
      <c r="BA35" s="618">
        <f t="shared" si="50"/>
        <v>2</v>
      </c>
      <c r="BB35" s="618">
        <f t="shared" si="37"/>
        <v>2</v>
      </c>
      <c r="BC35" s="618">
        <f t="shared" si="38"/>
        <v>2</v>
      </c>
      <c r="BD35" s="618">
        <f t="shared" si="39"/>
        <v>2</v>
      </c>
      <c r="BE35" s="618">
        <f t="shared" si="40"/>
        <v>2</v>
      </c>
      <c r="BF35" s="618">
        <f t="shared" si="41"/>
        <v>2</v>
      </c>
      <c r="BG35" s="618">
        <f t="shared" si="42"/>
        <v>2</v>
      </c>
      <c r="BH35" s="618">
        <f t="shared" si="43"/>
        <v>2</v>
      </c>
      <c r="BI35" s="618">
        <f t="shared" si="44"/>
        <v>2</v>
      </c>
      <c r="BJ35" s="618">
        <f t="shared" si="45"/>
        <v>2</v>
      </c>
      <c r="BK35" s="618">
        <f t="shared" si="46"/>
        <v>2</v>
      </c>
      <c r="BL35" s="618">
        <f t="shared" si="47"/>
        <v>0</v>
      </c>
      <c r="BM35" s="621"/>
      <c r="BN35" s="621"/>
      <c r="BO35" s="143"/>
      <c r="BQ35" s="622" cm="1">
        <f t="array" ref="BQ35">INDEX(AK35:AV35,MATCH(MONTH($BP$3),MONTH($AK$3:$AV$3),0))</f>
        <v>100</v>
      </c>
      <c r="BR35" t="str">
        <v>Usulan Penghapusan ATTB</v>
      </c>
      <c r="BS35" s="621">
        <v>100</v>
      </c>
      <c r="BT35" s="621" t="str">
        <f t="shared" si="48"/>
        <v/>
      </c>
      <c r="BU35" s="621" t="str">
        <v/>
      </c>
      <c r="BV35" s="618">
        <f t="shared" si="51"/>
        <v>1</v>
      </c>
      <c r="BY35" s="618" t="e">
        <f t="shared" si="99"/>
        <v>#N/A</v>
      </c>
      <c r="BZ35" s="618" t="e">
        <f t="shared" si="100"/>
        <v>#N/A</v>
      </c>
      <c r="CA35" s="625" t="e">
        <f t="shared" si="101"/>
        <v>#N/A</v>
      </c>
      <c r="CB35" s="626" t="e">
        <f t="shared" si="102"/>
        <v>#N/A</v>
      </c>
      <c r="CC35" s="105" t="e">
        <f t="shared" si="103"/>
        <v>#N/A</v>
      </c>
      <c r="CD35" s="626" t="e">
        <f t="shared" si="104"/>
        <v>#N/A</v>
      </c>
    </row>
    <row r="36" spans="1:82">
      <c r="A36" t="str">
        <v>c. Usulan Penghapusan PRR</v>
      </c>
      <c r="B36">
        <v>2</v>
      </c>
      <c r="C36" t="str">
        <v>Usulan Penghapusan PRR</v>
      </c>
      <c r="D36" s="105" t="s">
        <v>462</v>
      </c>
      <c r="E36" t="str">
        <v>Usulan Penghapusan PRR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34.29</v>
      </c>
      <c r="T36" t="str">
        <v>Usulan Penghapusan PRR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I36" t="str">
        <f t="shared" si="34"/>
        <v>Usulan Penghapusan PRR</v>
      </c>
      <c r="AK36" s="618">
        <f t="shared" si="194"/>
        <v>100</v>
      </c>
      <c r="AL36" s="618">
        <f t="shared" si="195"/>
        <v>100</v>
      </c>
      <c r="AM36" s="618">
        <f t="shared" si="196"/>
        <v>100</v>
      </c>
      <c r="AN36" s="618">
        <f t="shared" si="197"/>
        <v>100</v>
      </c>
      <c r="AO36" s="618">
        <f t="shared" si="198"/>
        <v>100</v>
      </c>
      <c r="AP36" s="618">
        <f t="shared" si="199"/>
        <v>100</v>
      </c>
      <c r="AQ36" s="618">
        <f t="shared" si="200"/>
        <v>100</v>
      </c>
      <c r="AR36" s="618">
        <f t="shared" si="201"/>
        <v>100</v>
      </c>
      <c r="AS36" s="618">
        <f t="shared" si="202"/>
        <v>100</v>
      </c>
      <c r="AT36" s="618">
        <f t="shared" si="203"/>
        <v>100</v>
      </c>
      <c r="AU36" s="618">
        <f t="shared" si="204"/>
        <v>100</v>
      </c>
      <c r="AV36" s="618">
        <f t="shared" si="205"/>
        <v>0</v>
      </c>
      <c r="AW36" s="621"/>
      <c r="AX36" t="str">
        <f t="shared" si="36"/>
        <v>Usulan Penghapusan PRR</v>
      </c>
      <c r="AY36" s="105" t="s">
        <v>458</v>
      </c>
      <c r="AZ36" s="620">
        <f t="shared" si="191"/>
        <v>2</v>
      </c>
      <c r="BA36" s="618">
        <f t="shared" si="50"/>
        <v>2</v>
      </c>
      <c r="BB36" s="618">
        <f t="shared" si="37"/>
        <v>2</v>
      </c>
      <c r="BC36" s="618">
        <f t="shared" si="38"/>
        <v>2</v>
      </c>
      <c r="BD36" s="618">
        <f t="shared" si="39"/>
        <v>2</v>
      </c>
      <c r="BE36" s="618">
        <f t="shared" si="40"/>
        <v>2</v>
      </c>
      <c r="BF36" s="618">
        <f t="shared" si="41"/>
        <v>2</v>
      </c>
      <c r="BG36" s="618">
        <f t="shared" si="42"/>
        <v>2</v>
      </c>
      <c r="BH36" s="618">
        <f t="shared" si="43"/>
        <v>2</v>
      </c>
      <c r="BI36" s="618">
        <f t="shared" si="44"/>
        <v>2</v>
      </c>
      <c r="BJ36" s="618">
        <f t="shared" si="45"/>
        <v>2</v>
      </c>
      <c r="BK36" s="618">
        <f t="shared" si="46"/>
        <v>2</v>
      </c>
      <c r="BL36" s="618">
        <f t="shared" si="47"/>
        <v>0</v>
      </c>
      <c r="BM36" s="621"/>
      <c r="BN36" s="621"/>
      <c r="BO36" s="143"/>
      <c r="BQ36" s="622" cm="1">
        <f t="array" ref="BQ36">INDEX(AK36:AV36,MATCH(MONTH($BP$3),MONTH($AK$3:$AV$3),0))</f>
        <v>100</v>
      </c>
      <c r="BR36" t="str">
        <v>Usulan Penghapusan PRR</v>
      </c>
      <c r="BS36" s="621">
        <v>100</v>
      </c>
      <c r="BT36" s="621" t="str">
        <f t="shared" si="48"/>
        <v/>
      </c>
      <c r="BU36" s="621" t="str">
        <v/>
      </c>
      <c r="BV36" s="618">
        <f t="shared" si="51"/>
        <v>1</v>
      </c>
      <c r="BY36" s="618" t="e">
        <f t="shared" si="99"/>
        <v>#N/A</v>
      </c>
      <c r="BZ36" s="618" t="e">
        <f t="shared" si="100"/>
        <v>#N/A</v>
      </c>
      <c r="CA36" s="625" t="e">
        <f t="shared" si="101"/>
        <v>#N/A</v>
      </c>
      <c r="CB36" s="626" t="e">
        <f t="shared" si="102"/>
        <v>#N/A</v>
      </c>
      <c r="CC36" s="105" t="e">
        <f t="shared" si="103"/>
        <v>#N/A</v>
      </c>
      <c r="CD36" s="626" t="e">
        <f t="shared" si="104"/>
        <v>#N/A</v>
      </c>
    </row>
    <row r="37" spans="1:82">
      <c r="A37" t="str">
        <v>a. HCR, OCR, dan Produktivitas Pegawai</v>
      </c>
      <c r="B37">
        <v>2</v>
      </c>
      <c r="C37" t="str">
        <v>HCR, OCR, dan Produktivitas Pegawai</v>
      </c>
      <c r="D37" s="105" t="s">
        <v>462</v>
      </c>
      <c r="E37" t="str">
        <v>HCR, OCR, dan Produktivitas Pegawai</v>
      </c>
      <c r="G37">
        <v>0</v>
      </c>
      <c r="H37">
        <v>0</v>
      </c>
      <c r="I37">
        <v>0</v>
      </c>
      <c r="J37">
        <v>0</v>
      </c>
      <c r="K37">
        <v>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T37" t="str">
        <v>HCR, OCR, dan Produktivitas Pegawai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108.55</v>
      </c>
      <c r="AB37">
        <v>108.55</v>
      </c>
      <c r="AC37">
        <v>108.55</v>
      </c>
      <c r="AD37">
        <v>100</v>
      </c>
      <c r="AE37">
        <v>100</v>
      </c>
      <c r="AF37">
        <v>100</v>
      </c>
      <c r="AG37">
        <v>100</v>
      </c>
      <c r="AI37" t="str">
        <f t="shared" si="34"/>
        <v>HCR, OCR, dan Produktivitas Pegawai</v>
      </c>
      <c r="AK37" s="618">
        <f t="shared" si="194"/>
        <v>100</v>
      </c>
      <c r="AL37" s="618">
        <f t="shared" si="195"/>
        <v>100</v>
      </c>
      <c r="AM37" s="618">
        <f t="shared" si="196"/>
        <v>100</v>
      </c>
      <c r="AN37" s="618">
        <f t="shared" si="197"/>
        <v>100</v>
      </c>
      <c r="AO37" s="618">
        <f t="shared" si="198"/>
        <v>100</v>
      </c>
      <c r="AP37" s="618">
        <f t="shared" si="199"/>
        <v>108.55</v>
      </c>
      <c r="AQ37" s="618">
        <f t="shared" si="200"/>
        <v>108.55</v>
      </c>
      <c r="AR37" s="618">
        <f t="shared" si="201"/>
        <v>108.55</v>
      </c>
      <c r="AS37" s="618">
        <f t="shared" si="202"/>
        <v>100</v>
      </c>
      <c r="AT37" s="618">
        <f t="shared" si="203"/>
        <v>100</v>
      </c>
      <c r="AU37" s="618">
        <f t="shared" si="204"/>
        <v>100</v>
      </c>
      <c r="AV37" s="618">
        <f t="shared" si="205"/>
        <v>100</v>
      </c>
      <c r="AW37" s="621"/>
      <c r="AX37" t="str">
        <f t="shared" si="36"/>
        <v>HCR, OCR, dan Produktivitas Pegawai</v>
      </c>
      <c r="AY37" s="105" t="s">
        <v>458</v>
      </c>
      <c r="AZ37" s="620">
        <v>2</v>
      </c>
      <c r="BA37" s="618">
        <f t="shared" si="50"/>
        <v>2</v>
      </c>
      <c r="BB37" s="618">
        <f t="shared" si="37"/>
        <v>2</v>
      </c>
      <c r="BC37" s="618">
        <f t="shared" si="38"/>
        <v>2</v>
      </c>
      <c r="BD37" s="618">
        <f t="shared" si="39"/>
        <v>2</v>
      </c>
      <c r="BE37" s="618">
        <f t="shared" si="40"/>
        <v>2</v>
      </c>
      <c r="BF37" s="618">
        <f t="shared" si="41"/>
        <v>2.17</v>
      </c>
      <c r="BG37" s="618">
        <f t="shared" si="42"/>
        <v>2.17</v>
      </c>
      <c r="BH37" s="618">
        <f t="shared" si="43"/>
        <v>2.17</v>
      </c>
      <c r="BI37" s="618">
        <f t="shared" si="44"/>
        <v>2</v>
      </c>
      <c r="BJ37" s="618">
        <f t="shared" si="45"/>
        <v>2</v>
      </c>
      <c r="BK37" s="618">
        <f t="shared" si="46"/>
        <v>2</v>
      </c>
      <c r="BL37" s="618">
        <f t="shared" si="47"/>
        <v>2</v>
      </c>
      <c r="BM37" s="621"/>
      <c r="BN37" s="621"/>
      <c r="BO37" s="143"/>
      <c r="BQ37" s="622" cm="1">
        <f t="array" ref="BQ37">INDEX(AK37:AV37,MATCH(MONTH($BP$3),MONTH($AK$3:$AV$3),0))</f>
        <v>108.55</v>
      </c>
      <c r="BR37" t="str">
        <v>HCR, OCR, dan Produktivitas Pegawai</v>
      </c>
      <c r="BS37" s="621">
        <v>108.55</v>
      </c>
      <c r="BT37" s="621" t="str">
        <f t="shared" si="48"/>
        <v/>
      </c>
      <c r="BU37" s="621" t="str">
        <v/>
      </c>
      <c r="BV37" s="618">
        <f t="shared" si="51"/>
        <v>1.0854999999999999</v>
      </c>
      <c r="BY37" s="618" t="e">
        <f t="shared" si="99"/>
        <v>#N/A</v>
      </c>
      <c r="BZ37" s="618" t="e">
        <f t="shared" si="100"/>
        <v>#N/A</v>
      </c>
      <c r="CA37" s="625" t="e">
        <f t="shared" si="101"/>
        <v>#N/A</v>
      </c>
      <c r="CB37" s="626" t="e">
        <f t="shared" si="102"/>
        <v>#N/A</v>
      </c>
      <c r="CC37" s="105" t="e">
        <f t="shared" si="103"/>
        <v>#N/A</v>
      </c>
      <c r="CD37" s="626" t="e">
        <f t="shared" si="104"/>
        <v>#N/A</v>
      </c>
    </row>
    <row r="38" spans="1:82">
      <c r="A38" t="str">
        <v>b. Produktivitas Unit</v>
      </c>
      <c r="B38">
        <v>2</v>
      </c>
      <c r="C38" t="str">
        <v>Produktivitas Unit</v>
      </c>
      <c r="D38" s="105" t="s">
        <v>462</v>
      </c>
      <c r="E38" t="str">
        <v>Produktivitas Unit</v>
      </c>
      <c r="G38">
        <v>0</v>
      </c>
      <c r="H38">
        <v>0</v>
      </c>
      <c r="I38">
        <v>0</v>
      </c>
      <c r="J38">
        <v>0</v>
      </c>
      <c r="K38">
        <v>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T38" t="str">
        <v>Produktivitas Unit</v>
      </c>
      <c r="V38">
        <v>100</v>
      </c>
      <c r="W38">
        <v>100</v>
      </c>
      <c r="X38">
        <v>100</v>
      </c>
      <c r="Y38">
        <v>100</v>
      </c>
      <c r="Z38">
        <v>100</v>
      </c>
      <c r="AA38">
        <v>90</v>
      </c>
      <c r="AB38">
        <v>90</v>
      </c>
      <c r="AC38">
        <v>90</v>
      </c>
      <c r="AD38">
        <v>90</v>
      </c>
      <c r="AE38">
        <v>0</v>
      </c>
      <c r="AF38">
        <v>0</v>
      </c>
      <c r="AG38">
        <v>0</v>
      </c>
      <c r="AI38" t="str">
        <f t="shared" si="34"/>
        <v>Produktivitas Unit</v>
      </c>
      <c r="AK38" s="618">
        <f t="shared" si="194"/>
        <v>100</v>
      </c>
      <c r="AL38" s="618">
        <f t="shared" si="195"/>
        <v>100</v>
      </c>
      <c r="AM38" s="618">
        <f t="shared" si="196"/>
        <v>100</v>
      </c>
      <c r="AN38" s="618">
        <f t="shared" si="197"/>
        <v>100</v>
      </c>
      <c r="AO38" s="618">
        <f t="shared" si="198"/>
        <v>100</v>
      </c>
      <c r="AP38" s="618">
        <f t="shared" si="199"/>
        <v>90</v>
      </c>
      <c r="AQ38" s="618">
        <f t="shared" si="200"/>
        <v>90</v>
      </c>
      <c r="AR38" s="618">
        <f t="shared" si="201"/>
        <v>90</v>
      </c>
      <c r="AS38" s="618">
        <f t="shared" si="202"/>
        <v>90</v>
      </c>
      <c r="AT38" s="618">
        <f t="shared" si="203"/>
        <v>0</v>
      </c>
      <c r="AU38" s="618">
        <f t="shared" si="204"/>
        <v>0</v>
      </c>
      <c r="AV38" s="618">
        <f t="shared" si="205"/>
        <v>0</v>
      </c>
      <c r="AW38" s="621"/>
      <c r="AX38" t="str">
        <f t="shared" si="36"/>
        <v>Produktivitas Unit</v>
      </c>
      <c r="AY38" s="105" t="s">
        <v>458</v>
      </c>
      <c r="AZ38" s="620">
        <v>1</v>
      </c>
      <c r="BA38" s="618">
        <f t="shared" si="50"/>
        <v>1</v>
      </c>
      <c r="BB38" s="618">
        <f t="shared" si="37"/>
        <v>1</v>
      </c>
      <c r="BC38" s="618">
        <f t="shared" si="38"/>
        <v>1</v>
      </c>
      <c r="BD38" s="618">
        <f t="shared" si="39"/>
        <v>1</v>
      </c>
      <c r="BE38" s="618">
        <f t="shared" si="40"/>
        <v>1</v>
      </c>
      <c r="BF38" s="618">
        <f t="shared" si="41"/>
        <v>0.9</v>
      </c>
      <c r="BG38" s="618">
        <f t="shared" si="42"/>
        <v>0.9</v>
      </c>
      <c r="BH38" s="618">
        <f t="shared" si="43"/>
        <v>0.9</v>
      </c>
      <c r="BI38" s="618">
        <f t="shared" si="44"/>
        <v>0.9</v>
      </c>
      <c r="BJ38" s="618">
        <f t="shared" si="45"/>
        <v>0</v>
      </c>
      <c r="BK38" s="618">
        <f t="shared" si="46"/>
        <v>0</v>
      </c>
      <c r="BL38" s="618">
        <f t="shared" si="47"/>
        <v>0</v>
      </c>
      <c r="BM38" s="621"/>
      <c r="BN38" s="621"/>
      <c r="BO38" s="143"/>
      <c r="BQ38" s="622" cm="1">
        <f t="array" ref="BQ38">INDEX(AK38:AV38,MATCH(MONTH($BP$3),MONTH($AK$3:$AV$3),0))</f>
        <v>90</v>
      </c>
      <c r="BR38" t="str">
        <v>Produktivitas Unit</v>
      </c>
      <c r="BS38" s="621" t="str">
        <v/>
      </c>
      <c r="BT38" s="621" t="str">
        <f t="shared" si="48"/>
        <v/>
      </c>
      <c r="BU38" s="621">
        <v>90</v>
      </c>
      <c r="BV38" s="618">
        <f t="shared" si="51"/>
        <v>0.9</v>
      </c>
      <c r="BY38" s="618" t="e">
        <f t="shared" si="99"/>
        <v>#N/A</v>
      </c>
      <c r="BZ38" s="618" t="e">
        <f t="shared" si="100"/>
        <v>#N/A</v>
      </c>
      <c r="CA38" s="625" t="e">
        <f t="shared" si="101"/>
        <v>#N/A</v>
      </c>
      <c r="CB38" s="626" t="e">
        <f t="shared" si="102"/>
        <v>#N/A</v>
      </c>
      <c r="CC38" s="105" t="e">
        <f t="shared" si="103"/>
        <v>#N/A</v>
      </c>
      <c r="CD38" s="626" t="e">
        <f t="shared" si="104"/>
        <v>#N/A</v>
      </c>
    </row>
    <row r="39" spans="1:82">
      <c r="A39" t="str">
        <v>c. Pengelolaan Komunikasi dan TJSL</v>
      </c>
      <c r="B39">
        <v>2</v>
      </c>
      <c r="C39" t="str">
        <v>Pengelolaan Komunikasi dan TJSL</v>
      </c>
      <c r="D39" s="105" t="s">
        <v>462</v>
      </c>
      <c r="E39" t="str">
        <v>Pengelolaan Komunikasi dan TJSL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T39" t="str">
        <v>Pengelolaan Komunikasi dan TJSL</v>
      </c>
      <c r="V39">
        <v>100</v>
      </c>
      <c r="W39">
        <v>100</v>
      </c>
      <c r="X39">
        <v>100</v>
      </c>
      <c r="Y39">
        <v>100</v>
      </c>
      <c r="Z39">
        <v>100</v>
      </c>
      <c r="AA39">
        <v>107.83500000000001</v>
      </c>
      <c r="AB39">
        <v>110</v>
      </c>
      <c r="AC39">
        <v>107.84</v>
      </c>
      <c r="AD39">
        <v>110</v>
      </c>
      <c r="AE39">
        <v>110</v>
      </c>
      <c r="AF39">
        <v>110</v>
      </c>
      <c r="AG39">
        <v>110</v>
      </c>
      <c r="AI39" t="str">
        <f t="shared" si="34"/>
        <v>Pengelolaan Komunikasi dan TJSL</v>
      </c>
      <c r="AK39" s="618">
        <f t="shared" si="194"/>
        <v>100</v>
      </c>
      <c r="AL39" s="618">
        <f t="shared" si="195"/>
        <v>100</v>
      </c>
      <c r="AM39" s="618">
        <f t="shared" si="196"/>
        <v>100</v>
      </c>
      <c r="AN39" s="618">
        <f t="shared" si="197"/>
        <v>100</v>
      </c>
      <c r="AO39" s="618">
        <f t="shared" si="198"/>
        <v>100</v>
      </c>
      <c r="AP39" s="618">
        <f t="shared" si="199"/>
        <v>107.83500000000001</v>
      </c>
      <c r="AQ39" s="618">
        <f t="shared" si="200"/>
        <v>110.00000000000001</v>
      </c>
      <c r="AR39" s="618">
        <f t="shared" si="201"/>
        <v>107.84</v>
      </c>
      <c r="AS39" s="618">
        <f t="shared" si="202"/>
        <v>110.00000000000001</v>
      </c>
      <c r="AT39" s="618">
        <f t="shared" si="203"/>
        <v>110.00000000000001</v>
      </c>
      <c r="AU39" s="618">
        <f t="shared" si="204"/>
        <v>110.00000000000001</v>
      </c>
      <c r="AV39" s="618">
        <f t="shared" si="205"/>
        <v>110.00000000000001</v>
      </c>
      <c r="AW39" s="621"/>
      <c r="AX39" t="str">
        <f t="shared" si="36"/>
        <v>Pengelolaan Komunikasi dan TJSL</v>
      </c>
      <c r="AY39" s="105" t="s">
        <v>458</v>
      </c>
      <c r="AZ39" s="620">
        <v>1</v>
      </c>
      <c r="BA39" s="618">
        <f t="shared" si="50"/>
        <v>1</v>
      </c>
      <c r="BB39" s="618">
        <f t="shared" si="37"/>
        <v>1</v>
      </c>
      <c r="BC39" s="618">
        <f t="shared" si="38"/>
        <v>1</v>
      </c>
      <c r="BD39" s="618">
        <f t="shared" si="39"/>
        <v>1</v>
      </c>
      <c r="BE39" s="618">
        <f t="shared" si="40"/>
        <v>1</v>
      </c>
      <c r="BF39" s="618">
        <f t="shared" si="41"/>
        <v>1.07</v>
      </c>
      <c r="BG39" s="618">
        <f t="shared" si="42"/>
        <v>1.1000000000000001</v>
      </c>
      <c r="BH39" s="618">
        <f t="shared" si="43"/>
        <v>1.07</v>
      </c>
      <c r="BI39" s="618">
        <f t="shared" si="44"/>
        <v>1.1000000000000001</v>
      </c>
      <c r="BJ39" s="618">
        <f t="shared" si="45"/>
        <v>1.1000000000000001</v>
      </c>
      <c r="BK39" s="618">
        <f t="shared" si="46"/>
        <v>1.1000000000000001</v>
      </c>
      <c r="BL39" s="618">
        <f t="shared" si="47"/>
        <v>1.1000000000000001</v>
      </c>
      <c r="BM39" s="621"/>
      <c r="BN39" s="621"/>
      <c r="BO39" s="143"/>
      <c r="BQ39" s="622" cm="1">
        <f t="array" ref="BQ39">INDEX(AK39:AV39,MATCH(MONTH($BP$3),MONTH($AK$3:$AV$3),0))</f>
        <v>107.83500000000001</v>
      </c>
      <c r="BR39" t="str">
        <v>Pengelolaan Komunikasi dan TJSL</v>
      </c>
      <c r="BS39" s="621">
        <v>107.83500000000001</v>
      </c>
      <c r="BT39" s="621" t="str">
        <f t="shared" si="48"/>
        <v/>
      </c>
      <c r="BU39" s="621" t="str">
        <v/>
      </c>
      <c r="BV39" s="618">
        <f t="shared" si="51"/>
        <v>1.0783500000000001</v>
      </c>
      <c r="BY39" s="618" t="e">
        <f t="shared" si="99"/>
        <v>#N/A</v>
      </c>
      <c r="BZ39" s="618" t="e">
        <f t="shared" si="100"/>
        <v>#N/A</v>
      </c>
      <c r="CA39" s="625" t="e">
        <f t="shared" si="101"/>
        <v>#N/A</v>
      </c>
      <c r="CB39" s="626" t="e">
        <f t="shared" si="102"/>
        <v>#N/A</v>
      </c>
      <c r="CC39" s="105" t="e">
        <f t="shared" si="103"/>
        <v>#N/A</v>
      </c>
      <c r="CD39" s="626" t="e">
        <f t="shared" si="104"/>
        <v>#N/A</v>
      </c>
    </row>
    <row r="40" spans="1:82">
      <c r="A40" t="str">
        <v>d. Peningkatan Layanan dan Budaya K3</v>
      </c>
      <c r="B40">
        <v>2</v>
      </c>
      <c r="C40" t="str">
        <v>Peningkatan Layanan dan Budaya K3</v>
      </c>
      <c r="D40" s="105" t="s">
        <v>462</v>
      </c>
      <c r="E40" t="str">
        <v>Peningkatan Layanan dan Budaya K3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T40" t="str">
        <v>Peningkatan Layanan dan Budaya K3</v>
      </c>
      <c r="V40">
        <v>100</v>
      </c>
      <c r="W40">
        <v>100</v>
      </c>
      <c r="X40">
        <v>100</v>
      </c>
      <c r="Y40">
        <v>100</v>
      </c>
      <c r="Z40">
        <v>100</v>
      </c>
      <c r="AA40">
        <v>100</v>
      </c>
      <c r="AB40">
        <v>100</v>
      </c>
      <c r="AC40">
        <v>100</v>
      </c>
      <c r="AD40">
        <v>100</v>
      </c>
      <c r="AE40">
        <v>0</v>
      </c>
      <c r="AF40">
        <v>0</v>
      </c>
      <c r="AG40">
        <v>0</v>
      </c>
      <c r="AI40" t="str">
        <f t="shared" si="34"/>
        <v>Peningkatan Layanan dan Budaya K3</v>
      </c>
      <c r="AK40" s="618">
        <f t="shared" si="194"/>
        <v>100</v>
      </c>
      <c r="AL40" s="618">
        <f t="shared" si="195"/>
        <v>100</v>
      </c>
      <c r="AM40" s="618">
        <f t="shared" si="196"/>
        <v>100</v>
      </c>
      <c r="AN40" s="618">
        <f t="shared" si="197"/>
        <v>100</v>
      </c>
      <c r="AO40" s="618">
        <f t="shared" si="198"/>
        <v>100</v>
      </c>
      <c r="AP40" s="618">
        <f t="shared" si="199"/>
        <v>100</v>
      </c>
      <c r="AQ40" s="618">
        <f t="shared" si="200"/>
        <v>100</v>
      </c>
      <c r="AR40" s="618">
        <f t="shared" si="201"/>
        <v>100</v>
      </c>
      <c r="AS40" s="618">
        <f t="shared" si="202"/>
        <v>100</v>
      </c>
      <c r="AT40" s="618">
        <f t="shared" si="203"/>
        <v>0</v>
      </c>
      <c r="AU40" s="618">
        <f t="shared" si="204"/>
        <v>0</v>
      </c>
      <c r="AV40" s="618">
        <f t="shared" si="205"/>
        <v>0</v>
      </c>
      <c r="AW40" s="621"/>
      <c r="AX40" t="str">
        <f t="shared" si="36"/>
        <v>Peningkatan Layanan dan Budaya K3</v>
      </c>
      <c r="AY40" s="105" t="s">
        <v>458</v>
      </c>
      <c r="AZ40" s="620">
        <v>1</v>
      </c>
      <c r="BA40" s="618">
        <f t="shared" si="50"/>
        <v>1</v>
      </c>
      <c r="BB40" s="618">
        <f t="shared" si="37"/>
        <v>1</v>
      </c>
      <c r="BC40" s="618">
        <f t="shared" si="38"/>
        <v>1</v>
      </c>
      <c r="BD40" s="618">
        <f t="shared" si="39"/>
        <v>1</v>
      </c>
      <c r="BE40" s="618">
        <f t="shared" si="40"/>
        <v>1</v>
      </c>
      <c r="BF40" s="618">
        <f t="shared" si="41"/>
        <v>1</v>
      </c>
      <c r="BG40" s="618">
        <f t="shared" si="42"/>
        <v>1</v>
      </c>
      <c r="BH40" s="618">
        <f t="shared" si="43"/>
        <v>1</v>
      </c>
      <c r="BI40" s="618">
        <f t="shared" si="44"/>
        <v>1</v>
      </c>
      <c r="BJ40" s="618">
        <f t="shared" si="45"/>
        <v>0</v>
      </c>
      <c r="BK40" s="618">
        <f t="shared" si="46"/>
        <v>0</v>
      </c>
      <c r="BL40" s="618">
        <f t="shared" si="47"/>
        <v>0</v>
      </c>
      <c r="BM40" s="621"/>
      <c r="BN40" s="621"/>
      <c r="BO40" s="143"/>
      <c r="BQ40" s="622" cm="1">
        <f t="array" ref="BQ40">INDEX(AK40:AV40,MATCH(MONTH($BP$3),MONTH($AK$3:$AV$3),0))</f>
        <v>100</v>
      </c>
      <c r="BR40" t="str">
        <v>Peningkatan Layanan dan Budaya K3</v>
      </c>
      <c r="BS40" s="621">
        <v>100</v>
      </c>
      <c r="BT40" s="621" t="str">
        <f t="shared" si="48"/>
        <v/>
      </c>
      <c r="BU40" s="621" t="str">
        <v/>
      </c>
      <c r="BV40" s="618">
        <f t="shared" si="51"/>
        <v>1</v>
      </c>
      <c r="BY40" s="618" t="e">
        <f t="shared" si="99"/>
        <v>#N/A</v>
      </c>
      <c r="BZ40" s="618" t="e">
        <f t="shared" si="100"/>
        <v>#N/A</v>
      </c>
      <c r="CA40" s="625" t="e">
        <f t="shared" si="101"/>
        <v>#N/A</v>
      </c>
      <c r="CB40" s="626" t="e">
        <f t="shared" si="102"/>
        <v>#N/A</v>
      </c>
      <c r="CC40" s="105" t="e">
        <f t="shared" si="103"/>
        <v>#N/A</v>
      </c>
      <c r="CD40" s="626" t="e">
        <f t="shared" si="104"/>
        <v>#N/A</v>
      </c>
    </row>
    <row r="41" spans="1:82">
      <c r="A41" t="str">
        <v>a. Implementasi PLN Bisnis Ekselen</v>
      </c>
      <c r="B41">
        <v>2</v>
      </c>
      <c r="C41" t="str">
        <v>Implementasi PLN Bisnis Ekselen</v>
      </c>
      <c r="D41" s="105" t="s">
        <v>462</v>
      </c>
      <c r="E41" t="str">
        <v>Implementasi PLN Bisnis Ekselen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T41" t="str">
        <v>Implementasi PLN Bisnis Ekselen</v>
      </c>
      <c r="V41">
        <v>100</v>
      </c>
      <c r="W41">
        <v>100</v>
      </c>
      <c r="X41">
        <v>100</v>
      </c>
      <c r="Y41">
        <v>100</v>
      </c>
      <c r="Z41">
        <v>100</v>
      </c>
      <c r="AA41">
        <v>114.98</v>
      </c>
      <c r="AB41">
        <v>114.98</v>
      </c>
      <c r="AC41">
        <v>100</v>
      </c>
      <c r="AD41">
        <v>100</v>
      </c>
      <c r="AE41">
        <v>0</v>
      </c>
      <c r="AF41">
        <v>0</v>
      </c>
      <c r="AG41">
        <v>0</v>
      </c>
      <c r="AI41" t="str">
        <f t="shared" si="34"/>
        <v>Implementasi PLN Bisnis Ekselen</v>
      </c>
      <c r="AK41" s="618">
        <f t="shared" si="194"/>
        <v>100</v>
      </c>
      <c r="AL41" s="618">
        <f t="shared" si="195"/>
        <v>100</v>
      </c>
      <c r="AM41" s="618">
        <f t="shared" si="196"/>
        <v>100</v>
      </c>
      <c r="AN41" s="618">
        <f t="shared" si="197"/>
        <v>100</v>
      </c>
      <c r="AO41" s="618">
        <f t="shared" si="198"/>
        <v>100</v>
      </c>
      <c r="AP41" s="618">
        <f t="shared" si="199"/>
        <v>110</v>
      </c>
      <c r="AQ41" s="618">
        <f t="shared" si="200"/>
        <v>110</v>
      </c>
      <c r="AR41" s="618">
        <f t="shared" si="201"/>
        <v>100</v>
      </c>
      <c r="AS41" s="618">
        <f t="shared" si="202"/>
        <v>100</v>
      </c>
      <c r="AT41" s="618">
        <f t="shared" si="203"/>
        <v>0</v>
      </c>
      <c r="AU41" s="618">
        <f t="shared" si="204"/>
        <v>0</v>
      </c>
      <c r="AV41" s="618">
        <f t="shared" si="205"/>
        <v>0</v>
      </c>
      <c r="AW41" s="621"/>
      <c r="AX41" t="str">
        <f t="shared" si="36"/>
        <v>Implementasi PLN Bisnis Ekselen</v>
      </c>
      <c r="AY41" s="105" t="s">
        <v>458</v>
      </c>
      <c r="AZ41" s="620">
        <f>4/4</f>
        <v>1</v>
      </c>
      <c r="BA41" s="618">
        <f t="shared" si="50"/>
        <v>1</v>
      </c>
      <c r="BB41" s="618">
        <f t="shared" si="37"/>
        <v>1</v>
      </c>
      <c r="BC41" s="618">
        <f t="shared" si="38"/>
        <v>1</v>
      </c>
      <c r="BD41" s="618">
        <f t="shared" si="39"/>
        <v>1</v>
      </c>
      <c r="BE41" s="618">
        <f t="shared" si="40"/>
        <v>1</v>
      </c>
      <c r="BF41" s="618">
        <f t="shared" si="41"/>
        <v>1.1000000000000001</v>
      </c>
      <c r="BG41" s="618">
        <f t="shared" si="42"/>
        <v>1.1000000000000001</v>
      </c>
      <c r="BH41" s="618">
        <f t="shared" si="43"/>
        <v>1</v>
      </c>
      <c r="BI41" s="618">
        <f t="shared" si="44"/>
        <v>1</v>
      </c>
      <c r="BJ41" s="618">
        <f t="shared" si="45"/>
        <v>0</v>
      </c>
      <c r="BK41" s="618">
        <f t="shared" si="46"/>
        <v>0</v>
      </c>
      <c r="BL41" s="618">
        <f t="shared" si="47"/>
        <v>0</v>
      </c>
      <c r="BM41" s="621"/>
      <c r="BN41" s="621"/>
      <c r="BO41" s="143"/>
      <c r="BQ41" s="622" cm="1">
        <f t="array" ref="BQ41">INDEX(AK41:AV41,MATCH(MONTH($BP$3),MONTH($AK$3:$AV$3),0))</f>
        <v>110</v>
      </c>
      <c r="BR41" t="str">
        <v>Implementasi PLN Bisnis Ekselen</v>
      </c>
      <c r="BS41" s="621">
        <v>110</v>
      </c>
      <c r="BT41" s="621" t="str">
        <f t="shared" si="48"/>
        <v/>
      </c>
      <c r="BU41" s="621" t="str">
        <v/>
      </c>
      <c r="BV41" s="618">
        <f t="shared" si="51"/>
        <v>1.1000000000000001</v>
      </c>
      <c r="BY41" s="618" t="e">
        <f t="shared" si="99"/>
        <v>#N/A</v>
      </c>
      <c r="BZ41" s="618" t="e">
        <f t="shared" si="100"/>
        <v>#N/A</v>
      </c>
      <c r="CA41" s="625" t="e">
        <f t="shared" si="101"/>
        <v>#N/A</v>
      </c>
      <c r="CB41" s="626" t="e">
        <f t="shared" si="102"/>
        <v>#N/A</v>
      </c>
      <c r="CC41" s="105" t="e">
        <f t="shared" si="103"/>
        <v>#N/A</v>
      </c>
      <c r="CD41" s="626" t="e">
        <f t="shared" si="104"/>
        <v>#N/A</v>
      </c>
    </row>
    <row r="42" spans="1:82">
      <c r="A42" t="str">
        <v>b. Maturity Level Gudang</v>
      </c>
      <c r="B42">
        <v>2</v>
      </c>
      <c r="C42" t="str">
        <v>Maturity Level Gudang</v>
      </c>
      <c r="D42" s="105" t="s">
        <v>462</v>
      </c>
      <c r="E42" t="str">
        <v>Maturity Level Gudang</v>
      </c>
      <c r="G42">
        <v>0</v>
      </c>
      <c r="H42">
        <v>2</v>
      </c>
      <c r="I42">
        <v>2.5</v>
      </c>
      <c r="J42">
        <v>2.65</v>
      </c>
      <c r="K42">
        <v>2.8</v>
      </c>
      <c r="L42">
        <v>3</v>
      </c>
      <c r="M42">
        <v>3.15</v>
      </c>
      <c r="N42">
        <v>3.3</v>
      </c>
      <c r="O42">
        <v>3.5</v>
      </c>
      <c r="P42">
        <v>3.65</v>
      </c>
      <c r="Q42">
        <v>3.8</v>
      </c>
      <c r="R42">
        <v>4</v>
      </c>
      <c r="T42" t="str">
        <v>Maturity Level Gudang</v>
      </c>
      <c r="V42">
        <v>0</v>
      </c>
      <c r="W42">
        <v>1.26</v>
      </c>
      <c r="X42">
        <v>2.5049999999999994</v>
      </c>
      <c r="Y42">
        <v>3.01</v>
      </c>
      <c r="Z42">
        <v>2.92</v>
      </c>
      <c r="AA42">
        <v>3.023333333333333</v>
      </c>
      <c r="AB42">
        <v>3.38</v>
      </c>
      <c r="AC42">
        <v>3.24</v>
      </c>
      <c r="AD42">
        <v>3.5</v>
      </c>
      <c r="AE42">
        <v>0</v>
      </c>
      <c r="AF42">
        <v>0</v>
      </c>
      <c r="AG42">
        <v>0</v>
      </c>
      <c r="AI42" t="str">
        <f t="shared" si="34"/>
        <v>Maturity Level Gudang</v>
      </c>
      <c r="AK42" s="618">
        <f t="shared" si="194"/>
        <v>100</v>
      </c>
      <c r="AL42" s="618">
        <f t="shared" si="195"/>
        <v>63</v>
      </c>
      <c r="AM42" s="618">
        <f t="shared" si="196"/>
        <v>100.19999999999997</v>
      </c>
      <c r="AN42" s="618">
        <f t="shared" si="197"/>
        <v>110</v>
      </c>
      <c r="AO42" s="618">
        <f t="shared" si="198"/>
        <v>104.28571428571429</v>
      </c>
      <c r="AP42" s="618">
        <f t="shared" si="199"/>
        <v>100.77777777777777</v>
      </c>
      <c r="AQ42" s="618">
        <f t="shared" si="200"/>
        <v>107.3015873015873</v>
      </c>
      <c r="AR42" s="618">
        <f t="shared" si="201"/>
        <v>98.181818181818187</v>
      </c>
      <c r="AS42" s="618">
        <f t="shared" si="202"/>
        <v>100</v>
      </c>
      <c r="AT42" s="618">
        <f t="shared" si="203"/>
        <v>0</v>
      </c>
      <c r="AU42" s="618">
        <f t="shared" si="204"/>
        <v>0</v>
      </c>
      <c r="AV42" s="618">
        <f t="shared" si="205"/>
        <v>0</v>
      </c>
      <c r="AW42" s="621"/>
      <c r="AX42" t="str">
        <f t="shared" si="36"/>
        <v>Maturity Level Gudang</v>
      </c>
      <c r="AY42" s="105" t="s">
        <v>458</v>
      </c>
      <c r="AZ42" s="620">
        <f>4/4</f>
        <v>1</v>
      </c>
      <c r="BA42" s="618">
        <f t="shared" si="50"/>
        <v>1</v>
      </c>
      <c r="BB42" s="618">
        <f t="shared" si="37"/>
        <v>0.63</v>
      </c>
      <c r="BC42" s="618">
        <f t="shared" si="38"/>
        <v>1</v>
      </c>
      <c r="BD42" s="618">
        <f t="shared" si="39"/>
        <v>1.1000000000000001</v>
      </c>
      <c r="BE42" s="618">
        <f t="shared" si="40"/>
        <v>1.04</v>
      </c>
      <c r="BF42" s="618">
        <f t="shared" si="41"/>
        <v>1</v>
      </c>
      <c r="BG42" s="618">
        <f t="shared" si="42"/>
        <v>1.07</v>
      </c>
      <c r="BH42" s="618">
        <f t="shared" si="43"/>
        <v>0.98</v>
      </c>
      <c r="BI42" s="618">
        <f t="shared" si="44"/>
        <v>1</v>
      </c>
      <c r="BJ42" s="618">
        <f t="shared" si="45"/>
        <v>0</v>
      </c>
      <c r="BK42" s="618">
        <f t="shared" si="46"/>
        <v>0</v>
      </c>
      <c r="BL42" s="618">
        <f t="shared" si="47"/>
        <v>0</v>
      </c>
      <c r="BM42" s="621"/>
      <c r="BN42" s="621"/>
      <c r="BO42" s="143"/>
      <c r="BQ42" s="622" cm="1">
        <f t="array" ref="BQ42">INDEX(AK42:AV42,MATCH(MONTH($BP$3),MONTH($AK$3:$AV$3),0))</f>
        <v>100.77777777777777</v>
      </c>
      <c r="BR42" t="str">
        <v>Maturity Level Gudang</v>
      </c>
      <c r="BS42" s="621">
        <v>100.77777777777777</v>
      </c>
      <c r="BT42" s="621" t="str">
        <f t="shared" si="48"/>
        <v/>
      </c>
      <c r="BU42" s="621" t="str">
        <v/>
      </c>
      <c r="BV42" s="618">
        <f t="shared" si="51"/>
        <v>1.0077777777777777</v>
      </c>
      <c r="BX42" s="649" t="s">
        <v>462</v>
      </c>
      <c r="BY42" s="649" t="s">
        <v>462</v>
      </c>
      <c r="BZ42" s="649" t="s">
        <v>462</v>
      </c>
      <c r="CA42" s="649" t="s">
        <v>462</v>
      </c>
      <c r="CB42" s="649" t="s">
        <v>462</v>
      </c>
      <c r="CC42" s="649" t="s">
        <v>462</v>
      </c>
      <c r="CD42" s="649" t="s">
        <v>462</v>
      </c>
    </row>
    <row r="43" spans="1:82">
      <c r="A43" t="str">
        <v>c. Maturity Level Sustainbility</v>
      </c>
      <c r="B43">
        <v>2</v>
      </c>
      <c r="C43" t="str">
        <v>Maturity Level Sustainbility</v>
      </c>
      <c r="D43" s="105" t="s">
        <v>462</v>
      </c>
      <c r="E43" t="str">
        <v>Maturity Level Sustainbility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T43" t="str">
        <v>Maturity Level Sustainbility</v>
      </c>
      <c r="V43">
        <v>100</v>
      </c>
      <c r="W43">
        <v>100</v>
      </c>
      <c r="X43">
        <v>100</v>
      </c>
      <c r="Y43">
        <v>100</v>
      </c>
      <c r="Z43">
        <v>100</v>
      </c>
      <c r="AA43">
        <v>110</v>
      </c>
      <c r="AB43">
        <v>110</v>
      </c>
      <c r="AC43">
        <v>110</v>
      </c>
      <c r="AD43">
        <v>110</v>
      </c>
      <c r="AE43">
        <v>0</v>
      </c>
      <c r="AF43">
        <v>0</v>
      </c>
      <c r="AG43">
        <v>0</v>
      </c>
      <c r="AI43" t="str">
        <f t="shared" si="34"/>
        <v>Maturity Level Sustainbility</v>
      </c>
      <c r="AK43" s="618">
        <f t="shared" si="194"/>
        <v>100</v>
      </c>
      <c r="AL43" s="618">
        <f t="shared" si="195"/>
        <v>100</v>
      </c>
      <c r="AM43" s="618">
        <f t="shared" si="196"/>
        <v>100</v>
      </c>
      <c r="AN43" s="618">
        <f t="shared" si="197"/>
        <v>100</v>
      </c>
      <c r="AO43" s="618">
        <f t="shared" si="198"/>
        <v>100</v>
      </c>
      <c r="AP43" s="618">
        <f t="shared" si="199"/>
        <v>110.00000000000001</v>
      </c>
      <c r="AQ43" s="618">
        <f t="shared" si="200"/>
        <v>110.00000000000001</v>
      </c>
      <c r="AR43" s="618">
        <f t="shared" si="201"/>
        <v>110.00000000000001</v>
      </c>
      <c r="AS43" s="618">
        <f t="shared" si="202"/>
        <v>110.00000000000001</v>
      </c>
      <c r="AT43" s="618">
        <f t="shared" si="203"/>
        <v>0</v>
      </c>
      <c r="AU43" s="618">
        <f t="shared" si="204"/>
        <v>0</v>
      </c>
      <c r="AV43" s="618">
        <f t="shared" si="205"/>
        <v>0</v>
      </c>
      <c r="AX43" t="str">
        <f t="shared" si="36"/>
        <v>Maturity Level Sustainbility</v>
      </c>
      <c r="AY43" s="105" t="s">
        <v>458</v>
      </c>
      <c r="AZ43" s="620">
        <f>4/4</f>
        <v>1</v>
      </c>
      <c r="BA43" s="618">
        <f t="shared" si="50"/>
        <v>1</v>
      </c>
      <c r="BB43" s="618">
        <f t="shared" si="37"/>
        <v>1</v>
      </c>
      <c r="BC43" s="618">
        <f t="shared" si="38"/>
        <v>1</v>
      </c>
      <c r="BD43" s="618">
        <f t="shared" si="39"/>
        <v>1</v>
      </c>
      <c r="BE43" s="618">
        <f t="shared" si="40"/>
        <v>1</v>
      </c>
      <c r="BF43" s="618">
        <f t="shared" si="41"/>
        <v>1.1000000000000001</v>
      </c>
      <c r="BG43" s="618">
        <f t="shared" si="42"/>
        <v>1.1000000000000001</v>
      </c>
      <c r="BH43" s="618">
        <f t="shared" si="43"/>
        <v>1.1000000000000001</v>
      </c>
      <c r="BI43" s="618">
        <f t="shared" si="44"/>
        <v>1.1000000000000001</v>
      </c>
      <c r="BJ43" s="618">
        <f t="shared" si="45"/>
        <v>0</v>
      </c>
      <c r="BK43" s="618">
        <f t="shared" si="46"/>
        <v>0</v>
      </c>
      <c r="BL43" s="618">
        <f t="shared" si="47"/>
        <v>0</v>
      </c>
      <c r="BQ43" s="622" cm="1">
        <f t="array" ref="BQ43">INDEX(AK43:AV43,MATCH(MONTH($BP$3),MONTH($AK$3:$AV$3),0))</f>
        <v>110.00000000000001</v>
      </c>
      <c r="BR43" t="str">
        <v>Maturity Level Sustainbility</v>
      </c>
      <c r="BS43" s="621">
        <v>110.00000000000001</v>
      </c>
      <c r="BT43" s="621" t="str">
        <f t="shared" si="48"/>
        <v/>
      </c>
    </row>
    <row r="44" spans="1:82">
      <c r="A44" t="str">
        <v>d. Implementasi Roadmap Perbaikan Penerapan Manajemen Risiko dan Pencapaian Perlakuan Risiko</v>
      </c>
      <c r="B44">
        <v>2</v>
      </c>
      <c r="C44" t="str">
        <v>Implementasi Roadmap Perbaikan Penerapan Manajemen Risiko dan Pencapaian Perlakuan Risiko</v>
      </c>
      <c r="D44" s="105" t="s">
        <v>462</v>
      </c>
      <c r="E44" t="str">
        <v>Implementasi Roadmap Perbaikan Penerapan Manajemen Risiko dan Pencapaian Perlakuan Risiko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T44" t="str">
        <v>Implementasi Roadmap Perbaikan Penerapan Manajemen Risiko dan Pencapaian Perlakuan Risiko</v>
      </c>
      <c r="V44">
        <v>100</v>
      </c>
      <c r="W44">
        <v>100</v>
      </c>
      <c r="X44">
        <v>100</v>
      </c>
      <c r="Y44">
        <v>100</v>
      </c>
      <c r="Z44">
        <v>100</v>
      </c>
      <c r="AA44">
        <v>100</v>
      </c>
      <c r="AB44">
        <v>100</v>
      </c>
      <c r="AC44">
        <v>100</v>
      </c>
      <c r="AD44">
        <v>100</v>
      </c>
      <c r="AE44">
        <v>0</v>
      </c>
      <c r="AF44">
        <v>0</v>
      </c>
      <c r="AG44">
        <v>0</v>
      </c>
      <c r="AI44" t="str">
        <f t="shared" si="34"/>
        <v>Implementasi Roadmap Perbaikan Penerapan Manajemen Risiko dan Pencapaian Perlakuan Risiko</v>
      </c>
      <c r="AK44" s="618">
        <f t="shared" si="194"/>
        <v>100</v>
      </c>
      <c r="AL44" s="618">
        <f t="shared" si="195"/>
        <v>100</v>
      </c>
      <c r="AM44" s="618">
        <f t="shared" si="196"/>
        <v>100</v>
      </c>
      <c r="AN44" s="618">
        <f t="shared" si="197"/>
        <v>100</v>
      </c>
      <c r="AO44" s="618">
        <f t="shared" si="198"/>
        <v>100</v>
      </c>
      <c r="AP44" s="618">
        <f t="shared" si="199"/>
        <v>100</v>
      </c>
      <c r="AQ44" s="618">
        <f t="shared" si="200"/>
        <v>100</v>
      </c>
      <c r="AR44" s="618">
        <f t="shared" si="201"/>
        <v>100</v>
      </c>
      <c r="AS44" s="618">
        <f t="shared" si="202"/>
        <v>100</v>
      </c>
      <c r="AT44" s="618">
        <f t="shared" si="203"/>
        <v>0</v>
      </c>
      <c r="AU44" s="618">
        <f t="shared" si="204"/>
        <v>0</v>
      </c>
      <c r="AV44" s="618">
        <f t="shared" si="205"/>
        <v>0</v>
      </c>
      <c r="AX44" t="str">
        <f t="shared" si="36"/>
        <v>Implementasi Roadmap Perbaikan Penerapan Manajemen Risiko dan Pencapaian Perlakuan Risiko</v>
      </c>
      <c r="AY44" s="105" t="s">
        <v>458</v>
      </c>
      <c r="AZ44" s="620">
        <f>4/4</f>
        <v>1</v>
      </c>
      <c r="BA44" s="618">
        <f t="shared" si="50"/>
        <v>1</v>
      </c>
      <c r="BB44" s="618">
        <f t="shared" si="37"/>
        <v>1</v>
      </c>
      <c r="BC44" s="618">
        <f t="shared" si="38"/>
        <v>1</v>
      </c>
      <c r="BD44" s="618">
        <f t="shared" si="39"/>
        <v>1</v>
      </c>
      <c r="BE44" s="618">
        <f t="shared" si="40"/>
        <v>1</v>
      </c>
      <c r="BF44" s="618">
        <f t="shared" si="41"/>
        <v>1</v>
      </c>
      <c r="BG44" s="618">
        <f t="shared" si="42"/>
        <v>1</v>
      </c>
      <c r="BH44" s="618">
        <f t="shared" si="43"/>
        <v>1</v>
      </c>
      <c r="BI44" s="618">
        <f t="shared" si="44"/>
        <v>1</v>
      </c>
      <c r="BJ44" s="618">
        <f t="shared" si="45"/>
        <v>0</v>
      </c>
      <c r="BK44" s="618">
        <f t="shared" si="46"/>
        <v>0</v>
      </c>
      <c r="BL44" s="618">
        <f t="shared" si="47"/>
        <v>0</v>
      </c>
      <c r="BQ44" s="622" cm="1">
        <f t="array" ref="BQ44">INDEX(AK44:AV44,MATCH(MONTH($BP$3),MONTH($AK$3:$AV$3),0))</f>
        <v>100</v>
      </c>
      <c r="BR44" t="str">
        <v>Implementasi Roadmap Perbaikan Penerapan Manajemen Risiko dan Pencapaian Perlakuan Risiko</v>
      </c>
      <c r="BS44" s="621">
        <v>100</v>
      </c>
      <c r="BT44" s="621" t="str">
        <f t="shared" si="48"/>
        <v/>
      </c>
    </row>
    <row r="45" spans="1:82">
      <c r="D45" s="105"/>
      <c r="AK45" s="618"/>
      <c r="AL45" s="618"/>
      <c r="AM45" s="618"/>
      <c r="AN45" s="618"/>
      <c r="AO45" s="618"/>
      <c r="AP45" s="618"/>
      <c r="AQ45" s="618"/>
      <c r="AR45" s="618"/>
      <c r="AS45" s="618"/>
      <c r="AT45" s="618"/>
      <c r="AU45" s="618"/>
      <c r="AV45" s="618"/>
      <c r="AY45" s="105"/>
      <c r="AZ45" s="620"/>
      <c r="BA45" s="618"/>
      <c r="BB45" s="618"/>
      <c r="BC45" s="618"/>
      <c r="BD45" s="618"/>
      <c r="BE45" s="618"/>
      <c r="BF45" s="618"/>
      <c r="BG45" s="618"/>
      <c r="BH45" s="618"/>
      <c r="BI45" s="618"/>
      <c r="BJ45" s="618"/>
      <c r="BK45" s="618"/>
      <c r="BL45" s="618"/>
    </row>
    <row r="46" spans="1:82">
      <c r="AX46" s="680" t="s">
        <v>467</v>
      </c>
      <c r="AY46" s="489"/>
      <c r="AZ46" s="489"/>
      <c r="BA46" s="624">
        <v>45688</v>
      </c>
      <c r="BB46" s="624">
        <v>45716</v>
      </c>
      <c r="BC46" s="624">
        <v>45747</v>
      </c>
      <c r="BD46" s="624">
        <v>45777</v>
      </c>
      <c r="BE46" s="624">
        <v>45808</v>
      </c>
      <c r="BF46" s="624">
        <v>45838</v>
      </c>
      <c r="BG46" s="624">
        <v>45869</v>
      </c>
      <c r="BH46" s="624">
        <v>45900</v>
      </c>
      <c r="BI46" s="624">
        <v>45930</v>
      </c>
      <c r="BJ46" s="624">
        <v>45961</v>
      </c>
      <c r="BK46" s="624">
        <v>45991</v>
      </c>
      <c r="BL46" s="624">
        <v>46022</v>
      </c>
      <c r="BP46" s="752" t="s">
        <v>107</v>
      </c>
      <c r="BQ46" s="752"/>
      <c r="BR46" s="752"/>
    </row>
    <row r="47" spans="1:82">
      <c r="AX47" s="680"/>
      <c r="AY47" s="489"/>
      <c r="AZ47" s="489">
        <v>2024</v>
      </c>
      <c r="BA47" s="489">
        <v>93.03</v>
      </c>
      <c r="BB47" s="489">
        <v>101.02</v>
      </c>
      <c r="BC47" s="489">
        <v>97.37</v>
      </c>
      <c r="BD47" s="489">
        <v>101.25</v>
      </c>
      <c r="BE47" s="489">
        <v>103.83</v>
      </c>
      <c r="BF47" s="489">
        <v>104.94</v>
      </c>
      <c r="BG47" s="489">
        <v>104.61</v>
      </c>
      <c r="BH47" s="489">
        <v>106.6</v>
      </c>
      <c r="BI47" s="489">
        <v>105.02</v>
      </c>
      <c r="BJ47" s="489">
        <v>105.61</v>
      </c>
      <c r="BK47" s="489">
        <v>106.87</v>
      </c>
      <c r="BL47" s="489">
        <v>107.09</v>
      </c>
      <c r="BP47" t="s">
        <v>107</v>
      </c>
      <c r="BQ47" t="s">
        <v>458</v>
      </c>
      <c r="BR47" cm="1">
        <f t="array" ref="BR47">INDEX($BA$49:$BL$49,MATCH(MONTH(BP3),MONTH($BA$46:$BL$46),0))</f>
        <v>102.5</v>
      </c>
    </row>
    <row r="48" spans="1:82">
      <c r="AX48" s="680"/>
      <c r="AY48" s="489"/>
      <c r="AZ48" s="489" t="s">
        <v>100</v>
      </c>
      <c r="BA48" s="489">
        <v>100</v>
      </c>
      <c r="BB48" s="489">
        <v>100</v>
      </c>
      <c r="BC48" s="489">
        <v>100</v>
      </c>
      <c r="BD48" s="489">
        <v>100</v>
      </c>
      <c r="BE48" s="489">
        <v>100</v>
      </c>
      <c r="BF48" s="489">
        <v>100</v>
      </c>
      <c r="BG48" s="489">
        <v>100</v>
      </c>
      <c r="BH48" s="489">
        <v>100</v>
      </c>
      <c r="BI48" s="489">
        <v>100</v>
      </c>
      <c r="BJ48" s="489">
        <v>100</v>
      </c>
      <c r="BK48" s="489">
        <v>100</v>
      </c>
      <c r="BL48" s="489">
        <v>100</v>
      </c>
    </row>
    <row r="49" spans="1:64">
      <c r="AX49" s="680"/>
      <c r="AY49" s="489"/>
      <c r="AZ49" s="489" t="s">
        <v>254</v>
      </c>
      <c r="BA49" s="623">
        <f t="shared" ref="BA49:BI49" si="206">SUM(BA4:BA44)</f>
        <v>95.300000000000011</v>
      </c>
      <c r="BB49" s="623">
        <f t="shared" si="206"/>
        <v>95.020000000000024</v>
      </c>
      <c r="BC49" s="623">
        <f t="shared" si="206"/>
        <v>101.31000000000003</v>
      </c>
      <c r="BD49" s="623">
        <f t="shared" si="206"/>
        <v>100.72000000000001</v>
      </c>
      <c r="BE49" s="623">
        <f t="shared" si="206"/>
        <v>100.41000000000004</v>
      </c>
      <c r="BF49" s="623">
        <f t="shared" si="206"/>
        <v>102.5</v>
      </c>
      <c r="BG49" s="623">
        <f t="shared" si="206"/>
        <v>102.41000000000003</v>
      </c>
      <c r="BH49" s="623">
        <f t="shared" si="206"/>
        <v>102.54</v>
      </c>
      <c r="BI49" s="623">
        <f t="shared" si="206"/>
        <v>102.49000000000002</v>
      </c>
      <c r="BJ49" s="623"/>
      <c r="BK49" s="623"/>
      <c r="BL49" s="623"/>
    </row>
    <row r="50" spans="1:64" ht="23.25">
      <c r="A50" s="619" t="s">
        <v>473</v>
      </c>
    </row>
    <row r="51" spans="1:64">
      <c r="E51" s="21" t="s">
        <v>100</v>
      </c>
      <c r="G51">
        <v>1</v>
      </c>
      <c r="H51">
        <v>2</v>
      </c>
      <c r="I51">
        <v>3</v>
      </c>
      <c r="J51">
        <v>4</v>
      </c>
      <c r="K51">
        <v>5</v>
      </c>
      <c r="L51">
        <v>6</v>
      </c>
      <c r="M51">
        <v>7</v>
      </c>
      <c r="N51">
        <v>8</v>
      </c>
      <c r="O51">
        <v>9</v>
      </c>
      <c r="P51">
        <v>10</v>
      </c>
      <c r="Q51">
        <v>11</v>
      </c>
      <c r="R51">
        <v>12</v>
      </c>
    </row>
    <row r="52" spans="1:64">
      <c r="A52" t="s">
        <v>454</v>
      </c>
      <c r="B52" t="s">
        <v>455</v>
      </c>
      <c r="C52" t="s">
        <v>456</v>
      </c>
      <c r="E52" s="21" t="s">
        <v>457</v>
      </c>
      <c r="G52" s="616">
        <f>DATE(2025,G51+1,0)</f>
        <v>45688</v>
      </c>
      <c r="H52" s="616">
        <f t="shared" ref="H52:R52" si="207">DATE(2025,H51+1,0)</f>
        <v>45716</v>
      </c>
      <c r="I52" s="616">
        <f t="shared" si="207"/>
        <v>45747</v>
      </c>
      <c r="J52" s="616">
        <f t="shared" si="207"/>
        <v>45777</v>
      </c>
      <c r="K52" s="616">
        <f t="shared" si="207"/>
        <v>45808</v>
      </c>
      <c r="L52" s="616">
        <f t="shared" si="207"/>
        <v>45838</v>
      </c>
      <c r="M52" s="616">
        <f t="shared" si="207"/>
        <v>45869</v>
      </c>
      <c r="N52" s="616">
        <f t="shared" si="207"/>
        <v>45900</v>
      </c>
      <c r="O52" s="616">
        <f t="shared" si="207"/>
        <v>45930</v>
      </c>
      <c r="P52" s="616">
        <f t="shared" si="207"/>
        <v>45961</v>
      </c>
      <c r="Q52" s="616">
        <f t="shared" si="207"/>
        <v>45991</v>
      </c>
      <c r="R52" s="616">
        <f t="shared" si="207"/>
        <v>46022</v>
      </c>
    </row>
    <row r="53" spans="1:64">
      <c r="A53" t="str" cm="1">
        <f t="array" ref="A53:A82">_xlfn._xlws.FILTER(ULP!$D$9:$D$58,ULP!$E$9:$E$58&gt;0)</f>
        <v>Penjualan Tenaga Listrik</v>
      </c>
      <c r="B53" t="e" cm="1">
        <f t="array" ref="B53:B82">SEARCH(".",_xlfn.ANCHORARRAY(A53))</f>
        <v>#VALUE!</v>
      </c>
      <c r="C53" t="str" cm="1">
        <f t="array" ref="C53:C82">IF(ISERROR(_xlfn.ANCHORARRAY(B53))=TRUE,_xlfn.ANCHORARRAY(A53),RIGHT(_xlfn.ANCHORARRAY(A53),LEN(_xlfn.ANCHORARRAY(A53))-_xlfn.ANCHORARRAY(B53)-1))</f>
        <v>Penjualan Tenaga Listrik</v>
      </c>
      <c r="D53" s="105" t="s">
        <v>462</v>
      </c>
      <c r="E53" t="str" cm="1">
        <f t="array" ref="E53:E82">_xlfn.ANCHORARRAY(C53)</f>
        <v>Penjualan Tenaga Listrik</v>
      </c>
    </row>
    <row r="54" spans="1:64">
      <c r="A54" t="str">
        <v>a. SAIDI (sesuai kewenangan)</v>
      </c>
      <c r="B54">
        <v>2</v>
      </c>
      <c r="C54" t="str">
        <v>SAIDI (sesuai kewenangan)</v>
      </c>
      <c r="D54" s="105" t="s">
        <v>462</v>
      </c>
      <c r="E54" t="str">
        <v>SAIDI (sesuai kewenangan)</v>
      </c>
    </row>
    <row r="55" spans="1:64">
      <c r="A55" t="str">
        <v>b. SAIFI (sesuai kewenangan)</v>
      </c>
      <c r="B55">
        <v>2</v>
      </c>
      <c r="C55" t="str">
        <v>SAIFI (sesuai kewenangan)</v>
      </c>
      <c r="D55" s="105" t="s">
        <v>462</v>
      </c>
      <c r="E55" t="str">
        <v>SAIFI (sesuai kewenangan)</v>
      </c>
    </row>
    <row r="56" spans="1:64">
      <c r="A56" t="str">
        <v>c. ENS (sesuai kewenangan)</v>
      </c>
      <c r="B56">
        <v>2</v>
      </c>
      <c r="C56" t="str">
        <v>ENS (sesuai kewenangan)</v>
      </c>
      <c r="D56" s="105" t="s">
        <v>462</v>
      </c>
      <c r="E56" t="str">
        <v>ENS (sesuai kewenangan)</v>
      </c>
    </row>
    <row r="57" spans="1:64">
      <c r="A57" t="str">
        <v>a. Susut Distribusi Tanpa E-min (sesuai kewenangan)</v>
      </c>
      <c r="B57">
        <v>2</v>
      </c>
      <c r="C57" t="str">
        <v>Susut Distribusi Tanpa E-min (sesuai kewenangan)</v>
      </c>
      <c r="D57" s="105" t="s">
        <v>462</v>
      </c>
      <c r="E57" t="str">
        <v>Susut Distribusi Tanpa E-min (sesuai kewenangan)</v>
      </c>
    </row>
    <row r="58" spans="1:64">
      <c r="A58" t="str">
        <v>b. Penyelesaian Temuan P2TL</v>
      </c>
      <c r="B58">
        <v>2</v>
      </c>
      <c r="C58" t="str">
        <v>Penyelesaian Temuan P2TL</v>
      </c>
      <c r="D58" s="105" t="s">
        <v>462</v>
      </c>
      <c r="E58" t="str">
        <v>Penyelesaian Temuan P2TL</v>
      </c>
    </row>
    <row r="59" spans="1:64">
      <c r="A59" t="str">
        <v>c. Penyelesaian Ganti Meter</v>
      </c>
      <c r="B59">
        <v>2</v>
      </c>
      <c r="C59" t="str">
        <v>Penyelesaian Ganti Meter</v>
      </c>
      <c r="D59" s="105" t="s">
        <v>462</v>
      </c>
      <c r="E59" t="str">
        <v>Penyelesaian Ganti Meter</v>
      </c>
    </row>
    <row r="60" spans="1:64">
      <c r="A60" t="str">
        <v>a. Gangguan TM &gt; 5 Menit</v>
      </c>
      <c r="B60">
        <v>2</v>
      </c>
      <c r="C60" t="str">
        <v>Gangguan TM &gt; 5 Menit</v>
      </c>
      <c r="D60" s="105" t="s">
        <v>462</v>
      </c>
      <c r="E60" t="str">
        <v>Gangguan TM &gt; 5 Menit</v>
      </c>
    </row>
    <row r="61" spans="1:64">
      <c r="A61" t="str">
        <v>b. Gangguan TM ≤ 5 Menit</v>
      </c>
      <c r="B61">
        <v>2</v>
      </c>
      <c r="C61" t="str">
        <v>Gangguan TM ≤ 5 Menit</v>
      </c>
      <c r="D61" s="105" t="s">
        <v>462</v>
      </c>
      <c r="E61" t="str">
        <v>Gangguan TM ≤ 5 Menit</v>
      </c>
    </row>
    <row r="62" spans="1:64">
      <c r="A62" t="str">
        <v>c. Kerusakan Peralatan Distribusi (PHB TM dan Trafo) Sesuai Kewenangan</v>
      </c>
      <c r="B62">
        <v>2</v>
      </c>
      <c r="C62" t="str">
        <v>Kerusakan Peralatan Distribusi (PHB TM dan Trafo) Sesuai Kewenangan</v>
      </c>
      <c r="D62" s="105" t="s">
        <v>462</v>
      </c>
      <c r="E62" t="str">
        <v>Kerusakan Peralatan Distribusi (PHB TM dan Trafo) Sesuai Kewenangan</v>
      </c>
    </row>
    <row r="63" spans="1:64">
      <c r="A63" t="str">
        <v>a. Feedback Rating Negatif pada PLN Mobile - Gangguan</v>
      </c>
      <c r="B63">
        <v>2</v>
      </c>
      <c r="C63" t="str">
        <v>Feedback Rating Negatif pada PLN Mobile - Gangguan</v>
      </c>
      <c r="D63" s="105" t="s">
        <v>462</v>
      </c>
      <c r="E63" t="str">
        <v>Feedback Rating Negatif pada PLN Mobile - Gangguan</v>
      </c>
    </row>
    <row r="64" spans="1:64">
      <c r="A64" t="str">
        <v>b. Pengaduan Gangguan Berulang pada PLN Mobile</v>
      </c>
      <c r="B64">
        <v>2</v>
      </c>
      <c r="C64" t="str">
        <v>Pengaduan Gangguan Berulang pada PLN Mobile</v>
      </c>
      <c r="D64" s="105" t="s">
        <v>462</v>
      </c>
      <c r="E64" t="str">
        <v>Pengaduan Gangguan Berulang pada PLN Mobile</v>
      </c>
    </row>
    <row r="65" spans="1:5">
      <c r="A65" t="str">
        <v>c. Rating PLN Mobile</v>
      </c>
      <c r="B65">
        <v>2</v>
      </c>
      <c r="C65" t="str">
        <v>Rating PLN Mobile</v>
      </c>
      <c r="D65" s="105" t="s">
        <v>462</v>
      </c>
      <c r="E65" t="str">
        <v>Rating PLN Mobile</v>
      </c>
    </row>
    <row r="66" spans="1:5">
      <c r="A66" t="str">
        <v>d. Jumlah Kali Transaksi Keuangan melalui PLN Mobile</v>
      </c>
      <c r="B66">
        <v>2</v>
      </c>
      <c r="C66" t="str">
        <v>Jumlah Kali Transaksi Keuangan melalui PLN Mobile</v>
      </c>
      <c r="D66" s="105" t="s">
        <v>462</v>
      </c>
      <c r="E66" t="str">
        <v>Jumlah Kali Transaksi Keuangan melalui PLN Mobile</v>
      </c>
    </row>
    <row r="67" spans="1:5">
      <c r="A67" t="str">
        <v>a. Response Time atas Gangguan (diluar Clear Tamper)</v>
      </c>
      <c r="B67">
        <v>2</v>
      </c>
      <c r="C67" t="str">
        <v>Response Time atas Gangguan (diluar Clear Tamper)</v>
      </c>
      <c r="D67" s="105" t="s">
        <v>462</v>
      </c>
      <c r="E67" t="str">
        <v>Response Time atas Gangguan (diluar Clear Tamper)</v>
      </c>
    </row>
    <row r="68" spans="1:5">
      <c r="A68" t="str">
        <v>b. Success Rate Auto Dispatch Gangguan Individual (diluar Clear Tamper)</v>
      </c>
      <c r="B68">
        <v>2</v>
      </c>
      <c r="C68" t="str">
        <v>Success Rate Auto Dispatch Gangguan Individual (diluar Clear Tamper)</v>
      </c>
      <c r="D68" s="105" t="s">
        <v>462</v>
      </c>
      <c r="E68" t="str">
        <v>Success Rate Auto Dispatch Gangguan Individual (diluar Clear Tamper)</v>
      </c>
    </row>
    <row r="69" spans="1:5">
      <c r="A69" t="str">
        <v>a. Recovery Time Gangguan Meluas TM</v>
      </c>
      <c r="B69">
        <v>2</v>
      </c>
      <c r="C69" t="str">
        <v>Recovery Time Gangguan Meluas TM</v>
      </c>
      <c r="D69" s="105" t="s">
        <v>462</v>
      </c>
      <c r="E69" t="str">
        <v>Recovery Time Gangguan Meluas TM</v>
      </c>
    </row>
    <row r="70" spans="1:5">
      <c r="A70" t="str">
        <v>b. Penormalan Siaga 1 Gangguan TM</v>
      </c>
      <c r="B70">
        <v>2</v>
      </c>
      <c r="C70" t="str">
        <v>Penormalan Siaga 1 Gangguan TM</v>
      </c>
      <c r="D70" s="105" t="s">
        <v>462</v>
      </c>
      <c r="E70" t="str">
        <v>Penormalan Siaga 1 Gangguan TM</v>
      </c>
    </row>
    <row r="71" spans="1:5">
      <c r="A71" t="str">
        <v>a. Penambahan Daya Tersambung</v>
      </c>
      <c r="B71">
        <v>2</v>
      </c>
      <c r="C71" t="str">
        <v>Penambahan Daya Tersambung</v>
      </c>
      <c r="D71" s="105" t="s">
        <v>462</v>
      </c>
      <c r="E71" t="str">
        <v>Penambahan Daya Tersambung</v>
      </c>
    </row>
    <row r="72" spans="1:5">
      <c r="A72" t="str">
        <v>b. Penambahan Jumlah Pelanggan</v>
      </c>
      <c r="B72">
        <v>2</v>
      </c>
      <c r="C72" t="str">
        <v>Penambahan Jumlah Pelanggan</v>
      </c>
      <c r="D72" s="105" t="s">
        <v>462</v>
      </c>
      <c r="E72" t="str">
        <v>Penambahan Jumlah Pelanggan</v>
      </c>
    </row>
    <row r="73" spans="1:5">
      <c r="A73" t="str">
        <v>c. Jumlah Penambahan Pelanggan Produk Tematik</v>
      </c>
      <c r="B73">
        <v>2</v>
      </c>
      <c r="C73" t="str">
        <v>Jumlah Penambahan Pelanggan Produk Tematik</v>
      </c>
      <c r="D73" s="105" t="s">
        <v>462</v>
      </c>
      <c r="E73" t="str">
        <v>Jumlah Penambahan Pelanggan Produk Tematik</v>
      </c>
    </row>
    <row r="74" spans="1:5">
      <c r="A74" t="str">
        <v>d. Implementasi Kesesuaian Sektor Bisnis sesuai KBLI 2020</v>
      </c>
      <c r="B74">
        <v>2</v>
      </c>
      <c r="C74" t="str">
        <v>Implementasi Kesesuaian Sektor Bisnis sesuai KBLI 2020</v>
      </c>
      <c r="D74" s="105" t="s">
        <v>462</v>
      </c>
      <c r="E74" t="str">
        <v>Implementasi Kesesuaian Sektor Bisnis sesuai KBLI 2020</v>
      </c>
    </row>
    <row r="75" spans="1:5">
      <c r="A75" t="str">
        <v>a. Penambahan Jumlah Pelanggan Rumah Tangga Lisdes</v>
      </c>
      <c r="B75">
        <v>2</v>
      </c>
      <c r="C75" t="str">
        <v>Penambahan Jumlah Pelanggan Rumah Tangga Lisdes</v>
      </c>
      <c r="D75" s="105" t="s">
        <v>462</v>
      </c>
      <c r="E75" t="str">
        <v>Penambahan Jumlah Pelanggan Rumah Tangga Lisdes</v>
      </c>
    </row>
    <row r="76" spans="1:5">
      <c r="A76" t="str">
        <v>b. Peningkatan kWh Penjualan dari Pelanggan Rumah Tangga Lisdes</v>
      </c>
      <c r="B76">
        <v>2</v>
      </c>
      <c r="C76" t="str">
        <v>Peningkatan kWh Penjualan dari Pelanggan Rumah Tangga Lisdes</v>
      </c>
      <c r="D76" s="105" t="s">
        <v>462</v>
      </c>
      <c r="E76" t="str">
        <v>Peningkatan kWh Penjualan dari Pelanggan Rumah Tangga Lisdes</v>
      </c>
    </row>
    <row r="77" spans="1:5">
      <c r="A77" t="str">
        <v>a. Jumlah Pengguna Swa Cam</v>
      </c>
      <c r="B77">
        <v>2</v>
      </c>
      <c r="C77" t="str">
        <v>Jumlah Pengguna Swa Cam</v>
      </c>
      <c r="D77" s="105" t="s">
        <v>462</v>
      </c>
      <c r="E77" t="str">
        <v>Jumlah Pengguna Swa Cam</v>
      </c>
    </row>
    <row r="78" spans="1:5">
      <c r="A78" t="str">
        <v>b. Tindak Lanjut LBKB (Laporan Bulanan Kelainan Baca Meter)</v>
      </c>
      <c r="B78">
        <v>2</v>
      </c>
      <c r="C78" t="str">
        <v>Tindak Lanjut LBKB (Laporan Bulanan Kelainan Baca Meter)</v>
      </c>
      <c r="D78" s="105" t="s">
        <v>462</v>
      </c>
      <c r="E78" t="str">
        <v>Tindak Lanjut LBKB (Laporan Bulanan Kelainan Baca Meter)</v>
      </c>
    </row>
    <row r="79" spans="1:5">
      <c r="A79" t="str">
        <v>Sisa Stand Bongkar Migrasi</v>
      </c>
      <c r="B79" t="e">
        <v>#VALUE!</v>
      </c>
      <c r="C79" t="str">
        <v>Sisa Stand Bongkar Migrasi</v>
      </c>
      <c r="D79" s="105" t="s">
        <v>462</v>
      </c>
      <c r="E79" t="str">
        <v>Sisa Stand Bongkar Migrasi</v>
      </c>
    </row>
    <row r="80" spans="1:5">
      <c r="A80" t="str">
        <v>a. Persentase Rata-Rata Saldo Tanggal 20 Non Kogol 1 dan Non Kogol 2</v>
      </c>
      <c r="B80">
        <v>2</v>
      </c>
      <c r="C80" t="str">
        <v>Persentase Rata-Rata Saldo Tanggal 20 Non Kogol 1 dan Non Kogol 2</v>
      </c>
      <c r="D80" s="105" t="s">
        <v>462</v>
      </c>
      <c r="E80" t="str">
        <v>Persentase Rata-Rata Saldo Tanggal 20 Non Kogol 1 dan Non Kogol 2</v>
      </c>
    </row>
    <row r="81" spans="1:5">
      <c r="A81" t="str">
        <v>b. Pencapaian Saldo Rata-Rata Akhir Bulan Non Kogol 1 dan Non Kogol 2</v>
      </c>
      <c r="B81">
        <v>2</v>
      </c>
      <c r="C81" t="str">
        <v>Pencapaian Saldo Rata-Rata Akhir Bulan Non Kogol 1 dan Non Kogol 2</v>
      </c>
      <c r="D81" s="105" t="s">
        <v>462</v>
      </c>
      <c r="E81" t="str">
        <v>Pencapaian Saldo Rata-Rata Akhir Bulan Non Kogol 1 dan Non Kogol 2</v>
      </c>
    </row>
    <row r="82" spans="1:5">
      <c r="A82" t="str">
        <v>c. Pencapaian Pelunasan PRR</v>
      </c>
      <c r="B82">
        <v>2</v>
      </c>
      <c r="C82" t="str">
        <v>Pencapaian Pelunasan PRR</v>
      </c>
      <c r="D82" s="105" t="s">
        <v>462</v>
      </c>
      <c r="E82" t="str">
        <v>Pencapaian Pelunasan PRR</v>
      </c>
    </row>
  </sheetData>
  <mergeCells count="9">
    <mergeCell ref="AX46:AX49"/>
    <mergeCell ref="BP2:CC2"/>
    <mergeCell ref="BX11:CD11"/>
    <mergeCell ref="BP46:BR46"/>
    <mergeCell ref="AJ1:AV1"/>
    <mergeCell ref="BA1:BM1"/>
    <mergeCell ref="BX3:BX4"/>
    <mergeCell ref="BX5:BX6"/>
    <mergeCell ref="BX7:BX8"/>
  </mergeCells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2D18C-1FDD-4B0F-85DF-B004240F6309}">
  <dimension ref="A1:AN57"/>
  <sheetViews>
    <sheetView showGridLines="0" zoomScale="83" zoomScaleNormal="83" workbookViewId="0">
      <selection activeCell="AM34" sqref="AM34"/>
    </sheetView>
  </sheetViews>
  <sheetFormatPr defaultRowHeight="15"/>
  <cols>
    <col min="9" max="20" width="8.85546875" customWidth="1"/>
    <col min="30" max="30" width="8.85546875" customWidth="1"/>
    <col min="40" max="40" width="11.85546875" bestFit="1" customWidth="1"/>
  </cols>
  <sheetData>
    <row r="1" spans="1:40" ht="15.75" thickBot="1">
      <c r="A1" s="608"/>
      <c r="B1" s="609"/>
      <c r="C1" s="609"/>
      <c r="D1" s="609"/>
      <c r="E1" s="609"/>
      <c r="F1" s="609"/>
      <c r="G1" s="609"/>
      <c r="H1" s="609"/>
      <c r="I1" s="609"/>
      <c r="J1" s="609"/>
      <c r="K1" s="609"/>
      <c r="L1" s="609"/>
      <c r="M1" s="609"/>
      <c r="N1" s="609"/>
      <c r="O1" s="609"/>
      <c r="P1" s="609"/>
      <c r="Q1" s="609"/>
      <c r="R1" s="609"/>
      <c r="S1" s="609"/>
      <c r="T1" s="609"/>
      <c r="U1" s="609"/>
      <c r="V1" s="609"/>
      <c r="W1" s="609"/>
      <c r="X1" s="609"/>
      <c r="Y1" s="609"/>
      <c r="Z1" s="609"/>
      <c r="AA1" s="609"/>
      <c r="AB1" s="609"/>
      <c r="AC1" s="609"/>
      <c r="AD1" s="609"/>
      <c r="AE1" s="609"/>
      <c r="AF1" s="609"/>
      <c r="AG1" s="609"/>
      <c r="AH1" s="609"/>
      <c r="AI1" s="610"/>
    </row>
    <row r="2" spans="1:40">
      <c r="A2" s="611"/>
      <c r="O2" s="770" t="s">
        <v>11</v>
      </c>
      <c r="P2" s="771"/>
      <c r="Q2" s="650"/>
      <c r="R2" s="774"/>
      <c r="S2" s="775"/>
      <c r="T2" s="770" t="s">
        <v>12</v>
      </c>
      <c r="U2" s="771"/>
      <c r="V2" s="650"/>
      <c r="W2" s="650"/>
      <c r="X2" s="651"/>
      <c r="Y2" s="770" t="s">
        <v>5</v>
      </c>
      <c r="Z2" s="778"/>
      <c r="AA2" s="650"/>
      <c r="AB2" s="650"/>
      <c r="AC2" s="651"/>
      <c r="AD2" s="770" t="s">
        <v>14</v>
      </c>
      <c r="AE2" s="771"/>
      <c r="AF2" s="609"/>
      <c r="AG2" s="609"/>
      <c r="AH2" s="610"/>
      <c r="AI2" s="612"/>
      <c r="AN2">
        <v>2025</v>
      </c>
    </row>
    <row r="3" spans="1:40">
      <c r="A3" s="611"/>
      <c r="O3" s="772"/>
      <c r="P3" s="773"/>
      <c r="Q3" s="294"/>
      <c r="R3" s="776"/>
      <c r="S3" s="777"/>
      <c r="T3" s="772"/>
      <c r="U3" s="773"/>
      <c r="V3" s="294"/>
      <c r="W3" s="294"/>
      <c r="X3" s="652"/>
      <c r="Y3" s="779"/>
      <c r="Z3" s="780"/>
      <c r="AA3" s="294"/>
      <c r="AB3" s="294"/>
      <c r="AC3" s="652"/>
      <c r="AD3" s="772"/>
      <c r="AE3" s="773"/>
      <c r="AH3" s="612"/>
      <c r="AI3" s="612"/>
      <c r="AM3">
        <v>1</v>
      </c>
      <c r="AN3" s="616">
        <f>DATE(2025,AM3+1,0)</f>
        <v>45688</v>
      </c>
    </row>
    <row r="4" spans="1:40">
      <c r="A4" s="611"/>
      <c r="O4" s="772"/>
      <c r="P4" s="773"/>
      <c r="Q4" s="294"/>
      <c r="R4" s="776"/>
      <c r="S4" s="777"/>
      <c r="T4" s="772"/>
      <c r="U4" s="773"/>
      <c r="V4" s="294"/>
      <c r="W4" s="294"/>
      <c r="X4" s="652"/>
      <c r="Y4" s="779"/>
      <c r="Z4" s="780"/>
      <c r="AA4" s="294"/>
      <c r="AB4" s="294"/>
      <c r="AC4" s="652"/>
      <c r="AD4" s="772"/>
      <c r="AE4" s="773"/>
      <c r="AH4" s="612"/>
      <c r="AI4" s="612"/>
      <c r="AM4">
        <v>2</v>
      </c>
      <c r="AN4" s="616">
        <f t="shared" ref="AN4:AN14" si="0">DATE(2025,AM4+1,0)</f>
        <v>45716</v>
      </c>
    </row>
    <row r="5" spans="1:40">
      <c r="A5" s="611"/>
      <c r="O5" s="611"/>
      <c r="S5" s="612"/>
      <c r="T5" s="611"/>
      <c r="X5" s="612"/>
      <c r="Y5" s="611"/>
      <c r="AC5" s="612"/>
      <c r="AD5" s="611"/>
      <c r="AH5" s="612"/>
      <c r="AI5" s="612"/>
      <c r="AM5">
        <v>3</v>
      </c>
      <c r="AN5" s="616">
        <f t="shared" si="0"/>
        <v>45747</v>
      </c>
    </row>
    <row r="6" spans="1:40">
      <c r="A6" s="611"/>
      <c r="O6" s="611"/>
      <c r="S6" s="612"/>
      <c r="T6" s="611"/>
      <c r="X6" s="612"/>
      <c r="Y6" s="611"/>
      <c r="AC6" s="612"/>
      <c r="AD6" s="611"/>
      <c r="AH6" s="612"/>
      <c r="AI6" s="612"/>
      <c r="AM6">
        <v>4</v>
      </c>
      <c r="AN6" s="616">
        <f t="shared" si="0"/>
        <v>45777</v>
      </c>
    </row>
    <row r="7" spans="1:40">
      <c r="A7" s="611"/>
      <c r="O7" s="611"/>
      <c r="S7" s="612"/>
      <c r="T7" s="611"/>
      <c r="X7" s="612"/>
      <c r="Y7" s="611"/>
      <c r="AC7" s="612"/>
      <c r="AD7" s="611"/>
      <c r="AH7" s="612"/>
      <c r="AI7" s="612"/>
      <c r="AM7">
        <v>5</v>
      </c>
      <c r="AN7" s="616">
        <f t="shared" si="0"/>
        <v>45808</v>
      </c>
    </row>
    <row r="8" spans="1:40" ht="15.75" thickBot="1">
      <c r="A8" s="611"/>
      <c r="O8" s="613"/>
      <c r="P8" s="614"/>
      <c r="Q8" s="614"/>
      <c r="R8" s="614"/>
      <c r="S8" s="615"/>
      <c r="T8" s="613"/>
      <c r="U8" s="614"/>
      <c r="V8" s="614"/>
      <c r="W8" s="614"/>
      <c r="X8" s="615"/>
      <c r="Y8" s="613"/>
      <c r="Z8" s="614"/>
      <c r="AA8" s="614"/>
      <c r="AB8" s="614"/>
      <c r="AC8" s="615"/>
      <c r="AD8" s="613"/>
      <c r="AE8" s="614"/>
      <c r="AF8" s="614"/>
      <c r="AG8" s="614"/>
      <c r="AH8" s="615"/>
      <c r="AI8" s="612"/>
      <c r="AM8">
        <v>6</v>
      </c>
      <c r="AN8" s="616">
        <f t="shared" si="0"/>
        <v>45838</v>
      </c>
    </row>
    <row r="9" spans="1:40">
      <c r="A9" s="611"/>
      <c r="AI9" s="612"/>
      <c r="AM9">
        <v>7</v>
      </c>
      <c r="AN9" s="616">
        <f t="shared" si="0"/>
        <v>45869</v>
      </c>
    </row>
    <row r="10" spans="1:40">
      <c r="A10" s="611"/>
      <c r="AI10" s="612"/>
      <c r="AM10">
        <v>8</v>
      </c>
      <c r="AN10" s="616">
        <f t="shared" si="0"/>
        <v>45900</v>
      </c>
    </row>
    <row r="11" spans="1:40" ht="14.45" customHeight="1">
      <c r="A11" s="611"/>
      <c r="O11" s="763" t="s">
        <v>468</v>
      </c>
      <c r="P11" s="763"/>
      <c r="Q11" s="763" t="s">
        <v>458</v>
      </c>
      <c r="R11" s="762">
        <v>45838</v>
      </c>
      <c r="S11" s="762"/>
      <c r="T11" s="762"/>
      <c r="AI11" s="612"/>
      <c r="AM11">
        <v>9</v>
      </c>
      <c r="AN11" s="616">
        <f t="shared" si="0"/>
        <v>45930</v>
      </c>
    </row>
    <row r="12" spans="1:40" ht="14.45" customHeight="1">
      <c r="A12" s="611"/>
      <c r="O12" s="763"/>
      <c r="P12" s="763"/>
      <c r="Q12" s="763"/>
      <c r="R12" s="762"/>
      <c r="S12" s="762"/>
      <c r="T12" s="762"/>
      <c r="AI12" s="612"/>
      <c r="AM12">
        <v>10</v>
      </c>
      <c r="AN12" s="616">
        <f t="shared" si="0"/>
        <v>45961</v>
      </c>
    </row>
    <row r="13" spans="1:40">
      <c r="A13" s="611"/>
      <c r="AI13" s="612"/>
      <c r="AM13">
        <v>11</v>
      </c>
      <c r="AN13" s="616">
        <f t="shared" si="0"/>
        <v>45991</v>
      </c>
    </row>
    <row r="14" spans="1:40" ht="15.75" thickBot="1">
      <c r="A14" s="611"/>
      <c r="AI14" s="612"/>
      <c r="AM14">
        <v>12</v>
      </c>
      <c r="AN14" s="616">
        <f t="shared" si="0"/>
        <v>46022</v>
      </c>
    </row>
    <row r="15" spans="1:40">
      <c r="A15" s="611"/>
      <c r="O15" s="764"/>
      <c r="P15" s="765"/>
      <c r="Q15" s="755" t="s">
        <v>9</v>
      </c>
      <c r="R15" s="755"/>
      <c r="S15" s="755">
        <f>STRG!BZ3</f>
        <v>6</v>
      </c>
      <c r="T15" s="756"/>
      <c r="AI15" s="612"/>
    </row>
    <row r="16" spans="1:40" ht="15.75" thickBot="1">
      <c r="A16" s="611"/>
      <c r="O16" s="766"/>
      <c r="P16" s="767"/>
      <c r="Q16" s="757"/>
      <c r="R16" s="757"/>
      <c r="S16" s="757"/>
      <c r="T16" s="758"/>
      <c r="AI16" s="612"/>
    </row>
    <row r="17" spans="1:35">
      <c r="A17" s="611"/>
      <c r="O17" s="766"/>
      <c r="P17" s="767"/>
      <c r="Q17" s="755" t="s">
        <v>463</v>
      </c>
      <c r="R17" s="755"/>
      <c r="S17" s="757">
        <f>STRG!BZ4</f>
        <v>27</v>
      </c>
      <c r="T17" s="758"/>
      <c r="AI17" s="612"/>
    </row>
    <row r="18" spans="1:35" ht="15" customHeight="1" thickBot="1">
      <c r="A18" s="611"/>
      <c r="O18" s="768"/>
      <c r="P18" s="769"/>
      <c r="Q18" s="759"/>
      <c r="R18" s="759"/>
      <c r="S18" s="759"/>
      <c r="T18" s="760"/>
      <c r="AE18" s="627"/>
      <c r="AF18" s="627"/>
      <c r="AI18" s="612"/>
    </row>
    <row r="19" spans="1:35" ht="14.45" customHeight="1">
      <c r="A19" s="611"/>
      <c r="O19" s="764"/>
      <c r="P19" s="765"/>
      <c r="Q19" s="755" t="s">
        <v>9</v>
      </c>
      <c r="R19" s="755"/>
      <c r="S19" s="755">
        <f>STRG!BZ5</f>
        <v>1</v>
      </c>
      <c r="T19" s="756"/>
      <c r="AE19" s="627"/>
      <c r="AF19" s="627"/>
      <c r="AI19" s="612"/>
    </row>
    <row r="20" spans="1:35" ht="14.45" customHeight="1">
      <c r="A20" s="611"/>
      <c r="O20" s="766"/>
      <c r="P20" s="767"/>
      <c r="Q20" s="757"/>
      <c r="R20" s="757"/>
      <c r="S20" s="757"/>
      <c r="T20" s="758"/>
      <c r="AD20" s="627"/>
      <c r="AE20" s="627"/>
      <c r="AF20" s="627"/>
      <c r="AI20" s="612"/>
    </row>
    <row r="21" spans="1:35" ht="14.45" customHeight="1">
      <c r="A21" s="611"/>
      <c r="O21" s="766"/>
      <c r="P21" s="767"/>
      <c r="Q21" s="757" t="s">
        <v>463</v>
      </c>
      <c r="R21" s="757"/>
      <c r="S21" s="757">
        <f>STRG!BZ6</f>
        <v>0</v>
      </c>
      <c r="T21" s="758"/>
      <c r="AD21" s="627"/>
      <c r="AE21" s="627"/>
      <c r="AF21" s="627"/>
      <c r="AI21" s="612"/>
    </row>
    <row r="22" spans="1:35" ht="15" customHeight="1" thickBot="1">
      <c r="A22" s="611"/>
      <c r="O22" s="768"/>
      <c r="P22" s="769"/>
      <c r="Q22" s="759"/>
      <c r="R22" s="759"/>
      <c r="S22" s="759"/>
      <c r="T22" s="760"/>
      <c r="AD22" s="627"/>
      <c r="AE22" s="627"/>
      <c r="AF22" s="627"/>
      <c r="AI22" s="612"/>
    </row>
    <row r="23" spans="1:35" ht="14.45" customHeight="1">
      <c r="A23" s="611"/>
      <c r="O23" s="766"/>
      <c r="P23" s="767"/>
      <c r="Q23" s="757" t="s">
        <v>9</v>
      </c>
      <c r="R23" s="757"/>
      <c r="S23" s="755">
        <f>STRG!BZ7</f>
        <v>0</v>
      </c>
      <c r="T23" s="756"/>
      <c r="AD23" s="627"/>
      <c r="AE23" s="627"/>
      <c r="AF23" s="627"/>
      <c r="AI23" s="612"/>
    </row>
    <row r="24" spans="1:35" ht="15.75" thickBot="1">
      <c r="A24" s="611"/>
      <c r="O24" s="766"/>
      <c r="P24" s="767"/>
      <c r="Q24" s="757"/>
      <c r="R24" s="757"/>
      <c r="S24" s="757"/>
      <c r="T24" s="758"/>
      <c r="AI24" s="612"/>
    </row>
    <row r="25" spans="1:35">
      <c r="A25" s="611"/>
      <c r="O25" s="766"/>
      <c r="P25" s="767"/>
      <c r="Q25" s="755" t="s">
        <v>463</v>
      </c>
      <c r="R25" s="755"/>
      <c r="S25" s="757">
        <f>STRG!BZ8</f>
        <v>5</v>
      </c>
      <c r="T25" s="758"/>
      <c r="AI25" s="612"/>
    </row>
    <row r="26" spans="1:35" ht="15" customHeight="1" thickBot="1">
      <c r="A26" s="611"/>
      <c r="O26" s="768"/>
      <c r="P26" s="769"/>
      <c r="Q26" s="759"/>
      <c r="R26" s="759"/>
      <c r="S26" s="759"/>
      <c r="T26" s="760"/>
      <c r="AB26" s="761">
        <f>SUM(STRG!CC3:CC5)</f>
        <v>39</v>
      </c>
      <c r="AC26" s="753" t="s">
        <v>469</v>
      </c>
      <c r="AD26" s="753"/>
      <c r="AI26" s="612"/>
    </row>
    <row r="27" spans="1:35" ht="14.45" customHeight="1">
      <c r="A27" s="611"/>
      <c r="AB27" s="761"/>
      <c r="AC27" s="753"/>
      <c r="AD27" s="753"/>
      <c r="AI27" s="612"/>
    </row>
    <row r="28" spans="1:35">
      <c r="A28" s="611"/>
      <c r="AI28" s="612"/>
    </row>
    <row r="29" spans="1:35">
      <c r="A29" s="611"/>
      <c r="AI29" s="612"/>
    </row>
    <row r="30" spans="1:35">
      <c r="A30" s="611"/>
      <c r="O30" s="754" t="s">
        <v>470</v>
      </c>
      <c r="P30" s="754"/>
      <c r="Q30" s="754"/>
      <c r="R30" s="754"/>
      <c r="S30" s="754"/>
      <c r="T30" s="754"/>
      <c r="U30" s="754"/>
      <c r="V30" s="754"/>
      <c r="W30" s="754"/>
      <c r="X30" s="754"/>
      <c r="Y30" s="754"/>
      <c r="Z30" s="754"/>
      <c r="AB30" s="754" t="s">
        <v>471</v>
      </c>
      <c r="AC30" s="754"/>
      <c r="AD30" s="754"/>
      <c r="AE30" s="754"/>
      <c r="AF30" s="754"/>
      <c r="AG30" s="754"/>
      <c r="AH30" s="754"/>
      <c r="AI30" s="612"/>
    </row>
    <row r="31" spans="1:35">
      <c r="A31" s="611"/>
      <c r="O31" s="754"/>
      <c r="P31" s="754"/>
      <c r="Q31" s="754"/>
      <c r="R31" s="754"/>
      <c r="S31" s="754"/>
      <c r="T31" s="754"/>
      <c r="U31" s="754"/>
      <c r="V31" s="754"/>
      <c r="W31" s="754"/>
      <c r="X31" s="754"/>
      <c r="Y31" s="754"/>
      <c r="Z31" s="754"/>
      <c r="AB31" s="754"/>
      <c r="AC31" s="754"/>
      <c r="AD31" s="754"/>
      <c r="AE31" s="754"/>
      <c r="AF31" s="754"/>
      <c r="AG31" s="754"/>
      <c r="AH31" s="754"/>
      <c r="AI31" s="612"/>
    </row>
    <row r="32" spans="1:35" ht="14.45" customHeight="1">
      <c r="A32" s="611"/>
      <c r="O32" s="754"/>
      <c r="P32" s="754"/>
      <c r="Q32" s="754"/>
      <c r="R32" s="754"/>
      <c r="S32" s="754"/>
      <c r="T32" s="754"/>
      <c r="U32" s="754"/>
      <c r="V32" s="754"/>
      <c r="W32" s="754"/>
      <c r="X32" s="754"/>
      <c r="Y32" s="754"/>
      <c r="Z32" s="754"/>
      <c r="AB32" s="754"/>
      <c r="AC32" s="754"/>
      <c r="AD32" s="754"/>
      <c r="AE32" s="754"/>
      <c r="AF32" s="754"/>
      <c r="AG32" s="754"/>
      <c r="AH32" s="754"/>
      <c r="AI32" s="612"/>
    </row>
    <row r="33" spans="1:35" ht="14.45" customHeight="1">
      <c r="A33" s="611"/>
      <c r="AI33" s="612"/>
    </row>
    <row r="34" spans="1:35">
      <c r="A34" s="611"/>
      <c r="AI34" s="612"/>
    </row>
    <row r="35" spans="1:35">
      <c r="A35" s="611"/>
      <c r="AI35" s="612"/>
    </row>
    <row r="36" spans="1:35">
      <c r="A36" s="611"/>
      <c r="AI36" s="612"/>
    </row>
    <row r="37" spans="1:35">
      <c r="A37" s="611"/>
      <c r="AI37" s="612"/>
    </row>
    <row r="38" spans="1:35">
      <c r="A38" s="611"/>
      <c r="AI38" s="612"/>
    </row>
    <row r="39" spans="1:35">
      <c r="A39" s="611"/>
      <c r="AI39" s="612"/>
    </row>
    <row r="40" spans="1:35">
      <c r="A40" s="611"/>
      <c r="AI40" s="612"/>
    </row>
    <row r="41" spans="1:35">
      <c r="A41" s="611"/>
      <c r="AI41" s="612"/>
    </row>
    <row r="42" spans="1:35">
      <c r="A42" s="611"/>
      <c r="AI42" s="612"/>
    </row>
    <row r="43" spans="1:35">
      <c r="A43" s="611"/>
      <c r="AI43" s="612"/>
    </row>
    <row r="44" spans="1:35">
      <c r="A44" s="611"/>
      <c r="AI44" s="612"/>
    </row>
    <row r="45" spans="1:35">
      <c r="A45" s="611"/>
      <c r="AI45" s="612"/>
    </row>
    <row r="46" spans="1:35">
      <c r="A46" s="611"/>
      <c r="AI46" s="612"/>
    </row>
    <row r="47" spans="1:35">
      <c r="A47" s="611"/>
      <c r="AI47" s="612"/>
    </row>
    <row r="48" spans="1:35">
      <c r="A48" s="611"/>
      <c r="AI48" s="612"/>
    </row>
    <row r="49" spans="1:35">
      <c r="A49" s="611"/>
      <c r="AI49" s="612"/>
    </row>
    <row r="50" spans="1:35">
      <c r="A50" s="611"/>
      <c r="AI50" s="612"/>
    </row>
    <row r="51" spans="1:35">
      <c r="A51" s="611"/>
      <c r="AI51" s="612"/>
    </row>
    <row r="52" spans="1:35">
      <c r="A52" s="611"/>
      <c r="AI52" s="612"/>
    </row>
    <row r="53" spans="1:35">
      <c r="A53" s="611"/>
      <c r="AI53" s="612"/>
    </row>
    <row r="54" spans="1:35">
      <c r="A54" s="611"/>
      <c r="AI54" s="612"/>
    </row>
    <row r="55" spans="1:35">
      <c r="A55" s="611"/>
      <c r="AI55" s="612"/>
    </row>
    <row r="56" spans="1:35">
      <c r="A56" s="611"/>
      <c r="AI56" s="612"/>
    </row>
    <row r="57" spans="1:35" ht="15.75" thickBot="1">
      <c r="A57" s="613"/>
      <c r="B57" s="614"/>
      <c r="C57" s="614"/>
      <c r="D57" s="614"/>
      <c r="E57" s="614"/>
      <c r="F57" s="614"/>
      <c r="G57" s="614"/>
      <c r="H57" s="614"/>
      <c r="I57" s="614"/>
      <c r="J57" s="614"/>
      <c r="K57" s="614"/>
      <c r="L57" s="614"/>
      <c r="M57" s="614"/>
      <c r="N57" s="614"/>
      <c r="O57" s="614"/>
      <c r="P57" s="614"/>
      <c r="Q57" s="614"/>
      <c r="R57" s="614"/>
      <c r="S57" s="614"/>
      <c r="T57" s="614"/>
      <c r="U57" s="614"/>
      <c r="V57" s="614"/>
      <c r="W57" s="614"/>
      <c r="X57" s="614"/>
      <c r="Y57" s="614"/>
      <c r="Z57" s="614"/>
      <c r="AA57" s="614"/>
      <c r="AB57" s="614"/>
      <c r="AC57" s="614"/>
      <c r="AD57" s="614"/>
      <c r="AE57" s="614"/>
      <c r="AF57" s="614"/>
      <c r="AG57" s="614"/>
      <c r="AH57" s="614"/>
      <c r="AI57" s="615"/>
    </row>
  </sheetData>
  <protectedRanges>
    <protectedRange algorithmName="SHA-512" hashValue="ZlH43sq/5xQLsuLCFTym6tXtz+FVhxUVWrS+RwL1rfuDYt8tGlpOnC+1aJ8pOercsO4vslMdfmsco3gohOjdMg==" saltValue="IuKu5CLbKIK39SjtYIrcQA==" spinCount="100000" sqref="R11:T12" name="Range1"/>
  </protectedRanges>
  <mergeCells count="27">
    <mergeCell ref="O2:P4"/>
    <mergeCell ref="R2:S4"/>
    <mergeCell ref="T2:U4"/>
    <mergeCell ref="Y2:Z4"/>
    <mergeCell ref="AD2:AE4"/>
    <mergeCell ref="R11:T12"/>
    <mergeCell ref="Q11:Q12"/>
    <mergeCell ref="O15:P18"/>
    <mergeCell ref="O19:P22"/>
    <mergeCell ref="O23:P26"/>
    <mergeCell ref="Q15:R16"/>
    <mergeCell ref="Q17:R18"/>
    <mergeCell ref="Q19:R20"/>
    <mergeCell ref="Q21:R22"/>
    <mergeCell ref="Q23:R24"/>
    <mergeCell ref="Q25:R26"/>
    <mergeCell ref="S15:T16"/>
    <mergeCell ref="S17:T18"/>
    <mergeCell ref="O11:P12"/>
    <mergeCell ref="AC26:AD27"/>
    <mergeCell ref="O30:Z32"/>
    <mergeCell ref="AB30:AH32"/>
    <mergeCell ref="S19:T20"/>
    <mergeCell ref="S21:T22"/>
    <mergeCell ref="S23:T24"/>
    <mergeCell ref="S25:T26"/>
    <mergeCell ref="AB26:AB27"/>
  </mergeCells>
  <conditionalFormatting sqref="O15:P26">
    <cfRule type="iconSet" priority="1">
      <iconSet showValue="0">
        <cfvo type="percent" val="0"/>
        <cfvo type="num" val="1"/>
        <cfvo type="num" val="2"/>
      </iconSet>
    </cfRule>
  </conditionalFormatting>
  <dataValidations disablePrompts="1" count="1">
    <dataValidation type="list" allowBlank="1" showInputMessage="1" showErrorMessage="1" sqref="R11" xr:uid="{9C9CF4C6-27E2-4DA4-BF6B-33EB04E80ADB}">
      <formula1>$AN$3:$AN$14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23</vt:i4>
      </vt:variant>
    </vt:vector>
  </HeadingPairs>
  <TitlesOfParts>
    <vt:vector size="49" baseType="lpstr">
      <vt:lpstr>RANK</vt:lpstr>
      <vt:lpstr>CHECKLIST</vt:lpstr>
      <vt:lpstr>scoreboard</vt:lpstr>
      <vt:lpstr>TRACK</vt:lpstr>
      <vt:lpstr>DETAIL</vt:lpstr>
      <vt:lpstr>TREN</vt:lpstr>
      <vt:lpstr>KPI</vt:lpstr>
      <vt:lpstr>SIMULASI</vt:lpstr>
      <vt:lpstr>PI</vt:lpstr>
      <vt:lpstr>UP3</vt:lpstr>
      <vt:lpstr>PROG. JUNI</vt:lpstr>
      <vt:lpstr>ULP</vt:lpstr>
      <vt:lpstr>R.UP3</vt:lpstr>
      <vt:lpstr>R.TOLIS</vt:lpstr>
      <vt:lpstr>R.LEOK</vt:lpstr>
      <vt:lpstr>R.BANGKIR</vt:lpstr>
      <vt:lpstr>R.MOUTONG</vt:lpstr>
      <vt:lpstr>R.KOTARAYA</vt:lpstr>
      <vt:lpstr>T.UP3</vt:lpstr>
      <vt:lpstr>T.TOLIS</vt:lpstr>
      <vt:lpstr>T.LEOK</vt:lpstr>
      <vt:lpstr>T.BANGKIR</vt:lpstr>
      <vt:lpstr>T.MOUTONG</vt:lpstr>
      <vt:lpstr>T.KOTARAYA</vt:lpstr>
      <vt:lpstr>STRG</vt:lpstr>
      <vt:lpstr>DBRD</vt:lpstr>
      <vt:lpstr>DETAIL!Print_Area</vt:lpstr>
      <vt:lpstr>'PROG. JUNI'!Print_Area</vt:lpstr>
      <vt:lpstr>R.BANGKIR!Print_Area</vt:lpstr>
      <vt:lpstr>R.KOTARAYA!Print_Area</vt:lpstr>
      <vt:lpstr>R.LEOK!Print_Area</vt:lpstr>
      <vt:lpstr>R.MOUTONG!Print_Area</vt:lpstr>
      <vt:lpstr>R.TOLIS!Print_Area</vt:lpstr>
      <vt:lpstr>SIMULASI!Print_Area</vt:lpstr>
      <vt:lpstr>ULP!Print_Area</vt:lpstr>
      <vt:lpstr>'UP3'!Print_Area</vt:lpstr>
      <vt:lpstr>R.BANGKIR!Print_Titles</vt:lpstr>
      <vt:lpstr>R.KOTARAYA!Print_Titles</vt:lpstr>
      <vt:lpstr>R.LEOK!Print_Titles</vt:lpstr>
      <vt:lpstr>R.MOUTONG!Print_Titles</vt:lpstr>
      <vt:lpstr>R.TOLIS!Print_Titles</vt:lpstr>
      <vt:lpstr>R.UP3!Print_Titles</vt:lpstr>
      <vt:lpstr>T.BANGKIR!Print_Titles</vt:lpstr>
      <vt:lpstr>T.KOTARAYA!Print_Titles</vt:lpstr>
      <vt:lpstr>T.LEOK!Print_Titles</vt:lpstr>
      <vt:lpstr>T.MOUTONG!Print_Titles</vt:lpstr>
      <vt:lpstr>T.TOLIS!Print_Titles</vt:lpstr>
      <vt:lpstr>T.UP3!Print_Titles</vt:lpstr>
      <vt:lpstr>ULP!Print_Titles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sutgpln31</dc:creator>
  <cp:keywords/>
  <dc:description/>
  <cp:lastModifiedBy>Ivan Falahul</cp:lastModifiedBy>
  <cp:revision/>
  <dcterms:created xsi:type="dcterms:W3CDTF">2016-02-19T03:11:29Z</dcterms:created>
  <dcterms:modified xsi:type="dcterms:W3CDTF">2025-11-04T02:23:03Z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2024-08-08T03:21:29Z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73429b69-138c-4f44-ab3e-080c7751d0b0</vt:lpwstr>
  </property>
  <property fmtid="{D5CDD505-2E9C-101B-9397-08002B2CF9AE}" pid="8" name="MSIP_Label_defa4170-0d19-0005-0004-bc88714345d2_ContentBits">
    <vt:lpwstr>0</vt:lpwstr>
  </property>
</Properties>
</file>